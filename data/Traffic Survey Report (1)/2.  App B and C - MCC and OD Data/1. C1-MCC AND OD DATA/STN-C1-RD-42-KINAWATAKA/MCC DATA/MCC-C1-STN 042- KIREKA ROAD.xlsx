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42-KINAWATAKA\MCC DATA\"/>
    </mc:Choice>
  </mc:AlternateContent>
  <bookViews>
    <workbookView xWindow="-120" yWindow="-120" windowWidth="20730" windowHeight="11160" tabRatio="940" firstSheet="14" activeTab="14"/>
  </bookViews>
  <sheets>
    <sheet name="29.07 Kinawataka-Kireka" sheetId="93" r:id="rId1"/>
    <sheet name="29.07 Kireka-Kinawataka" sheetId="94" r:id="rId2"/>
    <sheet name="30.07 Kinawataka-Kireka" sheetId="95" r:id="rId3"/>
    <sheet name="30.07 Kireka-Kinawataka" sheetId="96" r:id="rId4"/>
    <sheet name="31.07 Kinawataka-Kireka" sheetId="97" r:id="rId5"/>
    <sheet name="31.07 Kireka-Kinawataka" sheetId="98" r:id="rId6"/>
    <sheet name="01.08 Kinawataka-Kireka-24h" sheetId="101" r:id="rId7"/>
    <sheet name="01.08 Kireka-Kinawataka-24h" sheetId="109" r:id="rId8"/>
    <sheet name="02.08 Kinawataka-Kireka" sheetId="99" r:id="rId9"/>
    <sheet name="02.08 Kireka-Kinawataka" sheetId="100" r:id="rId10"/>
    <sheet name="03.08 Kinawataka-Kireka-24h" sheetId="105" r:id="rId11"/>
    <sheet name="03.08 Kireka-Kinawataka-24h" sheetId="110" r:id="rId12"/>
    <sheet name="04.08 Kinawataka-Kireka" sheetId="103" r:id="rId13"/>
    <sheet name="04.08 Kireka-Kinawataka" sheetId="104" r:id="rId14"/>
    <sheet name="Avg Week Kinawataka-Kireka" sheetId="107" r:id="rId15"/>
    <sheet name="Avg Week Kireka-Kinwataka" sheetId="108" r:id="rId16"/>
    <sheet name="Avg Week Kinawataka-Kireka-2Dir" sheetId="111" r:id="rId17"/>
  </sheets>
  <definedNames>
    <definedName name="_xlnm.Print_Area" localSheetId="6">'01.08 Kinawataka-Kireka-24h'!$A$1:$AF$108</definedName>
    <definedName name="_xlnm.Print_Area" localSheetId="7">'01.08 Kireka-Kinawataka-24h'!$A$1:$AF$108</definedName>
    <definedName name="_xlnm.Print_Area" localSheetId="8">'02.08 Kinawataka-Kireka'!$A$1:$AF$60</definedName>
    <definedName name="_xlnm.Print_Area" localSheetId="9">'02.08 Kireka-Kinawataka'!$A$1:$AF$60</definedName>
    <definedName name="_xlnm.Print_Area" localSheetId="10">'03.08 Kinawataka-Kireka-24h'!$A$1:$AF$108</definedName>
    <definedName name="_xlnm.Print_Area" localSheetId="11">'03.08 Kireka-Kinawataka-24h'!$A$1:$AF$108</definedName>
    <definedName name="_xlnm.Print_Area" localSheetId="12">'04.08 Kinawataka-Kireka'!$A$1:$AF$60</definedName>
    <definedName name="_xlnm.Print_Area" localSheetId="13">'04.08 Kireka-Kinawataka'!$A$1:$AF$60</definedName>
    <definedName name="_xlnm.Print_Area" localSheetId="0">'29.07 Kinawataka-Kireka'!$A$1:$AF$60</definedName>
    <definedName name="_xlnm.Print_Area" localSheetId="1">'29.07 Kireka-Kinawataka'!$A$1:$AF$60</definedName>
    <definedName name="_xlnm.Print_Area" localSheetId="2">'30.07 Kinawataka-Kireka'!$A$1:$AF$60</definedName>
    <definedName name="_xlnm.Print_Area" localSheetId="3">'30.07 Kireka-Kinawataka'!$A$1:$AF$60</definedName>
    <definedName name="_xlnm.Print_Area" localSheetId="4">'31.07 Kinawataka-Kireka'!$A$1:$AF$60</definedName>
    <definedName name="_xlnm.Print_Area" localSheetId="5">'31.07 Kireka-Kinawataka'!$A$1:$AF$60</definedName>
    <definedName name="_xlnm.Print_Area" localSheetId="14">'Avg Week Kinawataka-Kireka'!$A$1:$AF$108</definedName>
    <definedName name="_xlnm.Print_Area" localSheetId="16">'Avg Week Kinawataka-Kireka-2Dir'!$A$1:$AF$108</definedName>
    <definedName name="_xlnm.Print_Area" localSheetId="15">'Avg Week Kireka-Kinwataka'!$A$1:$AF$108</definedName>
    <definedName name="_xlnm.Print_Titles" localSheetId="6">'01.08 Kinawataka-Kireka-24h'!$1:$8</definedName>
    <definedName name="_xlnm.Print_Titles" localSheetId="7">'01.08 Kireka-Kinawataka-24h'!$1:$8</definedName>
    <definedName name="_xlnm.Print_Titles" localSheetId="8">'02.08 Kinawataka-Kireka'!$1:$8</definedName>
    <definedName name="_xlnm.Print_Titles" localSheetId="9">'02.08 Kireka-Kinawataka'!$1:$8</definedName>
    <definedName name="_xlnm.Print_Titles" localSheetId="10">'03.08 Kinawataka-Kireka-24h'!$1:$8</definedName>
    <definedName name="_xlnm.Print_Titles" localSheetId="11">'03.08 Kireka-Kinawataka-24h'!$1:$8</definedName>
    <definedName name="_xlnm.Print_Titles" localSheetId="12">'04.08 Kinawataka-Kireka'!$1:$8</definedName>
    <definedName name="_xlnm.Print_Titles" localSheetId="13">'04.08 Kireka-Kinawataka'!$1:$8</definedName>
    <definedName name="_xlnm.Print_Titles" localSheetId="0">'29.07 Kinawataka-Kireka'!$1:$8</definedName>
    <definedName name="_xlnm.Print_Titles" localSheetId="1">'29.07 Kireka-Kinawataka'!$1:$8</definedName>
    <definedName name="_xlnm.Print_Titles" localSheetId="2">'30.07 Kinawataka-Kireka'!$1:$8</definedName>
    <definedName name="_xlnm.Print_Titles" localSheetId="3">'30.07 Kireka-Kinawataka'!$1:$8</definedName>
    <definedName name="_xlnm.Print_Titles" localSheetId="4">'31.07 Kinawataka-Kireka'!$1:$8</definedName>
    <definedName name="_xlnm.Print_Titles" localSheetId="5">'31.07 Kireka-Kinawataka'!$1:$8</definedName>
    <definedName name="_xlnm.Print_Titles" localSheetId="14">'Avg Week Kinawataka-Kireka'!$1:$8</definedName>
    <definedName name="_xlnm.Print_Titles" localSheetId="16">'Avg Week Kinawataka-Kireka-2Dir'!$1:$8</definedName>
    <definedName name="_xlnm.Print_Titles" localSheetId="15">'Avg Week Kireka-Kinwataka'!$1:$8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58" i="108" l="1"/>
  <c r="E58" i="108"/>
  <c r="F58" i="108"/>
  <c r="G58" i="108"/>
  <c r="W22" i="108" s="1"/>
  <c r="H58" i="108"/>
  <c r="I58" i="108"/>
  <c r="J58" i="108"/>
  <c r="K58" i="108"/>
  <c r="AA22" i="108" s="1"/>
  <c r="L58" i="108"/>
  <c r="M58" i="108"/>
  <c r="N58" i="108"/>
  <c r="O58" i="108"/>
  <c r="AE22" i="108" s="1"/>
  <c r="P58" i="108"/>
  <c r="D59" i="108"/>
  <c r="E59" i="108"/>
  <c r="F59" i="108"/>
  <c r="G59" i="108"/>
  <c r="H59" i="108"/>
  <c r="I59" i="108"/>
  <c r="J59" i="108"/>
  <c r="K59" i="108"/>
  <c r="L59" i="108"/>
  <c r="M59" i="108"/>
  <c r="N59" i="108"/>
  <c r="O59" i="108"/>
  <c r="P59" i="108"/>
  <c r="D60" i="108"/>
  <c r="E60" i="108"/>
  <c r="E60" i="111" s="1"/>
  <c r="F60" i="108"/>
  <c r="G60" i="108"/>
  <c r="G60" i="111" s="1"/>
  <c r="H60" i="108"/>
  <c r="I60" i="108"/>
  <c r="I60" i="111" s="1"/>
  <c r="J60" i="108"/>
  <c r="K60" i="108"/>
  <c r="K60" i="111" s="1"/>
  <c r="L60" i="108"/>
  <c r="M60" i="108"/>
  <c r="M60" i="111" s="1"/>
  <c r="N60" i="108"/>
  <c r="O60" i="108"/>
  <c r="P60" i="108"/>
  <c r="D61" i="108"/>
  <c r="D61" i="111" s="1"/>
  <c r="E61" i="108"/>
  <c r="F61" i="108"/>
  <c r="F61" i="111" s="1"/>
  <c r="G61" i="108"/>
  <c r="H61" i="108"/>
  <c r="H61" i="111" s="1"/>
  <c r="I61" i="108"/>
  <c r="J61" i="108"/>
  <c r="J61" i="111" s="1"/>
  <c r="K61" i="108"/>
  <c r="L61" i="108"/>
  <c r="L61" i="111" s="1"/>
  <c r="M61" i="108"/>
  <c r="N61" i="108"/>
  <c r="N61" i="111" s="1"/>
  <c r="O61" i="108"/>
  <c r="P61" i="108"/>
  <c r="P61" i="111" s="1"/>
  <c r="D62" i="108"/>
  <c r="E62" i="108"/>
  <c r="F62" i="108"/>
  <c r="G62" i="108"/>
  <c r="H62" i="108"/>
  <c r="I62" i="108"/>
  <c r="J62" i="108"/>
  <c r="K62" i="108"/>
  <c r="L62" i="108"/>
  <c r="M62" i="108"/>
  <c r="N62" i="108"/>
  <c r="O62" i="108"/>
  <c r="P62" i="108"/>
  <c r="D63" i="108"/>
  <c r="D63" i="111" s="1"/>
  <c r="E63" i="108"/>
  <c r="F63" i="108"/>
  <c r="F63" i="111" s="1"/>
  <c r="G63" i="108"/>
  <c r="H63" i="108"/>
  <c r="H63" i="111" s="1"/>
  <c r="I63" i="108"/>
  <c r="J63" i="108"/>
  <c r="J63" i="111" s="1"/>
  <c r="K63" i="108"/>
  <c r="L63" i="108"/>
  <c r="L63" i="111" s="1"/>
  <c r="M63" i="108"/>
  <c r="N63" i="108"/>
  <c r="N63" i="111" s="1"/>
  <c r="O63" i="108"/>
  <c r="P63" i="108"/>
  <c r="P63" i="111" s="1"/>
  <c r="D64" i="108"/>
  <c r="E64" i="108"/>
  <c r="E64" i="111" s="1"/>
  <c r="F64" i="108"/>
  <c r="G64" i="108"/>
  <c r="G64" i="111" s="1"/>
  <c r="H64" i="108"/>
  <c r="I64" i="108"/>
  <c r="I64" i="111" s="1"/>
  <c r="J64" i="108"/>
  <c r="K64" i="108"/>
  <c r="K64" i="111" s="1"/>
  <c r="L64" i="108"/>
  <c r="M64" i="108"/>
  <c r="M64" i="111" s="1"/>
  <c r="N64" i="108"/>
  <c r="O64" i="108"/>
  <c r="P64" i="108"/>
  <c r="D65" i="108"/>
  <c r="D65" i="111" s="1"/>
  <c r="E65" i="108"/>
  <c r="F65" i="108"/>
  <c r="F65" i="111" s="1"/>
  <c r="G65" i="108"/>
  <c r="H65" i="108"/>
  <c r="H65" i="111" s="1"/>
  <c r="I65" i="108"/>
  <c r="J65" i="108"/>
  <c r="J65" i="111" s="1"/>
  <c r="K65" i="108"/>
  <c r="L65" i="108"/>
  <c r="L65" i="111" s="1"/>
  <c r="M65" i="108"/>
  <c r="N65" i="108"/>
  <c r="N65" i="111" s="1"/>
  <c r="O65" i="108"/>
  <c r="P65" i="108"/>
  <c r="P65" i="111" s="1"/>
  <c r="D66" i="108"/>
  <c r="E66" i="108"/>
  <c r="E66" i="111" s="1"/>
  <c r="F66" i="108"/>
  <c r="G66" i="108"/>
  <c r="G66" i="111" s="1"/>
  <c r="H66" i="108"/>
  <c r="I66" i="108"/>
  <c r="I66" i="111" s="1"/>
  <c r="J66" i="108"/>
  <c r="K66" i="108"/>
  <c r="K66" i="111" s="1"/>
  <c r="L66" i="108"/>
  <c r="M66" i="108"/>
  <c r="M66" i="111" s="1"/>
  <c r="N66" i="108"/>
  <c r="O66" i="108"/>
  <c r="AE24" i="108" s="1"/>
  <c r="P66" i="108"/>
  <c r="D67" i="108"/>
  <c r="E67" i="108"/>
  <c r="F67" i="108"/>
  <c r="G67" i="108"/>
  <c r="H67" i="108"/>
  <c r="I67" i="108"/>
  <c r="J67" i="108"/>
  <c r="J67" i="111" s="1"/>
  <c r="K67" i="108"/>
  <c r="L67" i="108"/>
  <c r="L67" i="111" s="1"/>
  <c r="M67" i="108"/>
  <c r="N67" i="108"/>
  <c r="N67" i="111" s="1"/>
  <c r="O67" i="108"/>
  <c r="P67" i="108"/>
  <c r="P67" i="111" s="1"/>
  <c r="D68" i="108"/>
  <c r="E68" i="108"/>
  <c r="E68" i="111" s="1"/>
  <c r="F68" i="108"/>
  <c r="G68" i="108"/>
  <c r="G68" i="111" s="1"/>
  <c r="H68" i="108"/>
  <c r="I68" i="108"/>
  <c r="I68" i="111" s="1"/>
  <c r="J68" i="108"/>
  <c r="K68" i="108"/>
  <c r="K68" i="111" s="1"/>
  <c r="L68" i="108"/>
  <c r="M68" i="108"/>
  <c r="M68" i="111" s="1"/>
  <c r="N68" i="108"/>
  <c r="O68" i="108"/>
  <c r="P68" i="108"/>
  <c r="D69" i="108"/>
  <c r="D69" i="111" s="1"/>
  <c r="E69" i="108"/>
  <c r="F69" i="108"/>
  <c r="F69" i="111" s="1"/>
  <c r="G69" i="108"/>
  <c r="H69" i="108"/>
  <c r="H69" i="111" s="1"/>
  <c r="I69" i="108"/>
  <c r="J69" i="108"/>
  <c r="J69" i="111" s="1"/>
  <c r="K69" i="108"/>
  <c r="L69" i="108"/>
  <c r="L69" i="111" s="1"/>
  <c r="M69" i="108"/>
  <c r="N69" i="108"/>
  <c r="N69" i="111" s="1"/>
  <c r="O69" i="108"/>
  <c r="P69" i="108"/>
  <c r="P69" i="111" s="1"/>
  <c r="D70" i="108"/>
  <c r="E70" i="108"/>
  <c r="E70" i="111" s="1"/>
  <c r="F70" i="108"/>
  <c r="G70" i="108"/>
  <c r="G70" i="111" s="1"/>
  <c r="H70" i="108"/>
  <c r="I70" i="108"/>
  <c r="I70" i="111" s="1"/>
  <c r="J70" i="108"/>
  <c r="K70" i="108"/>
  <c r="K70" i="111" s="1"/>
  <c r="L70" i="108"/>
  <c r="M70" i="108"/>
  <c r="M70" i="111" s="1"/>
  <c r="N70" i="108"/>
  <c r="O70" i="108"/>
  <c r="P70" i="108"/>
  <c r="D71" i="108"/>
  <c r="D71" i="111" s="1"/>
  <c r="E71" i="108"/>
  <c r="F71" i="108"/>
  <c r="F71" i="111" s="1"/>
  <c r="G71" i="108"/>
  <c r="H71" i="108"/>
  <c r="H71" i="111" s="1"/>
  <c r="I71" i="108"/>
  <c r="J71" i="108"/>
  <c r="J71" i="111" s="1"/>
  <c r="K71" i="108"/>
  <c r="L71" i="108"/>
  <c r="L71" i="111" s="1"/>
  <c r="M71" i="108"/>
  <c r="N71" i="108"/>
  <c r="N71" i="111" s="1"/>
  <c r="O71" i="108"/>
  <c r="P71" i="108"/>
  <c r="P71" i="111" s="1"/>
  <c r="D72" i="108"/>
  <c r="E72" i="108"/>
  <c r="E72" i="111" s="1"/>
  <c r="F72" i="108"/>
  <c r="G72" i="108"/>
  <c r="G72" i="111" s="1"/>
  <c r="H72" i="108"/>
  <c r="I72" i="108"/>
  <c r="I72" i="111" s="1"/>
  <c r="J72" i="108"/>
  <c r="K72" i="108"/>
  <c r="K72" i="111" s="1"/>
  <c r="L72" i="108"/>
  <c r="M72" i="108"/>
  <c r="M72" i="111" s="1"/>
  <c r="N72" i="108"/>
  <c r="O72" i="108"/>
  <c r="P72" i="108"/>
  <c r="D73" i="108"/>
  <c r="D73" i="111" s="1"/>
  <c r="E73" i="108"/>
  <c r="F73" i="108"/>
  <c r="F73" i="111" s="1"/>
  <c r="G73" i="108"/>
  <c r="H73" i="108"/>
  <c r="H73" i="111" s="1"/>
  <c r="I73" i="108"/>
  <c r="J73" i="108"/>
  <c r="J73" i="111" s="1"/>
  <c r="K73" i="108"/>
  <c r="L73" i="108"/>
  <c r="L73" i="111" s="1"/>
  <c r="M73" i="108"/>
  <c r="N73" i="108"/>
  <c r="N73" i="111" s="1"/>
  <c r="O73" i="108"/>
  <c r="P73" i="108"/>
  <c r="P73" i="111" s="1"/>
  <c r="D74" i="108"/>
  <c r="E74" i="108"/>
  <c r="E74" i="111" s="1"/>
  <c r="F74" i="108"/>
  <c r="G74" i="108"/>
  <c r="G74" i="111" s="1"/>
  <c r="H74" i="108"/>
  <c r="I74" i="108"/>
  <c r="I74" i="111" s="1"/>
  <c r="J74" i="108"/>
  <c r="K74" i="108"/>
  <c r="K74" i="111" s="1"/>
  <c r="L74" i="108"/>
  <c r="M74" i="108"/>
  <c r="M74" i="111" s="1"/>
  <c r="N74" i="108"/>
  <c r="O74" i="108"/>
  <c r="AE26" i="108" s="1"/>
  <c r="P74" i="108"/>
  <c r="D75" i="108"/>
  <c r="D75" i="111" s="1"/>
  <c r="E75" i="108"/>
  <c r="F75" i="108"/>
  <c r="F75" i="111" s="1"/>
  <c r="G75" i="108"/>
  <c r="H75" i="108"/>
  <c r="H75" i="111" s="1"/>
  <c r="I75" i="108"/>
  <c r="J75" i="108"/>
  <c r="J75" i="111" s="1"/>
  <c r="K75" i="108"/>
  <c r="L75" i="108"/>
  <c r="L75" i="111" s="1"/>
  <c r="M75" i="108"/>
  <c r="N75" i="108"/>
  <c r="N75" i="111" s="1"/>
  <c r="O75" i="108"/>
  <c r="P75" i="108"/>
  <c r="P75" i="111" s="1"/>
  <c r="D76" i="108"/>
  <c r="E76" i="108"/>
  <c r="E76" i="111" s="1"/>
  <c r="F76" i="108"/>
  <c r="G76" i="108"/>
  <c r="G76" i="111" s="1"/>
  <c r="H76" i="108"/>
  <c r="I76" i="108"/>
  <c r="I76" i="111" s="1"/>
  <c r="J76" i="108"/>
  <c r="K76" i="108"/>
  <c r="K76" i="111" s="1"/>
  <c r="L76" i="108"/>
  <c r="M76" i="108"/>
  <c r="M76" i="111" s="1"/>
  <c r="N76" i="108"/>
  <c r="O76" i="108"/>
  <c r="P76" i="108"/>
  <c r="D77" i="108"/>
  <c r="D77" i="111" s="1"/>
  <c r="E77" i="108"/>
  <c r="F77" i="108"/>
  <c r="F77" i="111" s="1"/>
  <c r="G77" i="108"/>
  <c r="H77" i="108"/>
  <c r="H77" i="111" s="1"/>
  <c r="I77" i="108"/>
  <c r="J77" i="108"/>
  <c r="J77" i="111" s="1"/>
  <c r="K77" i="108"/>
  <c r="L77" i="108"/>
  <c r="L77" i="111" s="1"/>
  <c r="M77" i="108"/>
  <c r="N77" i="108"/>
  <c r="N77" i="111" s="1"/>
  <c r="O77" i="108"/>
  <c r="P77" i="108"/>
  <c r="P77" i="111" s="1"/>
  <c r="D78" i="108"/>
  <c r="E78" i="108"/>
  <c r="E78" i="111" s="1"/>
  <c r="F78" i="108"/>
  <c r="G78" i="108"/>
  <c r="G78" i="111" s="1"/>
  <c r="H78" i="108"/>
  <c r="I78" i="108"/>
  <c r="I78" i="111" s="1"/>
  <c r="J78" i="108"/>
  <c r="K78" i="108"/>
  <c r="K78" i="111" s="1"/>
  <c r="L78" i="108"/>
  <c r="M78" i="108"/>
  <c r="M78" i="111" s="1"/>
  <c r="N78" i="108"/>
  <c r="O78" i="108"/>
  <c r="P78" i="108"/>
  <c r="D79" i="108"/>
  <c r="D79" i="111" s="1"/>
  <c r="E79" i="108"/>
  <c r="F79" i="108"/>
  <c r="F79" i="111" s="1"/>
  <c r="G79" i="108"/>
  <c r="H79" i="108"/>
  <c r="H79" i="111" s="1"/>
  <c r="I79" i="108"/>
  <c r="J79" i="108"/>
  <c r="J79" i="111" s="1"/>
  <c r="K79" i="108"/>
  <c r="L79" i="108"/>
  <c r="L79" i="111" s="1"/>
  <c r="M79" i="108"/>
  <c r="N79" i="108"/>
  <c r="N79" i="111" s="1"/>
  <c r="O79" i="108"/>
  <c r="P79" i="108"/>
  <c r="P79" i="111" s="1"/>
  <c r="D80" i="108"/>
  <c r="E80" i="108"/>
  <c r="E80" i="111" s="1"/>
  <c r="F80" i="108"/>
  <c r="G80" i="108"/>
  <c r="G80" i="111" s="1"/>
  <c r="H80" i="108"/>
  <c r="I80" i="108"/>
  <c r="I80" i="111" s="1"/>
  <c r="J80" i="108"/>
  <c r="K80" i="108"/>
  <c r="K80" i="111" s="1"/>
  <c r="L80" i="108"/>
  <c r="M80" i="108"/>
  <c r="M80" i="111" s="1"/>
  <c r="N80" i="108"/>
  <c r="O80" i="108"/>
  <c r="P80" i="108"/>
  <c r="D81" i="108"/>
  <c r="D81" i="111" s="1"/>
  <c r="E81" i="108"/>
  <c r="F81" i="108"/>
  <c r="F81" i="111" s="1"/>
  <c r="G81" i="108"/>
  <c r="H81" i="108"/>
  <c r="H81" i="111" s="1"/>
  <c r="I81" i="108"/>
  <c r="J81" i="108"/>
  <c r="J81" i="111" s="1"/>
  <c r="K81" i="108"/>
  <c r="L81" i="108"/>
  <c r="L81" i="111" s="1"/>
  <c r="M81" i="108"/>
  <c r="N81" i="108"/>
  <c r="N81" i="111" s="1"/>
  <c r="O81" i="108"/>
  <c r="P81" i="108"/>
  <c r="P81" i="111" s="1"/>
  <c r="D82" i="108"/>
  <c r="E82" i="108"/>
  <c r="E82" i="111" s="1"/>
  <c r="F82" i="108"/>
  <c r="G82" i="108"/>
  <c r="G82" i="111" s="1"/>
  <c r="H82" i="108"/>
  <c r="I82" i="108"/>
  <c r="I82" i="111" s="1"/>
  <c r="J82" i="108"/>
  <c r="K82" i="108"/>
  <c r="K82" i="111" s="1"/>
  <c r="L82" i="108"/>
  <c r="M82" i="108"/>
  <c r="M82" i="111" s="1"/>
  <c r="N82" i="108"/>
  <c r="O82" i="108"/>
  <c r="AE28" i="108" s="1"/>
  <c r="P82" i="108"/>
  <c r="D83" i="108"/>
  <c r="D83" i="111" s="1"/>
  <c r="E83" i="108"/>
  <c r="F83" i="108"/>
  <c r="F83" i="111" s="1"/>
  <c r="G83" i="108"/>
  <c r="H83" i="108"/>
  <c r="H83" i="111" s="1"/>
  <c r="I83" i="108"/>
  <c r="J83" i="108"/>
  <c r="J83" i="111" s="1"/>
  <c r="K83" i="108"/>
  <c r="L83" i="108"/>
  <c r="L83" i="111" s="1"/>
  <c r="M83" i="108"/>
  <c r="N83" i="108"/>
  <c r="N83" i="111" s="1"/>
  <c r="O83" i="108"/>
  <c r="P83" i="108"/>
  <c r="P83" i="111" s="1"/>
  <c r="D84" i="108"/>
  <c r="E84" i="108"/>
  <c r="E84" i="111" s="1"/>
  <c r="F84" i="108"/>
  <c r="G84" i="108"/>
  <c r="G84" i="111" s="1"/>
  <c r="H84" i="108"/>
  <c r="I84" i="108"/>
  <c r="I84" i="111" s="1"/>
  <c r="J84" i="108"/>
  <c r="K84" i="108"/>
  <c r="K84" i="111" s="1"/>
  <c r="L84" i="108"/>
  <c r="M84" i="108"/>
  <c r="M84" i="111" s="1"/>
  <c r="N84" i="108"/>
  <c r="O84" i="108"/>
  <c r="P84" i="108"/>
  <c r="D85" i="108"/>
  <c r="D85" i="111" s="1"/>
  <c r="E85" i="108"/>
  <c r="F85" i="108"/>
  <c r="F85" i="111" s="1"/>
  <c r="G85" i="108"/>
  <c r="H85" i="108"/>
  <c r="H85" i="111" s="1"/>
  <c r="I85" i="108"/>
  <c r="J85" i="108"/>
  <c r="J85" i="111" s="1"/>
  <c r="K85" i="108"/>
  <c r="L85" i="108"/>
  <c r="L85" i="111" s="1"/>
  <c r="M85" i="108"/>
  <c r="N85" i="108"/>
  <c r="N85" i="111" s="1"/>
  <c r="O85" i="108"/>
  <c r="P85" i="108"/>
  <c r="P85" i="111" s="1"/>
  <c r="D86" i="108"/>
  <c r="E86" i="108"/>
  <c r="E86" i="111" s="1"/>
  <c r="F86" i="108"/>
  <c r="G86" i="108"/>
  <c r="G86" i="111" s="1"/>
  <c r="H86" i="108"/>
  <c r="I86" i="108"/>
  <c r="I86" i="111" s="1"/>
  <c r="J86" i="108"/>
  <c r="K86" i="108"/>
  <c r="K86" i="111" s="1"/>
  <c r="L86" i="108"/>
  <c r="M86" i="108"/>
  <c r="M86" i="111" s="1"/>
  <c r="N86" i="108"/>
  <c r="O86" i="108"/>
  <c r="P86" i="108"/>
  <c r="D87" i="108"/>
  <c r="D87" i="111" s="1"/>
  <c r="E87" i="108"/>
  <c r="F87" i="108"/>
  <c r="F87" i="111" s="1"/>
  <c r="G87" i="108"/>
  <c r="H87" i="108"/>
  <c r="H87" i="111" s="1"/>
  <c r="I87" i="108"/>
  <c r="J87" i="108"/>
  <c r="J87" i="111" s="1"/>
  <c r="K87" i="108"/>
  <c r="L87" i="108"/>
  <c r="L87" i="111" s="1"/>
  <c r="M87" i="108"/>
  <c r="N87" i="108"/>
  <c r="N87" i="111" s="1"/>
  <c r="O87" i="108"/>
  <c r="P87" i="108"/>
  <c r="P87" i="111" s="1"/>
  <c r="D88" i="108"/>
  <c r="E88" i="108"/>
  <c r="E88" i="111" s="1"/>
  <c r="F88" i="108"/>
  <c r="G88" i="108"/>
  <c r="G88" i="111" s="1"/>
  <c r="H88" i="108"/>
  <c r="I88" i="108"/>
  <c r="I88" i="111" s="1"/>
  <c r="J88" i="108"/>
  <c r="K88" i="108"/>
  <c r="K88" i="111" s="1"/>
  <c r="L88" i="108"/>
  <c r="M88" i="108"/>
  <c r="M88" i="111" s="1"/>
  <c r="N88" i="108"/>
  <c r="O88" i="108"/>
  <c r="P88" i="108"/>
  <c r="D89" i="108"/>
  <c r="D89" i="111" s="1"/>
  <c r="E89" i="108"/>
  <c r="F89" i="108"/>
  <c r="F89" i="111" s="1"/>
  <c r="G89" i="108"/>
  <c r="H89" i="108"/>
  <c r="H89" i="111" s="1"/>
  <c r="I89" i="108"/>
  <c r="J89" i="108"/>
  <c r="J89" i="111" s="1"/>
  <c r="K89" i="108"/>
  <c r="L89" i="108"/>
  <c r="L89" i="111" s="1"/>
  <c r="M89" i="108"/>
  <c r="N89" i="108"/>
  <c r="N89" i="111" s="1"/>
  <c r="O89" i="108"/>
  <c r="P89" i="108"/>
  <c r="P89" i="111" s="1"/>
  <c r="D90" i="108"/>
  <c r="E90" i="108"/>
  <c r="E90" i="111" s="1"/>
  <c r="U30" i="111" s="1"/>
  <c r="F90" i="108"/>
  <c r="G90" i="108"/>
  <c r="G90" i="111" s="1"/>
  <c r="H90" i="108"/>
  <c r="I90" i="108"/>
  <c r="I90" i="111" s="1"/>
  <c r="Y30" i="111" s="1"/>
  <c r="J90" i="108"/>
  <c r="K90" i="108"/>
  <c r="K90" i="111" s="1"/>
  <c r="L90" i="108"/>
  <c r="M90" i="108"/>
  <c r="M90" i="111" s="1"/>
  <c r="AC30" i="111" s="1"/>
  <c r="N90" i="108"/>
  <c r="O90" i="108"/>
  <c r="AE30" i="108" s="1"/>
  <c r="P90" i="108"/>
  <c r="D91" i="108"/>
  <c r="D91" i="111" s="1"/>
  <c r="E91" i="108"/>
  <c r="F91" i="108"/>
  <c r="F91" i="111" s="1"/>
  <c r="G91" i="108"/>
  <c r="H91" i="108"/>
  <c r="H91" i="111" s="1"/>
  <c r="I91" i="108"/>
  <c r="J91" i="108"/>
  <c r="J91" i="111" s="1"/>
  <c r="K91" i="108"/>
  <c r="L91" i="108"/>
  <c r="L91" i="111" s="1"/>
  <c r="M91" i="108"/>
  <c r="N91" i="108"/>
  <c r="N91" i="111" s="1"/>
  <c r="O91" i="108"/>
  <c r="P91" i="108"/>
  <c r="P91" i="111" s="1"/>
  <c r="D92" i="108"/>
  <c r="E92" i="108"/>
  <c r="E92" i="111" s="1"/>
  <c r="F92" i="108"/>
  <c r="G92" i="108"/>
  <c r="G92" i="111" s="1"/>
  <c r="H92" i="108"/>
  <c r="I92" i="108"/>
  <c r="I92" i="111" s="1"/>
  <c r="J92" i="108"/>
  <c r="K92" i="108"/>
  <c r="K92" i="111" s="1"/>
  <c r="L92" i="108"/>
  <c r="M92" i="108"/>
  <c r="M92" i="111" s="1"/>
  <c r="N92" i="108"/>
  <c r="O92" i="108"/>
  <c r="P92" i="108"/>
  <c r="D93" i="108"/>
  <c r="D93" i="111" s="1"/>
  <c r="E93" i="108"/>
  <c r="F93" i="108"/>
  <c r="F93" i="111" s="1"/>
  <c r="G93" i="108"/>
  <c r="H93" i="108"/>
  <c r="H93" i="111" s="1"/>
  <c r="I93" i="108"/>
  <c r="J93" i="108"/>
  <c r="J93" i="111" s="1"/>
  <c r="K93" i="108"/>
  <c r="L93" i="108"/>
  <c r="L93" i="111" s="1"/>
  <c r="M93" i="108"/>
  <c r="N93" i="108"/>
  <c r="N93" i="111" s="1"/>
  <c r="O93" i="108"/>
  <c r="P93" i="108"/>
  <c r="P93" i="111" s="1"/>
  <c r="D94" i="108"/>
  <c r="E94" i="108"/>
  <c r="E94" i="111" s="1"/>
  <c r="F94" i="108"/>
  <c r="G94" i="108"/>
  <c r="G94" i="111" s="1"/>
  <c r="H94" i="108"/>
  <c r="I94" i="108"/>
  <c r="I94" i="111" s="1"/>
  <c r="J94" i="108"/>
  <c r="K94" i="108"/>
  <c r="K94" i="111" s="1"/>
  <c r="L94" i="108"/>
  <c r="M94" i="108"/>
  <c r="M94" i="111" s="1"/>
  <c r="N94" i="108"/>
  <c r="O94" i="108"/>
  <c r="P94" i="108"/>
  <c r="D95" i="108"/>
  <c r="D95" i="111" s="1"/>
  <c r="E95" i="108"/>
  <c r="F95" i="108"/>
  <c r="F95" i="111" s="1"/>
  <c r="G95" i="108"/>
  <c r="H95" i="108"/>
  <c r="H95" i="111" s="1"/>
  <c r="I95" i="108"/>
  <c r="J95" i="108"/>
  <c r="J95" i="111" s="1"/>
  <c r="K95" i="108"/>
  <c r="L95" i="108"/>
  <c r="L95" i="111" s="1"/>
  <c r="M95" i="108"/>
  <c r="N95" i="108"/>
  <c r="N95" i="111" s="1"/>
  <c r="O95" i="108"/>
  <c r="P95" i="108"/>
  <c r="P95" i="111" s="1"/>
  <c r="D96" i="108"/>
  <c r="E96" i="108"/>
  <c r="E96" i="111" s="1"/>
  <c r="F96" i="108"/>
  <c r="G96" i="108"/>
  <c r="G96" i="111" s="1"/>
  <c r="H96" i="108"/>
  <c r="I96" i="108"/>
  <c r="I96" i="111" s="1"/>
  <c r="J96" i="108"/>
  <c r="K96" i="108"/>
  <c r="K96" i="111" s="1"/>
  <c r="L96" i="108"/>
  <c r="M96" i="108"/>
  <c r="M96" i="111" s="1"/>
  <c r="N96" i="108"/>
  <c r="O96" i="108"/>
  <c r="P96" i="108"/>
  <c r="D97" i="108"/>
  <c r="D97" i="111" s="1"/>
  <c r="E97" i="108"/>
  <c r="F97" i="108"/>
  <c r="F97" i="111" s="1"/>
  <c r="G97" i="108"/>
  <c r="H97" i="108"/>
  <c r="H97" i="111" s="1"/>
  <c r="I97" i="108"/>
  <c r="J97" i="108"/>
  <c r="J97" i="111" s="1"/>
  <c r="K97" i="108"/>
  <c r="L97" i="108"/>
  <c r="L97" i="111" s="1"/>
  <c r="M97" i="108"/>
  <c r="N97" i="108"/>
  <c r="N97" i="111" s="1"/>
  <c r="O97" i="108"/>
  <c r="P97" i="108"/>
  <c r="P97" i="111" s="1"/>
  <c r="D98" i="108"/>
  <c r="E98" i="108"/>
  <c r="E98" i="111" s="1"/>
  <c r="F98" i="108"/>
  <c r="G98" i="108"/>
  <c r="G98" i="111" s="1"/>
  <c r="W32" i="111" s="1"/>
  <c r="H98" i="108"/>
  <c r="I98" i="108"/>
  <c r="I98" i="111" s="1"/>
  <c r="J98" i="108"/>
  <c r="K98" i="108"/>
  <c r="K98" i="111" s="1"/>
  <c r="AA32" i="111" s="1"/>
  <c r="L98" i="108"/>
  <c r="M98" i="108"/>
  <c r="M98" i="111" s="1"/>
  <c r="N98" i="108"/>
  <c r="O98" i="108"/>
  <c r="AE32" i="108" s="1"/>
  <c r="P98" i="108"/>
  <c r="D99" i="108"/>
  <c r="D99" i="111" s="1"/>
  <c r="E99" i="108"/>
  <c r="F99" i="108"/>
  <c r="F99" i="111" s="1"/>
  <c r="G99" i="108"/>
  <c r="H99" i="108"/>
  <c r="H99" i="111" s="1"/>
  <c r="I99" i="108"/>
  <c r="J99" i="108"/>
  <c r="J99" i="111" s="1"/>
  <c r="K99" i="108"/>
  <c r="L99" i="108"/>
  <c r="L99" i="111" s="1"/>
  <c r="M99" i="108"/>
  <c r="N99" i="108"/>
  <c r="N99" i="111" s="1"/>
  <c r="O99" i="108"/>
  <c r="P99" i="108"/>
  <c r="P99" i="111" s="1"/>
  <c r="D100" i="108"/>
  <c r="E100" i="108"/>
  <c r="E100" i="111" s="1"/>
  <c r="F100" i="108"/>
  <c r="G100" i="108"/>
  <c r="G100" i="111" s="1"/>
  <c r="H100" i="108"/>
  <c r="I100" i="108"/>
  <c r="I100" i="111" s="1"/>
  <c r="J100" i="108"/>
  <c r="K100" i="108"/>
  <c r="K100" i="111" s="1"/>
  <c r="L100" i="108"/>
  <c r="M100" i="108"/>
  <c r="M100" i="111" s="1"/>
  <c r="N100" i="108"/>
  <c r="O100" i="108"/>
  <c r="P100" i="108"/>
  <c r="D101" i="108"/>
  <c r="D101" i="111" s="1"/>
  <c r="E101" i="108"/>
  <c r="F101" i="108"/>
  <c r="F101" i="111" s="1"/>
  <c r="G101" i="108"/>
  <c r="H101" i="108"/>
  <c r="H101" i="111" s="1"/>
  <c r="I101" i="108"/>
  <c r="J101" i="108"/>
  <c r="J101" i="111" s="1"/>
  <c r="K101" i="108"/>
  <c r="L101" i="108"/>
  <c r="L101" i="111" s="1"/>
  <c r="M101" i="108"/>
  <c r="N101" i="108"/>
  <c r="N101" i="111" s="1"/>
  <c r="O101" i="108"/>
  <c r="P101" i="108"/>
  <c r="P101" i="111" s="1"/>
  <c r="D102" i="108"/>
  <c r="E102" i="108"/>
  <c r="E102" i="111" s="1"/>
  <c r="F102" i="108"/>
  <c r="G102" i="108"/>
  <c r="G102" i="111" s="1"/>
  <c r="H102" i="108"/>
  <c r="I102" i="108"/>
  <c r="I102" i="111" s="1"/>
  <c r="J102" i="108"/>
  <c r="K102" i="108"/>
  <c r="K102" i="111" s="1"/>
  <c r="L102" i="108"/>
  <c r="M102" i="108"/>
  <c r="M102" i="111" s="1"/>
  <c r="N102" i="108"/>
  <c r="O102" i="108"/>
  <c r="P102" i="108"/>
  <c r="D103" i="108"/>
  <c r="D103" i="111" s="1"/>
  <c r="E103" i="108"/>
  <c r="F103" i="108"/>
  <c r="F103" i="111" s="1"/>
  <c r="G103" i="108"/>
  <c r="H103" i="108"/>
  <c r="H103" i="111" s="1"/>
  <c r="I103" i="108"/>
  <c r="J103" i="108"/>
  <c r="J103" i="111" s="1"/>
  <c r="K103" i="108"/>
  <c r="L103" i="108"/>
  <c r="L103" i="111" s="1"/>
  <c r="M103" i="108"/>
  <c r="N103" i="108"/>
  <c r="N103" i="111" s="1"/>
  <c r="O103" i="108"/>
  <c r="P103" i="108"/>
  <c r="P103" i="111" s="1"/>
  <c r="D104" i="108"/>
  <c r="E104" i="108"/>
  <c r="E104" i="111" s="1"/>
  <c r="F104" i="108"/>
  <c r="G104" i="108"/>
  <c r="G104" i="111" s="1"/>
  <c r="H104" i="108"/>
  <c r="I104" i="108"/>
  <c r="I104" i="111" s="1"/>
  <c r="J104" i="108"/>
  <c r="K104" i="108"/>
  <c r="K104" i="111" s="1"/>
  <c r="L104" i="108"/>
  <c r="M104" i="108"/>
  <c r="M104" i="111" s="1"/>
  <c r="N104" i="108"/>
  <c r="O104" i="108"/>
  <c r="P104" i="108"/>
  <c r="D105" i="108"/>
  <c r="D105" i="111" s="1"/>
  <c r="E105" i="108"/>
  <c r="F105" i="108"/>
  <c r="F105" i="111" s="1"/>
  <c r="G105" i="108"/>
  <c r="H105" i="108"/>
  <c r="H105" i="111" s="1"/>
  <c r="I105" i="108"/>
  <c r="J105" i="108"/>
  <c r="J105" i="111" s="1"/>
  <c r="K105" i="108"/>
  <c r="L105" i="108"/>
  <c r="L105" i="111" s="1"/>
  <c r="M105" i="108"/>
  <c r="N105" i="108"/>
  <c r="N105" i="111" s="1"/>
  <c r="O105" i="108"/>
  <c r="P105" i="108"/>
  <c r="P105" i="111" s="1"/>
  <c r="C59" i="108"/>
  <c r="C60" i="108"/>
  <c r="C106" i="108" s="1"/>
  <c r="C61" i="108"/>
  <c r="C62" i="108"/>
  <c r="S23" i="108" s="1"/>
  <c r="C63" i="108"/>
  <c r="C64" i="108"/>
  <c r="C65" i="108"/>
  <c r="C66" i="108"/>
  <c r="C67" i="108"/>
  <c r="C68" i="108"/>
  <c r="C69" i="108"/>
  <c r="C70" i="108"/>
  <c r="S25" i="108" s="1"/>
  <c r="C71" i="108"/>
  <c r="C72" i="108"/>
  <c r="C73" i="108"/>
  <c r="C74" i="108"/>
  <c r="C75" i="108"/>
  <c r="C76" i="108"/>
  <c r="C77" i="108"/>
  <c r="C78" i="108"/>
  <c r="S27" i="108" s="1"/>
  <c r="C79" i="108"/>
  <c r="C80" i="108"/>
  <c r="C81" i="108"/>
  <c r="C82" i="108"/>
  <c r="C83" i="108"/>
  <c r="C84" i="108"/>
  <c r="C85" i="108"/>
  <c r="C86" i="108"/>
  <c r="S29" i="108" s="1"/>
  <c r="C87" i="108"/>
  <c r="C88" i="108"/>
  <c r="C89" i="108"/>
  <c r="C90" i="108"/>
  <c r="C91" i="108"/>
  <c r="C92" i="108"/>
  <c r="C93" i="108"/>
  <c r="C94" i="108"/>
  <c r="S31" i="108" s="1"/>
  <c r="C95" i="108"/>
  <c r="C96" i="108"/>
  <c r="C97" i="108"/>
  <c r="C98" i="108"/>
  <c r="C99" i="108"/>
  <c r="C100" i="108"/>
  <c r="C101" i="108"/>
  <c r="C102" i="108"/>
  <c r="S33" i="108" s="1"/>
  <c r="C103" i="108"/>
  <c r="C104" i="108"/>
  <c r="C105" i="108"/>
  <c r="C58" i="108"/>
  <c r="P105" i="107"/>
  <c r="O105" i="107"/>
  <c r="P104" i="107"/>
  <c r="O104" i="107"/>
  <c r="O104" i="111" s="1"/>
  <c r="P103" i="107"/>
  <c r="O103" i="107"/>
  <c r="P102" i="107"/>
  <c r="O102" i="107"/>
  <c r="O102" i="111" s="1"/>
  <c r="AE33" i="111" s="1"/>
  <c r="P101" i="107"/>
  <c r="O101" i="107"/>
  <c r="P100" i="107"/>
  <c r="O100" i="107"/>
  <c r="O100" i="111" s="1"/>
  <c r="P99" i="107"/>
  <c r="O99" i="107"/>
  <c r="P98" i="107"/>
  <c r="O98" i="107"/>
  <c r="O98" i="111" s="1"/>
  <c r="AE32" i="111" s="1"/>
  <c r="P97" i="107"/>
  <c r="O97" i="107"/>
  <c r="P96" i="107"/>
  <c r="O96" i="107"/>
  <c r="O96" i="111" s="1"/>
  <c r="P95" i="107"/>
  <c r="O95" i="107"/>
  <c r="P94" i="107"/>
  <c r="O94" i="107"/>
  <c r="O94" i="111" s="1"/>
  <c r="AE31" i="111" s="1"/>
  <c r="P93" i="107"/>
  <c r="O93" i="107"/>
  <c r="P92" i="107"/>
  <c r="O92" i="107"/>
  <c r="O92" i="111" s="1"/>
  <c r="P91" i="107"/>
  <c r="O91" i="107"/>
  <c r="P90" i="107"/>
  <c r="O90" i="107"/>
  <c r="O90" i="111" s="1"/>
  <c r="AE30" i="111" s="1"/>
  <c r="P89" i="107"/>
  <c r="O89" i="107"/>
  <c r="P88" i="107"/>
  <c r="O88" i="107"/>
  <c r="O88" i="111" s="1"/>
  <c r="P87" i="107"/>
  <c r="O87" i="107"/>
  <c r="P86" i="107"/>
  <c r="O86" i="107"/>
  <c r="O86" i="111" s="1"/>
  <c r="AE29" i="111" s="1"/>
  <c r="P85" i="107"/>
  <c r="O85" i="107"/>
  <c r="P84" i="107"/>
  <c r="O84" i="107"/>
  <c r="O84" i="111" s="1"/>
  <c r="P83" i="107"/>
  <c r="O83" i="107"/>
  <c r="P82" i="107"/>
  <c r="O82" i="107"/>
  <c r="O82" i="111" s="1"/>
  <c r="AE28" i="111" s="1"/>
  <c r="P81" i="107"/>
  <c r="O81" i="107"/>
  <c r="P80" i="107"/>
  <c r="O80" i="107"/>
  <c r="O80" i="111" s="1"/>
  <c r="P79" i="107"/>
  <c r="O79" i="107"/>
  <c r="P78" i="107"/>
  <c r="O78" i="107"/>
  <c r="O78" i="111" s="1"/>
  <c r="AE27" i="111" s="1"/>
  <c r="P77" i="107"/>
  <c r="O77" i="107"/>
  <c r="P76" i="107"/>
  <c r="O76" i="107"/>
  <c r="O76" i="111" s="1"/>
  <c r="P75" i="107"/>
  <c r="O75" i="107"/>
  <c r="P74" i="107"/>
  <c r="O74" i="107"/>
  <c r="O74" i="111" s="1"/>
  <c r="AE26" i="111" s="1"/>
  <c r="P73" i="107"/>
  <c r="O73" i="107"/>
  <c r="P72" i="107"/>
  <c r="O72" i="107"/>
  <c r="O72" i="111" s="1"/>
  <c r="P71" i="107"/>
  <c r="O71" i="107"/>
  <c r="P70" i="107"/>
  <c r="O70" i="107"/>
  <c r="O70" i="111" s="1"/>
  <c r="AE25" i="111" s="1"/>
  <c r="P69" i="107"/>
  <c r="O69" i="107"/>
  <c r="P68" i="107"/>
  <c r="O68" i="107"/>
  <c r="O68" i="111" s="1"/>
  <c r="P67" i="107"/>
  <c r="O67" i="107"/>
  <c r="P66" i="107"/>
  <c r="O66" i="107"/>
  <c r="O66" i="111" s="1"/>
  <c r="AE24" i="111" s="1"/>
  <c r="P65" i="107"/>
  <c r="O65" i="107"/>
  <c r="P64" i="107"/>
  <c r="O64" i="107"/>
  <c r="O64" i="111" s="1"/>
  <c r="P63" i="107"/>
  <c r="O63" i="107"/>
  <c r="P62" i="107"/>
  <c r="O62" i="107"/>
  <c r="O62" i="111" s="1"/>
  <c r="AE23" i="111" s="1"/>
  <c r="P61" i="107"/>
  <c r="O61" i="107"/>
  <c r="P60" i="107"/>
  <c r="O60" i="107"/>
  <c r="O60" i="111" s="1"/>
  <c r="P59" i="107"/>
  <c r="O59" i="107"/>
  <c r="P58" i="107"/>
  <c r="O58" i="107"/>
  <c r="D58" i="107"/>
  <c r="E58" i="107"/>
  <c r="E58" i="111" s="1"/>
  <c r="F58" i="107"/>
  <c r="G58" i="107"/>
  <c r="G58" i="111" s="1"/>
  <c r="H58" i="107"/>
  <c r="I58" i="107"/>
  <c r="I58" i="111" s="1"/>
  <c r="J58" i="107"/>
  <c r="K58" i="107"/>
  <c r="K58" i="111" s="1"/>
  <c r="L58" i="107"/>
  <c r="M58" i="107"/>
  <c r="M58" i="111" s="1"/>
  <c r="N58" i="107"/>
  <c r="D59" i="107"/>
  <c r="D59" i="111" s="1"/>
  <c r="E59" i="107"/>
  <c r="F59" i="107"/>
  <c r="F59" i="111" s="1"/>
  <c r="G59" i="107"/>
  <c r="H59" i="107"/>
  <c r="H59" i="111" s="1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T23" i="107" s="1"/>
  <c r="E63" i="107"/>
  <c r="F63" i="107"/>
  <c r="V23" i="107" s="1"/>
  <c r="G63" i="107"/>
  <c r="H63" i="107"/>
  <c r="X23" i="107" s="1"/>
  <c r="I63" i="107"/>
  <c r="J63" i="107"/>
  <c r="Z23" i="107" s="1"/>
  <c r="K63" i="107"/>
  <c r="L63" i="107"/>
  <c r="AB23" i="107" s="1"/>
  <c r="M63" i="107"/>
  <c r="N63" i="107"/>
  <c r="AD23" i="107" s="1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U24" i="107" s="1"/>
  <c r="F66" i="107"/>
  <c r="G66" i="107"/>
  <c r="W24" i="107" s="1"/>
  <c r="H66" i="107"/>
  <c r="I66" i="107"/>
  <c r="Y24" i="107" s="1"/>
  <c r="J66" i="107"/>
  <c r="K66" i="107"/>
  <c r="AA24" i="107" s="1"/>
  <c r="L66" i="107"/>
  <c r="M66" i="107"/>
  <c r="AC24" i="107" s="1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T25" i="107" s="1"/>
  <c r="E71" i="107"/>
  <c r="F71" i="107"/>
  <c r="V25" i="107" s="1"/>
  <c r="G71" i="107"/>
  <c r="H71" i="107"/>
  <c r="X25" i="107" s="1"/>
  <c r="I71" i="107"/>
  <c r="J71" i="107"/>
  <c r="Z25" i="107" s="1"/>
  <c r="K71" i="107"/>
  <c r="L71" i="107"/>
  <c r="AB25" i="107" s="1"/>
  <c r="M71" i="107"/>
  <c r="N71" i="107"/>
  <c r="AD25" i="107" s="1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U26" i="107" s="1"/>
  <c r="F74" i="107"/>
  <c r="G74" i="107"/>
  <c r="W26" i="107" s="1"/>
  <c r="H74" i="107"/>
  <c r="I74" i="107"/>
  <c r="Y26" i="107" s="1"/>
  <c r="J74" i="107"/>
  <c r="K74" i="107"/>
  <c r="AA26" i="107" s="1"/>
  <c r="L74" i="107"/>
  <c r="M74" i="107"/>
  <c r="AC26" i="107" s="1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T27" i="107" s="1"/>
  <c r="E79" i="107"/>
  <c r="F79" i="107"/>
  <c r="V27" i="107" s="1"/>
  <c r="G79" i="107"/>
  <c r="H79" i="107"/>
  <c r="X27" i="107" s="1"/>
  <c r="I79" i="107"/>
  <c r="J79" i="107"/>
  <c r="Z27" i="107" s="1"/>
  <c r="K79" i="107"/>
  <c r="L79" i="107"/>
  <c r="AB27" i="107" s="1"/>
  <c r="M79" i="107"/>
  <c r="N79" i="107"/>
  <c r="AD27" i="107" s="1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U28" i="107" s="1"/>
  <c r="F82" i="107"/>
  <c r="G82" i="107"/>
  <c r="W28" i="107" s="1"/>
  <c r="H82" i="107"/>
  <c r="I82" i="107"/>
  <c r="Y28" i="107" s="1"/>
  <c r="J82" i="107"/>
  <c r="K82" i="107"/>
  <c r="AA28" i="107" s="1"/>
  <c r="L82" i="107"/>
  <c r="M82" i="107"/>
  <c r="AC28" i="107" s="1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T29" i="107" s="1"/>
  <c r="E87" i="107"/>
  <c r="F87" i="107"/>
  <c r="V29" i="107" s="1"/>
  <c r="G87" i="107"/>
  <c r="H87" i="107"/>
  <c r="X29" i="107" s="1"/>
  <c r="I87" i="107"/>
  <c r="J87" i="107"/>
  <c r="Z29" i="107" s="1"/>
  <c r="K87" i="107"/>
  <c r="L87" i="107"/>
  <c r="AB29" i="107" s="1"/>
  <c r="M87" i="107"/>
  <c r="N87" i="107"/>
  <c r="AD29" i="107" s="1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U30" i="107" s="1"/>
  <c r="F90" i="107"/>
  <c r="G90" i="107"/>
  <c r="W30" i="107" s="1"/>
  <c r="H90" i="107"/>
  <c r="I90" i="107"/>
  <c r="Y30" i="107" s="1"/>
  <c r="J90" i="107"/>
  <c r="K90" i="107"/>
  <c r="AA30" i="107" s="1"/>
  <c r="L90" i="107"/>
  <c r="M90" i="107"/>
  <c r="AC30" i="107" s="1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T31" i="107" s="1"/>
  <c r="E95" i="107"/>
  <c r="F95" i="107"/>
  <c r="V31" i="107" s="1"/>
  <c r="G95" i="107"/>
  <c r="H95" i="107"/>
  <c r="X31" i="107" s="1"/>
  <c r="I95" i="107"/>
  <c r="J95" i="107"/>
  <c r="Z31" i="107" s="1"/>
  <c r="K95" i="107"/>
  <c r="L95" i="107"/>
  <c r="AB31" i="107" s="1"/>
  <c r="M95" i="107"/>
  <c r="N95" i="107"/>
  <c r="AD31" i="107" s="1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U32" i="107" s="1"/>
  <c r="F98" i="107"/>
  <c r="G98" i="107"/>
  <c r="W32" i="107" s="1"/>
  <c r="H98" i="107"/>
  <c r="I98" i="107"/>
  <c r="Y32" i="107" s="1"/>
  <c r="J98" i="107"/>
  <c r="K98" i="107"/>
  <c r="AA32" i="107" s="1"/>
  <c r="L98" i="107"/>
  <c r="M98" i="107"/>
  <c r="AC32" i="107" s="1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T33" i="107" s="1"/>
  <c r="E103" i="107"/>
  <c r="F103" i="107"/>
  <c r="V33" i="107" s="1"/>
  <c r="G103" i="107"/>
  <c r="H103" i="107"/>
  <c r="X33" i="107" s="1"/>
  <c r="I103" i="107"/>
  <c r="J103" i="107"/>
  <c r="Z33" i="107" s="1"/>
  <c r="K103" i="107"/>
  <c r="L103" i="107"/>
  <c r="AB33" i="107" s="1"/>
  <c r="M103" i="107"/>
  <c r="N103" i="107"/>
  <c r="AD33" i="107" s="1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60" i="107"/>
  <c r="S22" i="107" s="1"/>
  <c r="C61" i="107"/>
  <c r="C62" i="107"/>
  <c r="S23" i="107" s="1"/>
  <c r="C63" i="107"/>
  <c r="C64" i="107"/>
  <c r="C65" i="107"/>
  <c r="C66" i="107"/>
  <c r="C67" i="107"/>
  <c r="C68" i="107"/>
  <c r="C69" i="107"/>
  <c r="C70" i="107"/>
  <c r="S25" i="107" s="1"/>
  <c r="C71" i="107"/>
  <c r="C72" i="107"/>
  <c r="C73" i="107"/>
  <c r="C74" i="107"/>
  <c r="C75" i="107"/>
  <c r="C76" i="107"/>
  <c r="C77" i="107"/>
  <c r="C78" i="107"/>
  <c r="S27" i="107" s="1"/>
  <c r="C79" i="107"/>
  <c r="C80" i="107"/>
  <c r="C81" i="107"/>
  <c r="C82" i="107"/>
  <c r="C83" i="107"/>
  <c r="C84" i="107"/>
  <c r="C85" i="107"/>
  <c r="C86" i="107"/>
  <c r="S29" i="107" s="1"/>
  <c r="C87" i="107"/>
  <c r="C88" i="107"/>
  <c r="C89" i="107"/>
  <c r="C90" i="107"/>
  <c r="C91" i="107"/>
  <c r="C92" i="107"/>
  <c r="C93" i="107"/>
  <c r="C94" i="107"/>
  <c r="S31" i="107" s="1"/>
  <c r="C95" i="107"/>
  <c r="C96" i="107"/>
  <c r="C97" i="107"/>
  <c r="C98" i="107"/>
  <c r="C99" i="107"/>
  <c r="C100" i="107"/>
  <c r="C101" i="107"/>
  <c r="C102" i="107"/>
  <c r="S33" i="107" s="1"/>
  <c r="C103" i="107"/>
  <c r="C104" i="107"/>
  <c r="C105" i="107"/>
  <c r="C58" i="107"/>
  <c r="C58" i="111"/>
  <c r="D58" i="111"/>
  <c r="F58" i="111"/>
  <c r="H58" i="111"/>
  <c r="J58" i="111"/>
  <c r="L58" i="111"/>
  <c r="N58" i="111"/>
  <c r="O58" i="111"/>
  <c r="AE22" i="111" s="1"/>
  <c r="AE41" i="111" s="1"/>
  <c r="AE42" i="111" s="1"/>
  <c r="P58" i="111"/>
  <c r="E59" i="111"/>
  <c r="G59" i="111"/>
  <c r="I59" i="111"/>
  <c r="K59" i="111"/>
  <c r="M59" i="111"/>
  <c r="O59" i="111"/>
  <c r="D60" i="111"/>
  <c r="F60" i="111"/>
  <c r="H60" i="111"/>
  <c r="J60" i="111"/>
  <c r="L60" i="111"/>
  <c r="N60" i="111"/>
  <c r="P60" i="111"/>
  <c r="E61" i="111"/>
  <c r="G61" i="111"/>
  <c r="I61" i="111"/>
  <c r="K61" i="111"/>
  <c r="M61" i="111"/>
  <c r="O61" i="111"/>
  <c r="D62" i="111"/>
  <c r="F62" i="111"/>
  <c r="H62" i="111"/>
  <c r="J62" i="111"/>
  <c r="L62" i="111"/>
  <c r="N62" i="111"/>
  <c r="P62" i="111"/>
  <c r="E63" i="111"/>
  <c r="G63" i="111"/>
  <c r="I63" i="111"/>
  <c r="K63" i="111"/>
  <c r="M63" i="111"/>
  <c r="O63" i="111"/>
  <c r="D64" i="111"/>
  <c r="F64" i="111"/>
  <c r="H64" i="111"/>
  <c r="J64" i="111"/>
  <c r="L64" i="111"/>
  <c r="N64" i="111"/>
  <c r="P64" i="111"/>
  <c r="E65" i="111"/>
  <c r="G65" i="111"/>
  <c r="I65" i="111"/>
  <c r="K65" i="111"/>
  <c r="M65" i="111"/>
  <c r="O65" i="111"/>
  <c r="D66" i="111"/>
  <c r="F66" i="111"/>
  <c r="H66" i="111"/>
  <c r="J66" i="111"/>
  <c r="L66" i="111"/>
  <c r="N66" i="111"/>
  <c r="P66" i="111"/>
  <c r="E67" i="111"/>
  <c r="G67" i="111"/>
  <c r="I67" i="111"/>
  <c r="K67" i="111"/>
  <c r="M67" i="111"/>
  <c r="O67" i="111"/>
  <c r="D68" i="111"/>
  <c r="F68" i="111"/>
  <c r="H68" i="111"/>
  <c r="J68" i="111"/>
  <c r="L68" i="111"/>
  <c r="N68" i="111"/>
  <c r="P68" i="111"/>
  <c r="E69" i="111"/>
  <c r="G69" i="111"/>
  <c r="I69" i="111"/>
  <c r="K69" i="111"/>
  <c r="M69" i="111"/>
  <c r="O69" i="111"/>
  <c r="D70" i="111"/>
  <c r="F70" i="111"/>
  <c r="H70" i="111"/>
  <c r="J70" i="111"/>
  <c r="L70" i="111"/>
  <c r="N70" i="111"/>
  <c r="P70" i="111"/>
  <c r="E71" i="111"/>
  <c r="G71" i="111"/>
  <c r="I71" i="111"/>
  <c r="K71" i="111"/>
  <c r="M71" i="111"/>
  <c r="O71" i="111"/>
  <c r="D72" i="111"/>
  <c r="F72" i="111"/>
  <c r="H72" i="111"/>
  <c r="J72" i="111"/>
  <c r="L72" i="111"/>
  <c r="N72" i="111"/>
  <c r="P72" i="111"/>
  <c r="E73" i="111"/>
  <c r="G73" i="111"/>
  <c r="I73" i="111"/>
  <c r="K73" i="111"/>
  <c r="M73" i="111"/>
  <c r="O73" i="111"/>
  <c r="D74" i="111"/>
  <c r="F74" i="111"/>
  <c r="H74" i="111"/>
  <c r="J74" i="111"/>
  <c r="L74" i="111"/>
  <c r="N74" i="111"/>
  <c r="P74" i="111"/>
  <c r="E75" i="111"/>
  <c r="G75" i="111"/>
  <c r="I75" i="111"/>
  <c r="K75" i="111"/>
  <c r="M75" i="111"/>
  <c r="O75" i="111"/>
  <c r="D76" i="111"/>
  <c r="F76" i="111"/>
  <c r="H76" i="111"/>
  <c r="J76" i="111"/>
  <c r="L76" i="111"/>
  <c r="N76" i="111"/>
  <c r="P76" i="111"/>
  <c r="E77" i="111"/>
  <c r="G77" i="111"/>
  <c r="I77" i="111"/>
  <c r="K77" i="111"/>
  <c r="M77" i="111"/>
  <c r="O77" i="111"/>
  <c r="D78" i="111"/>
  <c r="F78" i="111"/>
  <c r="H78" i="111"/>
  <c r="J78" i="111"/>
  <c r="L78" i="111"/>
  <c r="N78" i="111"/>
  <c r="P78" i="111"/>
  <c r="E79" i="111"/>
  <c r="G79" i="111"/>
  <c r="I79" i="111"/>
  <c r="K79" i="111"/>
  <c r="M79" i="111"/>
  <c r="O79" i="111"/>
  <c r="D80" i="111"/>
  <c r="F80" i="111"/>
  <c r="H80" i="111"/>
  <c r="J80" i="111"/>
  <c r="L80" i="111"/>
  <c r="N80" i="111"/>
  <c r="P80" i="111"/>
  <c r="E81" i="111"/>
  <c r="G81" i="111"/>
  <c r="I81" i="111"/>
  <c r="K81" i="111"/>
  <c r="M81" i="111"/>
  <c r="O81" i="111"/>
  <c r="D82" i="111"/>
  <c r="F82" i="111"/>
  <c r="H82" i="111"/>
  <c r="J82" i="111"/>
  <c r="L82" i="111"/>
  <c r="N82" i="111"/>
  <c r="P82" i="111"/>
  <c r="E83" i="111"/>
  <c r="G83" i="111"/>
  <c r="I83" i="111"/>
  <c r="K83" i="111"/>
  <c r="M83" i="111"/>
  <c r="O83" i="111"/>
  <c r="D84" i="111"/>
  <c r="F84" i="111"/>
  <c r="H84" i="111"/>
  <c r="J84" i="111"/>
  <c r="L84" i="111"/>
  <c r="N84" i="111"/>
  <c r="P84" i="111"/>
  <c r="E85" i="111"/>
  <c r="G85" i="111"/>
  <c r="I85" i="111"/>
  <c r="K85" i="111"/>
  <c r="M85" i="111"/>
  <c r="O85" i="111"/>
  <c r="D86" i="111"/>
  <c r="F86" i="111"/>
  <c r="H86" i="111"/>
  <c r="J86" i="111"/>
  <c r="L86" i="111"/>
  <c r="N86" i="111"/>
  <c r="P86" i="111"/>
  <c r="E87" i="111"/>
  <c r="G87" i="111"/>
  <c r="I87" i="111"/>
  <c r="K87" i="111"/>
  <c r="M87" i="111"/>
  <c r="O87" i="111"/>
  <c r="D88" i="111"/>
  <c r="F88" i="111"/>
  <c r="H88" i="111"/>
  <c r="J88" i="111"/>
  <c r="L88" i="111"/>
  <c r="N88" i="111"/>
  <c r="P88" i="111"/>
  <c r="E89" i="111"/>
  <c r="G89" i="111"/>
  <c r="I89" i="111"/>
  <c r="K89" i="111"/>
  <c r="M89" i="111"/>
  <c r="O89" i="111"/>
  <c r="D90" i="111"/>
  <c r="F90" i="111"/>
  <c r="H90" i="111"/>
  <c r="J90" i="111"/>
  <c r="L90" i="111"/>
  <c r="N90" i="111"/>
  <c r="P90" i="111"/>
  <c r="E91" i="111"/>
  <c r="G91" i="111"/>
  <c r="I91" i="111"/>
  <c r="K91" i="111"/>
  <c r="M91" i="111"/>
  <c r="O91" i="111"/>
  <c r="D92" i="111"/>
  <c r="F92" i="111"/>
  <c r="H92" i="111"/>
  <c r="J92" i="111"/>
  <c r="L92" i="111"/>
  <c r="N92" i="111"/>
  <c r="P92" i="111"/>
  <c r="E93" i="111"/>
  <c r="G93" i="111"/>
  <c r="I93" i="111"/>
  <c r="K93" i="111"/>
  <c r="M93" i="111"/>
  <c r="O93" i="111"/>
  <c r="D94" i="111"/>
  <c r="F94" i="111"/>
  <c r="H94" i="111"/>
  <c r="J94" i="111"/>
  <c r="L94" i="111"/>
  <c r="N94" i="111"/>
  <c r="P94" i="111"/>
  <c r="E95" i="111"/>
  <c r="G95" i="111"/>
  <c r="I95" i="111"/>
  <c r="K95" i="111"/>
  <c r="M95" i="111"/>
  <c r="O95" i="111"/>
  <c r="D96" i="111"/>
  <c r="F96" i="111"/>
  <c r="H96" i="111"/>
  <c r="J96" i="111"/>
  <c r="L96" i="111"/>
  <c r="N96" i="111"/>
  <c r="P96" i="111"/>
  <c r="E97" i="111"/>
  <c r="G97" i="111"/>
  <c r="I97" i="111"/>
  <c r="K97" i="111"/>
  <c r="M97" i="111"/>
  <c r="O97" i="111"/>
  <c r="D98" i="111"/>
  <c r="F98" i="111"/>
  <c r="H98" i="111"/>
  <c r="J98" i="111"/>
  <c r="L98" i="111"/>
  <c r="N98" i="111"/>
  <c r="P98" i="111"/>
  <c r="E99" i="111"/>
  <c r="G99" i="111"/>
  <c r="I99" i="111"/>
  <c r="K99" i="111"/>
  <c r="M99" i="111"/>
  <c r="O99" i="111"/>
  <c r="D100" i="111"/>
  <c r="F100" i="111"/>
  <c r="H100" i="111"/>
  <c r="J100" i="111"/>
  <c r="L100" i="111"/>
  <c r="N100" i="111"/>
  <c r="P100" i="111"/>
  <c r="E101" i="111"/>
  <c r="G101" i="111"/>
  <c r="I101" i="111"/>
  <c r="K101" i="111"/>
  <c r="M101" i="111"/>
  <c r="O101" i="111"/>
  <c r="D102" i="111"/>
  <c r="F102" i="111"/>
  <c r="H102" i="111"/>
  <c r="J102" i="111"/>
  <c r="L102" i="111"/>
  <c r="N102" i="111"/>
  <c r="P102" i="111"/>
  <c r="E103" i="111"/>
  <c r="G103" i="111"/>
  <c r="I103" i="111"/>
  <c r="K103" i="111"/>
  <c r="M103" i="111"/>
  <c r="O103" i="111"/>
  <c r="D104" i="111"/>
  <c r="F104" i="111"/>
  <c r="H104" i="111"/>
  <c r="J104" i="111"/>
  <c r="L104" i="111"/>
  <c r="N104" i="111"/>
  <c r="P104" i="111"/>
  <c r="E105" i="111"/>
  <c r="G105" i="111"/>
  <c r="I105" i="111"/>
  <c r="K105" i="111"/>
  <c r="M105" i="111"/>
  <c r="O105" i="111"/>
  <c r="C59" i="111"/>
  <c r="C60" i="111"/>
  <c r="C61" i="111"/>
  <c r="C62" i="111"/>
  <c r="C63" i="111"/>
  <c r="C64" i="111"/>
  <c r="C65" i="111"/>
  <c r="C66" i="111"/>
  <c r="C67" i="111"/>
  <c r="C68" i="111"/>
  <c r="C69" i="111"/>
  <c r="C70" i="111"/>
  <c r="C71" i="111"/>
  <c r="C72" i="111"/>
  <c r="C73" i="111"/>
  <c r="C74" i="111"/>
  <c r="C75" i="111"/>
  <c r="C76" i="111"/>
  <c r="C77" i="111"/>
  <c r="C78" i="111"/>
  <c r="C79" i="111"/>
  <c r="C80" i="111"/>
  <c r="C81" i="111"/>
  <c r="C82" i="111"/>
  <c r="C83" i="111"/>
  <c r="C84" i="111"/>
  <c r="C85" i="111"/>
  <c r="C86" i="111"/>
  <c r="C87" i="111"/>
  <c r="C88" i="111"/>
  <c r="C89" i="111"/>
  <c r="C90" i="111"/>
  <c r="C91" i="111"/>
  <c r="C92" i="111"/>
  <c r="C93" i="111"/>
  <c r="C94" i="111"/>
  <c r="C95" i="111"/>
  <c r="C96" i="111"/>
  <c r="C97" i="111"/>
  <c r="C98" i="111"/>
  <c r="C99" i="111"/>
  <c r="C100" i="111"/>
  <c r="C101" i="111"/>
  <c r="C102" i="111"/>
  <c r="C103" i="111"/>
  <c r="C104" i="111"/>
  <c r="C105" i="111"/>
  <c r="U22" i="108"/>
  <c r="Y22" i="108"/>
  <c r="AC22" i="108"/>
  <c r="T23" i="108"/>
  <c r="X23" i="108"/>
  <c r="AB23" i="108"/>
  <c r="AF23" i="108"/>
  <c r="W24" i="108"/>
  <c r="Z24" i="108"/>
  <c r="AB24" i="108"/>
  <c r="AD24" i="108"/>
  <c r="AF24" i="108"/>
  <c r="U25" i="108"/>
  <c r="W25" i="108"/>
  <c r="Y25" i="108"/>
  <c r="AA25" i="108"/>
  <c r="AC25" i="108"/>
  <c r="AE25" i="108"/>
  <c r="T26" i="108"/>
  <c r="V26" i="108"/>
  <c r="X26" i="108"/>
  <c r="Z26" i="108"/>
  <c r="AB26" i="108"/>
  <c r="AD26" i="108"/>
  <c r="AF26" i="108"/>
  <c r="U27" i="108"/>
  <c r="W27" i="108"/>
  <c r="Y27" i="108"/>
  <c r="AA27" i="108"/>
  <c r="AC27" i="108"/>
  <c r="AE27" i="108"/>
  <c r="T28" i="108"/>
  <c r="V28" i="108"/>
  <c r="X28" i="108"/>
  <c r="Z28" i="108"/>
  <c r="AB28" i="108"/>
  <c r="AD28" i="108"/>
  <c r="AF28" i="108"/>
  <c r="U29" i="108"/>
  <c r="W29" i="108"/>
  <c r="Y29" i="108"/>
  <c r="AA29" i="108"/>
  <c r="AC29" i="108"/>
  <c r="AE29" i="108"/>
  <c r="T30" i="108"/>
  <c r="V30" i="108"/>
  <c r="X30" i="108"/>
  <c r="Z30" i="108"/>
  <c r="AB30" i="108"/>
  <c r="AD30" i="108"/>
  <c r="AF30" i="108"/>
  <c r="U31" i="108"/>
  <c r="W31" i="108"/>
  <c r="Y31" i="108"/>
  <c r="AA31" i="108"/>
  <c r="AC31" i="108"/>
  <c r="AE31" i="108"/>
  <c r="T32" i="108"/>
  <c r="V32" i="108"/>
  <c r="X32" i="108"/>
  <c r="Z32" i="108"/>
  <c r="AB32" i="108"/>
  <c r="AD32" i="108"/>
  <c r="AF32" i="108"/>
  <c r="U33" i="108"/>
  <c r="W33" i="108"/>
  <c r="Y33" i="108"/>
  <c r="AA33" i="108"/>
  <c r="AC33" i="108"/>
  <c r="AE33" i="108"/>
  <c r="S32" i="108"/>
  <c r="S30" i="108"/>
  <c r="S28" i="108"/>
  <c r="S26" i="108"/>
  <c r="S24" i="108"/>
  <c r="S22" i="108"/>
  <c r="S34" i="108"/>
  <c r="E106" i="108"/>
  <c r="G106" i="108"/>
  <c r="I106" i="108"/>
  <c r="K106" i="108"/>
  <c r="M106" i="108"/>
  <c r="O106" i="108"/>
  <c r="D57" i="108"/>
  <c r="E57" i="108"/>
  <c r="F57" i="108"/>
  <c r="G57" i="108"/>
  <c r="H57" i="108"/>
  <c r="I57" i="108"/>
  <c r="J57" i="108"/>
  <c r="K57" i="108"/>
  <c r="L57" i="108"/>
  <c r="M57" i="108"/>
  <c r="N57" i="108"/>
  <c r="O57" i="108"/>
  <c r="P57" i="108"/>
  <c r="C57" i="107"/>
  <c r="T22" i="107"/>
  <c r="V22" i="107"/>
  <c r="X22" i="107"/>
  <c r="Z22" i="107"/>
  <c r="AB22" i="107"/>
  <c r="AD22" i="107"/>
  <c r="AE22" i="107"/>
  <c r="AF22" i="107"/>
  <c r="U23" i="107"/>
  <c r="W23" i="107"/>
  <c r="Y23" i="107"/>
  <c r="AA23" i="107"/>
  <c r="AC23" i="107"/>
  <c r="AF23" i="107"/>
  <c r="T24" i="107"/>
  <c r="V24" i="107"/>
  <c r="X24" i="107"/>
  <c r="Z24" i="107"/>
  <c r="AB24" i="107"/>
  <c r="AD24" i="107"/>
  <c r="AF24" i="107"/>
  <c r="U25" i="107"/>
  <c r="W25" i="107"/>
  <c r="Y25" i="107"/>
  <c r="AA25" i="107"/>
  <c r="AC25" i="107"/>
  <c r="AE25" i="107"/>
  <c r="AF25" i="107"/>
  <c r="T26" i="107"/>
  <c r="V26" i="107"/>
  <c r="X26" i="107"/>
  <c r="Z26" i="107"/>
  <c r="AB26" i="107"/>
  <c r="AD26" i="107"/>
  <c r="AE26" i="107"/>
  <c r="AF26" i="107"/>
  <c r="U27" i="107"/>
  <c r="W27" i="107"/>
  <c r="Y27" i="107"/>
  <c r="AA27" i="107"/>
  <c r="AC27" i="107"/>
  <c r="AF27" i="107"/>
  <c r="T28" i="107"/>
  <c r="V28" i="107"/>
  <c r="X28" i="107"/>
  <c r="Z28" i="107"/>
  <c r="AB28" i="107"/>
  <c r="AD28" i="107"/>
  <c r="AF28" i="107"/>
  <c r="U29" i="107"/>
  <c r="W29" i="107"/>
  <c r="Y29" i="107"/>
  <c r="AA29" i="107"/>
  <c r="AC29" i="107"/>
  <c r="AE29" i="107"/>
  <c r="AF29" i="107"/>
  <c r="T30" i="107"/>
  <c r="V30" i="107"/>
  <c r="X30" i="107"/>
  <c r="Z30" i="107"/>
  <c r="AB30" i="107"/>
  <c r="AD30" i="107"/>
  <c r="AE30" i="107"/>
  <c r="AF30" i="107"/>
  <c r="U31" i="107"/>
  <c r="W31" i="107"/>
  <c r="Y31" i="107"/>
  <c r="AA31" i="107"/>
  <c r="AC31" i="107"/>
  <c r="AF31" i="107"/>
  <c r="T32" i="107"/>
  <c r="V32" i="107"/>
  <c r="X32" i="107"/>
  <c r="Z32" i="107"/>
  <c r="AB32" i="107"/>
  <c r="AD32" i="107"/>
  <c r="AF32" i="107"/>
  <c r="U33" i="107"/>
  <c r="W33" i="107"/>
  <c r="Y33" i="107"/>
  <c r="AA33" i="107"/>
  <c r="AC33" i="107"/>
  <c r="AE33" i="107"/>
  <c r="AF33" i="107"/>
  <c r="S32" i="107"/>
  <c r="S30" i="107"/>
  <c r="S28" i="107"/>
  <c r="S26" i="107"/>
  <c r="S24" i="107"/>
  <c r="S34" i="107"/>
  <c r="D106" i="107"/>
  <c r="F106" i="107"/>
  <c r="H106" i="107"/>
  <c r="J106" i="107"/>
  <c r="L106" i="107"/>
  <c r="N106" i="107"/>
  <c r="C106" i="107"/>
  <c r="AB33" i="111" l="1"/>
  <c r="X33" i="111"/>
  <c r="T33" i="111"/>
  <c r="AD31" i="111"/>
  <c r="Z31" i="111"/>
  <c r="V31" i="111"/>
  <c r="AB29" i="111"/>
  <c r="H67" i="111"/>
  <c r="X24" i="108"/>
  <c r="F67" i="111"/>
  <c r="V24" i="111" s="1"/>
  <c r="V24" i="108"/>
  <c r="D67" i="111"/>
  <c r="T24" i="108"/>
  <c r="AE23" i="108"/>
  <c r="AE41" i="108" s="1"/>
  <c r="AE42" i="108" s="1"/>
  <c r="M62" i="111"/>
  <c r="AC23" i="108"/>
  <c r="AC41" i="108" s="1"/>
  <c r="AC42" i="108" s="1"/>
  <c r="K62" i="111"/>
  <c r="AA23" i="108"/>
  <c r="AA41" i="108" s="1"/>
  <c r="AA42" i="108" s="1"/>
  <c r="I62" i="111"/>
  <c r="Y23" i="108"/>
  <c r="Y41" i="108" s="1"/>
  <c r="Y42" i="108" s="1"/>
  <c r="G62" i="111"/>
  <c r="W23" i="108"/>
  <c r="W41" i="108" s="1"/>
  <c r="W42" i="108" s="1"/>
  <c r="E62" i="111"/>
  <c r="U23" i="108"/>
  <c r="U41" i="108" s="1"/>
  <c r="U42" i="108" s="1"/>
  <c r="AC22" i="111"/>
  <c r="Y22" i="111"/>
  <c r="U22" i="111"/>
  <c r="P59" i="111"/>
  <c r="AF22" i="111" s="1"/>
  <c r="AF41" i="111" s="1"/>
  <c r="AF42" i="111" s="1"/>
  <c r="AF22" i="108"/>
  <c r="N59" i="111"/>
  <c r="AD22" i="111" s="1"/>
  <c r="AD22" i="108"/>
  <c r="L59" i="111"/>
  <c r="AB22" i="111" s="1"/>
  <c r="AB41" i="111" s="1"/>
  <c r="AB42" i="111" s="1"/>
  <c r="AB22" i="108"/>
  <c r="J59" i="111"/>
  <c r="Z22" i="111" s="1"/>
  <c r="Z22" i="108"/>
  <c r="X22" i="108"/>
  <c r="V22" i="108"/>
  <c r="T22" i="108"/>
  <c r="P106" i="108"/>
  <c r="N106" i="108"/>
  <c r="L106" i="108"/>
  <c r="J106" i="108"/>
  <c r="H106" i="108"/>
  <c r="F106" i="108"/>
  <c r="D106" i="108"/>
  <c r="AF33" i="108"/>
  <c r="AD33" i="108"/>
  <c r="AB33" i="108"/>
  <c r="Z33" i="108"/>
  <c r="X33" i="108"/>
  <c r="V33" i="108"/>
  <c r="T33" i="108"/>
  <c r="AC32" i="108"/>
  <c r="AA32" i="108"/>
  <c r="Y32" i="108"/>
  <c r="W32" i="108"/>
  <c r="U32" i="108"/>
  <c r="AF31" i="108"/>
  <c r="AD31" i="108"/>
  <c r="AB31" i="108"/>
  <c r="Z31" i="108"/>
  <c r="X31" i="108"/>
  <c r="V31" i="108"/>
  <c r="T31" i="108"/>
  <c r="AC30" i="108"/>
  <c r="AA30" i="108"/>
  <c r="Y30" i="108"/>
  <c r="W30" i="108"/>
  <c r="U30" i="108"/>
  <c r="AF29" i="108"/>
  <c r="AD29" i="108"/>
  <c r="AB29" i="108"/>
  <c r="Z29" i="108"/>
  <c r="X29" i="108"/>
  <c r="V29" i="108"/>
  <c r="T29" i="108"/>
  <c r="AC28" i="108"/>
  <c r="AA28" i="108"/>
  <c r="Y28" i="108"/>
  <c r="W28" i="108"/>
  <c r="U28" i="108"/>
  <c r="AF27" i="108"/>
  <c r="AD27" i="108"/>
  <c r="AB27" i="108"/>
  <c r="Z27" i="108"/>
  <c r="X27" i="108"/>
  <c r="V27" i="108"/>
  <c r="T27" i="108"/>
  <c r="AC26" i="108"/>
  <c r="AA26" i="108"/>
  <c r="Y26" i="108"/>
  <c r="W26" i="108"/>
  <c r="U26" i="108"/>
  <c r="AF25" i="108"/>
  <c r="AD25" i="108"/>
  <c r="AB25" i="108"/>
  <c r="Z25" i="108"/>
  <c r="X25" i="108"/>
  <c r="V25" i="108"/>
  <c r="T25" i="108"/>
  <c r="AC24" i="108"/>
  <c r="AA24" i="108"/>
  <c r="Y24" i="108"/>
  <c r="U24" i="108"/>
  <c r="AD23" i="108"/>
  <c r="Z23" i="108"/>
  <c r="V23" i="108"/>
  <c r="AF33" i="111"/>
  <c r="AF32" i="111"/>
  <c r="AF31" i="111"/>
  <c r="AF30" i="111"/>
  <c r="AF29" i="111"/>
  <c r="AF28" i="111"/>
  <c r="AF27" i="111"/>
  <c r="AF26" i="111"/>
  <c r="AF25" i="111"/>
  <c r="AF24" i="111"/>
  <c r="AF23" i="111"/>
  <c r="S41" i="108"/>
  <c r="S42" i="108" s="1"/>
  <c r="S33" i="111"/>
  <c r="S32" i="111"/>
  <c r="S31" i="111"/>
  <c r="S30" i="111"/>
  <c r="S29" i="111"/>
  <c r="S28" i="111"/>
  <c r="S27" i="111"/>
  <c r="S26" i="111"/>
  <c r="S25" i="111"/>
  <c r="S24" i="111"/>
  <c r="S23" i="111"/>
  <c r="O106" i="111"/>
  <c r="AE32" i="107"/>
  <c r="AE31" i="107"/>
  <c r="AE28" i="107"/>
  <c r="AE27" i="107"/>
  <c r="AE24" i="107"/>
  <c r="AE23" i="107"/>
  <c r="AB41" i="107"/>
  <c r="AB42" i="107" s="1"/>
  <c r="X41" i="107"/>
  <c r="X42" i="107" s="1"/>
  <c r="T41" i="107"/>
  <c r="T42" i="107" s="1"/>
  <c r="AC33" i="111"/>
  <c r="AA33" i="111"/>
  <c r="Y33" i="111"/>
  <c r="W33" i="111"/>
  <c r="U33" i="111"/>
  <c r="AC32" i="111"/>
  <c r="Y32" i="111"/>
  <c r="U32" i="111"/>
  <c r="AC31" i="111"/>
  <c r="AA31" i="111"/>
  <c r="Y31" i="111"/>
  <c r="W31" i="111"/>
  <c r="U31" i="111"/>
  <c r="AA30" i="111"/>
  <c r="W30" i="111"/>
  <c r="X29" i="111"/>
  <c r="T29" i="111"/>
  <c r="AC29" i="111"/>
  <c r="AA29" i="111"/>
  <c r="Y29" i="111"/>
  <c r="W29" i="111"/>
  <c r="U29" i="111"/>
  <c r="AC28" i="111"/>
  <c r="AA28" i="111"/>
  <c r="Y28" i="111"/>
  <c r="W28" i="111"/>
  <c r="U28" i="111"/>
  <c r="AD27" i="111"/>
  <c r="Z27" i="111"/>
  <c r="V27" i="111"/>
  <c r="AC27" i="111"/>
  <c r="AA27" i="111"/>
  <c r="Y27" i="111"/>
  <c r="W27" i="111"/>
  <c r="U27" i="111"/>
  <c r="AC26" i="111"/>
  <c r="AA26" i="111"/>
  <c r="Y26" i="111"/>
  <c r="W26" i="111"/>
  <c r="U26" i="111"/>
  <c r="AB25" i="111"/>
  <c r="X25" i="111"/>
  <c r="T25" i="111"/>
  <c r="AC25" i="111"/>
  <c r="AA25" i="111"/>
  <c r="Y25" i="111"/>
  <c r="W25" i="111"/>
  <c r="U25" i="111"/>
  <c r="AC24" i="111"/>
  <c r="AA24" i="111"/>
  <c r="Y24" i="111"/>
  <c r="W24" i="111"/>
  <c r="U24" i="111"/>
  <c r="AD23" i="111"/>
  <c r="Z23" i="111"/>
  <c r="V23" i="111"/>
  <c r="AC23" i="111"/>
  <c r="AA23" i="111"/>
  <c r="Y23" i="111"/>
  <c r="W23" i="111"/>
  <c r="U23" i="111"/>
  <c r="Y41" i="111"/>
  <c r="Y42" i="111" s="1"/>
  <c r="N106" i="111"/>
  <c r="J106" i="111"/>
  <c r="V22" i="111"/>
  <c r="F106" i="111"/>
  <c r="M106" i="111"/>
  <c r="E106" i="111"/>
  <c r="AA22" i="111"/>
  <c r="W22" i="111"/>
  <c r="AD41" i="107"/>
  <c r="AD42" i="107" s="1"/>
  <c r="Z41" i="107"/>
  <c r="Z42" i="107" s="1"/>
  <c r="V41" i="107"/>
  <c r="V42" i="107" s="1"/>
  <c r="AD33" i="111"/>
  <c r="Z33" i="111"/>
  <c r="V33" i="111"/>
  <c r="AB31" i="111"/>
  <c r="X31" i="111"/>
  <c r="T31" i="111"/>
  <c r="AD29" i="111"/>
  <c r="Z29" i="111"/>
  <c r="V29" i="111"/>
  <c r="AB27" i="111"/>
  <c r="X27" i="111"/>
  <c r="T27" i="111"/>
  <c r="AD25" i="111"/>
  <c r="Z25" i="111"/>
  <c r="V25" i="111"/>
  <c r="AB23" i="111"/>
  <c r="X23" i="111"/>
  <c r="T23" i="111"/>
  <c r="I106" i="111"/>
  <c r="M106" i="107"/>
  <c r="K106" i="107"/>
  <c r="I106" i="107"/>
  <c r="G106" i="107"/>
  <c r="E106" i="107"/>
  <c r="AC22" i="107"/>
  <c r="AC41" i="107" s="1"/>
  <c r="AC42" i="107" s="1"/>
  <c r="AA22" i="107"/>
  <c r="AA41" i="107" s="1"/>
  <c r="AA42" i="107" s="1"/>
  <c r="Y22" i="107"/>
  <c r="Y41" i="107" s="1"/>
  <c r="Y42" i="107" s="1"/>
  <c r="W22" i="107"/>
  <c r="W41" i="107" s="1"/>
  <c r="W42" i="107" s="1"/>
  <c r="U22" i="107"/>
  <c r="U41" i="107" s="1"/>
  <c r="U42" i="107" s="1"/>
  <c r="AD32" i="111"/>
  <c r="AB32" i="111"/>
  <c r="Z32" i="111"/>
  <c r="X32" i="111"/>
  <c r="V32" i="111"/>
  <c r="T32" i="111"/>
  <c r="AD30" i="111"/>
  <c r="AB30" i="111"/>
  <c r="Z30" i="111"/>
  <c r="X30" i="111"/>
  <c r="V30" i="111"/>
  <c r="T30" i="111"/>
  <c r="AD28" i="111"/>
  <c r="AB28" i="111"/>
  <c r="Z28" i="111"/>
  <c r="X28" i="111"/>
  <c r="V28" i="111"/>
  <c r="T28" i="111"/>
  <c r="AD26" i="111"/>
  <c r="AB26" i="111"/>
  <c r="Z26" i="111"/>
  <c r="X26" i="111"/>
  <c r="V26" i="111"/>
  <c r="T26" i="111"/>
  <c r="AD24" i="111"/>
  <c r="AB24" i="111"/>
  <c r="Z24" i="111"/>
  <c r="X24" i="111"/>
  <c r="T24" i="111"/>
  <c r="L106" i="111"/>
  <c r="X22" i="111"/>
  <c r="H106" i="111"/>
  <c r="T22" i="111"/>
  <c r="D106" i="111"/>
  <c r="K106" i="111"/>
  <c r="G106" i="111"/>
  <c r="S22" i="111"/>
  <c r="C106" i="111"/>
  <c r="T41" i="108" l="1"/>
  <c r="T42" i="108" s="1"/>
  <c r="X41" i="108"/>
  <c r="X42" i="108" s="1"/>
  <c r="T41" i="111"/>
  <c r="T42" i="111" s="1"/>
  <c r="X41" i="111"/>
  <c r="X42" i="111" s="1"/>
  <c r="AA41" i="111"/>
  <c r="AA42" i="111" s="1"/>
  <c r="U41" i="111"/>
  <c r="U42" i="111" s="1"/>
  <c r="AC41" i="111"/>
  <c r="AC42" i="111" s="1"/>
  <c r="P106" i="111"/>
  <c r="V41" i="108"/>
  <c r="V42" i="108" s="1"/>
  <c r="Z41" i="108"/>
  <c r="Z42" i="108" s="1"/>
  <c r="AB41" i="108"/>
  <c r="AB42" i="108" s="1"/>
  <c r="AD41" i="108"/>
  <c r="AD42" i="108" s="1"/>
  <c r="AF41" i="108"/>
  <c r="AF42" i="108" s="1"/>
  <c r="S41" i="111"/>
  <c r="S42" i="111" s="1"/>
  <c r="V41" i="111"/>
  <c r="V42" i="111" s="1"/>
  <c r="Z41" i="111"/>
  <c r="Z42" i="111" s="1"/>
  <c r="AD41" i="111"/>
  <c r="AD42" i="111" s="1"/>
  <c r="W41" i="111"/>
  <c r="W42" i="111" s="1"/>
  <c r="D5" i="110" l="1"/>
  <c r="F58" i="93" l="1"/>
  <c r="D58" i="93"/>
  <c r="N58" i="93"/>
  <c r="C3" i="94" l="1"/>
  <c r="K6" i="98" l="1"/>
  <c r="K6" i="100" s="1"/>
  <c r="K6" i="101" s="1"/>
  <c r="K6" i="109" s="1"/>
  <c r="K6" i="105" s="1"/>
  <c r="K6" i="110" s="1"/>
  <c r="K6" i="103" s="1"/>
  <c r="K5" i="10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G5" i="96"/>
  <c r="K6" i="95"/>
  <c r="K5" i="95"/>
  <c r="G5" i="95"/>
  <c r="K6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09"/>
  <c r="D5" i="100"/>
  <c r="D5" i="98"/>
  <c r="D5" i="96"/>
  <c r="D5" i="94"/>
  <c r="K6" i="107" l="1"/>
  <c r="K6" i="104"/>
  <c r="K6" i="108" s="1"/>
  <c r="K6" i="111" s="1"/>
  <c r="K5" i="108"/>
  <c r="K5" i="111" s="1"/>
  <c r="K5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Z39" i="105" s="1"/>
  <c r="Y19" i="105"/>
  <c r="X19" i="105"/>
  <c r="X39" i="105" s="1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U19" i="103"/>
  <c r="U24" i="103" s="1"/>
  <c r="T19" i="103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A27" i="99" l="1"/>
  <c r="T27" i="103"/>
  <c r="V27" i="103"/>
  <c r="Y39" i="109"/>
  <c r="AA39" i="101"/>
  <c r="V27" i="97"/>
  <c r="AA26" i="95"/>
  <c r="X26" i="98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48" i="108"/>
  <c r="I49" i="108"/>
  <c r="E52" i="108"/>
  <c r="I53" i="108"/>
  <c r="E56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AF33" i="101" s="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AF28" i="101" l="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AD21" i="108"/>
  <c r="Z20" i="108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V21" i="108"/>
  <c r="AD19" i="108"/>
  <c r="Z21" i="108"/>
  <c r="AD20" i="108"/>
  <c r="V20" i="108"/>
  <c r="V36" i="108" s="1"/>
  <c r="Z19" i="108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T13" i="111" s="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T12" i="111" s="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AA42" i="110" s="1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Y34" i="108" s="1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O106" i="107" s="1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AD39" i="107" s="1"/>
  <c r="Z19" i="107"/>
  <c r="V19" i="107"/>
  <c r="V39" i="107" s="1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106" i="107" s="1"/>
  <c r="P56" i="107"/>
  <c r="O56" i="107"/>
  <c r="P55" i="107"/>
  <c r="O55" i="107"/>
  <c r="AC21" i="107"/>
  <c r="AA21" i="107"/>
  <c r="Y21" i="107"/>
  <c r="W21" i="107"/>
  <c r="U21" i="107"/>
  <c r="S21" i="107"/>
  <c r="S41" i="107" s="1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U36" i="107" s="1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V10" i="107"/>
  <c r="AA10" i="107"/>
  <c r="P10" i="107"/>
  <c r="S10" i="107"/>
  <c r="O10" i="107"/>
  <c r="X35" i="105"/>
  <c r="U39" i="107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P42" i="93"/>
  <c r="P26" i="93"/>
  <c r="P56" i="93"/>
  <c r="P46" i="93"/>
  <c r="P38" i="93"/>
  <c r="P30" i="93"/>
  <c r="P22" i="93"/>
  <c r="P14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E24" i="98" l="1"/>
  <c r="AF10" i="108"/>
  <c r="S42" i="110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V35" i="108"/>
  <c r="AD35" i="108"/>
  <c r="AF13" i="108"/>
  <c r="AF15" i="108"/>
  <c r="AE16" i="108"/>
  <c r="Z40" i="108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AF16" i="108"/>
  <c r="AA37" i="108"/>
  <c r="AA36" i="108"/>
  <c r="AB34" i="108"/>
  <c r="AB37" i="108"/>
  <c r="W40" i="108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AE41" i="107" s="1"/>
  <c r="X40" i="107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AF41" i="107" s="1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42" i="107" s="1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F59" i="93" s="1"/>
  <c r="AF21" i="93"/>
  <c r="AE20" i="93"/>
  <c r="AE18" i="93"/>
  <c r="AE16" i="93"/>
  <c r="AE14" i="93"/>
  <c r="AE12" i="93"/>
  <c r="AE11" i="93"/>
  <c r="O58" i="93"/>
  <c r="F60" i="93" s="1"/>
  <c r="AE10" i="93"/>
  <c r="AE21" i="93"/>
  <c r="AE19" i="93"/>
  <c r="AE17" i="93"/>
  <c r="AE15" i="93"/>
  <c r="AE13" i="93"/>
  <c r="C60" i="93" l="1"/>
  <c r="D60" i="93"/>
  <c r="G59" i="93"/>
  <c r="D59" i="93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AF34" i="111" s="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AF42" i="107" s="1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42" i="107" s="1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C59" i="93"/>
  <c r="L59" i="93"/>
  <c r="J59" i="93"/>
  <c r="E59" i="93"/>
  <c r="H59" i="93"/>
  <c r="K59" i="93"/>
  <c r="N59" i="93"/>
  <c r="I59" i="93"/>
  <c r="AF37" i="111" l="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C107" i="107"/>
  <c r="C108" i="107"/>
</calcChain>
</file>

<file path=xl/sharedStrings.xml><?xml version="1.0" encoding="utf-8"?>
<sst xmlns="http://schemas.openxmlformats.org/spreadsheetml/2006/main" count="2335" uniqueCount="181">
  <si>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</si>
  <si>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</si>
  <si>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</si>
  <si>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</si>
  <si>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</si>
  <si>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</si>
  <si>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</si>
  <si>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</si>
  <si>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</si>
  <si>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</si>
  <si>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</si>
  <si>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</si>
  <si>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</si>
  <si>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</si>
  <si>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</si>
  <si>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</si>
  <si>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</si>
  <si>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</si>
  <si>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</si>
  <si>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</si>
  <si>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</si>
  <si>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</si>
  <si>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</si>
  <si>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</si>
  <si>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</si>
  <si>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</si>
  <si>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</si>
  <si>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</si>
  <si>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</si>
  <si>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</si>
  <si>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</si>
  <si>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</si>
  <si>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</si>
  <si>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</si>
  <si>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</si>
  <si>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</si>
  <si>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</si>
  <si>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</si>
  <si>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</si>
  <si>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</si>
  <si>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</si>
  <si>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</si>
  <si>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</si>
  <si>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</si>
  <si>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</si>
  <si>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</si>
  <si>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</si>
  <si>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</si>
  <si>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</si>
  <si>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</si>
  <si>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</si>
  <si>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</si>
  <si>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</si>
  <si>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</si>
  <si>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</si>
  <si>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</si>
  <si>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</si>
  <si>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</si>
  <si>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</si>
  <si>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</si>
  <si>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</si>
  <si>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</si>
  <si>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</si>
  <si>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</si>
  <si>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</si>
  <si>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</si>
  <si>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</si>
  <si>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</si>
  <si>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</si>
  <si>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</si>
  <si>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</si>
  <si>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</si>
  <si>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</si>
  <si>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</si>
  <si>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</si>
  <si>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</si>
  <si>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</si>
  <si>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</si>
  <si>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</si>
  <si>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</si>
  <si>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</si>
  <si>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</si>
  <si>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</si>
  <si>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</si>
  <si>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</si>
  <si>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</si>
  <si>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</si>
  <si>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</si>
  <si>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</si>
  <si>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</si>
  <si>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</si>
  <si>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</si>
  <si>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</si>
  <si>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</si>
  <si>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</si>
  <si>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</si>
  <si>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</si>
  <si>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</si>
  <si>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</si>
  <si>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</si>
  <si>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</si>
  <si>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</si>
  <si>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</si>
  <si>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</si>
  <si>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</si>
  <si>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</si>
  <si>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</si>
  <si>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</si>
  <si>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</si>
  <si>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</si>
  <si>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</si>
  <si>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</si>
  <si>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</si>
  <si>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</si>
  <si>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</si>
  <si>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</si>
  <si>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</si>
  <si>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</si>
  <si>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</si>
  <si>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</si>
  <si>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</si>
  <si>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</si>
  <si>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</si>
  <si>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</si>
  <si>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</si>
  <si>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</si>
  <si>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</si>
  <si>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</si>
  <si>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</si>
  <si>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</si>
  <si>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</si>
  <si>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</si>
  <si>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</si>
  <si>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</si>
  <si>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</si>
  <si>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</si>
  <si>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</si>
  <si>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</si>
  <si>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</si>
  <si>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</si>
  <si>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</si>
  <si>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</si>
  <si>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</si>
  <si>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</si>
  <si>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</si>
  <si>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</si>
  <si>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</si>
  <si>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</si>
  <si>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</si>
  <si>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</si>
  <si>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</si>
  <si>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</si>
  <si>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</si>
  <si>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</si>
  <si>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</si>
  <si>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</si>
  <si>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</si>
  <si>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</si>
  <si>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</si>
  <si>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</si>
  <si>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</si>
  <si>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</si>
  <si>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</si>
  <si>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Kireka road</t>
  </si>
  <si>
    <t xml:space="preserve">Kireka </t>
  </si>
  <si>
    <t>Kinawataka</t>
  </si>
  <si>
    <t>Omeje Brian</t>
  </si>
  <si>
    <t>Steven</t>
  </si>
  <si>
    <t>MCC - C1 - STN042 - KIREKA  ROAD</t>
  </si>
  <si>
    <t>Kireka</t>
  </si>
  <si>
    <t>29.07.19</t>
  </si>
  <si>
    <t>30.07.19</t>
  </si>
  <si>
    <t>Batrice</t>
  </si>
  <si>
    <t>Mirembe Keren</t>
  </si>
  <si>
    <t>01.08.19</t>
  </si>
  <si>
    <t>Awori Jane</t>
  </si>
  <si>
    <t>31.08.19</t>
  </si>
  <si>
    <t>02.08.19</t>
  </si>
  <si>
    <t>03.08.19</t>
  </si>
  <si>
    <t>04.08.19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</si>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</sst>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Kinawataka-Kireka'!$AE$9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Kinawataka-Kireka'!$AE$10:$AE$21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465</c:v>
                </c:pt>
                <c:pt idx="4">
                  <c:v>412</c:v>
                </c:pt>
                <c:pt idx="5">
                  <c:v>318</c:v>
                </c:pt>
                <c:pt idx="6">
                  <c:v>322</c:v>
                </c:pt>
                <c:pt idx="7">
                  <c:v>376</c:v>
                </c:pt>
                <c:pt idx="8">
                  <c:v>446</c:v>
                </c:pt>
                <c:pt idx="9">
                  <c:v>532</c:v>
                </c:pt>
                <c:pt idx="10">
                  <c:v>657</c:v>
                </c:pt>
                <c:pt idx="11">
                  <c:v>589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'29.07 Kinawataka-Kireka'!$AF$9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Kinawataka-Kireka'!$AF$10:$AF$21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970</c:v>
                </c:pt>
                <c:pt idx="4">
                  <c:v>1048</c:v>
                </c:pt>
                <c:pt idx="5">
                  <c:v>848</c:v>
                </c:pt>
                <c:pt idx="6">
                  <c:v>814</c:v>
                </c:pt>
                <c:pt idx="7">
                  <c:v>734</c:v>
                </c:pt>
                <c:pt idx="8">
                  <c:v>904</c:v>
                </c:pt>
                <c:pt idx="9">
                  <c:v>934</c:v>
                </c:pt>
                <c:pt idx="10">
                  <c:v>1092</c:v>
                </c:pt>
                <c:pt idx="11">
                  <c:v>1149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3248464"/>
        <c:axId val="-1313237584"/>
      </c:lineChart>
      <c:catAx>
        <c:axId val="-13132484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313237584"/>
        <c:crosses val="autoZero"/>
        <c:auto val="1"/>
        <c:lblAlgn val="ctr"/>
        <c:lblOffset val="100"/>
        <c:noMultiLvlLbl val="0"/>
      </c:catAx>
      <c:valAx>
        <c:axId val="-13132375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313248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Kinawataka-Kireka'!$C$9:$N$9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Kinawataka-Kireka'!$C$59:$N$59</c:f>
              <c:numCache>
                <c:formatCode>0.0%</c:formatCode>
                <c:ptCount val="12"/>
                <c:pt idx="0">
                  <c:v>0.2450253149652655</c:v>
                </c:pt>
                <c:pt idx="1">
                  <c:v>2.0722948310373249E-2</c:v>
                </c:pt>
                <c:pt idx="2">
                  <c:v>3.6029671494171668E-2</c:v>
                </c:pt>
                <c:pt idx="3">
                  <c:v>6.4994701518897913E-2</c:v>
                </c:pt>
                <c:pt idx="4">
                  <c:v>1.0361474155186625E-2</c:v>
                </c:pt>
                <c:pt idx="5">
                  <c:v>2.3548804898151419E-4</c:v>
                </c:pt>
                <c:pt idx="6">
                  <c:v>5.4868715412692809E-2</c:v>
                </c:pt>
                <c:pt idx="7">
                  <c:v>2.1782644530790062E-2</c:v>
                </c:pt>
                <c:pt idx="8">
                  <c:v>9.419521959260567E-3</c:v>
                </c:pt>
                <c:pt idx="9">
                  <c:v>2.1311668432827034E-2</c:v>
                </c:pt>
                <c:pt idx="10">
                  <c:v>0.51524785117155303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Kinawataka-Kireka'!$C$9:$N$9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Kinawataka-Kireka'!$C$60:$N$60</c:f>
              <c:numCache>
                <c:formatCode>0.00%</c:formatCode>
                <c:ptCount val="12"/>
                <c:pt idx="0">
                  <c:v>0.50546514452271074</c:v>
                </c:pt>
                <c:pt idx="1">
                  <c:v>4.2749574933203791E-2</c:v>
                </c:pt>
                <c:pt idx="2">
                  <c:v>7.432596550886568E-2</c:v>
                </c:pt>
                <c:pt idx="3">
                  <c:v>0.13407821229050279</c:v>
                </c:pt>
                <c:pt idx="4">
                  <c:v>2.1374787466601895E-2</c:v>
                </c:pt>
                <c:pt idx="5">
                  <c:v>4.8579062424095217E-4</c:v>
                </c:pt>
                <c:pt idx="6">
                  <c:v>0.11318921544814185</c:v>
                </c:pt>
                <c:pt idx="7">
                  <c:v>4.4935632742288074E-2</c:v>
                </c:pt>
                <c:pt idx="8">
                  <c:v>1.9431624969638087E-2</c:v>
                </c:pt>
                <c:pt idx="9">
                  <c:v>4.3964051493806167E-2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Kireka-Kinawataka'!$AE$9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'29.07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Kireka-Kinawataka'!$AE$10:$AE$21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492</c:v>
                </c:pt>
                <c:pt idx="4">
                  <c:v>485</c:v>
                </c:pt>
                <c:pt idx="5">
                  <c:v>292</c:v>
                </c:pt>
                <c:pt idx="6">
                  <c:v>262</c:v>
                </c:pt>
                <c:pt idx="7">
                  <c:v>420</c:v>
                </c:pt>
                <c:pt idx="8">
                  <c:v>375</c:v>
                </c:pt>
                <c:pt idx="9">
                  <c:v>396</c:v>
                </c:pt>
                <c:pt idx="10">
                  <c:v>351</c:v>
                </c:pt>
                <c:pt idx="11">
                  <c:v>346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'29.07 Kireka-Kinawataka'!$AF$9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'29.07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Kireka-Kinawataka'!$AF$10:$AF$21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813</c:v>
                </c:pt>
                <c:pt idx="4">
                  <c:v>937</c:v>
                </c:pt>
                <c:pt idx="5">
                  <c:v>712</c:v>
                </c:pt>
                <c:pt idx="6">
                  <c:v>640</c:v>
                </c:pt>
                <c:pt idx="7">
                  <c:v>723</c:v>
                </c:pt>
                <c:pt idx="8">
                  <c:v>736</c:v>
                </c:pt>
                <c:pt idx="9">
                  <c:v>716</c:v>
                </c:pt>
                <c:pt idx="10">
                  <c:v>698</c:v>
                </c:pt>
                <c:pt idx="11">
                  <c:v>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463068736"/>
        <c:axId val="-1224155296"/>
      </c:lineChart>
      <c:catAx>
        <c:axId val="-146306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4155296"/>
        <c:crosses val="autoZero"/>
        <c:auto val="1"/>
        <c:lblAlgn val="ctr"/>
        <c:lblOffset val="100"/>
        <c:noMultiLvlLbl val="0"/>
      </c:catAx>
      <c:valAx>
        <c:axId val="-12241552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46306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Kireka-Kinawataka'!$C$9:$N$9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Kireka-Kinawataka'!$C$59:$N$59</c:f>
              <c:numCache>
                <c:formatCode>0.0%</c:formatCode>
                <c:ptCount val="12"/>
                <c:pt idx="0">
                  <c:v>0.16674197921373701</c:v>
                </c:pt>
                <c:pt idx="1">
                  <c:v>0.10106943816839886</c:v>
                </c:pt>
                <c:pt idx="2">
                  <c:v>4.0518150323843954E-2</c:v>
                </c:pt>
                <c:pt idx="3">
                  <c:v>8.7663804789877994E-2</c:v>
                </c:pt>
                <c:pt idx="4">
                  <c:v>5.1212532007832504E-3</c:v>
                </c:pt>
                <c:pt idx="5">
                  <c:v>4.5187528242205153E-4</c:v>
                </c:pt>
                <c:pt idx="6">
                  <c:v>2.199126374453984E-2</c:v>
                </c:pt>
                <c:pt idx="7">
                  <c:v>5.1513782196113869E-2</c:v>
                </c:pt>
                <c:pt idx="8">
                  <c:v>1.9280012050007532E-2</c:v>
                </c:pt>
                <c:pt idx="9">
                  <c:v>2.0485012803133001E-2</c:v>
                </c:pt>
                <c:pt idx="10">
                  <c:v>0.48501280313300194</c:v>
                </c:pt>
                <c:pt idx="11">
                  <c:v>1.5062509414068384E-4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'29.07 Kireka-Kinawataka'!$S$9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'29.07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Kireka-Kinawataka'!$S$10:$S$21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169</c:v>
                </c:pt>
                <c:pt idx="4">
                  <c:v>179</c:v>
                </c:pt>
                <c:pt idx="5">
                  <c:v>91</c:v>
                </c:pt>
                <c:pt idx="6">
                  <c:v>88</c:v>
                </c:pt>
                <c:pt idx="7">
                  <c:v>140</c:v>
                </c:pt>
                <c:pt idx="8">
                  <c:v>105</c:v>
                </c:pt>
                <c:pt idx="9">
                  <c:v>122</c:v>
                </c:pt>
                <c:pt idx="10">
                  <c:v>109</c:v>
                </c:pt>
                <c:pt idx="11">
                  <c:v>104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'29.07 Kireka-Kinawataka'!$T$9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'29.07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'29.07 Kireka-Kinawataka'!$T$10:$T$21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111</c:v>
                </c:pt>
                <c:pt idx="4">
                  <c:v>85</c:v>
                </c:pt>
                <c:pt idx="5">
                  <c:v>59</c:v>
                </c:pt>
                <c:pt idx="6">
                  <c:v>53</c:v>
                </c:pt>
                <c:pt idx="7">
                  <c:v>76</c:v>
                </c:pt>
                <c:pt idx="8">
                  <c:v>80</c:v>
                </c:pt>
                <c:pt idx="9">
                  <c:v>78</c:v>
                </c:pt>
                <c:pt idx="10">
                  <c:v>60</c:v>
                </c:pt>
                <c:pt idx="11">
                  <c:v>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'29.07 Kireka-Kinawataka'!$U$9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'29.07 Kireka-Kinawataka'!$U$10:$U$21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34</c:v>
                </c:pt>
                <c:pt idx="4">
                  <c:v>49</c:v>
                </c:pt>
                <c:pt idx="5">
                  <c:v>19</c:v>
                </c:pt>
                <c:pt idx="6">
                  <c:v>19</c:v>
                </c:pt>
                <c:pt idx="7">
                  <c:v>22</c:v>
                </c:pt>
                <c:pt idx="8">
                  <c:v>38</c:v>
                </c:pt>
                <c:pt idx="9">
                  <c:v>29</c:v>
                </c:pt>
                <c:pt idx="10">
                  <c:v>29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'29.07 Kireka-Kinawataka'!$V$9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'29.07 Kireka-Kinawataka'!$V$10:$V$21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96</c:v>
                </c:pt>
                <c:pt idx="4">
                  <c:v>68</c:v>
                </c:pt>
                <c:pt idx="5">
                  <c:v>48</c:v>
                </c:pt>
                <c:pt idx="6">
                  <c:v>31</c:v>
                </c:pt>
                <c:pt idx="7">
                  <c:v>68</c:v>
                </c:pt>
                <c:pt idx="8">
                  <c:v>76</c:v>
                </c:pt>
                <c:pt idx="9">
                  <c:v>58</c:v>
                </c:pt>
                <c:pt idx="10">
                  <c:v>66</c:v>
                </c:pt>
                <c:pt idx="11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'29.07 Kireka-Kinawataka'!$W$9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'29.07 Kireka-Kinawataka'!$W$10:$W$21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8</c:v>
                </c:pt>
                <c:pt idx="8">
                  <c:v>0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'29.07 Kireka-Kinawataka'!$X$9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'29.07 Kireka-Kinawataka'!$X$10:$X$21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'29.07 Kireka-Kinawataka'!$Y$9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Kireka-Kinawataka'!$Y$10:$Y$21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17</c:v>
                </c:pt>
                <c:pt idx="4">
                  <c:v>17</c:v>
                </c:pt>
                <c:pt idx="5">
                  <c:v>15</c:v>
                </c:pt>
                <c:pt idx="6">
                  <c:v>7</c:v>
                </c:pt>
                <c:pt idx="7">
                  <c:v>22</c:v>
                </c:pt>
                <c:pt idx="8">
                  <c:v>15</c:v>
                </c:pt>
                <c:pt idx="9">
                  <c:v>21</c:v>
                </c:pt>
                <c:pt idx="10">
                  <c:v>20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'29.07 Kireka-Kinawataka'!$Z$9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Kireka-Kinawataka'!$Z$10:$Z$21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25</c:v>
                </c:pt>
                <c:pt idx="4">
                  <c:v>33</c:v>
                </c:pt>
                <c:pt idx="5">
                  <c:v>37</c:v>
                </c:pt>
                <c:pt idx="6">
                  <c:v>37</c:v>
                </c:pt>
                <c:pt idx="7">
                  <c:v>50</c:v>
                </c:pt>
                <c:pt idx="8">
                  <c:v>28</c:v>
                </c:pt>
                <c:pt idx="9">
                  <c:v>58</c:v>
                </c:pt>
                <c:pt idx="10">
                  <c:v>35</c:v>
                </c:pt>
                <c:pt idx="1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'29.07 Kireka-Kinawataka'!$AA$9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Kireka-Kinawataka'!$AA$10:$AA$21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</c:v>
                </c:pt>
                <c:pt idx="4">
                  <c:v>35</c:v>
                </c:pt>
                <c:pt idx="5">
                  <c:v>10</c:v>
                </c:pt>
                <c:pt idx="6">
                  <c:v>10</c:v>
                </c:pt>
                <c:pt idx="7">
                  <c:v>14</c:v>
                </c:pt>
                <c:pt idx="8">
                  <c:v>16</c:v>
                </c:pt>
                <c:pt idx="9">
                  <c:v>8</c:v>
                </c:pt>
                <c:pt idx="10">
                  <c:v>8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'29.07 Kireka-Kinawataka'!$AB$9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Kireka-Kinawataka'!$AB$10:$AB$21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11</c:v>
                </c:pt>
                <c:pt idx="4">
                  <c:v>18</c:v>
                </c:pt>
                <c:pt idx="5">
                  <c:v>11</c:v>
                </c:pt>
                <c:pt idx="6">
                  <c:v>16</c:v>
                </c:pt>
                <c:pt idx="7">
                  <c:v>20</c:v>
                </c:pt>
                <c:pt idx="8">
                  <c:v>17</c:v>
                </c:pt>
                <c:pt idx="9">
                  <c:v>17</c:v>
                </c:pt>
                <c:pt idx="10">
                  <c:v>18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'29.07 Kireka-Kinawataka'!$AC$9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Kireka-Kinawataka'!$AC$10:$AC$21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321</c:v>
                </c:pt>
                <c:pt idx="4">
                  <c:v>452</c:v>
                </c:pt>
                <c:pt idx="5">
                  <c:v>420</c:v>
                </c:pt>
                <c:pt idx="6">
                  <c:v>378</c:v>
                </c:pt>
                <c:pt idx="7">
                  <c:v>303</c:v>
                </c:pt>
                <c:pt idx="8">
                  <c:v>361</c:v>
                </c:pt>
                <c:pt idx="9">
                  <c:v>320</c:v>
                </c:pt>
                <c:pt idx="10">
                  <c:v>347</c:v>
                </c:pt>
                <c:pt idx="11">
                  <c:v>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'29.07 Kireka-Kinawataka'!$AD$9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'29.07 Kireka-Kinawataka'!$AD$10:$AD$21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24154208"/>
        <c:axId val="-1224161824"/>
      </c:lineChart>
      <c:catAx>
        <c:axId val="-122415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4161824"/>
        <c:crosses val="autoZero"/>
        <c:auto val="1"/>
        <c:lblAlgn val="ctr"/>
        <c:lblOffset val="100"/>
        <c:noMultiLvlLbl val="0"/>
      </c:catAx>
      <c:valAx>
        <c:axId val="-122416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415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'29.07 Kireka-Kinawataka'!$C$9:$N$9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'29.07 Kireka-Kinawataka'!$C$60:$N$60</c:f>
              <c:numCache>
                <c:formatCode>0.00%</c:formatCode>
                <c:ptCount val="12"/>
                <c:pt idx="0">
                  <c:v>0.32377888271424393</c:v>
                </c:pt>
                <c:pt idx="1">
                  <c:v>0.1962562152676221</c:v>
                </c:pt>
                <c:pt idx="2">
                  <c:v>7.8677976016379061E-2</c:v>
                </c:pt>
                <c:pt idx="3">
                  <c:v>0.17022521205030711</c:v>
                </c:pt>
                <c:pt idx="4">
                  <c:v>9.9444281953787652E-3</c:v>
                </c:pt>
                <c:pt idx="5">
                  <c:v>8.774495466510676E-4</c:v>
                </c:pt>
                <c:pt idx="6">
                  <c:v>4.2702544603685291E-2</c:v>
                </c:pt>
                <c:pt idx="7">
                  <c:v>0.1000292483182217</c:v>
                </c:pt>
                <c:pt idx="8">
                  <c:v>3.7437847323778882E-2</c:v>
                </c:pt>
                <c:pt idx="9">
                  <c:v>3.9777712781515061E-2</c:v>
                </c:pt>
                <c:pt idx="11">
                  <c:v>2.9248318221702252E-4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Kinawataka-Kireka'!$AE$9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Kinawataka-Kireka'!$AE$10:$AE$21</c:f>
              <c:numCache>
                <c:formatCode>0</c:formatCode>
                <c:ptCount val="12"/>
                <c:pt idx="0">
                  <c:v>305</c:v>
                </c:pt>
                <c:pt idx="1">
                  <c:v>320</c:v>
                </c:pt>
                <c:pt idx="2">
                  <c:v>381</c:v>
                </c:pt>
                <c:pt idx="3">
                  <c:v>400</c:v>
                </c:pt>
                <c:pt idx="4">
                  <c:v>409</c:v>
                </c:pt>
                <c:pt idx="5">
                  <c:v>321</c:v>
                </c:pt>
                <c:pt idx="6">
                  <c:v>290</c:v>
                </c:pt>
                <c:pt idx="7">
                  <c:v>306</c:v>
                </c:pt>
                <c:pt idx="8">
                  <c:v>278</c:v>
                </c:pt>
                <c:pt idx="9">
                  <c:v>529</c:v>
                </c:pt>
                <c:pt idx="10">
                  <c:v>453</c:v>
                </c:pt>
                <c:pt idx="11">
                  <c:v>482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'30.07 Kinawataka-Kireka'!$AF$9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Kinawataka-Kireka'!$AF$10:$AF$21</c:f>
              <c:numCache>
                <c:formatCode>0</c:formatCode>
                <c:ptCount val="12"/>
                <c:pt idx="0">
                  <c:v>868</c:v>
                </c:pt>
                <c:pt idx="1">
                  <c:v>935</c:v>
                </c:pt>
                <c:pt idx="2">
                  <c:v>776</c:v>
                </c:pt>
                <c:pt idx="3">
                  <c:v>873</c:v>
                </c:pt>
                <c:pt idx="4">
                  <c:v>804</c:v>
                </c:pt>
                <c:pt idx="5">
                  <c:v>646</c:v>
                </c:pt>
                <c:pt idx="6">
                  <c:v>615</c:v>
                </c:pt>
                <c:pt idx="7">
                  <c:v>621</c:v>
                </c:pt>
                <c:pt idx="8">
                  <c:v>528</c:v>
                </c:pt>
                <c:pt idx="9">
                  <c:v>904</c:v>
                </c:pt>
                <c:pt idx="10">
                  <c:v>828</c:v>
                </c:pt>
                <c:pt idx="11">
                  <c:v>1032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24153120"/>
        <c:axId val="-1224165632"/>
      </c:lineChart>
      <c:catAx>
        <c:axId val="-12241531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4165632"/>
        <c:crosses val="autoZero"/>
        <c:auto val="1"/>
        <c:lblAlgn val="ctr"/>
        <c:lblOffset val="100"/>
        <c:noMultiLvlLbl val="0"/>
      </c:catAx>
      <c:valAx>
        <c:axId val="-12241656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415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Kinawataka-Kireka'!$C$9:$N$9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Kinawataka-Kireka'!$C$59:$N$59</c:f>
              <c:numCache>
                <c:formatCode>0.0%</c:formatCode>
                <c:ptCount val="12"/>
                <c:pt idx="0">
                  <c:v>0.22831389183457051</c:v>
                </c:pt>
                <c:pt idx="1">
                  <c:v>1.9724284199363732E-2</c:v>
                </c:pt>
                <c:pt idx="2">
                  <c:v>3.4782608695652174E-2</c:v>
                </c:pt>
                <c:pt idx="3">
                  <c:v>7.7730646871686113E-2</c:v>
                </c:pt>
                <c:pt idx="4">
                  <c:v>1.0498409331919405E-2</c:v>
                </c:pt>
                <c:pt idx="5">
                  <c:v>4.2417815482502649E-4</c:v>
                </c:pt>
                <c:pt idx="6">
                  <c:v>4.9098621420996816E-2</c:v>
                </c:pt>
                <c:pt idx="7">
                  <c:v>1.9724284199363732E-2</c:v>
                </c:pt>
                <c:pt idx="8">
                  <c:v>1.007423117709438E-2</c:v>
                </c:pt>
                <c:pt idx="9">
                  <c:v>2.3647932131495228E-2</c:v>
                </c:pt>
                <c:pt idx="10">
                  <c:v>0.52555673382820789</c:v>
                </c:pt>
                <c:pt idx="11">
                  <c:v>4.2417815482502649E-4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Kinawataka-Kireka'!$S$9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Kinawataka-Kireka'!$S$10:$S$21</c:f>
              <c:numCache>
                <c:formatCode>0</c:formatCode>
                <c:ptCount val="12"/>
                <c:pt idx="0">
                  <c:v>133</c:v>
                </c:pt>
                <c:pt idx="1">
                  <c:v>131</c:v>
                </c:pt>
                <c:pt idx="2">
                  <c:v>150</c:v>
                </c:pt>
                <c:pt idx="3">
                  <c:v>168</c:v>
                </c:pt>
                <c:pt idx="4">
                  <c:v>178</c:v>
                </c:pt>
                <c:pt idx="5">
                  <c:v>137</c:v>
                </c:pt>
                <c:pt idx="6">
                  <c:v>138</c:v>
                </c:pt>
                <c:pt idx="7">
                  <c:v>146</c:v>
                </c:pt>
                <c:pt idx="8">
                  <c:v>124</c:v>
                </c:pt>
                <c:pt idx="9">
                  <c:v>270</c:v>
                </c:pt>
                <c:pt idx="10">
                  <c:v>278</c:v>
                </c:pt>
                <c:pt idx="11">
                  <c:v>300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'30.07 Kinawataka-Kireka'!$T$9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Kinawataka-Kireka'!$T$10:$T$21</c:f>
              <c:numCache>
                <c:formatCode>0</c:formatCode>
                <c:ptCount val="12"/>
                <c:pt idx="0">
                  <c:v>8</c:v>
                </c:pt>
                <c:pt idx="1">
                  <c:v>15</c:v>
                </c:pt>
                <c:pt idx="2">
                  <c:v>11</c:v>
                </c:pt>
                <c:pt idx="3">
                  <c:v>20</c:v>
                </c:pt>
                <c:pt idx="4">
                  <c:v>14</c:v>
                </c:pt>
                <c:pt idx="5">
                  <c:v>13</c:v>
                </c:pt>
                <c:pt idx="6">
                  <c:v>12</c:v>
                </c:pt>
                <c:pt idx="7">
                  <c:v>11</c:v>
                </c:pt>
                <c:pt idx="8">
                  <c:v>8</c:v>
                </c:pt>
                <c:pt idx="9">
                  <c:v>30</c:v>
                </c:pt>
                <c:pt idx="10">
                  <c:v>15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'30.07 Kinawataka-Kireka'!$U$9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Kinawataka-Kireka'!$U$10:$U$21</c:f>
              <c:numCache>
                <c:formatCode>0</c:formatCode>
                <c:ptCount val="12"/>
                <c:pt idx="0">
                  <c:v>20</c:v>
                </c:pt>
                <c:pt idx="1">
                  <c:v>25</c:v>
                </c:pt>
                <c:pt idx="2">
                  <c:v>26</c:v>
                </c:pt>
                <c:pt idx="3">
                  <c:v>31</c:v>
                </c:pt>
                <c:pt idx="4">
                  <c:v>30</c:v>
                </c:pt>
                <c:pt idx="5">
                  <c:v>22</c:v>
                </c:pt>
                <c:pt idx="6">
                  <c:v>20</c:v>
                </c:pt>
                <c:pt idx="7">
                  <c:v>21</c:v>
                </c:pt>
                <c:pt idx="8">
                  <c:v>16</c:v>
                </c:pt>
                <c:pt idx="9">
                  <c:v>33</c:v>
                </c:pt>
                <c:pt idx="10">
                  <c:v>42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'30.07 Kinawataka-Kireka'!$V$9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Kinawataka-Kireka'!$V$10:$V$21</c:f>
              <c:numCache>
                <c:formatCode>0</c:formatCode>
                <c:ptCount val="12"/>
                <c:pt idx="0">
                  <c:v>95</c:v>
                </c:pt>
                <c:pt idx="1">
                  <c:v>87</c:v>
                </c:pt>
                <c:pt idx="2">
                  <c:v>96</c:v>
                </c:pt>
                <c:pt idx="3">
                  <c:v>80</c:v>
                </c:pt>
                <c:pt idx="4">
                  <c:v>77</c:v>
                </c:pt>
                <c:pt idx="5">
                  <c:v>51</c:v>
                </c:pt>
                <c:pt idx="6">
                  <c:v>41</c:v>
                </c:pt>
                <c:pt idx="7">
                  <c:v>29</c:v>
                </c:pt>
                <c:pt idx="8">
                  <c:v>34</c:v>
                </c:pt>
                <c:pt idx="9">
                  <c:v>55</c:v>
                </c:pt>
                <c:pt idx="10">
                  <c:v>37</c:v>
                </c:pt>
                <c:pt idx="11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'30.07 Kinawataka-Kireka'!$W$9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Kinawataka-Kireka'!$W$10:$W$21</c:f>
              <c:numCache>
                <c:formatCode>0</c:formatCode>
                <c:ptCount val="12"/>
                <c:pt idx="0">
                  <c:v>9</c:v>
                </c:pt>
                <c:pt idx="1">
                  <c:v>11</c:v>
                </c:pt>
                <c:pt idx="2">
                  <c:v>9</c:v>
                </c:pt>
                <c:pt idx="3">
                  <c:v>9</c:v>
                </c:pt>
                <c:pt idx="4">
                  <c:v>5</c:v>
                </c:pt>
                <c:pt idx="5">
                  <c:v>5</c:v>
                </c:pt>
                <c:pt idx="6">
                  <c:v>7</c:v>
                </c:pt>
                <c:pt idx="7">
                  <c:v>10</c:v>
                </c:pt>
                <c:pt idx="8">
                  <c:v>7</c:v>
                </c:pt>
                <c:pt idx="9">
                  <c:v>9</c:v>
                </c:pt>
                <c:pt idx="10">
                  <c:v>12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'30.07 Kinawataka-Kireka'!$X$9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Kinawataka-Kireka'!$X$10:$X$21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'30.07 Kinawataka-Kireka'!$Y$9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Kinawataka-Kireka'!$Y$10:$Y$21</c:f>
              <c:numCache>
                <c:formatCode>0</c:formatCode>
                <c:ptCount val="12"/>
                <c:pt idx="0">
                  <c:v>23</c:v>
                </c:pt>
                <c:pt idx="1">
                  <c:v>28</c:v>
                </c:pt>
                <c:pt idx="2">
                  <c:v>56</c:v>
                </c:pt>
                <c:pt idx="3">
                  <c:v>38</c:v>
                </c:pt>
                <c:pt idx="4">
                  <c:v>49</c:v>
                </c:pt>
                <c:pt idx="5">
                  <c:v>34</c:v>
                </c:pt>
                <c:pt idx="6">
                  <c:v>35</c:v>
                </c:pt>
                <c:pt idx="7">
                  <c:v>30</c:v>
                </c:pt>
                <c:pt idx="8">
                  <c:v>53</c:v>
                </c:pt>
                <c:pt idx="9">
                  <c:v>61</c:v>
                </c:pt>
                <c:pt idx="10">
                  <c:v>23</c:v>
                </c:pt>
                <c:pt idx="1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'30.07 Kinawataka-Kireka'!$Z$9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Kinawataka-Kireka'!$Z$10:$Z$21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12</c:v>
                </c:pt>
                <c:pt idx="3">
                  <c:v>19</c:v>
                </c:pt>
                <c:pt idx="4">
                  <c:v>18</c:v>
                </c:pt>
                <c:pt idx="5">
                  <c:v>25</c:v>
                </c:pt>
                <c:pt idx="6">
                  <c:v>13</c:v>
                </c:pt>
                <c:pt idx="7">
                  <c:v>23</c:v>
                </c:pt>
                <c:pt idx="8">
                  <c:v>15</c:v>
                </c:pt>
                <c:pt idx="9">
                  <c:v>30</c:v>
                </c:pt>
                <c:pt idx="10">
                  <c:v>12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'30.07 Kinawataka-Kireka'!$AA$9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Kinawataka-Kireka'!$AA$10:$AA$21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5</c:v>
                </c:pt>
                <c:pt idx="3">
                  <c:v>10</c:v>
                </c:pt>
                <c:pt idx="4">
                  <c:v>13</c:v>
                </c:pt>
                <c:pt idx="5">
                  <c:v>15</c:v>
                </c:pt>
                <c:pt idx="6">
                  <c:v>5</c:v>
                </c:pt>
                <c:pt idx="7">
                  <c:v>8</c:v>
                </c:pt>
                <c:pt idx="8">
                  <c:v>4</c:v>
                </c:pt>
                <c:pt idx="9">
                  <c:v>12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'30.07 Kinawataka-Kireka'!$AB$9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Kinawataka-Kireka'!$AB$10:$AB$21</c:f>
              <c:numCache>
                <c:formatCode>0</c:formatCode>
                <c:ptCount val="12"/>
                <c:pt idx="0">
                  <c:v>5</c:v>
                </c:pt>
                <c:pt idx="1">
                  <c:v>13</c:v>
                </c:pt>
                <c:pt idx="2">
                  <c:v>14</c:v>
                </c:pt>
                <c:pt idx="3">
                  <c:v>23</c:v>
                </c:pt>
                <c:pt idx="4">
                  <c:v>25</c:v>
                </c:pt>
                <c:pt idx="5">
                  <c:v>17</c:v>
                </c:pt>
                <c:pt idx="6">
                  <c:v>19</c:v>
                </c:pt>
                <c:pt idx="7">
                  <c:v>28</c:v>
                </c:pt>
                <c:pt idx="8">
                  <c:v>17</c:v>
                </c:pt>
                <c:pt idx="9">
                  <c:v>29</c:v>
                </c:pt>
                <c:pt idx="10">
                  <c:v>26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'30.07 Kinawataka-Kireka'!$AC$9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Kinawataka-Kireka'!$AC$10:$AC$21</c:f>
              <c:numCache>
                <c:formatCode>0</c:formatCode>
                <c:ptCount val="12"/>
                <c:pt idx="0">
                  <c:v>563</c:v>
                </c:pt>
                <c:pt idx="1">
                  <c:v>615</c:v>
                </c:pt>
                <c:pt idx="2">
                  <c:v>395</c:v>
                </c:pt>
                <c:pt idx="3">
                  <c:v>473</c:v>
                </c:pt>
                <c:pt idx="4">
                  <c:v>395</c:v>
                </c:pt>
                <c:pt idx="5">
                  <c:v>325</c:v>
                </c:pt>
                <c:pt idx="6">
                  <c:v>325</c:v>
                </c:pt>
                <c:pt idx="7">
                  <c:v>315</c:v>
                </c:pt>
                <c:pt idx="8">
                  <c:v>250</c:v>
                </c:pt>
                <c:pt idx="9">
                  <c:v>375</c:v>
                </c:pt>
                <c:pt idx="10">
                  <c:v>375</c:v>
                </c:pt>
                <c:pt idx="11">
                  <c:v>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'30.07 Kinawataka-Kireka'!$AD$9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Kinawataka-Kireka'!$AD$10:$AD$21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24152576"/>
        <c:axId val="-1224160192"/>
      </c:lineChart>
      <c:catAx>
        <c:axId val="-1224152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4160192"/>
        <c:crosses val="autoZero"/>
        <c:auto val="1"/>
        <c:lblAlgn val="ctr"/>
        <c:lblOffset val="100"/>
        <c:noMultiLvlLbl val="0"/>
      </c:catAx>
      <c:valAx>
        <c:axId val="-122416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4152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Kinawataka-Kireka'!$C$9:$N$9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Kinawataka-Kireka'!$C$60:$N$60</c:f>
              <c:numCache>
                <c:formatCode>0.00%</c:formatCode>
                <c:ptCount val="12"/>
                <c:pt idx="0">
                  <c:v>0.48122485471613768</c:v>
                </c:pt>
                <c:pt idx="1">
                  <c:v>4.1573535985695124E-2</c:v>
                </c:pt>
                <c:pt idx="2">
                  <c:v>7.3312472060795705E-2</c:v>
                </c:pt>
                <c:pt idx="3">
                  <c:v>0.16383549396513186</c:v>
                </c:pt>
                <c:pt idx="4">
                  <c:v>2.212784979883773E-2</c:v>
                </c:pt>
                <c:pt idx="5">
                  <c:v>8.9405453732677696E-4</c:v>
                </c:pt>
                <c:pt idx="6">
                  <c:v>0.10348681269557443</c:v>
                </c:pt>
                <c:pt idx="7">
                  <c:v>4.1573535985695124E-2</c:v>
                </c:pt>
                <c:pt idx="8">
                  <c:v>2.1233795261510952E-2</c:v>
                </c:pt>
                <c:pt idx="9">
                  <c:v>4.9843540455967811E-2</c:v>
                </c:pt>
                <c:pt idx="11">
                  <c:v>8.9405453732677696E-4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Kireka-Kinawataka'!$AE$9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'30.07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Kireka-Kinawataka'!$AE$10:$AE$21</c:f>
              <c:numCache>
                <c:formatCode>0</c:formatCode>
                <c:ptCount val="12"/>
                <c:pt idx="0">
                  <c:v>583</c:v>
                </c:pt>
                <c:pt idx="1">
                  <c:v>546</c:v>
                </c:pt>
                <c:pt idx="2">
                  <c:v>534</c:v>
                </c:pt>
                <c:pt idx="3">
                  <c:v>509</c:v>
                </c:pt>
                <c:pt idx="4">
                  <c:v>467</c:v>
                </c:pt>
                <c:pt idx="5">
                  <c:v>227</c:v>
                </c:pt>
                <c:pt idx="6">
                  <c:v>422</c:v>
                </c:pt>
                <c:pt idx="7">
                  <c:v>363</c:v>
                </c:pt>
                <c:pt idx="8">
                  <c:v>439</c:v>
                </c:pt>
                <c:pt idx="9">
                  <c:v>338</c:v>
                </c:pt>
                <c:pt idx="10">
                  <c:v>401</c:v>
                </c:pt>
                <c:pt idx="11">
                  <c:v>362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'30.07 Kireka-Kinawataka'!$AF$9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'30.07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Kireka-Kinawataka'!$AF$10:$AF$21</c:f>
              <c:numCache>
                <c:formatCode>0</c:formatCode>
                <c:ptCount val="12"/>
                <c:pt idx="0">
                  <c:v>1245</c:v>
                </c:pt>
                <c:pt idx="1">
                  <c:v>1045</c:v>
                </c:pt>
                <c:pt idx="2">
                  <c:v>1069</c:v>
                </c:pt>
                <c:pt idx="3">
                  <c:v>934</c:v>
                </c:pt>
                <c:pt idx="4">
                  <c:v>825</c:v>
                </c:pt>
                <c:pt idx="5">
                  <c:v>470</c:v>
                </c:pt>
                <c:pt idx="6">
                  <c:v>726</c:v>
                </c:pt>
                <c:pt idx="7">
                  <c:v>589</c:v>
                </c:pt>
                <c:pt idx="8">
                  <c:v>652</c:v>
                </c:pt>
                <c:pt idx="9">
                  <c:v>551</c:v>
                </c:pt>
                <c:pt idx="10">
                  <c:v>649</c:v>
                </c:pt>
                <c:pt idx="11">
                  <c:v>1142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24156384"/>
        <c:axId val="-1224164544"/>
      </c:lineChart>
      <c:catAx>
        <c:axId val="-12241563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4164544"/>
        <c:crosses val="autoZero"/>
        <c:auto val="1"/>
        <c:lblAlgn val="ctr"/>
        <c:lblOffset val="100"/>
        <c:noMultiLvlLbl val="0"/>
      </c:catAx>
      <c:valAx>
        <c:axId val="-1224164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4156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Kireka-Kinawataka'!$C$9:$N$9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Kireka-Kinawataka'!$C$59:$N$59</c:f>
              <c:numCache>
                <c:formatCode>0.0%</c:formatCode>
                <c:ptCount val="12"/>
                <c:pt idx="0">
                  <c:v>0.18945134889360413</c:v>
                </c:pt>
                <c:pt idx="1">
                  <c:v>0.10851773264625644</c:v>
                </c:pt>
                <c:pt idx="2">
                  <c:v>4.314438718803678E-2</c:v>
                </c:pt>
                <c:pt idx="3">
                  <c:v>8.3762756390825505E-2</c:v>
                </c:pt>
                <c:pt idx="4">
                  <c:v>8.7905425886632312E-3</c:v>
                </c:pt>
                <c:pt idx="5">
                  <c:v>1.2124886329190664E-3</c:v>
                </c:pt>
                <c:pt idx="6">
                  <c:v>2.3845609780741638E-2</c:v>
                </c:pt>
                <c:pt idx="7">
                  <c:v>3.5768414671112456E-2</c:v>
                </c:pt>
                <c:pt idx="8">
                  <c:v>1.5055067192078407E-2</c:v>
                </c:pt>
                <c:pt idx="9">
                  <c:v>1.4852985753258564E-2</c:v>
                </c:pt>
                <c:pt idx="10">
                  <c:v>0.47549762554309388</c:v>
                </c:pt>
                <c:pt idx="11">
                  <c:v>1.010407194099222E-4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'30.07 Kireka-Kinawataka'!$S$9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'30.07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Kireka-Kinawataka'!$S$10:$S$21</c:f>
              <c:numCache>
                <c:formatCode>0</c:formatCode>
                <c:ptCount val="12"/>
                <c:pt idx="0">
                  <c:v>282</c:v>
                </c:pt>
                <c:pt idx="1">
                  <c:v>226</c:v>
                </c:pt>
                <c:pt idx="2">
                  <c:v>176</c:v>
                </c:pt>
                <c:pt idx="3">
                  <c:v>169</c:v>
                </c:pt>
                <c:pt idx="4">
                  <c:v>164</c:v>
                </c:pt>
                <c:pt idx="5">
                  <c:v>82</c:v>
                </c:pt>
                <c:pt idx="6">
                  <c:v>109</c:v>
                </c:pt>
                <c:pt idx="7">
                  <c:v>126</c:v>
                </c:pt>
                <c:pt idx="8">
                  <c:v>146</c:v>
                </c:pt>
                <c:pt idx="9">
                  <c:v>151</c:v>
                </c:pt>
                <c:pt idx="10">
                  <c:v>130</c:v>
                </c:pt>
                <c:pt idx="11">
                  <c:v>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'30.07 Kireka-Kinawataka'!$T$9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'30.07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'30.07 Kireka-Kinawataka'!$T$10:$T$21</c:f>
              <c:numCache>
                <c:formatCode>0</c:formatCode>
                <c:ptCount val="12"/>
                <c:pt idx="0">
                  <c:v>110</c:v>
                </c:pt>
                <c:pt idx="1">
                  <c:v>118</c:v>
                </c:pt>
                <c:pt idx="2">
                  <c:v>126</c:v>
                </c:pt>
                <c:pt idx="3">
                  <c:v>118</c:v>
                </c:pt>
                <c:pt idx="4">
                  <c:v>110</c:v>
                </c:pt>
                <c:pt idx="5">
                  <c:v>42</c:v>
                </c:pt>
                <c:pt idx="6">
                  <c:v>85</c:v>
                </c:pt>
                <c:pt idx="7">
                  <c:v>78</c:v>
                </c:pt>
                <c:pt idx="8">
                  <c:v>91</c:v>
                </c:pt>
                <c:pt idx="9">
                  <c:v>59</c:v>
                </c:pt>
                <c:pt idx="10">
                  <c:v>82</c:v>
                </c:pt>
                <c:pt idx="11">
                  <c:v>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'30.07 Kireka-Kinawataka'!$U$9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'30.07 Kireka-Kinawataka'!$U$10:$U$21</c:f>
              <c:numCache>
                <c:formatCode>0</c:formatCode>
                <c:ptCount val="12"/>
                <c:pt idx="0">
                  <c:v>49</c:v>
                </c:pt>
                <c:pt idx="1">
                  <c:v>44</c:v>
                </c:pt>
                <c:pt idx="2">
                  <c:v>48</c:v>
                </c:pt>
                <c:pt idx="3">
                  <c:v>35</c:v>
                </c:pt>
                <c:pt idx="4">
                  <c:v>34</c:v>
                </c:pt>
                <c:pt idx="5">
                  <c:v>16</c:v>
                </c:pt>
                <c:pt idx="6">
                  <c:v>37</c:v>
                </c:pt>
                <c:pt idx="7">
                  <c:v>31</c:v>
                </c:pt>
                <c:pt idx="8">
                  <c:v>39</c:v>
                </c:pt>
                <c:pt idx="9">
                  <c:v>26</c:v>
                </c:pt>
                <c:pt idx="10">
                  <c:v>29</c:v>
                </c:pt>
                <c:pt idx="1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'30.07 Kireka-Kinawataka'!$V$9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'30.07 Kireka-Kinawataka'!$V$10:$V$21</c:f>
              <c:numCache>
                <c:formatCode>0</c:formatCode>
                <c:ptCount val="12"/>
                <c:pt idx="0">
                  <c:v>93</c:v>
                </c:pt>
                <c:pt idx="1">
                  <c:v>90</c:v>
                </c:pt>
                <c:pt idx="2">
                  <c:v>64</c:v>
                </c:pt>
                <c:pt idx="3">
                  <c:v>81</c:v>
                </c:pt>
                <c:pt idx="4">
                  <c:v>68</c:v>
                </c:pt>
                <c:pt idx="5">
                  <c:v>32</c:v>
                </c:pt>
                <c:pt idx="6">
                  <c:v>66</c:v>
                </c:pt>
                <c:pt idx="7">
                  <c:v>58</c:v>
                </c:pt>
                <c:pt idx="8">
                  <c:v>66</c:v>
                </c:pt>
                <c:pt idx="9">
                  <c:v>42</c:v>
                </c:pt>
                <c:pt idx="10">
                  <c:v>83</c:v>
                </c:pt>
                <c:pt idx="11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'30.07 Kireka-Kinawataka'!$W$9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'30.07 Kireka-Kinawataka'!$W$10:$W$21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45</c:v>
                </c:pt>
                <c:pt idx="3">
                  <c:v>6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11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'30.07 Kireka-Kinawataka'!$X$9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'30.07 Kireka-Kinawataka'!$X$10:$X$21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'30.07 Kireka-Kinawataka'!$Y$9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Kireka-Kinawataka'!$Y$10:$Y$21</c:f>
              <c:numCache>
                <c:formatCode>0</c:formatCode>
                <c:ptCount val="12"/>
                <c:pt idx="0">
                  <c:v>8</c:v>
                </c:pt>
                <c:pt idx="1">
                  <c:v>12</c:v>
                </c:pt>
                <c:pt idx="2">
                  <c:v>7</c:v>
                </c:pt>
                <c:pt idx="3">
                  <c:v>22</c:v>
                </c:pt>
                <c:pt idx="4">
                  <c:v>21</c:v>
                </c:pt>
                <c:pt idx="5">
                  <c:v>17</c:v>
                </c:pt>
                <c:pt idx="6">
                  <c:v>30</c:v>
                </c:pt>
                <c:pt idx="7">
                  <c:v>15</c:v>
                </c:pt>
                <c:pt idx="8">
                  <c:v>26</c:v>
                </c:pt>
                <c:pt idx="9">
                  <c:v>29</c:v>
                </c:pt>
                <c:pt idx="10">
                  <c:v>21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'30.07 Kireka-Kinawataka'!$Z$9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Kireka-Kinawataka'!$Z$10:$Z$21</c:f>
              <c:numCache>
                <c:formatCode>0</c:formatCode>
                <c:ptCount val="12"/>
                <c:pt idx="0">
                  <c:v>19</c:v>
                </c:pt>
                <c:pt idx="1">
                  <c:v>22</c:v>
                </c:pt>
                <c:pt idx="2">
                  <c:v>33</c:v>
                </c:pt>
                <c:pt idx="3">
                  <c:v>47</c:v>
                </c:pt>
                <c:pt idx="4">
                  <c:v>29</c:v>
                </c:pt>
                <c:pt idx="5">
                  <c:v>23</c:v>
                </c:pt>
                <c:pt idx="6">
                  <c:v>36</c:v>
                </c:pt>
                <c:pt idx="7">
                  <c:v>37</c:v>
                </c:pt>
                <c:pt idx="8">
                  <c:v>39</c:v>
                </c:pt>
                <c:pt idx="9">
                  <c:v>21</c:v>
                </c:pt>
                <c:pt idx="10">
                  <c:v>28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'30.07 Kireka-Kinawataka'!$AA$9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Kireka-Kinawataka'!$AA$10:$AA$21</c:f>
              <c:numCache>
                <c:formatCode>0</c:formatCode>
                <c:ptCount val="12"/>
                <c:pt idx="0">
                  <c:v>11</c:v>
                </c:pt>
                <c:pt idx="1">
                  <c:v>15</c:v>
                </c:pt>
                <c:pt idx="2">
                  <c:v>18</c:v>
                </c:pt>
                <c:pt idx="3">
                  <c:v>13</c:v>
                </c:pt>
                <c:pt idx="4">
                  <c:v>20</c:v>
                </c:pt>
                <c:pt idx="5">
                  <c:v>8</c:v>
                </c:pt>
                <c:pt idx="6">
                  <c:v>25</c:v>
                </c:pt>
                <c:pt idx="7">
                  <c:v>9</c:v>
                </c:pt>
                <c:pt idx="8">
                  <c:v>12</c:v>
                </c:pt>
                <c:pt idx="9">
                  <c:v>3</c:v>
                </c:pt>
                <c:pt idx="10">
                  <c:v>4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'30.07 Kireka-Kinawataka'!$AB$9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Kireka-Kinawataka'!$AB$10:$AB$21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14</c:v>
                </c:pt>
                <c:pt idx="3">
                  <c:v>17</c:v>
                </c:pt>
                <c:pt idx="4">
                  <c:v>20</c:v>
                </c:pt>
                <c:pt idx="5">
                  <c:v>6</c:v>
                </c:pt>
                <c:pt idx="6">
                  <c:v>30</c:v>
                </c:pt>
                <c:pt idx="7">
                  <c:v>7</c:v>
                </c:pt>
                <c:pt idx="8">
                  <c:v>19</c:v>
                </c:pt>
                <c:pt idx="9">
                  <c:v>6</c:v>
                </c:pt>
                <c:pt idx="10">
                  <c:v>12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'30.07 Kireka-Kinawataka'!$AC$9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Kireka-Kinawataka'!$AC$10:$AC$21</c:f>
              <c:numCache>
                <c:formatCode>0</c:formatCode>
                <c:ptCount val="12"/>
                <c:pt idx="0">
                  <c:v>662</c:v>
                </c:pt>
                <c:pt idx="1">
                  <c:v>499</c:v>
                </c:pt>
                <c:pt idx="2">
                  <c:v>535</c:v>
                </c:pt>
                <c:pt idx="3">
                  <c:v>425</c:v>
                </c:pt>
                <c:pt idx="4">
                  <c:v>358</c:v>
                </c:pt>
                <c:pt idx="5">
                  <c:v>243</c:v>
                </c:pt>
                <c:pt idx="6">
                  <c:v>304</c:v>
                </c:pt>
                <c:pt idx="7">
                  <c:v>226</c:v>
                </c:pt>
                <c:pt idx="8">
                  <c:v>213</c:v>
                </c:pt>
                <c:pt idx="9">
                  <c:v>213</c:v>
                </c:pt>
                <c:pt idx="10">
                  <c:v>248</c:v>
                </c:pt>
                <c:pt idx="11">
                  <c:v>780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'30.07 Kireka-Kinawataka'!$AD$9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'30.07 Kireka-Kinawataka'!$AD$10:$AD$21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23171104"/>
        <c:axId val="-1223169472"/>
      </c:lineChart>
      <c:catAx>
        <c:axId val="-122317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169472"/>
        <c:crosses val="autoZero"/>
        <c:auto val="1"/>
        <c:lblAlgn val="ctr"/>
        <c:lblOffset val="100"/>
        <c:noMultiLvlLbl val="0"/>
      </c:catAx>
      <c:valAx>
        <c:axId val="-122316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17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'30.07 Kireka-Kinawataka'!$C$9:$N$9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'30.07 Kireka-Kinawataka'!$C$60:$N$60</c:f>
              <c:numCache>
                <c:formatCode>0.00%</c:formatCode>
                <c:ptCount val="12"/>
                <c:pt idx="0">
                  <c:v>0.36120208052398384</c:v>
                </c:pt>
                <c:pt idx="1">
                  <c:v>0.20689655172413793</c:v>
                </c:pt>
                <c:pt idx="2">
                  <c:v>8.2257753804661909E-2</c:v>
                </c:pt>
                <c:pt idx="3">
                  <c:v>0.15969947986900404</c:v>
                </c:pt>
                <c:pt idx="4">
                  <c:v>1.6759776536312849E-2</c:v>
                </c:pt>
                <c:pt idx="5">
                  <c:v>2.3116933153534964E-3</c:v>
                </c:pt>
                <c:pt idx="6">
                  <c:v>4.5463301868618765E-2</c:v>
                </c:pt>
                <c:pt idx="7">
                  <c:v>6.8194952802928144E-2</c:v>
                </c:pt>
                <c:pt idx="8">
                  <c:v>2.8703525332305913E-2</c:v>
                </c:pt>
                <c:pt idx="9">
                  <c:v>2.831824311308033E-2</c:v>
                </c:pt>
                <c:pt idx="11">
                  <c:v>1.9264110961279138E-4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Kinawataka-Kireka'!$AE$9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Kinawataka-Kireka'!$AE$10:$AE$21</c:f>
              <c:numCache>
                <c:formatCode>0</c:formatCode>
                <c:ptCount val="12"/>
                <c:pt idx="0">
                  <c:v>326</c:v>
                </c:pt>
                <c:pt idx="1">
                  <c:v>283</c:v>
                </c:pt>
                <c:pt idx="2">
                  <c:v>301</c:v>
                </c:pt>
                <c:pt idx="3">
                  <c:v>371</c:v>
                </c:pt>
                <c:pt idx="4">
                  <c:v>364</c:v>
                </c:pt>
                <c:pt idx="5">
                  <c:v>319</c:v>
                </c:pt>
                <c:pt idx="6">
                  <c:v>423</c:v>
                </c:pt>
                <c:pt idx="7">
                  <c:v>396</c:v>
                </c:pt>
                <c:pt idx="8">
                  <c:v>592</c:v>
                </c:pt>
                <c:pt idx="9">
                  <c:v>592</c:v>
                </c:pt>
                <c:pt idx="10">
                  <c:v>517</c:v>
                </c:pt>
                <c:pt idx="11">
                  <c:v>481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'31.07 Kinawataka-Kireka'!$AF$9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Kinawataka-Kireka'!$AF$10:$AF$21</c:f>
              <c:numCache>
                <c:formatCode>0</c:formatCode>
                <c:ptCount val="12"/>
                <c:pt idx="0">
                  <c:v>661</c:v>
                </c:pt>
                <c:pt idx="1">
                  <c:v>993</c:v>
                </c:pt>
                <c:pt idx="2">
                  <c:v>806</c:v>
                </c:pt>
                <c:pt idx="3">
                  <c:v>826</c:v>
                </c:pt>
                <c:pt idx="4">
                  <c:v>864</c:v>
                </c:pt>
                <c:pt idx="5">
                  <c:v>665</c:v>
                </c:pt>
                <c:pt idx="6">
                  <c:v>773</c:v>
                </c:pt>
                <c:pt idx="7">
                  <c:v>746</c:v>
                </c:pt>
                <c:pt idx="8">
                  <c:v>1002</c:v>
                </c:pt>
                <c:pt idx="9">
                  <c:v>1002</c:v>
                </c:pt>
                <c:pt idx="10">
                  <c:v>952</c:v>
                </c:pt>
                <c:pt idx="11">
                  <c:v>986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23174368"/>
        <c:axId val="-1223161312"/>
      </c:lineChart>
      <c:catAx>
        <c:axId val="-12231743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161312"/>
        <c:crosses val="autoZero"/>
        <c:auto val="1"/>
        <c:lblAlgn val="ctr"/>
        <c:lblOffset val="100"/>
        <c:noMultiLvlLbl val="0"/>
      </c:catAx>
      <c:valAx>
        <c:axId val="-12231613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17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Kinawataka-Kireka'!$C$9:$N$9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Kinawataka-Kireka'!$C$59:$N$59</c:f>
              <c:numCache>
                <c:formatCode>0.0%</c:formatCode>
                <c:ptCount val="12"/>
                <c:pt idx="0">
                  <c:v>0.24552355001946283</c:v>
                </c:pt>
                <c:pt idx="1">
                  <c:v>2.6469443363176332E-2</c:v>
                </c:pt>
                <c:pt idx="2">
                  <c:v>3.62008563643441E-2</c:v>
                </c:pt>
                <c:pt idx="3">
                  <c:v>7.2888283378746588E-2</c:v>
                </c:pt>
                <c:pt idx="4">
                  <c:v>1.0023355391202802E-2</c:v>
                </c:pt>
                <c:pt idx="5">
                  <c:v>1.26508369015181E-3</c:v>
                </c:pt>
                <c:pt idx="6">
                  <c:v>3.7076683534449199E-2</c:v>
                </c:pt>
                <c:pt idx="7">
                  <c:v>1.9268197742312185E-2</c:v>
                </c:pt>
                <c:pt idx="8">
                  <c:v>1.012066952121448E-2</c:v>
                </c:pt>
                <c:pt idx="9">
                  <c:v>2.4231218372907745E-2</c:v>
                </c:pt>
                <c:pt idx="10">
                  <c:v>0.51683534449202029</c:v>
                </c:pt>
                <c:pt idx="11">
                  <c:v>9.731413001167769E-5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Kinawataka-Kireka'!$S$9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'31.07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Kinawataka-Kireka'!$S$10:$S$21</c:f>
              <c:numCache>
                <c:formatCode>0</c:formatCode>
                <c:ptCount val="12"/>
                <c:pt idx="0">
                  <c:v>132</c:v>
                </c:pt>
                <c:pt idx="1">
                  <c:v>111</c:v>
                </c:pt>
                <c:pt idx="2">
                  <c:v>137</c:v>
                </c:pt>
                <c:pt idx="3">
                  <c:v>157</c:v>
                </c:pt>
                <c:pt idx="4">
                  <c:v>170</c:v>
                </c:pt>
                <c:pt idx="5">
                  <c:v>139</c:v>
                </c:pt>
                <c:pt idx="6">
                  <c:v>215</c:v>
                </c:pt>
                <c:pt idx="7">
                  <c:v>228</c:v>
                </c:pt>
                <c:pt idx="8">
                  <c:v>317</c:v>
                </c:pt>
                <c:pt idx="9">
                  <c:v>317</c:v>
                </c:pt>
                <c:pt idx="10">
                  <c:v>310</c:v>
                </c:pt>
                <c:pt idx="11">
                  <c:v>290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'31.07 Kinawataka-Kireka'!$T$9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'31.07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Kinawataka-Kireka'!$T$10:$T$21</c:f>
              <c:numCache>
                <c:formatCode>0</c:formatCode>
                <c:ptCount val="12"/>
                <c:pt idx="0">
                  <c:v>23</c:v>
                </c:pt>
                <c:pt idx="1">
                  <c:v>20</c:v>
                </c:pt>
                <c:pt idx="2">
                  <c:v>14</c:v>
                </c:pt>
                <c:pt idx="3">
                  <c:v>13</c:v>
                </c:pt>
                <c:pt idx="4">
                  <c:v>21</c:v>
                </c:pt>
                <c:pt idx="5">
                  <c:v>18</c:v>
                </c:pt>
                <c:pt idx="6">
                  <c:v>14</c:v>
                </c:pt>
                <c:pt idx="7">
                  <c:v>14</c:v>
                </c:pt>
                <c:pt idx="8">
                  <c:v>42</c:v>
                </c:pt>
                <c:pt idx="9">
                  <c:v>42</c:v>
                </c:pt>
                <c:pt idx="10">
                  <c:v>32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'31.07 Kinawataka-Kireka'!$U$9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'31.07 Kinawataka-Kireka'!$U$10:$U$21</c:f>
              <c:numCache>
                <c:formatCode>0</c:formatCode>
                <c:ptCount val="12"/>
                <c:pt idx="0">
                  <c:v>23</c:v>
                </c:pt>
                <c:pt idx="1">
                  <c:v>18</c:v>
                </c:pt>
                <c:pt idx="2">
                  <c:v>19</c:v>
                </c:pt>
                <c:pt idx="3">
                  <c:v>24</c:v>
                </c:pt>
                <c:pt idx="4">
                  <c:v>18</c:v>
                </c:pt>
                <c:pt idx="5">
                  <c:v>28</c:v>
                </c:pt>
                <c:pt idx="6">
                  <c:v>28</c:v>
                </c:pt>
                <c:pt idx="7">
                  <c:v>28</c:v>
                </c:pt>
                <c:pt idx="8">
                  <c:v>54</c:v>
                </c:pt>
                <c:pt idx="9">
                  <c:v>54</c:v>
                </c:pt>
                <c:pt idx="10">
                  <c:v>48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'31.07 Kinawataka-Kireka'!$V$9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'31.07 Kinawataka-Kireka'!$V$10:$V$21</c:f>
              <c:numCache>
                <c:formatCode>0</c:formatCode>
                <c:ptCount val="12"/>
                <c:pt idx="0">
                  <c:v>101</c:v>
                </c:pt>
                <c:pt idx="1">
                  <c:v>81</c:v>
                </c:pt>
                <c:pt idx="2">
                  <c:v>77</c:v>
                </c:pt>
                <c:pt idx="3">
                  <c:v>64</c:v>
                </c:pt>
                <c:pt idx="4">
                  <c:v>56</c:v>
                </c:pt>
                <c:pt idx="5">
                  <c:v>44</c:v>
                </c:pt>
                <c:pt idx="6">
                  <c:v>39</c:v>
                </c:pt>
                <c:pt idx="7">
                  <c:v>38</c:v>
                </c:pt>
                <c:pt idx="8">
                  <c:v>68</c:v>
                </c:pt>
                <c:pt idx="9">
                  <c:v>68</c:v>
                </c:pt>
                <c:pt idx="10">
                  <c:v>48</c:v>
                </c:pt>
                <c:pt idx="11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'31.07 Kinawataka-Kireka'!$W$9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'31.07 Kinawataka-Kireka'!$W$10:$W$21</c:f>
              <c:numCache>
                <c:formatCode>0</c:formatCode>
                <c:ptCount val="12"/>
                <c:pt idx="0">
                  <c:v>11</c:v>
                </c:pt>
                <c:pt idx="1">
                  <c:v>16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9</c:v>
                </c:pt>
                <c:pt idx="6">
                  <c:v>10</c:v>
                </c:pt>
                <c:pt idx="7">
                  <c:v>8</c:v>
                </c:pt>
                <c:pt idx="8">
                  <c:v>7</c:v>
                </c:pt>
                <c:pt idx="9">
                  <c:v>7</c:v>
                </c:pt>
                <c:pt idx="10">
                  <c:v>10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'31.07 Kinawataka-Kireka'!$X$9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'31.07 Kinawataka-Kireka'!$X$10:$X$21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'31.07 Kinawataka-Kireka'!$Y$9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Kinawataka-Kireka'!$Y$10:$Y$21</c:f>
              <c:numCache>
                <c:formatCode>0</c:formatCode>
                <c:ptCount val="12"/>
                <c:pt idx="0">
                  <c:v>16</c:v>
                </c:pt>
                <c:pt idx="1">
                  <c:v>22</c:v>
                </c:pt>
                <c:pt idx="2">
                  <c:v>20</c:v>
                </c:pt>
                <c:pt idx="3">
                  <c:v>37</c:v>
                </c:pt>
                <c:pt idx="4">
                  <c:v>47</c:v>
                </c:pt>
                <c:pt idx="5">
                  <c:v>29</c:v>
                </c:pt>
                <c:pt idx="6">
                  <c:v>43</c:v>
                </c:pt>
                <c:pt idx="7">
                  <c:v>26</c:v>
                </c:pt>
                <c:pt idx="8">
                  <c:v>43</c:v>
                </c:pt>
                <c:pt idx="9">
                  <c:v>43</c:v>
                </c:pt>
                <c:pt idx="10">
                  <c:v>27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'31.07 Kinawataka-Kireka'!$Z$9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Kinawataka-Kireka'!$Z$10:$Z$21</c:f>
              <c:numCache>
                <c:formatCode>0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18</c:v>
                </c:pt>
                <c:pt idx="3">
                  <c:v>14</c:v>
                </c:pt>
                <c:pt idx="4">
                  <c:v>19</c:v>
                </c:pt>
                <c:pt idx="5">
                  <c:v>15</c:v>
                </c:pt>
                <c:pt idx="6">
                  <c:v>25</c:v>
                </c:pt>
                <c:pt idx="7">
                  <c:v>17</c:v>
                </c:pt>
                <c:pt idx="8">
                  <c:v>25</c:v>
                </c:pt>
                <c:pt idx="9">
                  <c:v>25</c:v>
                </c:pt>
                <c:pt idx="10">
                  <c:v>10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'31.07 Kinawataka-Kireka'!$AA$9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Kinawataka-Kireka'!$AA$10:$AA$21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7</c:v>
                </c:pt>
                <c:pt idx="3">
                  <c:v>10</c:v>
                </c:pt>
                <c:pt idx="4">
                  <c:v>9</c:v>
                </c:pt>
                <c:pt idx="5">
                  <c:v>11</c:v>
                </c:pt>
                <c:pt idx="6">
                  <c:v>20</c:v>
                </c:pt>
                <c:pt idx="7">
                  <c:v>6</c:v>
                </c:pt>
                <c:pt idx="8">
                  <c:v>11</c:v>
                </c:pt>
                <c:pt idx="9">
                  <c:v>11</c:v>
                </c:pt>
                <c:pt idx="10">
                  <c:v>7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'31.07 Kinawataka-Kireka'!$AB$9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Kinawataka-Kireka'!$AB$10:$AB$21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48</c:v>
                </c:pt>
                <c:pt idx="4">
                  <c:v>19</c:v>
                </c:pt>
                <c:pt idx="5">
                  <c:v>24</c:v>
                </c:pt>
                <c:pt idx="6">
                  <c:v>28</c:v>
                </c:pt>
                <c:pt idx="7">
                  <c:v>31</c:v>
                </c:pt>
                <c:pt idx="8">
                  <c:v>25</c:v>
                </c:pt>
                <c:pt idx="9">
                  <c:v>25</c:v>
                </c:pt>
                <c:pt idx="10">
                  <c:v>18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'31.07 Kinawataka-Kireka'!$AC$9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Kinawataka-Kireka'!$AC$10:$AC$21</c:f>
              <c:numCache>
                <c:formatCode>0</c:formatCode>
                <c:ptCount val="12"/>
                <c:pt idx="0">
                  <c:v>335</c:v>
                </c:pt>
                <c:pt idx="1">
                  <c:v>710</c:v>
                </c:pt>
                <c:pt idx="2">
                  <c:v>505</c:v>
                </c:pt>
                <c:pt idx="3">
                  <c:v>455</c:v>
                </c:pt>
                <c:pt idx="4">
                  <c:v>500</c:v>
                </c:pt>
                <c:pt idx="5">
                  <c:v>346</c:v>
                </c:pt>
                <c:pt idx="6">
                  <c:v>350</c:v>
                </c:pt>
                <c:pt idx="7">
                  <c:v>350</c:v>
                </c:pt>
                <c:pt idx="8">
                  <c:v>410</c:v>
                </c:pt>
                <c:pt idx="9">
                  <c:v>410</c:v>
                </c:pt>
                <c:pt idx="10">
                  <c:v>435</c:v>
                </c:pt>
                <c:pt idx="11">
                  <c:v>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'31.07 Kinawataka-Kireka'!$AD$9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'31.07 Kinawataka-Kireka'!$AD$10:$AD$21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23170560"/>
        <c:axId val="-1223176000"/>
      </c:lineChart>
      <c:catAx>
        <c:axId val="-1223170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176000"/>
        <c:crosses val="autoZero"/>
        <c:auto val="1"/>
        <c:lblAlgn val="ctr"/>
        <c:lblOffset val="100"/>
        <c:noMultiLvlLbl val="0"/>
      </c:catAx>
      <c:valAx>
        <c:axId val="-122317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17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Kinawataka-Kireka'!$C$9:$N$9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Kinawataka-Kireka'!$C$60:$N$60</c:f>
              <c:numCache>
                <c:formatCode>0.00%</c:formatCode>
                <c:ptCount val="12"/>
                <c:pt idx="0">
                  <c:v>0.50815709969788525</c:v>
                </c:pt>
                <c:pt idx="1">
                  <c:v>5.4783484390735146E-2</c:v>
                </c:pt>
                <c:pt idx="2">
                  <c:v>7.4924471299093659E-2</c:v>
                </c:pt>
                <c:pt idx="3">
                  <c:v>0.15085599194360524</c:v>
                </c:pt>
                <c:pt idx="4">
                  <c:v>2.0745216515609264E-2</c:v>
                </c:pt>
                <c:pt idx="5">
                  <c:v>2.6183282980866062E-3</c:v>
                </c:pt>
                <c:pt idx="6">
                  <c:v>7.6737160120845915E-2</c:v>
                </c:pt>
                <c:pt idx="7">
                  <c:v>3.9879154078549847E-2</c:v>
                </c:pt>
                <c:pt idx="8">
                  <c:v>2.094662638469285E-2</c:v>
                </c:pt>
                <c:pt idx="9">
                  <c:v>5.0151057401812686E-2</c:v>
                </c:pt>
                <c:pt idx="11">
                  <c:v>2.014098690835851E-4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'31.07 Kireka-Kinawataka'!$AE$9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'31.07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Kireka-Kinawataka'!$AE$10:$AE$21</c:f>
              <c:numCache>
                <c:formatCode>0</c:formatCode>
                <c:ptCount val="12"/>
                <c:pt idx="0">
                  <c:v>626</c:v>
                </c:pt>
                <c:pt idx="1">
                  <c:v>673</c:v>
                </c:pt>
                <c:pt idx="2">
                  <c:v>523</c:v>
                </c:pt>
                <c:pt idx="3">
                  <c:v>537</c:v>
                </c:pt>
                <c:pt idx="4">
                  <c:v>364</c:v>
                </c:pt>
                <c:pt idx="5">
                  <c:v>443</c:v>
                </c:pt>
                <c:pt idx="6">
                  <c:v>364</c:v>
                </c:pt>
                <c:pt idx="7">
                  <c:v>384</c:v>
                </c:pt>
                <c:pt idx="8">
                  <c:v>353</c:v>
                </c:pt>
                <c:pt idx="9">
                  <c:v>410</c:v>
                </c:pt>
                <c:pt idx="10">
                  <c:v>417</c:v>
                </c:pt>
                <c:pt idx="11">
                  <c:v>357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'31.07 Kireka-Kinawataka'!$AF$9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'31.07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'31.07 Kireka-Kinawataka'!$AF$10:$AF$21</c:f>
              <c:numCache>
                <c:formatCode>0</c:formatCode>
                <c:ptCount val="12"/>
                <c:pt idx="0">
                  <c:v>1289</c:v>
                </c:pt>
                <c:pt idx="1">
                  <c:v>1291</c:v>
                </c:pt>
                <c:pt idx="2">
                  <c:v>1336</c:v>
                </c:pt>
                <c:pt idx="3">
                  <c:v>1166</c:v>
                </c:pt>
                <c:pt idx="4">
                  <c:v>623</c:v>
                </c:pt>
                <c:pt idx="5">
                  <c:v>656</c:v>
                </c:pt>
                <c:pt idx="6">
                  <c:v>638</c:v>
                </c:pt>
                <c:pt idx="7">
                  <c:v>746</c:v>
                </c:pt>
                <c:pt idx="8">
                  <c:v>578</c:v>
                </c:pt>
                <c:pt idx="9">
                  <c:v>671</c:v>
                </c:pt>
                <c:pt idx="10">
                  <c:v>815</c:v>
                </c:pt>
                <c:pt idx="11">
                  <c:v>901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23160768"/>
        <c:axId val="-1223163488"/>
      </c:lineChart>
      <c:catAx>
        <c:axId val="-12231607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163488"/>
        <c:crosses val="autoZero"/>
        <c:auto val="1"/>
        <c:lblAlgn val="ctr"/>
        <c:lblOffset val="100"/>
        <c:noMultiLvlLbl val="0"/>
      </c:catAx>
      <c:valAx>
        <c:axId val="-1223163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16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Kireka-Kinawataka'!$C$9:$N$9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Kireka-Kinawataka'!$C$59:$N$59</c:f>
              <c:numCache>
                <c:formatCode>0.0%</c:formatCode>
                <c:ptCount val="12"/>
                <c:pt idx="0">
                  <c:v>0.17068160597572363</c:v>
                </c:pt>
                <c:pt idx="1">
                  <c:v>0.11493930905695611</c:v>
                </c:pt>
                <c:pt idx="2">
                  <c:v>3.8001867413632116E-2</c:v>
                </c:pt>
                <c:pt idx="3">
                  <c:v>8.8048552754435114E-2</c:v>
                </c:pt>
                <c:pt idx="4">
                  <c:v>5.6022408963585435E-3</c:v>
                </c:pt>
                <c:pt idx="5">
                  <c:v>1.7740429505135387E-3</c:v>
                </c:pt>
                <c:pt idx="6">
                  <c:v>2.5023342670401495E-2</c:v>
                </c:pt>
                <c:pt idx="7">
                  <c:v>3.8001867413632116E-2</c:v>
                </c:pt>
                <c:pt idx="8">
                  <c:v>1.1858076563958916E-2</c:v>
                </c:pt>
                <c:pt idx="9">
                  <c:v>1.4752567693744164E-2</c:v>
                </c:pt>
                <c:pt idx="10">
                  <c:v>0.49103641456582631</c:v>
                </c:pt>
                <c:pt idx="11">
                  <c:v>2.8011204481792715E-4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'31.07 Kireka-Kinawataka'!$C$9:$N$9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'31.07 Kireka-Kinawataka'!$C$60:$N$60</c:f>
              <c:numCache>
                <c:formatCode>0.00%</c:formatCode>
                <c:ptCount val="12"/>
                <c:pt idx="0">
                  <c:v>0.33535131168592919</c:v>
                </c:pt>
                <c:pt idx="1">
                  <c:v>0.22583012291322693</c:v>
                </c:pt>
                <c:pt idx="2">
                  <c:v>7.4665199046046599E-2</c:v>
                </c:pt>
                <c:pt idx="3">
                  <c:v>0.1729957805907173</c:v>
                </c:pt>
                <c:pt idx="4">
                  <c:v>1.100715465052284E-2</c:v>
                </c:pt>
                <c:pt idx="5">
                  <c:v>3.4855989726655661E-3</c:v>
                </c:pt>
                <c:pt idx="6">
                  <c:v>4.9165290772335349E-2</c:v>
                </c:pt>
                <c:pt idx="7">
                  <c:v>7.4665199046046599E-2</c:v>
                </c:pt>
                <c:pt idx="8">
                  <c:v>2.3298477343606679E-2</c:v>
                </c:pt>
                <c:pt idx="9">
                  <c:v>2.8985507246376812E-2</c:v>
                </c:pt>
                <c:pt idx="11">
                  <c:v>5.5035773252614197E-4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Kinawataka-Kireka-24h'!$AE$9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Kinawataka-Kireka-24h'!$R$10:$R$33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Kinawataka-Kireka-24h'!$AE$10:$AE$33</c:f>
              <c:numCache>
                <c:formatCode>0</c:formatCode>
                <c:ptCount val="24"/>
                <c:pt idx="0">
                  <c:v>247</c:v>
                </c:pt>
                <c:pt idx="1">
                  <c:v>280</c:v>
                </c:pt>
                <c:pt idx="2">
                  <c:v>315</c:v>
                </c:pt>
                <c:pt idx="3">
                  <c:v>256</c:v>
                </c:pt>
                <c:pt idx="4">
                  <c:v>393</c:v>
                </c:pt>
                <c:pt idx="5">
                  <c:v>456</c:v>
                </c:pt>
                <c:pt idx="6">
                  <c:v>274</c:v>
                </c:pt>
                <c:pt idx="7">
                  <c:v>376</c:v>
                </c:pt>
                <c:pt idx="8">
                  <c:v>327</c:v>
                </c:pt>
                <c:pt idx="9">
                  <c:v>400</c:v>
                </c:pt>
                <c:pt idx="10">
                  <c:v>598</c:v>
                </c:pt>
                <c:pt idx="11">
                  <c:v>431</c:v>
                </c:pt>
                <c:pt idx="12">
                  <c:v>520</c:v>
                </c:pt>
                <c:pt idx="13">
                  <c:v>501</c:v>
                </c:pt>
                <c:pt idx="14">
                  <c:v>463</c:v>
                </c:pt>
                <c:pt idx="15">
                  <c:v>343</c:v>
                </c:pt>
                <c:pt idx="16">
                  <c:v>186</c:v>
                </c:pt>
                <c:pt idx="17">
                  <c:v>55</c:v>
                </c:pt>
                <c:pt idx="18">
                  <c:v>36</c:v>
                </c:pt>
                <c:pt idx="19">
                  <c:v>22</c:v>
                </c:pt>
                <c:pt idx="20">
                  <c:v>7</c:v>
                </c:pt>
                <c:pt idx="21">
                  <c:v>19</c:v>
                </c:pt>
                <c:pt idx="22">
                  <c:v>66</c:v>
                </c:pt>
                <c:pt idx="23">
                  <c:v>186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'01.08 Kinawataka-Kireka-24h'!$AF$9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Kinawataka-Kireka-24h'!$R$10:$R$33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Kinawataka-Kireka-24h'!$AF$10:$AF$33</c:f>
              <c:numCache>
                <c:formatCode>0</c:formatCode>
                <c:ptCount val="24"/>
                <c:pt idx="0">
                  <c:v>572</c:v>
                </c:pt>
                <c:pt idx="1">
                  <c:v>935</c:v>
                </c:pt>
                <c:pt idx="2">
                  <c:v>965</c:v>
                </c:pt>
                <c:pt idx="3">
                  <c:v>726</c:v>
                </c:pt>
                <c:pt idx="4">
                  <c:v>746</c:v>
                </c:pt>
                <c:pt idx="5">
                  <c:v>1027</c:v>
                </c:pt>
                <c:pt idx="6">
                  <c:v>573</c:v>
                </c:pt>
                <c:pt idx="7">
                  <c:v>711</c:v>
                </c:pt>
                <c:pt idx="8">
                  <c:v>772</c:v>
                </c:pt>
                <c:pt idx="9">
                  <c:v>765</c:v>
                </c:pt>
                <c:pt idx="10">
                  <c:v>1068</c:v>
                </c:pt>
                <c:pt idx="11">
                  <c:v>756</c:v>
                </c:pt>
                <c:pt idx="12">
                  <c:v>991</c:v>
                </c:pt>
                <c:pt idx="13">
                  <c:v>1186</c:v>
                </c:pt>
                <c:pt idx="14">
                  <c:v>973</c:v>
                </c:pt>
                <c:pt idx="15">
                  <c:v>778</c:v>
                </c:pt>
                <c:pt idx="16">
                  <c:v>479</c:v>
                </c:pt>
                <c:pt idx="17">
                  <c:v>118</c:v>
                </c:pt>
                <c:pt idx="18">
                  <c:v>82</c:v>
                </c:pt>
                <c:pt idx="19">
                  <c:v>44</c:v>
                </c:pt>
                <c:pt idx="20">
                  <c:v>27</c:v>
                </c:pt>
                <c:pt idx="21">
                  <c:v>50</c:v>
                </c:pt>
                <c:pt idx="22">
                  <c:v>134</c:v>
                </c:pt>
                <c:pt idx="23">
                  <c:v>381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23170016"/>
        <c:axId val="-1223162944"/>
      </c:lineChart>
      <c:catAx>
        <c:axId val="-12231700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162944"/>
        <c:crosses val="autoZero"/>
        <c:auto val="1"/>
        <c:lblAlgn val="ctr"/>
        <c:lblOffset val="100"/>
        <c:noMultiLvlLbl val="0"/>
      </c:catAx>
      <c:valAx>
        <c:axId val="-122316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1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Kinawataka-Kireka-24h'!$C$9:$N$9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Kinawataka-Kireka-24h'!$C$107:$N$107</c:f>
              <c:numCache>
                <c:formatCode>0.0%</c:formatCode>
                <c:ptCount val="12"/>
                <c:pt idx="0">
                  <c:v>0.26091930816340264</c:v>
                </c:pt>
                <c:pt idx="1">
                  <c:v>2.469883572245777E-2</c:v>
                </c:pt>
                <c:pt idx="2">
                  <c:v>3.3043946429773201E-2</c:v>
                </c:pt>
                <c:pt idx="3">
                  <c:v>6.2319133185274919E-2</c:v>
                </c:pt>
                <c:pt idx="4">
                  <c:v>1.2383067501177738E-2</c:v>
                </c:pt>
                <c:pt idx="5">
                  <c:v>7.4029207887475604E-4</c:v>
                </c:pt>
                <c:pt idx="6">
                  <c:v>2.0122484689413824E-2</c:v>
                </c:pt>
                <c:pt idx="7">
                  <c:v>1.6421024295040044E-2</c:v>
                </c:pt>
                <c:pt idx="8">
                  <c:v>9.4218991856787129E-3</c:v>
                </c:pt>
                <c:pt idx="9">
                  <c:v>1.4603943737802005E-2</c:v>
                </c:pt>
                <c:pt idx="10">
                  <c:v>0.54525876573120668</c:v>
                </c:pt>
                <c:pt idx="11">
                  <c:v>6.7299279897705091E-5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Kinawataka-Kireka-24h'!$C$9:$N$9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Kinawataka-Kireka-24h'!$C$108:$N$108</c:f>
              <c:numCache>
                <c:formatCode>0.00%</c:formatCode>
                <c:ptCount val="12"/>
                <c:pt idx="0">
                  <c:v>0.57377534408761288</c:v>
                </c:pt>
                <c:pt idx="1">
                  <c:v>5.4314044694391002E-2</c:v>
                </c:pt>
                <c:pt idx="2">
                  <c:v>7.2665384046174342E-2</c:v>
                </c:pt>
                <c:pt idx="3">
                  <c:v>0.13704306644960781</c:v>
                </c:pt>
                <c:pt idx="4">
                  <c:v>2.7231019683291401E-2</c:v>
                </c:pt>
                <c:pt idx="5">
                  <c:v>1.627941394109812E-3</c:v>
                </c:pt>
                <c:pt idx="6">
                  <c:v>4.4250406985348524E-2</c:v>
                </c:pt>
                <c:pt idx="7">
                  <c:v>3.611070001479947E-2</c:v>
                </c:pt>
                <c:pt idx="8">
                  <c:v>2.0719254106852155E-2</c:v>
                </c:pt>
                <c:pt idx="9">
                  <c:v>3.2114843865620836E-2</c:v>
                </c:pt>
                <c:pt idx="11">
                  <c:v>1.4799467219180109E-4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'01.08 Kireka-Kinawataka-24h'!$AE$9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'01.08 Kireka-Kinawataka-24h'!$R$10:$R$33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Kireka-Kinawataka-24h'!$AE$10:$AE$33</c:f>
              <c:numCache>
                <c:formatCode>0</c:formatCode>
                <c:ptCount val="24"/>
                <c:pt idx="0">
                  <c:v>577</c:v>
                </c:pt>
                <c:pt idx="1">
                  <c:v>654</c:v>
                </c:pt>
                <c:pt idx="2">
                  <c:v>660</c:v>
                </c:pt>
                <c:pt idx="3">
                  <c:v>345</c:v>
                </c:pt>
                <c:pt idx="4">
                  <c:v>473</c:v>
                </c:pt>
                <c:pt idx="5">
                  <c:v>511</c:v>
                </c:pt>
                <c:pt idx="6">
                  <c:v>430</c:v>
                </c:pt>
                <c:pt idx="7">
                  <c:v>389</c:v>
                </c:pt>
                <c:pt idx="8">
                  <c:v>360</c:v>
                </c:pt>
                <c:pt idx="9">
                  <c:v>381</c:v>
                </c:pt>
                <c:pt idx="10">
                  <c:v>395</c:v>
                </c:pt>
                <c:pt idx="11">
                  <c:v>375</c:v>
                </c:pt>
                <c:pt idx="12">
                  <c:v>281</c:v>
                </c:pt>
                <c:pt idx="13">
                  <c:v>279</c:v>
                </c:pt>
                <c:pt idx="14">
                  <c:v>192</c:v>
                </c:pt>
                <c:pt idx="15">
                  <c:v>199</c:v>
                </c:pt>
                <c:pt idx="16">
                  <c:v>108</c:v>
                </c:pt>
                <c:pt idx="17">
                  <c:v>60</c:v>
                </c:pt>
                <c:pt idx="18">
                  <c:v>83</c:v>
                </c:pt>
                <c:pt idx="19">
                  <c:v>76</c:v>
                </c:pt>
                <c:pt idx="20">
                  <c:v>40</c:v>
                </c:pt>
                <c:pt idx="21">
                  <c:v>44</c:v>
                </c:pt>
                <c:pt idx="22">
                  <c:v>143</c:v>
                </c:pt>
                <c:pt idx="23">
                  <c:v>682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'01.08 Kireka-Kinawataka-24h'!$AF$9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'01.08 Kireka-Kinawataka-24h'!$R$10:$R$33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'01.08 Kireka-Kinawataka-24h'!$AF$10:$AF$33</c:f>
              <c:numCache>
                <c:formatCode>0</c:formatCode>
                <c:ptCount val="24"/>
                <c:pt idx="0">
                  <c:v>1313</c:v>
                </c:pt>
                <c:pt idx="1">
                  <c:v>1328</c:v>
                </c:pt>
                <c:pt idx="2">
                  <c:v>1152</c:v>
                </c:pt>
                <c:pt idx="3">
                  <c:v>729</c:v>
                </c:pt>
                <c:pt idx="4">
                  <c:v>767</c:v>
                </c:pt>
                <c:pt idx="5">
                  <c:v>947</c:v>
                </c:pt>
                <c:pt idx="6">
                  <c:v>705</c:v>
                </c:pt>
                <c:pt idx="7">
                  <c:v>761</c:v>
                </c:pt>
                <c:pt idx="8">
                  <c:v>693</c:v>
                </c:pt>
                <c:pt idx="9">
                  <c:v>688</c:v>
                </c:pt>
                <c:pt idx="10">
                  <c:v>676</c:v>
                </c:pt>
                <c:pt idx="11">
                  <c:v>669</c:v>
                </c:pt>
                <c:pt idx="12">
                  <c:v>994</c:v>
                </c:pt>
                <c:pt idx="13">
                  <c:v>980</c:v>
                </c:pt>
                <c:pt idx="14">
                  <c:v>530</c:v>
                </c:pt>
                <c:pt idx="15">
                  <c:v>671</c:v>
                </c:pt>
                <c:pt idx="16">
                  <c:v>410</c:v>
                </c:pt>
                <c:pt idx="17">
                  <c:v>185</c:v>
                </c:pt>
                <c:pt idx="18">
                  <c:v>199</c:v>
                </c:pt>
                <c:pt idx="19">
                  <c:v>163</c:v>
                </c:pt>
                <c:pt idx="20">
                  <c:v>88</c:v>
                </c:pt>
                <c:pt idx="21">
                  <c:v>87</c:v>
                </c:pt>
                <c:pt idx="22">
                  <c:v>282</c:v>
                </c:pt>
                <c:pt idx="23">
                  <c:v>1131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21245520"/>
        <c:axId val="-1221243888"/>
      </c:lineChart>
      <c:catAx>
        <c:axId val="-12212455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1243888"/>
        <c:crosses val="autoZero"/>
        <c:auto val="1"/>
        <c:lblAlgn val="ctr"/>
        <c:lblOffset val="100"/>
        <c:noMultiLvlLbl val="0"/>
      </c:catAx>
      <c:valAx>
        <c:axId val="-12212438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124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Kireka-Kinawataka-24h'!$C$9:$N$9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Kireka-Kinawataka-24h'!$C$107:$N$107</c:f>
              <c:numCache>
                <c:formatCode>0.0%</c:formatCode>
                <c:ptCount val="12"/>
                <c:pt idx="0">
                  <c:v>0.18206589051275701</c:v>
                </c:pt>
                <c:pt idx="1">
                  <c:v>8.9918256130790186E-2</c:v>
                </c:pt>
                <c:pt idx="2">
                  <c:v>3.9014119395590782E-2</c:v>
                </c:pt>
                <c:pt idx="3">
                  <c:v>8.8989348526133272E-2</c:v>
                </c:pt>
                <c:pt idx="4">
                  <c:v>5.94500866980431E-3</c:v>
                </c:pt>
                <c:pt idx="5">
                  <c:v>1.4243249938072826E-3</c:v>
                </c:pt>
                <c:pt idx="6">
                  <c:v>2.2231855338122369E-2</c:v>
                </c:pt>
                <c:pt idx="7">
                  <c:v>2.6752539014119395E-2</c:v>
                </c:pt>
                <c:pt idx="8">
                  <c:v>1.226158038147139E-2</c:v>
                </c:pt>
                <c:pt idx="9">
                  <c:v>1.0527619519445133E-2</c:v>
                </c:pt>
                <c:pt idx="10">
                  <c:v>0.52086945751795888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'01.08 Kireka-Kinawataka-24h'!$C$9:$N$9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'01.08 Kireka-Kinawataka-24h'!$C$108:$N$108</c:f>
              <c:numCache>
                <c:formatCode>0.00%</c:formatCode>
                <c:ptCount val="12"/>
                <c:pt idx="0">
                  <c:v>0.37999224505622337</c:v>
                </c:pt>
                <c:pt idx="1">
                  <c:v>0.18766963939511438</c:v>
                </c:pt>
                <c:pt idx="2">
                  <c:v>8.1426909654904997E-2</c:v>
                </c:pt>
                <c:pt idx="3">
                  <c:v>0.18573090345094997</c:v>
                </c:pt>
                <c:pt idx="4">
                  <c:v>1.240791004265219E-2</c:v>
                </c:pt>
                <c:pt idx="5">
                  <c:v>2.972728447718754E-3</c:v>
                </c:pt>
                <c:pt idx="6">
                  <c:v>4.6400413597001422E-2</c:v>
                </c:pt>
                <c:pt idx="7">
                  <c:v>5.5835595191934859E-2</c:v>
                </c:pt>
                <c:pt idx="8">
                  <c:v>2.5591314462970142E-2</c:v>
                </c:pt>
                <c:pt idx="9">
                  <c:v>2.1972340700529922E-2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Kinawataka-Kireka'!$AE$9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Kinawataka-Kireka'!$AE$10:$AE$21</c:f>
              <c:numCache>
                <c:formatCode>0</c:formatCode>
                <c:ptCount val="12"/>
                <c:pt idx="0">
                  <c:v>231</c:v>
                </c:pt>
                <c:pt idx="1">
                  <c:v>300</c:v>
                </c:pt>
                <c:pt idx="2">
                  <c:v>254</c:v>
                </c:pt>
                <c:pt idx="3">
                  <c:v>321</c:v>
                </c:pt>
                <c:pt idx="4">
                  <c:v>317</c:v>
                </c:pt>
                <c:pt idx="5">
                  <c:v>373</c:v>
                </c:pt>
                <c:pt idx="6">
                  <c:v>397</c:v>
                </c:pt>
                <c:pt idx="7">
                  <c:v>399</c:v>
                </c:pt>
                <c:pt idx="8">
                  <c:v>525</c:v>
                </c:pt>
                <c:pt idx="9">
                  <c:v>518</c:v>
                </c:pt>
                <c:pt idx="10">
                  <c:v>479</c:v>
                </c:pt>
                <c:pt idx="11">
                  <c:v>782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'02.08 Kinawataka-Kireka'!$AF$9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Kinawataka-Kireka'!$AF$10:$AF$21</c:f>
              <c:numCache>
                <c:formatCode>0</c:formatCode>
                <c:ptCount val="12"/>
                <c:pt idx="0">
                  <c:v>566</c:v>
                </c:pt>
                <c:pt idx="1">
                  <c:v>1051</c:v>
                </c:pt>
                <c:pt idx="2">
                  <c:v>594</c:v>
                </c:pt>
                <c:pt idx="3">
                  <c:v>775</c:v>
                </c:pt>
                <c:pt idx="4">
                  <c:v>647</c:v>
                </c:pt>
                <c:pt idx="5">
                  <c:v>749</c:v>
                </c:pt>
                <c:pt idx="6">
                  <c:v>745</c:v>
                </c:pt>
                <c:pt idx="7">
                  <c:v>799</c:v>
                </c:pt>
                <c:pt idx="8">
                  <c:v>906</c:v>
                </c:pt>
                <c:pt idx="9">
                  <c:v>890</c:v>
                </c:pt>
                <c:pt idx="10">
                  <c:v>888</c:v>
                </c:pt>
                <c:pt idx="11">
                  <c:v>1098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21246608"/>
        <c:axId val="-1221248240"/>
      </c:lineChart>
      <c:catAx>
        <c:axId val="-12212466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1248240"/>
        <c:crosses val="autoZero"/>
        <c:auto val="1"/>
        <c:lblAlgn val="ctr"/>
        <c:lblOffset val="100"/>
        <c:noMultiLvlLbl val="0"/>
      </c:catAx>
      <c:valAx>
        <c:axId val="-1221248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124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Kinawataka-Kireka'!$C$9:$N$9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Kinawataka-Kireka'!$C$59:$N$59</c:f>
              <c:numCache>
                <c:formatCode>0.0%</c:formatCode>
                <c:ptCount val="12"/>
                <c:pt idx="0">
                  <c:v>0.21096003296250515</c:v>
                </c:pt>
                <c:pt idx="1">
                  <c:v>5.3873094355170993E-2</c:v>
                </c:pt>
                <c:pt idx="2">
                  <c:v>4.4190358467243514E-2</c:v>
                </c:pt>
                <c:pt idx="3">
                  <c:v>8.7556654305727233E-2</c:v>
                </c:pt>
                <c:pt idx="4">
                  <c:v>9.3737124021425634E-3</c:v>
                </c:pt>
                <c:pt idx="5">
                  <c:v>8.2406262875978574E-4</c:v>
                </c:pt>
                <c:pt idx="6">
                  <c:v>3.996703749484961E-2</c:v>
                </c:pt>
                <c:pt idx="7">
                  <c:v>2.3794808405438812E-2</c:v>
                </c:pt>
                <c:pt idx="8">
                  <c:v>1.6172229089410795E-2</c:v>
                </c:pt>
                <c:pt idx="9">
                  <c:v>1.7511330861145449E-2</c:v>
                </c:pt>
                <c:pt idx="10">
                  <c:v>0.49567367119901112</c:v>
                </c:pt>
                <c:pt idx="11">
                  <c:v>1.0300782859497322E-4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Kinawataka-Kireka'!$S$9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Kinawataka-Kireka'!$S$10:$S$21</c:f>
              <c:numCache>
                <c:formatCode>0</c:formatCode>
                <c:ptCount val="12"/>
                <c:pt idx="0">
                  <c:v>98</c:v>
                </c:pt>
                <c:pt idx="1">
                  <c:v>95</c:v>
                </c:pt>
                <c:pt idx="2">
                  <c:v>97</c:v>
                </c:pt>
                <c:pt idx="3">
                  <c:v>159</c:v>
                </c:pt>
                <c:pt idx="4">
                  <c:v>139</c:v>
                </c:pt>
                <c:pt idx="5">
                  <c:v>168</c:v>
                </c:pt>
                <c:pt idx="6">
                  <c:v>174</c:v>
                </c:pt>
                <c:pt idx="7">
                  <c:v>178</c:v>
                </c:pt>
                <c:pt idx="8">
                  <c:v>246</c:v>
                </c:pt>
                <c:pt idx="9">
                  <c:v>246</c:v>
                </c:pt>
                <c:pt idx="10">
                  <c:v>190</c:v>
                </c:pt>
                <c:pt idx="11">
                  <c:v>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'02.08 Kinawataka-Kireka'!$T$9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Kinawataka-Kireka'!$T$10:$T$21</c:f>
              <c:numCache>
                <c:formatCode>0</c:formatCode>
                <c:ptCount val="12"/>
                <c:pt idx="0">
                  <c:v>18</c:v>
                </c:pt>
                <c:pt idx="1">
                  <c:v>31</c:v>
                </c:pt>
                <c:pt idx="2">
                  <c:v>16</c:v>
                </c:pt>
                <c:pt idx="3">
                  <c:v>8</c:v>
                </c:pt>
                <c:pt idx="4">
                  <c:v>23</c:v>
                </c:pt>
                <c:pt idx="5">
                  <c:v>41</c:v>
                </c:pt>
                <c:pt idx="6">
                  <c:v>39</c:v>
                </c:pt>
                <c:pt idx="7">
                  <c:v>26</c:v>
                </c:pt>
                <c:pt idx="8">
                  <c:v>60</c:v>
                </c:pt>
                <c:pt idx="9">
                  <c:v>55</c:v>
                </c:pt>
                <c:pt idx="10">
                  <c:v>65</c:v>
                </c:pt>
                <c:pt idx="11">
                  <c:v>141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'02.08 Kinawataka-Kireka'!$U$9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Kinawataka-Kireka'!$U$10:$U$21</c:f>
              <c:numCache>
                <c:formatCode>0</c:formatCode>
                <c:ptCount val="12"/>
                <c:pt idx="0">
                  <c:v>10</c:v>
                </c:pt>
                <c:pt idx="1">
                  <c:v>27</c:v>
                </c:pt>
                <c:pt idx="2">
                  <c:v>26</c:v>
                </c:pt>
                <c:pt idx="3">
                  <c:v>32</c:v>
                </c:pt>
                <c:pt idx="4">
                  <c:v>23</c:v>
                </c:pt>
                <c:pt idx="5">
                  <c:v>14</c:v>
                </c:pt>
                <c:pt idx="6">
                  <c:v>19</c:v>
                </c:pt>
                <c:pt idx="7">
                  <c:v>29</c:v>
                </c:pt>
                <c:pt idx="8">
                  <c:v>28</c:v>
                </c:pt>
                <c:pt idx="9">
                  <c:v>43</c:v>
                </c:pt>
                <c:pt idx="10">
                  <c:v>59</c:v>
                </c:pt>
                <c:pt idx="11">
                  <c:v>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'02.08 Kinawataka-Kireka'!$V$9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Kinawataka-Kireka'!$V$10:$V$21</c:f>
              <c:numCache>
                <c:formatCode>0</c:formatCode>
                <c:ptCount val="12"/>
                <c:pt idx="0">
                  <c:v>73</c:v>
                </c:pt>
                <c:pt idx="1">
                  <c:v>100</c:v>
                </c:pt>
                <c:pt idx="2">
                  <c:v>72</c:v>
                </c:pt>
                <c:pt idx="3">
                  <c:v>82</c:v>
                </c:pt>
                <c:pt idx="4">
                  <c:v>45</c:v>
                </c:pt>
                <c:pt idx="5">
                  <c:v>46</c:v>
                </c:pt>
                <c:pt idx="6">
                  <c:v>48</c:v>
                </c:pt>
                <c:pt idx="7">
                  <c:v>53</c:v>
                </c:pt>
                <c:pt idx="8">
                  <c:v>86</c:v>
                </c:pt>
                <c:pt idx="9">
                  <c:v>51</c:v>
                </c:pt>
                <c:pt idx="10">
                  <c:v>90</c:v>
                </c:pt>
                <c:pt idx="11">
                  <c:v>104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'02.08 Kinawataka-Kireka'!$W$9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Kinawataka-Kireka'!$W$10:$W$21</c:f>
              <c:numCache>
                <c:formatCode>0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5</c:v>
                </c:pt>
                <c:pt idx="3">
                  <c:v>1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9</c:v>
                </c:pt>
                <c:pt idx="8">
                  <c:v>7</c:v>
                </c:pt>
                <c:pt idx="9">
                  <c:v>8</c:v>
                </c:pt>
                <c:pt idx="10">
                  <c:v>11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'02.08 Kinawataka-Kireka'!$X$9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Kinawataka-Kireka'!$X$10:$X$21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'02.08 Kinawataka-Kireka'!$Y$9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Kinawataka-Kireka'!$Y$10:$Y$21</c:f>
              <c:numCache>
                <c:formatCode>0</c:formatCode>
                <c:ptCount val="12"/>
                <c:pt idx="0">
                  <c:v>10</c:v>
                </c:pt>
                <c:pt idx="1">
                  <c:v>20</c:v>
                </c:pt>
                <c:pt idx="2">
                  <c:v>16</c:v>
                </c:pt>
                <c:pt idx="3">
                  <c:v>17</c:v>
                </c:pt>
                <c:pt idx="4">
                  <c:v>24</c:v>
                </c:pt>
                <c:pt idx="5">
                  <c:v>46</c:v>
                </c:pt>
                <c:pt idx="6">
                  <c:v>49</c:v>
                </c:pt>
                <c:pt idx="7">
                  <c:v>44</c:v>
                </c:pt>
                <c:pt idx="8">
                  <c:v>40</c:v>
                </c:pt>
                <c:pt idx="9">
                  <c:v>48</c:v>
                </c:pt>
                <c:pt idx="10">
                  <c:v>28</c:v>
                </c:pt>
                <c:pt idx="11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'02.08 Kinawataka-Kireka'!$Z$9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Kinawataka-Kireka'!$Z$10:$Z$21</c:f>
              <c:numCache>
                <c:formatCode>0</c:formatCode>
                <c:ptCount val="12"/>
                <c:pt idx="0">
                  <c:v>3</c:v>
                </c:pt>
                <c:pt idx="1">
                  <c:v>7</c:v>
                </c:pt>
                <c:pt idx="2">
                  <c:v>11</c:v>
                </c:pt>
                <c:pt idx="3">
                  <c:v>8</c:v>
                </c:pt>
                <c:pt idx="4">
                  <c:v>17</c:v>
                </c:pt>
                <c:pt idx="5">
                  <c:v>18</c:v>
                </c:pt>
                <c:pt idx="6">
                  <c:v>18</c:v>
                </c:pt>
                <c:pt idx="7">
                  <c:v>31</c:v>
                </c:pt>
                <c:pt idx="8">
                  <c:v>21</c:v>
                </c:pt>
                <c:pt idx="9">
                  <c:v>36</c:v>
                </c:pt>
                <c:pt idx="10">
                  <c:v>13</c:v>
                </c:pt>
                <c:pt idx="11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'02.08 Kinawataka-Kireka'!$AA$9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Kinawataka-Kireka'!$AA$10:$AA$21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27</c:v>
                </c:pt>
                <c:pt idx="5">
                  <c:v>17</c:v>
                </c:pt>
                <c:pt idx="6">
                  <c:v>26</c:v>
                </c:pt>
                <c:pt idx="7">
                  <c:v>12</c:v>
                </c:pt>
                <c:pt idx="8">
                  <c:v>8</c:v>
                </c:pt>
                <c:pt idx="9">
                  <c:v>18</c:v>
                </c:pt>
                <c:pt idx="10">
                  <c:v>7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'02.08 Kinawataka-Kireka'!$AB$9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Kinawataka-Kireka'!$AB$10:$AB$21</c:f>
              <c:numCache>
                <c:formatCode>0</c:formatCode>
                <c:ptCount val="12"/>
                <c:pt idx="0">
                  <c:v>6</c:v>
                </c:pt>
                <c:pt idx="1">
                  <c:v>11</c:v>
                </c:pt>
                <c:pt idx="2">
                  <c:v>7</c:v>
                </c:pt>
                <c:pt idx="3">
                  <c:v>12</c:v>
                </c:pt>
                <c:pt idx="4">
                  <c:v>8</c:v>
                </c:pt>
                <c:pt idx="5">
                  <c:v>15</c:v>
                </c:pt>
                <c:pt idx="6">
                  <c:v>16</c:v>
                </c:pt>
                <c:pt idx="7">
                  <c:v>16</c:v>
                </c:pt>
                <c:pt idx="8">
                  <c:v>27</c:v>
                </c:pt>
                <c:pt idx="9">
                  <c:v>13</c:v>
                </c:pt>
                <c:pt idx="10">
                  <c:v>15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'02.08 Kinawataka-Kireka'!$AC$9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Kinawataka-Kireka'!$AC$10:$AC$21</c:f>
              <c:numCache>
                <c:formatCode>0</c:formatCode>
                <c:ptCount val="12"/>
                <c:pt idx="0">
                  <c:v>335</c:v>
                </c:pt>
                <c:pt idx="1">
                  <c:v>751</c:v>
                </c:pt>
                <c:pt idx="2">
                  <c:v>340</c:v>
                </c:pt>
                <c:pt idx="3">
                  <c:v>454</c:v>
                </c:pt>
                <c:pt idx="4">
                  <c:v>330</c:v>
                </c:pt>
                <c:pt idx="5">
                  <c:v>376</c:v>
                </c:pt>
                <c:pt idx="6">
                  <c:v>348</c:v>
                </c:pt>
                <c:pt idx="7">
                  <c:v>400</c:v>
                </c:pt>
                <c:pt idx="8">
                  <c:v>381</c:v>
                </c:pt>
                <c:pt idx="9">
                  <c:v>372</c:v>
                </c:pt>
                <c:pt idx="10">
                  <c:v>409</c:v>
                </c:pt>
                <c:pt idx="11">
                  <c:v>316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'02.08 Kinawataka-Kireka'!$AD$9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Kinawataka-Kireka'!$AD$10:$AD$21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21242800"/>
        <c:axId val="-1221235728"/>
      </c:lineChart>
      <c:catAx>
        <c:axId val="-1221242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1235728"/>
        <c:crosses val="autoZero"/>
        <c:auto val="1"/>
        <c:lblAlgn val="ctr"/>
        <c:lblOffset val="100"/>
        <c:noMultiLvlLbl val="0"/>
      </c:catAx>
      <c:valAx>
        <c:axId val="-122123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124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Kinawataka-Kireka'!$C$9:$N$9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Kinawataka-Kireka'!$C$60:$N$60</c:f>
              <c:numCache>
                <c:formatCode>0.00%</c:formatCode>
                <c:ptCount val="12"/>
                <c:pt idx="0">
                  <c:v>0.41830065359477125</c:v>
                </c:pt>
                <c:pt idx="1">
                  <c:v>0.1068218954248366</c:v>
                </c:pt>
                <c:pt idx="2">
                  <c:v>8.7622549019607837E-2</c:v>
                </c:pt>
                <c:pt idx="3">
                  <c:v>0.1736111111111111</c:v>
                </c:pt>
                <c:pt idx="4">
                  <c:v>1.8586601307189542E-2</c:v>
                </c:pt>
                <c:pt idx="5">
                  <c:v>1.6339869281045752E-3</c:v>
                </c:pt>
                <c:pt idx="6">
                  <c:v>7.9248366013071891E-2</c:v>
                </c:pt>
                <c:pt idx="7">
                  <c:v>4.7181372549019607E-2</c:v>
                </c:pt>
                <c:pt idx="8">
                  <c:v>3.2066993464052285E-2</c:v>
                </c:pt>
                <c:pt idx="9">
                  <c:v>3.4722222222222224E-2</c:v>
                </c:pt>
                <c:pt idx="11">
                  <c:v>2.042483660130719E-4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Kireka-Kinawataka'!$AE$9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'02.08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Kireka-Kinawataka'!$AE$10:$AE$21</c:f>
              <c:numCache>
                <c:formatCode>0</c:formatCode>
                <c:ptCount val="12"/>
                <c:pt idx="0">
                  <c:v>553</c:v>
                </c:pt>
                <c:pt idx="1">
                  <c:v>616</c:v>
                </c:pt>
                <c:pt idx="2">
                  <c:v>605</c:v>
                </c:pt>
                <c:pt idx="3">
                  <c:v>587</c:v>
                </c:pt>
                <c:pt idx="4">
                  <c:v>510</c:v>
                </c:pt>
                <c:pt idx="5">
                  <c:v>483</c:v>
                </c:pt>
                <c:pt idx="6">
                  <c:v>320</c:v>
                </c:pt>
                <c:pt idx="7">
                  <c:v>391</c:v>
                </c:pt>
                <c:pt idx="8">
                  <c:v>447</c:v>
                </c:pt>
                <c:pt idx="9">
                  <c:v>424</c:v>
                </c:pt>
                <c:pt idx="10">
                  <c:v>428</c:v>
                </c:pt>
                <c:pt idx="11">
                  <c:v>379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'02.08 Kireka-Kinawataka'!$AF$9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'02.08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Kireka-Kinawataka'!$AF$10:$AF$21</c:f>
              <c:numCache>
                <c:formatCode>0</c:formatCode>
                <c:ptCount val="12"/>
                <c:pt idx="0">
                  <c:v>1212</c:v>
                </c:pt>
                <c:pt idx="1">
                  <c:v>1483</c:v>
                </c:pt>
                <c:pt idx="2">
                  <c:v>1294</c:v>
                </c:pt>
                <c:pt idx="3">
                  <c:v>990</c:v>
                </c:pt>
                <c:pt idx="4">
                  <c:v>962</c:v>
                </c:pt>
                <c:pt idx="5">
                  <c:v>1079</c:v>
                </c:pt>
                <c:pt idx="6">
                  <c:v>689</c:v>
                </c:pt>
                <c:pt idx="7">
                  <c:v>981</c:v>
                </c:pt>
                <c:pt idx="8">
                  <c:v>981</c:v>
                </c:pt>
                <c:pt idx="9">
                  <c:v>828</c:v>
                </c:pt>
                <c:pt idx="10">
                  <c:v>810</c:v>
                </c:pt>
                <c:pt idx="11">
                  <c:v>940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21239536"/>
        <c:axId val="-1221238992"/>
      </c:lineChart>
      <c:catAx>
        <c:axId val="-12212395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1238992"/>
        <c:crosses val="autoZero"/>
        <c:auto val="1"/>
        <c:lblAlgn val="ctr"/>
        <c:lblOffset val="100"/>
        <c:noMultiLvlLbl val="0"/>
      </c:catAx>
      <c:valAx>
        <c:axId val="-1221238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123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Kireka-Kinawataka'!$C$9:$N$9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Kireka-Kinawataka'!$C$59:$N$59</c:f>
              <c:numCache>
                <c:formatCode>0.0%</c:formatCode>
                <c:ptCount val="12"/>
                <c:pt idx="0">
                  <c:v>0.16042125887827577</c:v>
                </c:pt>
                <c:pt idx="1">
                  <c:v>0.10702914523634582</c:v>
                </c:pt>
                <c:pt idx="2">
                  <c:v>3.3227202220589433E-2</c:v>
                </c:pt>
                <c:pt idx="3">
                  <c:v>7.657767981059678E-2</c:v>
                </c:pt>
                <c:pt idx="4">
                  <c:v>6.1229488121479301E-3</c:v>
                </c:pt>
                <c:pt idx="5">
                  <c:v>1.551147032410809E-3</c:v>
                </c:pt>
                <c:pt idx="6">
                  <c:v>3.1022940648216181E-2</c:v>
                </c:pt>
                <c:pt idx="7">
                  <c:v>3.0369826108253735E-2</c:v>
                </c:pt>
                <c:pt idx="8">
                  <c:v>1.2164258306800554E-2</c:v>
                </c:pt>
                <c:pt idx="9">
                  <c:v>1.0286554004408524E-2</c:v>
                </c:pt>
                <c:pt idx="10">
                  <c:v>0.53114539962445917</c:v>
                </c:pt>
                <c:pt idx="11">
                  <c:v>8.1639317495305744E-5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'02.08 Kireka-Kinawataka'!$S$9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'02.08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Kireka-Kinawataka'!$S$10:$S$21</c:f>
              <c:numCache>
                <c:formatCode>0</c:formatCode>
                <c:ptCount val="12"/>
                <c:pt idx="0">
                  <c:v>257</c:v>
                </c:pt>
                <c:pt idx="1">
                  <c:v>239</c:v>
                </c:pt>
                <c:pt idx="2">
                  <c:v>183</c:v>
                </c:pt>
                <c:pt idx="3">
                  <c:v>187</c:v>
                </c:pt>
                <c:pt idx="4">
                  <c:v>141</c:v>
                </c:pt>
                <c:pt idx="5">
                  <c:v>158</c:v>
                </c:pt>
                <c:pt idx="6">
                  <c:v>120</c:v>
                </c:pt>
                <c:pt idx="7">
                  <c:v>131</c:v>
                </c:pt>
                <c:pt idx="8">
                  <c:v>151</c:v>
                </c:pt>
                <c:pt idx="9">
                  <c:v>129</c:v>
                </c:pt>
                <c:pt idx="10">
                  <c:v>120</c:v>
                </c:pt>
                <c:pt idx="11">
                  <c:v>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'02.08 Kireka-Kinawataka'!$T$9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'02.08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'02.08 Kireka-Kinawataka'!$T$10:$T$21</c:f>
              <c:numCache>
                <c:formatCode>0</c:formatCode>
                <c:ptCount val="12"/>
                <c:pt idx="0">
                  <c:v>137</c:v>
                </c:pt>
                <c:pt idx="1">
                  <c:v>165</c:v>
                </c:pt>
                <c:pt idx="2">
                  <c:v>143</c:v>
                </c:pt>
                <c:pt idx="3">
                  <c:v>138</c:v>
                </c:pt>
                <c:pt idx="4">
                  <c:v>117</c:v>
                </c:pt>
                <c:pt idx="5">
                  <c:v>106</c:v>
                </c:pt>
                <c:pt idx="6">
                  <c:v>47</c:v>
                </c:pt>
                <c:pt idx="7">
                  <c:v>77</c:v>
                </c:pt>
                <c:pt idx="8">
                  <c:v>94</c:v>
                </c:pt>
                <c:pt idx="9">
                  <c:v>106</c:v>
                </c:pt>
                <c:pt idx="10">
                  <c:v>113</c:v>
                </c:pt>
                <c:pt idx="11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'02.08 Kireka-Kinawataka'!$U$9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'02.08 Kireka-Kinawataka'!$U$10:$U$21</c:f>
              <c:numCache>
                <c:formatCode>0</c:formatCode>
                <c:ptCount val="12"/>
                <c:pt idx="0">
                  <c:v>42</c:v>
                </c:pt>
                <c:pt idx="1">
                  <c:v>40</c:v>
                </c:pt>
                <c:pt idx="2">
                  <c:v>53</c:v>
                </c:pt>
                <c:pt idx="3">
                  <c:v>34</c:v>
                </c:pt>
                <c:pt idx="4">
                  <c:v>35</c:v>
                </c:pt>
                <c:pt idx="5">
                  <c:v>28</c:v>
                </c:pt>
                <c:pt idx="6">
                  <c:v>25</c:v>
                </c:pt>
                <c:pt idx="7">
                  <c:v>37</c:v>
                </c:pt>
                <c:pt idx="8">
                  <c:v>25</c:v>
                </c:pt>
                <c:pt idx="9">
                  <c:v>24</c:v>
                </c:pt>
                <c:pt idx="10">
                  <c:v>36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'02.08 Kireka-Kinawataka'!$V$9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'02.08 Kireka-Kinawataka'!$V$10:$V$21</c:f>
              <c:numCache>
                <c:formatCode>0</c:formatCode>
                <c:ptCount val="12"/>
                <c:pt idx="0">
                  <c:v>68</c:v>
                </c:pt>
                <c:pt idx="1">
                  <c:v>96</c:v>
                </c:pt>
                <c:pt idx="2">
                  <c:v>120</c:v>
                </c:pt>
                <c:pt idx="3">
                  <c:v>105</c:v>
                </c:pt>
                <c:pt idx="4">
                  <c:v>98</c:v>
                </c:pt>
                <c:pt idx="5">
                  <c:v>71</c:v>
                </c:pt>
                <c:pt idx="6">
                  <c:v>60</c:v>
                </c:pt>
                <c:pt idx="7">
                  <c:v>53</c:v>
                </c:pt>
                <c:pt idx="8">
                  <c:v>61</c:v>
                </c:pt>
                <c:pt idx="9">
                  <c:v>69</c:v>
                </c:pt>
                <c:pt idx="10">
                  <c:v>69</c:v>
                </c:pt>
                <c:pt idx="11">
                  <c:v>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'02.08 Kireka-Kinawataka'!$W$9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'02.08 Kireka-Kinawataka'!$W$10:$W$21</c:f>
              <c:numCache>
                <c:formatCode>0</c:formatCode>
                <c:ptCount val="12"/>
                <c:pt idx="0">
                  <c:v>7</c:v>
                </c:pt>
                <c:pt idx="1">
                  <c:v>8</c:v>
                </c:pt>
                <c:pt idx="2">
                  <c:v>14</c:v>
                </c:pt>
                <c:pt idx="3">
                  <c:v>18</c:v>
                </c:pt>
                <c:pt idx="4">
                  <c:v>8</c:v>
                </c:pt>
                <c:pt idx="5">
                  <c:v>2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7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'02.08 Kireka-Kinawataka'!$X$9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'02.08 Kireka-Kinawataka'!$X$10:$X$21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5</c:v>
                </c:pt>
                <c:pt idx="3">
                  <c:v>6</c:v>
                </c:pt>
                <c:pt idx="4">
                  <c:v>3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'02.08 Kireka-Kinawataka'!$Y$9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Kireka-Kinawataka'!$Y$10:$Y$21</c:f>
              <c:numCache>
                <c:formatCode>0</c:formatCode>
                <c:ptCount val="12"/>
                <c:pt idx="0">
                  <c:v>6</c:v>
                </c:pt>
                <c:pt idx="1">
                  <c:v>26</c:v>
                </c:pt>
                <c:pt idx="2">
                  <c:v>29</c:v>
                </c:pt>
                <c:pt idx="3">
                  <c:v>38</c:v>
                </c:pt>
                <c:pt idx="4">
                  <c:v>39</c:v>
                </c:pt>
                <c:pt idx="5">
                  <c:v>47</c:v>
                </c:pt>
                <c:pt idx="6">
                  <c:v>24</c:v>
                </c:pt>
                <c:pt idx="7">
                  <c:v>45</c:v>
                </c:pt>
                <c:pt idx="8">
                  <c:v>40</c:v>
                </c:pt>
                <c:pt idx="9">
                  <c:v>33</c:v>
                </c:pt>
                <c:pt idx="10">
                  <c:v>31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'02.08 Kireka-Kinawataka'!$Z$9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Kireka-Kinawataka'!$Z$10:$Z$21</c:f>
              <c:numCache>
                <c:formatCode>0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26</c:v>
                </c:pt>
                <c:pt idx="3">
                  <c:v>38</c:v>
                </c:pt>
                <c:pt idx="4">
                  <c:v>41</c:v>
                </c:pt>
                <c:pt idx="5">
                  <c:v>43</c:v>
                </c:pt>
                <c:pt idx="6">
                  <c:v>21</c:v>
                </c:pt>
                <c:pt idx="7">
                  <c:v>33</c:v>
                </c:pt>
                <c:pt idx="8">
                  <c:v>49</c:v>
                </c:pt>
                <c:pt idx="9">
                  <c:v>28</c:v>
                </c:pt>
                <c:pt idx="10">
                  <c:v>26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'02.08 Kireka-Kinawataka'!$AA$9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Kireka-Kinawataka'!$AA$10:$AA$21</c:f>
              <c:numCache>
                <c:formatCode>0</c:formatCode>
                <c:ptCount val="12"/>
                <c:pt idx="0">
                  <c:v>7</c:v>
                </c:pt>
                <c:pt idx="1">
                  <c:v>14</c:v>
                </c:pt>
                <c:pt idx="2">
                  <c:v>17</c:v>
                </c:pt>
                <c:pt idx="3">
                  <c:v>13</c:v>
                </c:pt>
                <c:pt idx="4">
                  <c:v>12</c:v>
                </c:pt>
                <c:pt idx="5">
                  <c:v>10</c:v>
                </c:pt>
                <c:pt idx="6">
                  <c:v>11</c:v>
                </c:pt>
                <c:pt idx="7">
                  <c:v>8</c:v>
                </c:pt>
                <c:pt idx="8">
                  <c:v>13</c:v>
                </c:pt>
                <c:pt idx="9">
                  <c:v>19</c:v>
                </c:pt>
                <c:pt idx="10">
                  <c:v>15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'02.08 Kireka-Kinawataka'!$AB$9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Kireka-Kinawataka'!$AB$10:$AB$21</c:f>
              <c:numCache>
                <c:formatCode>0</c:formatCode>
                <c:ptCount val="12"/>
                <c:pt idx="0">
                  <c:v>8</c:v>
                </c:pt>
                <c:pt idx="1">
                  <c:v>4</c:v>
                </c:pt>
                <c:pt idx="2">
                  <c:v>15</c:v>
                </c:pt>
                <c:pt idx="3">
                  <c:v>10</c:v>
                </c:pt>
                <c:pt idx="4">
                  <c:v>16</c:v>
                </c:pt>
                <c:pt idx="5">
                  <c:v>18</c:v>
                </c:pt>
                <c:pt idx="6">
                  <c:v>9</c:v>
                </c:pt>
                <c:pt idx="7">
                  <c:v>4</c:v>
                </c:pt>
                <c:pt idx="8">
                  <c:v>11</c:v>
                </c:pt>
                <c:pt idx="9">
                  <c:v>13</c:v>
                </c:pt>
                <c:pt idx="10">
                  <c:v>11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'02.08 Kireka-Kinawataka'!$AC$9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Kireka-Kinawataka'!$AC$10:$AC$21</c:f>
              <c:numCache>
                <c:formatCode>0</c:formatCode>
                <c:ptCount val="12"/>
                <c:pt idx="0">
                  <c:v>659</c:v>
                </c:pt>
                <c:pt idx="1">
                  <c:v>867</c:v>
                </c:pt>
                <c:pt idx="2">
                  <c:v>689</c:v>
                </c:pt>
                <c:pt idx="3">
                  <c:v>403</c:v>
                </c:pt>
                <c:pt idx="4">
                  <c:v>452</c:v>
                </c:pt>
                <c:pt idx="5">
                  <c:v>596</c:v>
                </c:pt>
                <c:pt idx="6">
                  <c:v>369</c:v>
                </c:pt>
                <c:pt idx="7">
                  <c:v>590</c:v>
                </c:pt>
                <c:pt idx="8">
                  <c:v>534</c:v>
                </c:pt>
                <c:pt idx="9">
                  <c:v>404</c:v>
                </c:pt>
                <c:pt idx="10">
                  <c:v>382</c:v>
                </c:pt>
                <c:pt idx="11">
                  <c:v>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'02.08 Kireka-Kinawataka'!$AD$9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'02.08 Kireka-Kinawataka'!$AD$10:$AD$21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23595904"/>
        <c:axId val="-1223598080"/>
      </c:lineChart>
      <c:catAx>
        <c:axId val="-1223595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598080"/>
        <c:crosses val="autoZero"/>
        <c:auto val="1"/>
        <c:lblAlgn val="ctr"/>
        <c:lblOffset val="100"/>
        <c:noMultiLvlLbl val="0"/>
      </c:catAx>
      <c:valAx>
        <c:axId val="-122359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59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'02.08 Kireka-Kinawataka'!$C$9:$N$9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'02.08 Kireka-Kinawataka'!$C$60:$N$60</c:f>
              <c:numCache>
                <c:formatCode>0.00%</c:formatCode>
                <c:ptCount val="12"/>
                <c:pt idx="0">
                  <c:v>0.34215566776945849</c:v>
                </c:pt>
                <c:pt idx="1">
                  <c:v>0.22827790353473795</c:v>
                </c:pt>
                <c:pt idx="2">
                  <c:v>7.0868883858610482E-2</c:v>
                </c:pt>
                <c:pt idx="3">
                  <c:v>0.1633292704161588</c:v>
                </c:pt>
                <c:pt idx="4">
                  <c:v>1.3059376632422079E-2</c:v>
                </c:pt>
                <c:pt idx="5">
                  <c:v>3.3083754135469269E-3</c:v>
                </c:pt>
                <c:pt idx="6">
                  <c:v>6.6167508270938535E-2</c:v>
                </c:pt>
                <c:pt idx="7">
                  <c:v>6.477450809681351E-2</c:v>
                </c:pt>
                <c:pt idx="8">
                  <c:v>2.594462824307853E-2</c:v>
                </c:pt>
                <c:pt idx="9">
                  <c:v>2.1939752742469093E-2</c:v>
                </c:pt>
                <c:pt idx="11">
                  <c:v>1.7412502176562773E-4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Kinawataka-Kireka-24h'!$AE$9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Kinawataka-Kireka-24h'!$R$10:$R$33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Kinawataka-Kireka-24h'!$AE$10:$AE$33</c:f>
              <c:numCache>
                <c:formatCode>0</c:formatCode>
                <c:ptCount val="24"/>
                <c:pt idx="0">
                  <c:v>194</c:v>
                </c:pt>
                <c:pt idx="1">
                  <c:v>268</c:v>
                </c:pt>
                <c:pt idx="2">
                  <c:v>414</c:v>
                </c:pt>
                <c:pt idx="3">
                  <c:v>384</c:v>
                </c:pt>
                <c:pt idx="4">
                  <c:v>298</c:v>
                </c:pt>
                <c:pt idx="5">
                  <c:v>305</c:v>
                </c:pt>
                <c:pt idx="6">
                  <c:v>355</c:v>
                </c:pt>
                <c:pt idx="7">
                  <c:v>413</c:v>
                </c:pt>
                <c:pt idx="8">
                  <c:v>533</c:v>
                </c:pt>
                <c:pt idx="9">
                  <c:v>463</c:v>
                </c:pt>
                <c:pt idx="10">
                  <c:v>477</c:v>
                </c:pt>
                <c:pt idx="11">
                  <c:v>486</c:v>
                </c:pt>
                <c:pt idx="12">
                  <c:v>418</c:v>
                </c:pt>
                <c:pt idx="13">
                  <c:v>374</c:v>
                </c:pt>
                <c:pt idx="14">
                  <c:v>472</c:v>
                </c:pt>
                <c:pt idx="15">
                  <c:v>573</c:v>
                </c:pt>
                <c:pt idx="16">
                  <c:v>283</c:v>
                </c:pt>
                <c:pt idx="17">
                  <c:v>143</c:v>
                </c:pt>
                <c:pt idx="18">
                  <c:v>110</c:v>
                </c:pt>
                <c:pt idx="19">
                  <c:v>85</c:v>
                </c:pt>
                <c:pt idx="20">
                  <c:v>53</c:v>
                </c:pt>
                <c:pt idx="21">
                  <c:v>36</c:v>
                </c:pt>
                <c:pt idx="22">
                  <c:v>46</c:v>
                </c:pt>
                <c:pt idx="23">
                  <c:v>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'03.08 Kinawataka-Kireka-24h'!$AF$9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Kinawataka-Kireka-24h'!$R$10:$R$33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Kinawataka-Kireka-24h'!$AF$10:$AF$33</c:f>
              <c:numCache>
                <c:formatCode>0</c:formatCode>
                <c:ptCount val="24"/>
                <c:pt idx="0">
                  <c:v>430</c:v>
                </c:pt>
                <c:pt idx="1">
                  <c:v>614</c:v>
                </c:pt>
                <c:pt idx="2">
                  <c:v>990</c:v>
                </c:pt>
                <c:pt idx="3">
                  <c:v>849</c:v>
                </c:pt>
                <c:pt idx="4">
                  <c:v>718</c:v>
                </c:pt>
                <c:pt idx="5">
                  <c:v>671</c:v>
                </c:pt>
                <c:pt idx="6">
                  <c:v>750</c:v>
                </c:pt>
                <c:pt idx="7">
                  <c:v>1018</c:v>
                </c:pt>
                <c:pt idx="8">
                  <c:v>1023</c:v>
                </c:pt>
                <c:pt idx="9">
                  <c:v>973</c:v>
                </c:pt>
                <c:pt idx="10">
                  <c:v>872</c:v>
                </c:pt>
                <c:pt idx="11">
                  <c:v>881</c:v>
                </c:pt>
                <c:pt idx="12">
                  <c:v>1150</c:v>
                </c:pt>
                <c:pt idx="13">
                  <c:v>1306</c:v>
                </c:pt>
                <c:pt idx="14">
                  <c:v>1157</c:v>
                </c:pt>
                <c:pt idx="15">
                  <c:v>1259</c:v>
                </c:pt>
                <c:pt idx="16">
                  <c:v>773</c:v>
                </c:pt>
                <c:pt idx="17">
                  <c:v>465</c:v>
                </c:pt>
                <c:pt idx="18">
                  <c:v>307</c:v>
                </c:pt>
                <c:pt idx="19">
                  <c:v>192</c:v>
                </c:pt>
                <c:pt idx="20">
                  <c:v>147</c:v>
                </c:pt>
                <c:pt idx="21">
                  <c:v>122</c:v>
                </c:pt>
                <c:pt idx="22">
                  <c:v>172</c:v>
                </c:pt>
                <c:pt idx="23">
                  <c:v>321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23606240"/>
        <c:axId val="-1223608416"/>
      </c:lineChart>
      <c:catAx>
        <c:axId val="-122360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608416"/>
        <c:crosses val="autoZero"/>
        <c:auto val="1"/>
        <c:lblAlgn val="ctr"/>
        <c:lblOffset val="100"/>
        <c:noMultiLvlLbl val="0"/>
      </c:catAx>
      <c:valAx>
        <c:axId val="-12236084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60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Kinawataka-Kireka-24h'!$C$9:$N$9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Kinawataka-Kireka-24h'!$C$107:$N$107</c:f>
              <c:numCache>
                <c:formatCode>0.0%</c:formatCode>
                <c:ptCount val="12"/>
                <c:pt idx="0">
                  <c:v>0.23863636363636365</c:v>
                </c:pt>
                <c:pt idx="1">
                  <c:v>2.8671328671328673E-2</c:v>
                </c:pt>
                <c:pt idx="2">
                  <c:v>2.7564102564102563E-2</c:v>
                </c:pt>
                <c:pt idx="3">
                  <c:v>6.3053613053613053E-2</c:v>
                </c:pt>
                <c:pt idx="4">
                  <c:v>7.2843822843822841E-3</c:v>
                </c:pt>
                <c:pt idx="5">
                  <c:v>2.331002331002331E-4</c:v>
                </c:pt>
                <c:pt idx="6">
                  <c:v>2.6748251748251749E-2</c:v>
                </c:pt>
                <c:pt idx="7">
                  <c:v>1.5151515151515152E-2</c:v>
                </c:pt>
                <c:pt idx="8">
                  <c:v>6.2937062937062941E-3</c:v>
                </c:pt>
                <c:pt idx="9">
                  <c:v>1.048951048951049E-2</c:v>
                </c:pt>
                <c:pt idx="10">
                  <c:v>0.57569930069930075</c:v>
                </c:pt>
                <c:pt idx="11">
                  <c:v>1.7482517482517483E-4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Kinawataka-Kireka-24h'!$C$9:$N$9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Kinawataka-Kireka-24h'!$C$108:$N$108</c:f>
              <c:numCache>
                <c:formatCode>0.00%</c:formatCode>
                <c:ptCount val="12"/>
                <c:pt idx="0">
                  <c:v>0.56242274412855375</c:v>
                </c:pt>
                <c:pt idx="1">
                  <c:v>6.7573135558302425E-2</c:v>
                </c:pt>
                <c:pt idx="2">
                  <c:v>6.4963603900563105E-2</c:v>
                </c:pt>
                <c:pt idx="3">
                  <c:v>0.14860596071968135</c:v>
                </c:pt>
                <c:pt idx="4">
                  <c:v>1.7167971432495537E-2</c:v>
                </c:pt>
                <c:pt idx="5">
                  <c:v>5.493750858398572E-4</c:v>
                </c:pt>
                <c:pt idx="6">
                  <c:v>6.3040791100123603E-2</c:v>
                </c:pt>
                <c:pt idx="7">
                  <c:v>3.5709380579590715E-2</c:v>
                </c:pt>
                <c:pt idx="8">
                  <c:v>1.4833127317676144E-2</c:v>
                </c:pt>
                <c:pt idx="9">
                  <c:v>2.4721878862793572E-2</c:v>
                </c:pt>
                <c:pt idx="11">
                  <c:v>4.1203131437989287E-4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'03.08 Kireka-Kinawataka-24h'!$AE$9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'03.08 Kireka-Kinawataka-24h'!$R$10:$R$33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Kireka-Kinawataka-24h'!$AE$10:$AE$33</c:f>
              <c:numCache>
                <c:formatCode>0</c:formatCode>
                <c:ptCount val="24"/>
                <c:pt idx="0">
                  <c:v>445</c:v>
                </c:pt>
                <c:pt idx="1">
                  <c:v>585</c:v>
                </c:pt>
                <c:pt idx="2">
                  <c:v>401</c:v>
                </c:pt>
                <c:pt idx="3">
                  <c:v>496</c:v>
                </c:pt>
                <c:pt idx="4">
                  <c:v>405</c:v>
                </c:pt>
                <c:pt idx="5">
                  <c:v>355</c:v>
                </c:pt>
                <c:pt idx="6">
                  <c:v>400</c:v>
                </c:pt>
                <c:pt idx="7">
                  <c:v>342</c:v>
                </c:pt>
                <c:pt idx="8">
                  <c:v>478</c:v>
                </c:pt>
                <c:pt idx="9">
                  <c:v>530</c:v>
                </c:pt>
                <c:pt idx="10">
                  <c:v>455</c:v>
                </c:pt>
                <c:pt idx="11">
                  <c:v>542</c:v>
                </c:pt>
                <c:pt idx="12">
                  <c:v>300</c:v>
                </c:pt>
                <c:pt idx="13">
                  <c:v>323</c:v>
                </c:pt>
                <c:pt idx="14">
                  <c:v>437</c:v>
                </c:pt>
                <c:pt idx="15">
                  <c:v>285</c:v>
                </c:pt>
                <c:pt idx="16">
                  <c:v>231</c:v>
                </c:pt>
                <c:pt idx="17">
                  <c:v>129</c:v>
                </c:pt>
                <c:pt idx="18">
                  <c:v>90</c:v>
                </c:pt>
                <c:pt idx="19">
                  <c:v>44</c:v>
                </c:pt>
                <c:pt idx="20">
                  <c:v>41</c:v>
                </c:pt>
                <c:pt idx="21">
                  <c:v>38</c:v>
                </c:pt>
                <c:pt idx="22">
                  <c:v>66</c:v>
                </c:pt>
                <c:pt idx="23">
                  <c:v>164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'03.08 Kireka-Kinawataka-24h'!$AF$9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'03.08 Kireka-Kinawataka-24h'!$R$10:$R$33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'03.08 Kireka-Kinawataka-24h'!$AF$10:$AF$33</c:f>
              <c:numCache>
                <c:formatCode>0</c:formatCode>
                <c:ptCount val="24"/>
                <c:pt idx="0">
                  <c:v>713</c:v>
                </c:pt>
                <c:pt idx="1">
                  <c:v>1185</c:v>
                </c:pt>
                <c:pt idx="2">
                  <c:v>906</c:v>
                </c:pt>
                <c:pt idx="3">
                  <c:v>1174</c:v>
                </c:pt>
                <c:pt idx="4">
                  <c:v>951</c:v>
                </c:pt>
                <c:pt idx="5">
                  <c:v>848</c:v>
                </c:pt>
                <c:pt idx="6">
                  <c:v>756</c:v>
                </c:pt>
                <c:pt idx="7">
                  <c:v>709</c:v>
                </c:pt>
                <c:pt idx="8">
                  <c:v>870</c:v>
                </c:pt>
                <c:pt idx="9">
                  <c:v>962</c:v>
                </c:pt>
                <c:pt idx="10">
                  <c:v>933</c:v>
                </c:pt>
                <c:pt idx="11">
                  <c:v>1284</c:v>
                </c:pt>
                <c:pt idx="12">
                  <c:v>1045</c:v>
                </c:pt>
                <c:pt idx="13">
                  <c:v>948</c:v>
                </c:pt>
                <c:pt idx="14">
                  <c:v>1279</c:v>
                </c:pt>
                <c:pt idx="15">
                  <c:v>925</c:v>
                </c:pt>
                <c:pt idx="16">
                  <c:v>634</c:v>
                </c:pt>
                <c:pt idx="17">
                  <c:v>378</c:v>
                </c:pt>
                <c:pt idx="18">
                  <c:v>247</c:v>
                </c:pt>
                <c:pt idx="19">
                  <c:v>159</c:v>
                </c:pt>
                <c:pt idx="20">
                  <c:v>131</c:v>
                </c:pt>
                <c:pt idx="21">
                  <c:v>127</c:v>
                </c:pt>
                <c:pt idx="22">
                  <c:v>202</c:v>
                </c:pt>
                <c:pt idx="23">
                  <c:v>396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23603520"/>
        <c:axId val="-1223604064"/>
      </c:lineChart>
      <c:catAx>
        <c:axId val="-12236035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604064"/>
        <c:crosses val="autoZero"/>
        <c:auto val="1"/>
        <c:lblAlgn val="ctr"/>
        <c:lblOffset val="100"/>
        <c:noMultiLvlLbl val="0"/>
      </c:catAx>
      <c:valAx>
        <c:axId val="-12236040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2360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Kireka-Kinawataka-24h'!$C$9:$N$9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Kireka-Kinawataka-24h'!$C$107:$N$107</c:f>
              <c:numCache>
                <c:formatCode>0.0%</c:formatCode>
                <c:ptCount val="12"/>
                <c:pt idx="0">
                  <c:v>0.17481139511316293</c:v>
                </c:pt>
                <c:pt idx="1">
                  <c:v>8.383064970161018E-2</c:v>
                </c:pt>
                <c:pt idx="2">
                  <c:v>2.6686183988289609E-2</c:v>
                </c:pt>
                <c:pt idx="3">
                  <c:v>7.701835378898772E-2</c:v>
                </c:pt>
                <c:pt idx="4">
                  <c:v>2.5334984799009119E-3</c:v>
                </c:pt>
                <c:pt idx="5">
                  <c:v>6.7559959464024322E-4</c:v>
                </c:pt>
                <c:pt idx="6">
                  <c:v>2.2801486319108208E-2</c:v>
                </c:pt>
                <c:pt idx="7">
                  <c:v>2.342078594752843E-2</c:v>
                </c:pt>
                <c:pt idx="8">
                  <c:v>7.2063956761625947E-3</c:v>
                </c:pt>
                <c:pt idx="9">
                  <c:v>7.7130953721427763E-3</c:v>
                </c:pt>
                <c:pt idx="10">
                  <c:v>0.57313365611980638</c:v>
                </c:pt>
                <c:pt idx="11">
                  <c:v>1.6889989866006081E-4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'03.08 Kireka-Kinawataka-24h'!$C$9:$N$9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'03.08 Kireka-Kinawataka-24h'!$C$108:$N$108</c:f>
              <c:numCache>
                <c:formatCode>0.00%</c:formatCode>
                <c:ptCount val="12"/>
                <c:pt idx="0">
                  <c:v>0.4095225534159852</c:v>
                </c:pt>
                <c:pt idx="1">
                  <c:v>0.19638617778950146</c:v>
                </c:pt>
                <c:pt idx="2">
                  <c:v>6.2516486415193875E-2</c:v>
                </c:pt>
                <c:pt idx="3">
                  <c:v>0.18042732788182539</c:v>
                </c:pt>
                <c:pt idx="4">
                  <c:v>5.9351094697968872E-3</c:v>
                </c:pt>
                <c:pt idx="5">
                  <c:v>1.5826958586125032E-3</c:v>
                </c:pt>
                <c:pt idx="6">
                  <c:v>5.3415985228171987E-2</c:v>
                </c:pt>
                <c:pt idx="7">
                  <c:v>5.4866789765233445E-2</c:v>
                </c:pt>
                <c:pt idx="8">
                  <c:v>1.688208915853337E-2</c:v>
                </c:pt>
                <c:pt idx="9">
                  <c:v>1.8069111052492745E-2</c:v>
                </c:pt>
                <c:pt idx="11">
                  <c:v>3.956739646531258E-4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Kinawataka-Kireka'!$AE$9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Kinawataka-Kireka'!$AE$10:$AE$21</c:f>
              <c:numCache>
                <c:formatCode>0</c:formatCode>
                <c:ptCount val="12"/>
                <c:pt idx="0">
                  <c:v>177</c:v>
                </c:pt>
                <c:pt idx="1">
                  <c:v>210</c:v>
                </c:pt>
                <c:pt idx="2">
                  <c:v>250</c:v>
                </c:pt>
                <c:pt idx="3">
                  <c:v>329</c:v>
                </c:pt>
                <c:pt idx="4">
                  <c:v>285</c:v>
                </c:pt>
                <c:pt idx="5">
                  <c:v>361</c:v>
                </c:pt>
                <c:pt idx="6">
                  <c:v>404</c:v>
                </c:pt>
                <c:pt idx="7">
                  <c:v>392</c:v>
                </c:pt>
                <c:pt idx="8">
                  <c:v>462</c:v>
                </c:pt>
                <c:pt idx="9">
                  <c:v>476</c:v>
                </c:pt>
                <c:pt idx="10">
                  <c:v>433</c:v>
                </c:pt>
                <c:pt idx="11">
                  <c:v>437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'04.08 Kinawataka-Kireka'!$AF$9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Kinawataka-Kireka'!$AF$10:$AF$21</c:f>
              <c:numCache>
                <c:formatCode>0</c:formatCode>
                <c:ptCount val="12"/>
                <c:pt idx="0">
                  <c:v>646</c:v>
                </c:pt>
                <c:pt idx="1">
                  <c:v>814</c:v>
                </c:pt>
                <c:pt idx="2">
                  <c:v>887</c:v>
                </c:pt>
                <c:pt idx="3">
                  <c:v>889</c:v>
                </c:pt>
                <c:pt idx="4">
                  <c:v>753</c:v>
                </c:pt>
                <c:pt idx="5">
                  <c:v>878</c:v>
                </c:pt>
                <c:pt idx="6">
                  <c:v>964</c:v>
                </c:pt>
                <c:pt idx="7">
                  <c:v>723</c:v>
                </c:pt>
                <c:pt idx="8">
                  <c:v>980</c:v>
                </c:pt>
                <c:pt idx="9">
                  <c:v>1086</c:v>
                </c:pt>
                <c:pt idx="10">
                  <c:v>1004</c:v>
                </c:pt>
                <c:pt idx="11">
                  <c:v>973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17459216"/>
        <c:axId val="-1217450512"/>
      </c:lineChart>
      <c:catAx>
        <c:axId val="-1217459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17450512"/>
        <c:crosses val="autoZero"/>
        <c:auto val="1"/>
        <c:lblAlgn val="ctr"/>
        <c:lblOffset val="100"/>
        <c:noMultiLvlLbl val="0"/>
      </c:catAx>
      <c:valAx>
        <c:axId val="-1217450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1745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Kinawataka-Kireka'!$C$9:$N$9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Kinawataka-Kireka'!$C$59:$N$59</c:f>
              <c:numCache>
                <c:formatCode>0.0%</c:formatCode>
                <c:ptCount val="12"/>
                <c:pt idx="0">
                  <c:v>0.24308766632065679</c:v>
                </c:pt>
                <c:pt idx="1">
                  <c:v>2.7271869396999149E-2</c:v>
                </c:pt>
                <c:pt idx="2">
                  <c:v>2.4912711144663584E-2</c:v>
                </c:pt>
                <c:pt idx="3">
                  <c:v>5.5298669434745686E-2</c:v>
                </c:pt>
                <c:pt idx="4">
                  <c:v>3.8690195338303294E-3</c:v>
                </c:pt>
                <c:pt idx="5">
                  <c:v>5.6619798056053603E-4</c:v>
                </c:pt>
                <c:pt idx="6">
                  <c:v>1.9250731339058223E-2</c:v>
                </c:pt>
                <c:pt idx="7">
                  <c:v>9.4366330093422664E-3</c:v>
                </c:pt>
                <c:pt idx="8">
                  <c:v>1.0474662640369916E-2</c:v>
                </c:pt>
                <c:pt idx="9">
                  <c:v>3.680286873643484E-3</c:v>
                </c:pt>
                <c:pt idx="10">
                  <c:v>0.60215155232613005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Kinawataka-Kireka'!$S$9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Kinawataka-Kireka'!$S$10:$S$21</c:f>
              <c:numCache>
                <c:formatCode>0</c:formatCode>
                <c:ptCount val="12"/>
                <c:pt idx="0">
                  <c:v>77</c:v>
                </c:pt>
                <c:pt idx="1">
                  <c:v>95</c:v>
                </c:pt>
                <c:pt idx="2">
                  <c:v>116</c:v>
                </c:pt>
                <c:pt idx="3">
                  <c:v>216</c:v>
                </c:pt>
                <c:pt idx="4">
                  <c:v>165</c:v>
                </c:pt>
                <c:pt idx="5">
                  <c:v>201</c:v>
                </c:pt>
                <c:pt idx="6">
                  <c:v>269</c:v>
                </c:pt>
                <c:pt idx="7">
                  <c:v>277</c:v>
                </c:pt>
                <c:pt idx="8">
                  <c:v>317</c:v>
                </c:pt>
                <c:pt idx="9">
                  <c:v>300</c:v>
                </c:pt>
                <c:pt idx="10">
                  <c:v>274</c:v>
                </c:pt>
                <c:pt idx="11">
                  <c:v>269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'04.08 Kinawataka-Kireka'!$T$9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Kinawataka-Kireka'!$R$10:$R$21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Kinawataka-Kireka'!$T$10:$T$21</c:f>
              <c:numCache>
                <c:formatCode>0</c:formatCode>
                <c:ptCount val="12"/>
                <c:pt idx="0">
                  <c:v>8</c:v>
                </c:pt>
                <c:pt idx="1">
                  <c:v>13</c:v>
                </c:pt>
                <c:pt idx="2">
                  <c:v>18</c:v>
                </c:pt>
                <c:pt idx="3">
                  <c:v>14</c:v>
                </c:pt>
                <c:pt idx="4">
                  <c:v>17</c:v>
                </c:pt>
                <c:pt idx="5">
                  <c:v>35</c:v>
                </c:pt>
                <c:pt idx="6">
                  <c:v>24</c:v>
                </c:pt>
                <c:pt idx="7">
                  <c:v>36</c:v>
                </c:pt>
                <c:pt idx="8">
                  <c:v>35</c:v>
                </c:pt>
                <c:pt idx="9">
                  <c:v>29</c:v>
                </c:pt>
                <c:pt idx="10">
                  <c:v>30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'04.08 Kinawataka-Kireka'!$U$9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Kinawataka-Kireka'!$U$10:$U$21</c:f>
              <c:numCache>
                <c:formatCode>0</c:formatCode>
                <c:ptCount val="12"/>
                <c:pt idx="0">
                  <c:v>9</c:v>
                </c:pt>
                <c:pt idx="1">
                  <c:v>22</c:v>
                </c:pt>
                <c:pt idx="2">
                  <c:v>17</c:v>
                </c:pt>
                <c:pt idx="3">
                  <c:v>22</c:v>
                </c:pt>
                <c:pt idx="4">
                  <c:v>21</c:v>
                </c:pt>
                <c:pt idx="5">
                  <c:v>24</c:v>
                </c:pt>
                <c:pt idx="6">
                  <c:v>29</c:v>
                </c:pt>
                <c:pt idx="7">
                  <c:v>20</c:v>
                </c:pt>
                <c:pt idx="8">
                  <c:v>20</c:v>
                </c:pt>
                <c:pt idx="9">
                  <c:v>27</c:v>
                </c:pt>
                <c:pt idx="10">
                  <c:v>34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'04.08 Kinawataka-Kireka'!$V$9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Kinawataka-Kireka'!$V$10:$V$21</c:f>
              <c:numCache>
                <c:formatCode>0</c:formatCode>
                <c:ptCount val="12"/>
                <c:pt idx="0">
                  <c:v>58</c:v>
                </c:pt>
                <c:pt idx="1">
                  <c:v>44</c:v>
                </c:pt>
                <c:pt idx="2">
                  <c:v>54</c:v>
                </c:pt>
                <c:pt idx="3">
                  <c:v>26</c:v>
                </c:pt>
                <c:pt idx="4">
                  <c:v>44</c:v>
                </c:pt>
                <c:pt idx="5">
                  <c:v>50</c:v>
                </c:pt>
                <c:pt idx="6">
                  <c:v>48</c:v>
                </c:pt>
                <c:pt idx="7">
                  <c:v>27</c:v>
                </c:pt>
                <c:pt idx="8">
                  <c:v>49</c:v>
                </c:pt>
                <c:pt idx="9">
                  <c:v>58</c:v>
                </c:pt>
                <c:pt idx="10">
                  <c:v>55</c:v>
                </c:pt>
                <c:pt idx="11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'04.08 Kinawataka-Kireka'!$W$9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Kinawataka-Kireka'!$W$10:$W$21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5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6</c:v>
                </c:pt>
                <c:pt idx="8">
                  <c:v>2</c:v>
                </c:pt>
                <c:pt idx="9">
                  <c:v>4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'04.08 Kinawataka-Kireka'!$X$9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Kinawataka-Kireka'!$X$10:$X$21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'04.08 Kinawataka-Kireka'!$Y$9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Kinawataka-Kireka'!$Y$10:$Y$21</c:f>
              <c:numCache>
                <c:formatCode>0</c:formatCode>
                <c:ptCount val="12"/>
                <c:pt idx="0">
                  <c:v>13</c:v>
                </c:pt>
                <c:pt idx="1">
                  <c:v>18</c:v>
                </c:pt>
                <c:pt idx="2">
                  <c:v>23</c:v>
                </c:pt>
                <c:pt idx="3">
                  <c:v>16</c:v>
                </c:pt>
                <c:pt idx="4">
                  <c:v>14</c:v>
                </c:pt>
                <c:pt idx="5">
                  <c:v>13</c:v>
                </c:pt>
                <c:pt idx="6">
                  <c:v>18</c:v>
                </c:pt>
                <c:pt idx="7">
                  <c:v>8</c:v>
                </c:pt>
                <c:pt idx="8">
                  <c:v>31</c:v>
                </c:pt>
                <c:pt idx="9">
                  <c:v>14</c:v>
                </c:pt>
                <c:pt idx="10">
                  <c:v>16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'04.08 Kinawataka-Kireka'!$Z$9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Kinawataka-Kireka'!$Z$10:$Z$21</c:f>
              <c:numCache>
                <c:formatCode>0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8</c:v>
                </c:pt>
                <c:pt idx="3">
                  <c:v>18</c:v>
                </c:pt>
                <c:pt idx="4">
                  <c:v>13</c:v>
                </c:pt>
                <c:pt idx="5">
                  <c:v>6</c:v>
                </c:pt>
                <c:pt idx="6">
                  <c:v>3</c:v>
                </c:pt>
                <c:pt idx="7">
                  <c:v>6</c:v>
                </c:pt>
                <c:pt idx="8">
                  <c:v>3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'04.08 Kinawataka-Kireka'!$AA$9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Kinawataka-Kireka'!$AA$10:$AA$21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11</c:v>
                </c:pt>
                <c:pt idx="4">
                  <c:v>6</c:v>
                </c:pt>
                <c:pt idx="5">
                  <c:v>21</c:v>
                </c:pt>
                <c:pt idx="6">
                  <c:v>8</c:v>
                </c:pt>
                <c:pt idx="7">
                  <c:v>9</c:v>
                </c:pt>
                <c:pt idx="8">
                  <c:v>2</c:v>
                </c:pt>
                <c:pt idx="9">
                  <c:v>29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'04.08 Kinawataka-Kireka'!$AB$9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Kinawataka-Kireka'!$AB$10:$AB$21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7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'04.08 Kinawataka-Kireka'!$AC$9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Kinawataka-Kireka'!$AC$10:$AC$21</c:f>
              <c:numCache>
                <c:formatCode>0</c:formatCode>
                <c:ptCount val="12"/>
                <c:pt idx="0">
                  <c:v>469</c:v>
                </c:pt>
                <c:pt idx="1">
                  <c:v>604</c:v>
                </c:pt>
                <c:pt idx="2">
                  <c:v>637</c:v>
                </c:pt>
                <c:pt idx="3">
                  <c:v>560</c:v>
                </c:pt>
                <c:pt idx="4">
                  <c:v>468</c:v>
                </c:pt>
                <c:pt idx="5">
                  <c:v>517</c:v>
                </c:pt>
                <c:pt idx="6">
                  <c:v>560</c:v>
                </c:pt>
                <c:pt idx="7">
                  <c:v>331</c:v>
                </c:pt>
                <c:pt idx="8">
                  <c:v>518</c:v>
                </c:pt>
                <c:pt idx="9">
                  <c:v>610</c:v>
                </c:pt>
                <c:pt idx="10">
                  <c:v>571</c:v>
                </c:pt>
                <c:pt idx="11">
                  <c:v>536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'04.08 Kinawataka-Kireka'!$AD$9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Kinawataka-Kireka'!$AD$10:$AD$21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17456496"/>
        <c:axId val="-1217453232"/>
      </c:lineChart>
      <c:catAx>
        <c:axId val="-1217456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17453232"/>
        <c:crosses val="autoZero"/>
        <c:auto val="1"/>
        <c:lblAlgn val="ctr"/>
        <c:lblOffset val="100"/>
        <c:noMultiLvlLbl val="0"/>
      </c:catAx>
      <c:valAx>
        <c:axId val="-12174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1745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Kinawataka-Kireka'!$C$9:$N$9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Kinawataka-Kireka'!$C$60:$N$60</c:f>
              <c:numCache>
                <c:formatCode>0.00%</c:formatCode>
                <c:ptCount val="12"/>
                <c:pt idx="0">
                  <c:v>0.61100569259962045</c:v>
                </c:pt>
                <c:pt idx="1">
                  <c:v>6.8548387096774188E-2</c:v>
                </c:pt>
                <c:pt idx="2">
                  <c:v>6.2618595825426948E-2</c:v>
                </c:pt>
                <c:pt idx="3">
                  <c:v>0.13899430740037952</c:v>
                </c:pt>
                <c:pt idx="4">
                  <c:v>9.7248576850094883E-3</c:v>
                </c:pt>
                <c:pt idx="5">
                  <c:v>1.4231499051233396E-3</c:v>
                </c:pt>
                <c:pt idx="6">
                  <c:v>4.8387096774193547E-2</c:v>
                </c:pt>
                <c:pt idx="7">
                  <c:v>2.3719165085388995E-2</c:v>
                </c:pt>
                <c:pt idx="8">
                  <c:v>2.6328273244781784E-2</c:v>
                </c:pt>
                <c:pt idx="9">
                  <c:v>9.2504743833017079E-3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Kireka-Kinawataka'!$AE$9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'04.08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Kireka-Kinawataka'!$AE$10:$AE$21</c:f>
              <c:numCache>
                <c:formatCode>0</c:formatCode>
                <c:ptCount val="12"/>
                <c:pt idx="0">
                  <c:v>237</c:v>
                </c:pt>
                <c:pt idx="1">
                  <c:v>365</c:v>
                </c:pt>
                <c:pt idx="2">
                  <c:v>395</c:v>
                </c:pt>
                <c:pt idx="3">
                  <c:v>498</c:v>
                </c:pt>
                <c:pt idx="4">
                  <c:v>465</c:v>
                </c:pt>
                <c:pt idx="5">
                  <c:v>411</c:v>
                </c:pt>
                <c:pt idx="6">
                  <c:v>374</c:v>
                </c:pt>
                <c:pt idx="7">
                  <c:v>390</c:v>
                </c:pt>
                <c:pt idx="8">
                  <c:v>427</c:v>
                </c:pt>
                <c:pt idx="9">
                  <c:v>380</c:v>
                </c:pt>
                <c:pt idx="10">
                  <c:v>506</c:v>
                </c:pt>
                <c:pt idx="11">
                  <c:v>402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'04.08 Kireka-Kinawataka'!$AF$9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'04.08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Kireka-Kinawataka'!$AF$10:$AF$21</c:f>
              <c:numCache>
                <c:formatCode>0</c:formatCode>
                <c:ptCount val="12"/>
                <c:pt idx="0">
                  <c:v>736</c:v>
                </c:pt>
                <c:pt idx="1">
                  <c:v>877</c:v>
                </c:pt>
                <c:pt idx="2">
                  <c:v>923</c:v>
                </c:pt>
                <c:pt idx="3">
                  <c:v>994</c:v>
                </c:pt>
                <c:pt idx="4">
                  <c:v>991</c:v>
                </c:pt>
                <c:pt idx="5">
                  <c:v>845</c:v>
                </c:pt>
                <c:pt idx="6">
                  <c:v>723</c:v>
                </c:pt>
                <c:pt idx="7">
                  <c:v>852</c:v>
                </c:pt>
                <c:pt idx="8">
                  <c:v>865</c:v>
                </c:pt>
                <c:pt idx="9">
                  <c:v>908</c:v>
                </c:pt>
                <c:pt idx="10">
                  <c:v>853</c:v>
                </c:pt>
                <c:pt idx="11">
                  <c:v>913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17452144"/>
        <c:axId val="-1217448336"/>
      </c:lineChart>
      <c:catAx>
        <c:axId val="-12174521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17448336"/>
        <c:crosses val="autoZero"/>
        <c:auto val="1"/>
        <c:lblAlgn val="ctr"/>
        <c:lblOffset val="100"/>
        <c:noMultiLvlLbl val="0"/>
      </c:catAx>
      <c:valAx>
        <c:axId val="-12174483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17452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Kireka-Kinawataka'!$C$9:$N$9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Kireka-Kinawataka'!$C$59:$N$59</c:f>
              <c:numCache>
                <c:formatCode>0.0%</c:formatCode>
                <c:ptCount val="12"/>
                <c:pt idx="0">
                  <c:v>0.16879770992366414</c:v>
                </c:pt>
                <c:pt idx="1">
                  <c:v>0.11230916030534351</c:v>
                </c:pt>
                <c:pt idx="2">
                  <c:v>2.8148854961832059E-2</c:v>
                </c:pt>
                <c:pt idx="3">
                  <c:v>9.9618320610687025E-2</c:v>
                </c:pt>
                <c:pt idx="4">
                  <c:v>2.767175572519084E-3</c:v>
                </c:pt>
                <c:pt idx="5">
                  <c:v>7.6335877862595419E-4</c:v>
                </c:pt>
                <c:pt idx="6">
                  <c:v>1.8606870229007633E-2</c:v>
                </c:pt>
                <c:pt idx="7">
                  <c:v>1.4980916030534351E-2</c:v>
                </c:pt>
                <c:pt idx="8">
                  <c:v>1.0687022900763359E-2</c:v>
                </c:pt>
                <c:pt idx="9">
                  <c:v>6.1068702290076335E-3</c:v>
                </c:pt>
                <c:pt idx="10">
                  <c:v>0.53721374045801529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'04.08 Kireka-Kinawataka'!$S$9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'04.08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Kireka-Kinawataka'!$S$10:$S$21</c:f>
              <c:numCache>
                <c:formatCode>0</c:formatCode>
                <c:ptCount val="12"/>
                <c:pt idx="0">
                  <c:v>64</c:v>
                </c:pt>
                <c:pt idx="1">
                  <c:v>134</c:v>
                </c:pt>
                <c:pt idx="2">
                  <c:v>127</c:v>
                </c:pt>
                <c:pt idx="3">
                  <c:v>224</c:v>
                </c:pt>
                <c:pt idx="4">
                  <c:v>179</c:v>
                </c:pt>
                <c:pt idx="5">
                  <c:v>174</c:v>
                </c:pt>
                <c:pt idx="6">
                  <c:v>115</c:v>
                </c:pt>
                <c:pt idx="7">
                  <c:v>136</c:v>
                </c:pt>
                <c:pt idx="8">
                  <c:v>140</c:v>
                </c:pt>
                <c:pt idx="9">
                  <c:v>156</c:v>
                </c:pt>
                <c:pt idx="10">
                  <c:v>175</c:v>
                </c:pt>
                <c:pt idx="11">
                  <c:v>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'04.08 Kireka-Kinawataka'!$T$9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'04.08 Kireka-Kinawataka'!$R$10:$R$21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'04.08 Kireka-Kinawataka'!$T$10:$T$21</c:f>
              <c:numCache>
                <c:formatCode>0</c:formatCode>
                <c:ptCount val="12"/>
                <c:pt idx="0">
                  <c:v>30</c:v>
                </c:pt>
                <c:pt idx="1">
                  <c:v>66</c:v>
                </c:pt>
                <c:pt idx="2">
                  <c:v>109</c:v>
                </c:pt>
                <c:pt idx="3">
                  <c:v>126</c:v>
                </c:pt>
                <c:pt idx="4">
                  <c:v>123</c:v>
                </c:pt>
                <c:pt idx="5">
                  <c:v>97</c:v>
                </c:pt>
                <c:pt idx="6">
                  <c:v>90</c:v>
                </c:pt>
                <c:pt idx="7">
                  <c:v>110</c:v>
                </c:pt>
                <c:pt idx="8">
                  <c:v>129</c:v>
                </c:pt>
                <c:pt idx="9">
                  <c:v>73</c:v>
                </c:pt>
                <c:pt idx="10">
                  <c:v>128</c:v>
                </c:pt>
                <c:pt idx="11">
                  <c:v>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'04.08 Kireka-Kinawataka'!$U$9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'04.08 Kireka-Kinawataka'!$U$10:$U$21</c:f>
              <c:numCache>
                <c:formatCode>0</c:formatCode>
                <c:ptCount val="12"/>
                <c:pt idx="0">
                  <c:v>10</c:v>
                </c:pt>
                <c:pt idx="1">
                  <c:v>19</c:v>
                </c:pt>
                <c:pt idx="2">
                  <c:v>22</c:v>
                </c:pt>
                <c:pt idx="3">
                  <c:v>24</c:v>
                </c:pt>
                <c:pt idx="4">
                  <c:v>29</c:v>
                </c:pt>
                <c:pt idx="5">
                  <c:v>26</c:v>
                </c:pt>
                <c:pt idx="6">
                  <c:v>26</c:v>
                </c:pt>
                <c:pt idx="7">
                  <c:v>26</c:v>
                </c:pt>
                <c:pt idx="8">
                  <c:v>31</c:v>
                </c:pt>
                <c:pt idx="9">
                  <c:v>27</c:v>
                </c:pt>
                <c:pt idx="10">
                  <c:v>30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'04.08 Kireka-Kinawataka'!$V$9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'04.08 Kireka-Kinawataka'!$V$10:$V$21</c:f>
              <c:numCache>
                <c:formatCode>0</c:formatCode>
                <c:ptCount val="12"/>
                <c:pt idx="0">
                  <c:v>98</c:v>
                </c:pt>
                <c:pt idx="1">
                  <c:v>105</c:v>
                </c:pt>
                <c:pt idx="2">
                  <c:v>88</c:v>
                </c:pt>
                <c:pt idx="3">
                  <c:v>81</c:v>
                </c:pt>
                <c:pt idx="4">
                  <c:v>77</c:v>
                </c:pt>
                <c:pt idx="5">
                  <c:v>70</c:v>
                </c:pt>
                <c:pt idx="6">
                  <c:v>88</c:v>
                </c:pt>
                <c:pt idx="7">
                  <c:v>73</c:v>
                </c:pt>
                <c:pt idx="8">
                  <c:v>72</c:v>
                </c:pt>
                <c:pt idx="9">
                  <c:v>82</c:v>
                </c:pt>
                <c:pt idx="10">
                  <c:v>114</c:v>
                </c:pt>
                <c:pt idx="11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'04.08 Kireka-Kinawataka'!$W$9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'04.08 Kireka-Kinawataka'!$W$10:$W$21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5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'04.08 Kireka-Kinawataka'!$X$9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'04.08 Kireka-Kinawataka'!$X$10:$X$21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'04.08 Kireka-Kinawataka'!$Y$9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Kireka-Kinawataka'!$Y$10:$Y$21</c:f>
              <c:numCache>
                <c:formatCode>0</c:formatCode>
                <c:ptCount val="12"/>
                <c:pt idx="0">
                  <c:v>8</c:v>
                </c:pt>
                <c:pt idx="1">
                  <c:v>14</c:v>
                </c:pt>
                <c:pt idx="2">
                  <c:v>17</c:v>
                </c:pt>
                <c:pt idx="3">
                  <c:v>10</c:v>
                </c:pt>
                <c:pt idx="4">
                  <c:v>15</c:v>
                </c:pt>
                <c:pt idx="5">
                  <c:v>14</c:v>
                </c:pt>
                <c:pt idx="6">
                  <c:v>23</c:v>
                </c:pt>
                <c:pt idx="7">
                  <c:v>18</c:v>
                </c:pt>
                <c:pt idx="8">
                  <c:v>25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'04.08 Kireka-Kinawataka'!$Z$9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Kireka-Kinawataka'!$Z$10:$Z$21</c:f>
              <c:numCache>
                <c:formatCode>0</c:formatCode>
                <c:ptCount val="12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12</c:v>
                </c:pt>
                <c:pt idx="4">
                  <c:v>17</c:v>
                </c:pt>
                <c:pt idx="5">
                  <c:v>11</c:v>
                </c:pt>
                <c:pt idx="6">
                  <c:v>12</c:v>
                </c:pt>
                <c:pt idx="7">
                  <c:v>9</c:v>
                </c:pt>
                <c:pt idx="8">
                  <c:v>14</c:v>
                </c:pt>
                <c:pt idx="9">
                  <c:v>14</c:v>
                </c:pt>
                <c:pt idx="10">
                  <c:v>20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'04.08 Kireka-Kinawataka'!$AA$9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Kireka-Kinawataka'!$AA$10:$AA$21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14</c:v>
                </c:pt>
                <c:pt idx="3">
                  <c:v>10</c:v>
                </c:pt>
                <c:pt idx="4">
                  <c:v>15</c:v>
                </c:pt>
                <c:pt idx="5">
                  <c:v>11</c:v>
                </c:pt>
                <c:pt idx="6">
                  <c:v>9</c:v>
                </c:pt>
                <c:pt idx="7">
                  <c:v>12</c:v>
                </c:pt>
                <c:pt idx="8">
                  <c:v>10</c:v>
                </c:pt>
                <c:pt idx="9">
                  <c:v>6</c:v>
                </c:pt>
                <c:pt idx="10">
                  <c:v>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'04.08 Kireka-Kinawataka'!$AB$9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Kireka-Kinawataka'!$AB$10:$AB$21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9</c:v>
                </c:pt>
                <c:pt idx="5">
                  <c:v>7</c:v>
                </c:pt>
                <c:pt idx="6">
                  <c:v>8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12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'04.08 Kireka-Kinawataka'!$AC$9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Kireka-Kinawataka'!$AC$10:$AC$21</c:f>
              <c:numCache>
                <c:formatCode>0</c:formatCode>
                <c:ptCount val="12"/>
                <c:pt idx="0">
                  <c:v>499</c:v>
                </c:pt>
                <c:pt idx="1">
                  <c:v>512</c:v>
                </c:pt>
                <c:pt idx="2">
                  <c:v>528</c:v>
                </c:pt>
                <c:pt idx="3">
                  <c:v>496</c:v>
                </c:pt>
                <c:pt idx="4">
                  <c:v>526</c:v>
                </c:pt>
                <c:pt idx="5">
                  <c:v>434</c:v>
                </c:pt>
                <c:pt idx="6">
                  <c:v>349</c:v>
                </c:pt>
                <c:pt idx="7">
                  <c:v>462</c:v>
                </c:pt>
                <c:pt idx="8">
                  <c:v>438</c:v>
                </c:pt>
                <c:pt idx="9">
                  <c:v>528</c:v>
                </c:pt>
                <c:pt idx="10">
                  <c:v>347</c:v>
                </c:pt>
                <c:pt idx="11">
                  <c:v>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'04.08 Kireka-Kinawataka'!$AD$9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'04.08 Kireka-Kinawataka'!$AD$10:$AD$21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17458672"/>
        <c:axId val="-1217445616"/>
      </c:lineChart>
      <c:catAx>
        <c:axId val="-1217458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17445616"/>
        <c:crosses val="autoZero"/>
        <c:auto val="1"/>
        <c:lblAlgn val="ctr"/>
        <c:lblOffset val="100"/>
        <c:noMultiLvlLbl val="0"/>
      </c:catAx>
      <c:valAx>
        <c:axId val="-121744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1745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'04.08 Kireka-Kinawataka'!$C$9:$N$9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'04.08 Kireka-Kinawataka'!$C$60:$N$60</c:f>
              <c:numCache>
                <c:formatCode>0.00%</c:formatCode>
                <c:ptCount val="12"/>
                <c:pt idx="0">
                  <c:v>0.36474226804123711</c:v>
                </c:pt>
                <c:pt idx="1">
                  <c:v>0.24268041237113402</c:v>
                </c:pt>
                <c:pt idx="2">
                  <c:v>6.0824742268041236E-2</c:v>
                </c:pt>
                <c:pt idx="3">
                  <c:v>0.21525773195876288</c:v>
                </c:pt>
                <c:pt idx="4">
                  <c:v>5.9793814432989693E-3</c:v>
                </c:pt>
                <c:pt idx="5">
                  <c:v>1.6494845360824743E-3</c:v>
                </c:pt>
                <c:pt idx="6">
                  <c:v>4.0206185567010312E-2</c:v>
                </c:pt>
                <c:pt idx="7">
                  <c:v>3.2371134020618558E-2</c:v>
                </c:pt>
                <c:pt idx="8">
                  <c:v>2.3092783505154639E-2</c:v>
                </c:pt>
                <c:pt idx="9">
                  <c:v>1.3195876288659794E-2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Kinawataka-Kireka'!$AE$9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Kinawataka-Kireka'!$R$10:$R$33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Kinawataka-Kireka'!$AE$10:$AE$33</c:f>
              <c:numCache>
                <c:formatCode>0</c:formatCode>
                <c:ptCount val="24"/>
                <c:pt idx="0">
                  <c:v>211.42857142857144</c:v>
                </c:pt>
                <c:pt idx="1">
                  <c:v>237.28571428571431</c:v>
                </c:pt>
                <c:pt idx="2">
                  <c:v>273.57142857142856</c:v>
                </c:pt>
                <c:pt idx="3">
                  <c:v>360.85714285714278</c:v>
                </c:pt>
                <c:pt idx="4">
                  <c:v>354</c:v>
                </c:pt>
                <c:pt idx="5">
                  <c:v>350.42857142857144</c:v>
                </c:pt>
                <c:pt idx="6">
                  <c:v>352.14285714285717</c:v>
                </c:pt>
                <c:pt idx="7">
                  <c:v>379.71428571428572</c:v>
                </c:pt>
                <c:pt idx="8">
                  <c:v>451.85714285714289</c:v>
                </c:pt>
                <c:pt idx="9">
                  <c:v>501.42857142857144</c:v>
                </c:pt>
                <c:pt idx="10">
                  <c:v>516.28571428571422</c:v>
                </c:pt>
                <c:pt idx="11">
                  <c:v>526.85714285714289</c:v>
                </c:pt>
                <c:pt idx="12">
                  <c:v>469</c:v>
                </c:pt>
                <c:pt idx="13">
                  <c:v>437.5</c:v>
                </c:pt>
                <c:pt idx="14">
                  <c:v>467.5</c:v>
                </c:pt>
                <c:pt idx="15">
                  <c:v>458</c:v>
                </c:pt>
                <c:pt idx="16">
                  <c:v>234.5</c:v>
                </c:pt>
                <c:pt idx="17">
                  <c:v>99</c:v>
                </c:pt>
                <c:pt idx="18">
                  <c:v>73</c:v>
                </c:pt>
                <c:pt idx="19">
                  <c:v>53.5</c:v>
                </c:pt>
                <c:pt idx="20">
                  <c:v>30</c:v>
                </c:pt>
                <c:pt idx="21">
                  <c:v>27.5</c:v>
                </c:pt>
                <c:pt idx="22">
                  <c:v>56</c:v>
                </c:pt>
                <c:pt idx="23">
                  <c:v>142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Kinawataka-Kireka'!$AF$9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Kinawataka-Kireka'!$R$10:$R$33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Kinawataka-Kireka'!$AF$10:$AF$33</c:f>
              <c:numCache>
                <c:formatCode>0</c:formatCode>
                <c:ptCount val="24"/>
                <c:pt idx="0">
                  <c:v>534.71428571428567</c:v>
                </c:pt>
                <c:pt idx="1">
                  <c:v>763.14285714285711</c:v>
                </c:pt>
                <c:pt idx="2">
                  <c:v>716.85714285714289</c:v>
                </c:pt>
                <c:pt idx="3">
                  <c:v>844</c:v>
                </c:pt>
                <c:pt idx="4">
                  <c:v>797.14285714285711</c:v>
                </c:pt>
                <c:pt idx="5">
                  <c:v>783.42857142857144</c:v>
                </c:pt>
                <c:pt idx="6">
                  <c:v>747.71428571428567</c:v>
                </c:pt>
                <c:pt idx="7">
                  <c:v>764.57142857142856</c:v>
                </c:pt>
                <c:pt idx="8">
                  <c:v>873.57142857142856</c:v>
                </c:pt>
                <c:pt idx="9">
                  <c:v>936.28571428571433</c:v>
                </c:pt>
                <c:pt idx="10">
                  <c:v>957.71428571428567</c:v>
                </c:pt>
                <c:pt idx="11">
                  <c:v>982.14285714285711</c:v>
                </c:pt>
                <c:pt idx="12">
                  <c:v>1070.5</c:v>
                </c:pt>
                <c:pt idx="13">
                  <c:v>1246</c:v>
                </c:pt>
                <c:pt idx="14">
                  <c:v>1065</c:v>
                </c:pt>
                <c:pt idx="15">
                  <c:v>1018.5</c:v>
                </c:pt>
                <c:pt idx="16">
                  <c:v>626</c:v>
                </c:pt>
                <c:pt idx="17">
                  <c:v>291.5</c:v>
                </c:pt>
                <c:pt idx="18">
                  <c:v>194.5</c:v>
                </c:pt>
                <c:pt idx="19">
                  <c:v>118</c:v>
                </c:pt>
                <c:pt idx="20">
                  <c:v>87</c:v>
                </c:pt>
                <c:pt idx="21">
                  <c:v>86</c:v>
                </c:pt>
                <c:pt idx="22">
                  <c:v>153</c:v>
                </c:pt>
                <c:pt idx="23">
                  <c:v>351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19829344"/>
        <c:axId val="-1219821728"/>
      </c:lineChart>
      <c:catAx>
        <c:axId val="-12198293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19821728"/>
        <c:crosses val="autoZero"/>
        <c:auto val="1"/>
        <c:lblAlgn val="ctr"/>
        <c:lblOffset val="100"/>
        <c:noMultiLvlLbl val="0"/>
      </c:catAx>
      <c:valAx>
        <c:axId val="-12198217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1982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1720924228733765E-3"/>
          <c:y val="0.14876727007062263"/>
          <c:w val="0.81729515941654829"/>
          <c:h val="0.759661444381308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Kinawataka-Kireka'!$C$9:$N$9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Kinawataka-Kireka'!$C$107:$N$107</c:f>
              <c:numCache>
                <c:formatCode>0.0%</c:formatCode>
                <c:ptCount val="12"/>
                <c:pt idx="0">
                  <c:v>0.24661782291313428</c:v>
                </c:pt>
                <c:pt idx="1">
                  <c:v>2.7798104552999338E-2</c:v>
                </c:pt>
                <c:pt idx="2">
                  <c:v>3.0033554052365737E-2</c:v>
                </c:pt>
                <c:pt idx="3">
                  <c:v>6.3230648414214066E-2</c:v>
                </c:pt>
                <c:pt idx="4">
                  <c:v>9.2005925502864593E-3</c:v>
                </c:pt>
                <c:pt idx="5">
                  <c:v>5.3989898088489883E-4</c:v>
                </c:pt>
                <c:pt idx="6">
                  <c:v>2.7597315675810738E-2</c:v>
                </c:pt>
                <c:pt idx="7">
                  <c:v>1.5407199842938478E-2</c:v>
                </c:pt>
                <c:pt idx="8">
                  <c:v>8.0761748380303051E-3</c:v>
                </c:pt>
                <c:pt idx="9">
                  <c:v>1.2640775312784453E-2</c:v>
                </c:pt>
                <c:pt idx="10">
                  <c:v>0.55876867336557867</c:v>
                </c:pt>
                <c:pt idx="11">
                  <c:v>8.9239500972710544E-5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724409448818897E-2"/>
          <c:y val="0.16331805359050866"/>
          <c:w val="0.81238261531507938"/>
          <c:h val="0.8362539895021758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Kinawataka-Kireka'!$C$9:$N$9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Kinawataka-Kireka'!$C$108:$N$108</c:f>
              <c:numCache>
                <c:formatCode>0.00%</c:formatCode>
                <c:ptCount val="12"/>
                <c:pt idx="0">
                  <c:v>0.55893090092732112</c:v>
                </c:pt>
                <c:pt idx="1">
                  <c:v>6.3001203393772673E-2</c:v>
                </c:pt>
                <c:pt idx="2">
                  <c:v>6.806759230232487E-2</c:v>
                </c:pt>
                <c:pt idx="3">
                  <c:v>0.14330498447723158</c:v>
                </c:pt>
                <c:pt idx="4">
                  <c:v>2.085208369148624E-2</c:v>
                </c:pt>
                <c:pt idx="5">
                  <c:v>1.223618878113402E-3</c:v>
                </c:pt>
                <c:pt idx="6">
                  <c:v>6.2546138521747036E-2</c:v>
                </c:pt>
                <c:pt idx="7">
                  <c:v>3.4918644513434523E-2</c:v>
                </c:pt>
                <c:pt idx="8">
                  <c:v>1.8303720408142626E-2</c:v>
                </c:pt>
                <c:pt idx="9">
                  <c:v>2.8648861832192302E-2</c:v>
                </c:pt>
                <c:pt idx="11">
                  <c:v>2.0225105423362012E-4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Kireka-Kinwataka'!$AE$9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Kireka-Kinwataka'!$R$10:$R$33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Kireka-Kinwataka'!$AE$10:$AE$33</c:f>
              <c:numCache>
                <c:formatCode>0</c:formatCode>
                <c:ptCount val="24"/>
                <c:pt idx="0">
                  <c:v>431.57142857142861</c:v>
                </c:pt>
                <c:pt idx="1">
                  <c:v>491.28571428571422</c:v>
                </c:pt>
                <c:pt idx="2">
                  <c:v>445.42857142857144</c:v>
                </c:pt>
                <c:pt idx="3">
                  <c:v>494.85714285714283</c:v>
                </c:pt>
                <c:pt idx="4">
                  <c:v>452.71428571428578</c:v>
                </c:pt>
                <c:pt idx="5">
                  <c:v>388.85714285714289</c:v>
                </c:pt>
                <c:pt idx="6">
                  <c:v>367.42857142857144</c:v>
                </c:pt>
                <c:pt idx="7">
                  <c:v>382.71428571428572</c:v>
                </c:pt>
                <c:pt idx="8">
                  <c:v>411.28571428571428</c:v>
                </c:pt>
                <c:pt idx="9">
                  <c:v>408.42857142857139</c:v>
                </c:pt>
                <c:pt idx="10">
                  <c:v>421.85714285714283</c:v>
                </c:pt>
                <c:pt idx="11">
                  <c:v>394.71428571428567</c:v>
                </c:pt>
                <c:pt idx="12">
                  <c:v>290.5</c:v>
                </c:pt>
                <c:pt idx="13">
                  <c:v>301</c:v>
                </c:pt>
                <c:pt idx="14">
                  <c:v>314.5</c:v>
                </c:pt>
                <c:pt idx="15">
                  <c:v>242</c:v>
                </c:pt>
                <c:pt idx="16">
                  <c:v>169.5</c:v>
                </c:pt>
                <c:pt idx="17">
                  <c:v>94.5</c:v>
                </c:pt>
                <c:pt idx="18">
                  <c:v>86.5</c:v>
                </c:pt>
                <c:pt idx="19">
                  <c:v>60</c:v>
                </c:pt>
                <c:pt idx="20">
                  <c:v>40.5</c:v>
                </c:pt>
                <c:pt idx="21">
                  <c:v>41</c:v>
                </c:pt>
                <c:pt idx="22">
                  <c:v>104.5</c:v>
                </c:pt>
                <c:pt idx="23">
                  <c:v>423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Kireka-Kinwataka'!$AF$9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Kireka-Kinwataka'!$R$10:$R$33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Kireka-Kinwataka'!$AF$10:$AF$33</c:f>
              <c:numCache>
                <c:formatCode>0</c:formatCode>
                <c:ptCount val="24"/>
                <c:pt idx="0">
                  <c:v>929.71428571428578</c:v>
                </c:pt>
                <c:pt idx="1">
                  <c:v>1029.8571428571429</c:v>
                </c:pt>
                <c:pt idx="2">
                  <c:v>954.28571428571422</c:v>
                </c:pt>
                <c:pt idx="3">
                  <c:v>971.42857142857144</c:v>
                </c:pt>
                <c:pt idx="4">
                  <c:v>865.14285714285711</c:v>
                </c:pt>
                <c:pt idx="5">
                  <c:v>793.85714285714289</c:v>
                </c:pt>
                <c:pt idx="6">
                  <c:v>696.71428571428567</c:v>
                </c:pt>
                <c:pt idx="7">
                  <c:v>765.85714285714289</c:v>
                </c:pt>
                <c:pt idx="8">
                  <c:v>767.85714285714278</c:v>
                </c:pt>
                <c:pt idx="9">
                  <c:v>760.57142857142844</c:v>
                </c:pt>
                <c:pt idx="10">
                  <c:v>776.28571428571422</c:v>
                </c:pt>
                <c:pt idx="11">
                  <c:v>930.42857142857144</c:v>
                </c:pt>
                <c:pt idx="12">
                  <c:v>1019.5</c:v>
                </c:pt>
                <c:pt idx="13">
                  <c:v>964</c:v>
                </c:pt>
                <c:pt idx="14">
                  <c:v>904.5</c:v>
                </c:pt>
                <c:pt idx="15">
                  <c:v>798</c:v>
                </c:pt>
                <c:pt idx="16">
                  <c:v>522</c:v>
                </c:pt>
                <c:pt idx="17">
                  <c:v>281.5</c:v>
                </c:pt>
                <c:pt idx="18">
                  <c:v>223</c:v>
                </c:pt>
                <c:pt idx="19">
                  <c:v>161</c:v>
                </c:pt>
                <c:pt idx="20">
                  <c:v>109.5</c:v>
                </c:pt>
                <c:pt idx="21">
                  <c:v>107</c:v>
                </c:pt>
                <c:pt idx="22">
                  <c:v>242</c:v>
                </c:pt>
                <c:pt idx="23">
                  <c:v>763.5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19819008"/>
        <c:axId val="-1219828800"/>
      </c:lineChart>
      <c:catAx>
        <c:axId val="-12198190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19828800"/>
        <c:crosses val="autoZero"/>
        <c:auto val="1"/>
        <c:lblAlgn val="ctr"/>
        <c:lblOffset val="100"/>
        <c:noMultiLvlLbl val="0"/>
      </c:catAx>
      <c:valAx>
        <c:axId val="-12198288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1219819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1502828173098453E-3"/>
          <c:y val="0.1439970731813863"/>
          <c:w val="0.82101228366016787"/>
          <c:h val="0.7586217742199701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Kireka-Kinwataka'!$C$9:$N$9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Kireka-Kinwataka'!$C$107:$N$107</c:f>
              <c:numCache>
                <c:formatCode>0.0%</c:formatCode>
                <c:ptCount val="12"/>
                <c:pt idx="0">
                  <c:v>0.17671002295332822</c:v>
                </c:pt>
                <c:pt idx="1">
                  <c:v>8.184501038364847E-2</c:v>
                </c:pt>
                <c:pt idx="2">
                  <c:v>3.2716143840856929E-2</c:v>
                </c:pt>
                <c:pt idx="3">
                  <c:v>8.2531424199366044E-2</c:v>
                </c:pt>
                <c:pt idx="4">
                  <c:v>5.0366160236091379E-3</c:v>
                </c:pt>
                <c:pt idx="5">
                  <c:v>9.9245819215214759E-4</c:v>
                </c:pt>
                <c:pt idx="6">
                  <c:v>2.1829708164826756E-2</c:v>
                </c:pt>
                <c:pt idx="7">
                  <c:v>2.3958902612307358E-2</c:v>
                </c:pt>
                <c:pt idx="8">
                  <c:v>9.3430976062957704E-3</c:v>
                </c:pt>
                <c:pt idx="9">
                  <c:v>9.2294239807629228E-3</c:v>
                </c:pt>
                <c:pt idx="10">
                  <c:v>0.55570663460487468</c:v>
                </c:pt>
                <c:pt idx="11">
                  <c:v>1.0055743797136296E-4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4585881761437956E-2"/>
          <c:y val="0.25297229067740584"/>
          <c:w val="0.82101228366016787"/>
          <c:h val="0.746895233515657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Kireka-Kinwataka'!$C$9:$N$9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Kireka-Kinwataka'!$C$108:$N$108</c:f>
              <c:numCache>
                <c:formatCode>0.00%</c:formatCode>
                <c:ptCount val="12"/>
                <c:pt idx="0">
                  <c:v>0.39773275208864295</c:v>
                </c:pt>
                <c:pt idx="1">
                  <c:v>0.18421389279774844</c:v>
                </c:pt>
                <c:pt idx="2">
                  <c:v>7.3636354690467518E-2</c:v>
                </c:pt>
                <c:pt idx="3">
                  <c:v>0.18575884905678938</c:v>
                </c:pt>
                <c:pt idx="4">
                  <c:v>1.1336239556784523E-2</c:v>
                </c:pt>
                <c:pt idx="5">
                  <c:v>2.233790259887227E-3</c:v>
                </c:pt>
                <c:pt idx="6">
                  <c:v>4.9133545231792627E-2</c:v>
                </c:pt>
                <c:pt idx="7">
                  <c:v>5.392586178053748E-2</c:v>
                </c:pt>
                <c:pt idx="8">
                  <c:v>2.1029117997264341E-2</c:v>
                </c:pt>
                <c:pt idx="9">
                  <c:v>2.0773265368378573E-2</c:v>
                </c:pt>
                <c:pt idx="11">
                  <c:v>2.2633117170663532E-4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3328083989501157E-4"/>
          <c:y val="0.1439970731813863"/>
          <c:w val="0.82806677165354325"/>
          <c:h val="0.75862177421997012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Kinawataka-Kireka-2Dir'!$C$9:$N$9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Kinawataka-Kireka-2Dir'!$C$107:$N$107</c:f>
              <c:numCache>
                <c:formatCode>0.0%</c:formatCode>
                <c:ptCount val="12"/>
                <c:pt idx="0">
                  <c:v>0.21130816335093325</c:v>
                </c:pt>
                <c:pt idx="1">
                  <c:v>5.5096601235312154E-2</c:v>
                </c:pt>
                <c:pt idx="2">
                  <c:v>3.1388500599548175E-2</c:v>
                </c:pt>
                <c:pt idx="3">
                  <c:v>7.2979257620224308E-2</c:v>
                </c:pt>
                <c:pt idx="4">
                  <c:v>7.0974138825768869E-3</c:v>
                </c:pt>
                <c:pt idx="5">
                  <c:v>7.6848165250054622E-4</c:v>
                </c:pt>
                <c:pt idx="6">
                  <c:v>2.4684160665664104E-2</c:v>
                </c:pt>
                <c:pt idx="7">
                  <c:v>1.9726570694791324E-2</c:v>
                </c:pt>
                <c:pt idx="8">
                  <c:v>8.7160835701714269E-3</c:v>
                </c:pt>
                <c:pt idx="9">
                  <c:v>1.0917739338973281E-2</c:v>
                </c:pt>
                <c:pt idx="10">
                  <c:v>0.55722207132304702</c:v>
                </c:pt>
                <c:pt idx="11">
                  <c:v>9.4956066257251398E-5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9493858169916077E-2"/>
          <c:y val="0.15060799198842831"/>
          <c:w val="0.85782210672375381"/>
          <c:h val="0.79621271545614991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Kinawataka-Kireka-2Dir'!$C$9:$N$9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Kinawataka-Kireka-2Dir'!$C$108:$N$108</c:f>
              <c:numCache>
                <c:formatCode>0.00%</c:formatCode>
                <c:ptCount val="12"/>
                <c:pt idx="0">
                  <c:v>0.47723282861531713</c:v>
                </c:pt>
                <c:pt idx="1">
                  <c:v>0.1244339377979931</c:v>
                </c:pt>
                <c:pt idx="2">
                  <c:v>7.0889939553534023E-2</c:v>
                </c:pt>
                <c:pt idx="3">
                  <c:v>0.16482135376144597</c:v>
                </c:pt>
                <c:pt idx="4">
                  <c:v>1.6029285614539077E-2</c:v>
                </c:pt>
                <c:pt idx="5">
                  <c:v>1.7355915973427491E-3</c:v>
                </c:pt>
                <c:pt idx="6">
                  <c:v>5.5748399066371426E-2</c:v>
                </c:pt>
                <c:pt idx="7">
                  <c:v>4.4551838330640178E-2</c:v>
                </c:pt>
                <c:pt idx="8">
                  <c:v>1.9685000099746646E-2</c:v>
                </c:pt>
                <c:pt idx="9">
                  <c:v>2.4657370279490099E-2</c:v>
                </c:pt>
                <c:pt idx="11">
                  <c:v>2.1445528357970752E-4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Kinawataka-Kireka-2Dir'!$S$9:$AF$9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Kinawataka-Kireka-2Dir'!$S$41:$AF$41</c:f>
              <c:numCache>
                <c:formatCode>_(* #,##0_);_(* \(#,##0\);_(* "-"_);_(@_)</c:formatCode>
                <c:ptCount val="14"/>
                <c:pt idx="0">
                  <c:v>6834.9285714285706</c:v>
                </c:pt>
                <c:pt idx="1">
                  <c:v>1782.1428571428571</c:v>
                </c:pt>
                <c:pt idx="2">
                  <c:v>1015.2857142857142</c:v>
                </c:pt>
                <c:pt idx="3">
                  <c:v>2360.5714285714289</c:v>
                </c:pt>
                <c:pt idx="4">
                  <c:v>229.57142857142858</c:v>
                </c:pt>
                <c:pt idx="5">
                  <c:v>24.857142857142854</c:v>
                </c:pt>
                <c:pt idx="6">
                  <c:v>798.42857142857144</c:v>
                </c:pt>
                <c:pt idx="7">
                  <c:v>638.07142857142867</c:v>
                </c:pt>
                <c:pt idx="8">
                  <c:v>281.92857142857144</c:v>
                </c:pt>
                <c:pt idx="9">
                  <c:v>353.14285714285722</c:v>
                </c:pt>
                <c:pt idx="10">
                  <c:v>18023.785714285717</c:v>
                </c:pt>
                <c:pt idx="11">
                  <c:v>3.0714285714285712</c:v>
                </c:pt>
                <c:pt idx="12">
                  <c:v>14322</c:v>
                </c:pt>
                <c:pt idx="13">
                  <c:v>32345.785714285717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F9-4603-8724-F2BF494D09F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Kinawataka-Kireka-2Dir'!$S$9:$AF$9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Kinawataka-Kireka-2Dir'!$S$42:$AF$42</c:f>
              <c:numCache>
                <c:formatCode>0.000</c:formatCode>
                <c:ptCount val="14"/>
                <c:pt idx="0">
                  <c:v>1.6857933124273283</c:v>
                </c:pt>
                <c:pt idx="1">
                  <c:v>1.2470011995201919</c:v>
                </c:pt>
                <c:pt idx="2">
                  <c:v>1.4334409035901574</c:v>
                </c:pt>
                <c:pt idx="3">
                  <c:v>1.49443791263453</c:v>
                </c:pt>
                <c:pt idx="4">
                  <c:v>1.6448311156601843</c:v>
                </c:pt>
                <c:pt idx="5">
                  <c:v>1.3181818181818183</c:v>
                </c:pt>
                <c:pt idx="6">
                  <c:v>1.3079803416803182</c:v>
                </c:pt>
                <c:pt idx="7">
                  <c:v>1.2233634620651876</c:v>
                </c:pt>
                <c:pt idx="8">
                  <c:v>1.1534190531852719</c:v>
                </c:pt>
                <c:pt idx="9">
                  <c:v>1.1844753234307619</c:v>
                </c:pt>
                <c:pt idx="10">
                  <c:v>1.7437391160129365</c:v>
                </c:pt>
                <c:pt idx="11">
                  <c:v>1.1944444444444444</c:v>
                </c:pt>
                <c:pt idx="12">
                  <c:v>1.4907879671073176</c:v>
                </c:pt>
                <c:pt idx="13">
                  <c:v>1.6218884980981783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86-40F5-9010-9D94732E94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2205989512129785E-2"/>
          <c:y val="9.5768624478110825E-2"/>
          <c:w val="0.88636855234397283"/>
          <c:h val="0.65054452836231913"/>
        </c:manualLayout>
      </c:layout>
      <c:lineChart>
        <c:grouping val="standard"/>
        <c:varyColors val="0"/>
        <c:ser>
          <c:idx val="0"/>
          <c:order val="0"/>
          <c:tx>
            <c:strRef>
              <c:f>'Avg Week Kinawataka-Kireka-2Dir'!$AE$9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Kinawataka-Kireka-2Dir'!$R$10:$R$33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Kinawataka-Kireka-2Dir'!$AE$10:$AE$33</c:f>
              <c:numCache>
                <c:formatCode>0</c:formatCode>
                <c:ptCount val="24"/>
                <c:pt idx="0">
                  <c:v>643</c:v>
                </c:pt>
                <c:pt idx="1">
                  <c:v>728.57142857142856</c:v>
                </c:pt>
                <c:pt idx="2">
                  <c:v>719</c:v>
                </c:pt>
                <c:pt idx="3">
                  <c:v>855.71428571428567</c:v>
                </c:pt>
                <c:pt idx="4">
                  <c:v>806.71428571428578</c:v>
                </c:pt>
                <c:pt idx="5">
                  <c:v>739.28571428571422</c:v>
                </c:pt>
                <c:pt idx="6">
                  <c:v>719.57142857142844</c:v>
                </c:pt>
                <c:pt idx="7">
                  <c:v>762.42857142857144</c:v>
                </c:pt>
                <c:pt idx="8">
                  <c:v>863.14285714285722</c:v>
                </c:pt>
                <c:pt idx="9">
                  <c:v>909.85714285714278</c:v>
                </c:pt>
                <c:pt idx="10">
                  <c:v>938.14285714285711</c:v>
                </c:pt>
                <c:pt idx="11">
                  <c:v>921.57142857142856</c:v>
                </c:pt>
                <c:pt idx="12">
                  <c:v>759.5</c:v>
                </c:pt>
                <c:pt idx="13">
                  <c:v>738.5</c:v>
                </c:pt>
                <c:pt idx="14">
                  <c:v>782</c:v>
                </c:pt>
                <c:pt idx="15">
                  <c:v>700</c:v>
                </c:pt>
                <c:pt idx="16">
                  <c:v>404</c:v>
                </c:pt>
                <c:pt idx="17">
                  <c:v>193.5</c:v>
                </c:pt>
                <c:pt idx="18">
                  <c:v>159.5</c:v>
                </c:pt>
                <c:pt idx="19">
                  <c:v>113.5</c:v>
                </c:pt>
                <c:pt idx="20">
                  <c:v>70.5</c:v>
                </c:pt>
                <c:pt idx="21">
                  <c:v>68.5</c:v>
                </c:pt>
                <c:pt idx="22">
                  <c:v>160.5</c:v>
                </c:pt>
                <c:pt idx="23">
                  <c:v>565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8CE-4A3D-AC17-E0D3D7BB29D2}"/>
            </c:ext>
          </c:extLst>
        </c:ser>
        <c:ser>
          <c:idx val="1"/>
          <c:order val="1"/>
          <c:tx>
            <c:strRef>
              <c:f>'Avg Week Kinawataka-Kireka-2Dir'!$AF$9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Kinawataka-Kireka-2Dir'!$R$10:$R$33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Kinawataka-Kireka-2Dir'!$AF$10:$AF$33</c:f>
              <c:numCache>
                <c:formatCode>0</c:formatCode>
                <c:ptCount val="24"/>
                <c:pt idx="0">
                  <c:v>1464.4285714285716</c:v>
                </c:pt>
                <c:pt idx="1">
                  <c:v>1793</c:v>
                </c:pt>
                <c:pt idx="2">
                  <c:v>1671.1428571428573</c:v>
                </c:pt>
                <c:pt idx="3">
                  <c:v>1815.4285714285716</c:v>
                </c:pt>
                <c:pt idx="4">
                  <c:v>1662.2857142857142</c:v>
                </c:pt>
                <c:pt idx="5">
                  <c:v>1577.2857142857142</c:v>
                </c:pt>
                <c:pt idx="6">
                  <c:v>1444.4285714285716</c:v>
                </c:pt>
                <c:pt idx="7">
                  <c:v>1530.4285714285716</c:v>
                </c:pt>
                <c:pt idx="8">
                  <c:v>1641.4285714285716</c:v>
                </c:pt>
                <c:pt idx="9">
                  <c:v>1696.8571428571427</c:v>
                </c:pt>
                <c:pt idx="10">
                  <c:v>1734</c:v>
                </c:pt>
                <c:pt idx="11">
                  <c:v>1912.5714285714284</c:v>
                </c:pt>
                <c:pt idx="12">
                  <c:v>2090</c:v>
                </c:pt>
                <c:pt idx="13">
                  <c:v>2210</c:v>
                </c:pt>
                <c:pt idx="14">
                  <c:v>1969.5</c:v>
                </c:pt>
                <c:pt idx="15">
                  <c:v>1816.5</c:v>
                </c:pt>
                <c:pt idx="16">
                  <c:v>1148</c:v>
                </c:pt>
                <c:pt idx="17">
                  <c:v>573</c:v>
                </c:pt>
                <c:pt idx="18">
                  <c:v>417.5</c:v>
                </c:pt>
                <c:pt idx="19">
                  <c:v>279</c:v>
                </c:pt>
                <c:pt idx="20">
                  <c:v>196.5</c:v>
                </c:pt>
                <c:pt idx="21">
                  <c:v>193</c:v>
                </c:pt>
                <c:pt idx="22">
                  <c:v>395</c:v>
                </c:pt>
                <c:pt idx="23">
                  <c:v>1114.5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8CE-4A3D-AC17-E0D3D7BB29D2}"/>
            </c:ext>
          </c:extLst>
        </c:ser>
        <c:ser>
          <c:idx val="5"/>
          <c:order val="2"/>
          <c:tx>
            <c:strRef>
              <c:f>'Avg Week Kinawataka-Kireka-2Dir'!$AC$9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Kinawataka-Kireka-2Dir'!$R$10:$R$33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Kinawataka-Kireka-2Dir'!$AC$10:$AC$33</c:f>
              <c:numCache>
                <c:formatCode>0</c:formatCode>
                <c:ptCount val="24"/>
                <c:pt idx="0">
                  <c:v>821.42857142857144</c:v>
                </c:pt>
                <c:pt idx="1">
                  <c:v>1064.4285714285716</c:v>
                </c:pt>
                <c:pt idx="2">
                  <c:v>952.14285714285711</c:v>
                </c:pt>
                <c:pt idx="3">
                  <c:v>959.71428571428567</c:v>
                </c:pt>
                <c:pt idx="4">
                  <c:v>855.57142857142867</c:v>
                </c:pt>
                <c:pt idx="5">
                  <c:v>838</c:v>
                </c:pt>
                <c:pt idx="6">
                  <c:v>724.85714285714289</c:v>
                </c:pt>
                <c:pt idx="7">
                  <c:v>768</c:v>
                </c:pt>
                <c:pt idx="8">
                  <c:v>778.28571428571422</c:v>
                </c:pt>
                <c:pt idx="9">
                  <c:v>787</c:v>
                </c:pt>
                <c:pt idx="10">
                  <c:v>795.85714285714289</c:v>
                </c:pt>
                <c:pt idx="11">
                  <c:v>991.00000000000011</c:v>
                </c:pt>
                <c:pt idx="12">
                  <c:v>1330.5</c:v>
                </c:pt>
                <c:pt idx="13">
                  <c:v>1471.5</c:v>
                </c:pt>
                <c:pt idx="14">
                  <c:v>1187.5</c:v>
                </c:pt>
                <c:pt idx="15">
                  <c:v>1116.5</c:v>
                </c:pt>
                <c:pt idx="16">
                  <c:v>744</c:v>
                </c:pt>
                <c:pt idx="17">
                  <c:v>379.5</c:v>
                </c:pt>
                <c:pt idx="18">
                  <c:v>258</c:v>
                </c:pt>
                <c:pt idx="19">
                  <c:v>165.5</c:v>
                </c:pt>
                <c:pt idx="20">
                  <c:v>126</c:v>
                </c:pt>
                <c:pt idx="21">
                  <c:v>124.5</c:v>
                </c:pt>
                <c:pt idx="22">
                  <c:v>234.5</c:v>
                </c:pt>
                <c:pt idx="23">
                  <c:v>549.5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CE-4A3D-AC17-E0D3D7BB2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2.xml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6.xml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6349</xdr:rowOff>
    </xdr:from>
    <xdr:to>
      <xdr:col>28</xdr:col>
      <xdr:colOff>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555625</xdr:colOff>
      <xdr:row>75</xdr:row>
      <xdr:rowOff>47625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0</xdr:colOff>
      <xdr:row>75</xdr:row>
      <xdr:rowOff>47625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762001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74</xdr:row>
      <xdr:rowOff>285749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74</xdr:row>
      <xdr:rowOff>279401</xdr:rowOff>
    </xdr:from>
    <xdr:to>
      <xdr:col>25</xdr:col>
      <xdr:colOff>0</xdr:colOff>
      <xdr:row>91</xdr:row>
      <xdr:rowOff>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15875</xdr:colOff>
      <xdr:row>59</xdr:row>
      <xdr:rowOff>1</xdr:rowOff>
    </xdr:from>
    <xdr:to>
      <xdr:col>25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0</xdr:colOff>
      <xdr:row>59</xdr:row>
      <xdr:rowOff>0</xdr:rowOff>
    </xdr:from>
    <xdr:to>
      <xdr:col>31</xdr:col>
      <xdr:colOff>539750</xdr:colOff>
      <xdr:row>74</xdr:row>
      <xdr:rowOff>284163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0</xdr:colOff>
      <xdr:row>75</xdr:row>
      <xdr:rowOff>0</xdr:rowOff>
    </xdr:from>
    <xdr:to>
      <xdr:col>31</xdr:col>
      <xdr:colOff>539750</xdr:colOff>
      <xdr:row>91</xdr:row>
      <xdr:rowOff>14288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58</xdr:row>
      <xdr:rowOff>285749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43" zoomScale="60" workbookViewId="0">
      <selection activeCell="G9" sqref="G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1" t="s">
        <v>96</v>
      </c>
      <c r="C3" s="59" t="s">
        <v>168</v>
      </c>
      <c r="D3" s="59"/>
      <c r="E3" s="59"/>
      <c r="F3" s="59"/>
      <c r="G3" s="59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54" t="s">
        <v>163</v>
      </c>
      <c r="H5" s="55"/>
      <c r="I5" s="14"/>
      <c r="J5" s="2" t="s">
        <v>5</v>
      </c>
      <c r="K5" s="54" t="s">
        <v>166</v>
      </c>
      <c r="L5" s="55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165</v>
      </c>
      <c r="E6" s="55"/>
      <c r="F6" s="2" t="s">
        <v>2</v>
      </c>
      <c r="G6" s="54" t="s">
        <v>164</v>
      </c>
      <c r="H6" s="55"/>
      <c r="J6" s="2" t="s">
        <v>21</v>
      </c>
      <c r="K6" s="54" t="s">
        <v>167</v>
      </c>
      <c r="L6" s="5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0</v>
      </c>
      <c r="AF10" s="31">
        <f t="shared" si="2"/>
        <v>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0</v>
      </c>
      <c r="AF11" s="31">
        <f t="shared" si="3"/>
        <v>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0</v>
      </c>
      <c r="P12" s="15">
        <f t="shared" si="1"/>
        <v>0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0</v>
      </c>
      <c r="AD12" s="17">
        <f t="shared" si="4"/>
        <v>0</v>
      </c>
      <c r="AE12" s="31">
        <f t="shared" si="4"/>
        <v>0</v>
      </c>
      <c r="AF12" s="31">
        <f t="shared" si="4"/>
        <v>0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178</v>
      </c>
      <c r="T13" s="17">
        <f t="shared" si="5"/>
        <v>19</v>
      </c>
      <c r="U13" s="17">
        <f t="shared" si="5"/>
        <v>33</v>
      </c>
      <c r="V13" s="17">
        <f t="shared" si="5"/>
        <v>80</v>
      </c>
      <c r="W13" s="17">
        <f t="shared" si="5"/>
        <v>10</v>
      </c>
      <c r="X13" s="17">
        <f t="shared" si="5"/>
        <v>0</v>
      </c>
      <c r="Y13" s="17">
        <f t="shared" si="5"/>
        <v>78</v>
      </c>
      <c r="Z13" s="17">
        <f t="shared" si="5"/>
        <v>33</v>
      </c>
      <c r="AA13" s="17">
        <f t="shared" si="5"/>
        <v>9</v>
      </c>
      <c r="AB13" s="17">
        <f t="shared" si="5"/>
        <v>25</v>
      </c>
      <c r="AC13" s="17">
        <f t="shared" si="5"/>
        <v>505</v>
      </c>
      <c r="AD13" s="17">
        <f t="shared" si="5"/>
        <v>0</v>
      </c>
      <c r="AE13" s="31">
        <f t="shared" si="5"/>
        <v>465</v>
      </c>
      <c r="AF13" s="31">
        <f t="shared" si="5"/>
        <v>970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0</v>
      </c>
      <c r="P14" s="15">
        <f t="shared" si="1"/>
        <v>0</v>
      </c>
      <c r="R14" s="1" t="s">
        <v>10</v>
      </c>
      <c r="S14" s="17">
        <f t="shared" ref="S14:AF14" si="6">SUM(C26:C29)</f>
        <v>169</v>
      </c>
      <c r="T14" s="17">
        <f t="shared" si="6"/>
        <v>26</v>
      </c>
      <c r="U14" s="17">
        <f t="shared" si="6"/>
        <v>37</v>
      </c>
      <c r="V14" s="17">
        <f t="shared" si="6"/>
        <v>64</v>
      </c>
      <c r="W14" s="17">
        <f t="shared" si="6"/>
        <v>8</v>
      </c>
      <c r="X14" s="17">
        <f t="shared" si="6"/>
        <v>0</v>
      </c>
      <c r="Y14" s="17">
        <f t="shared" si="6"/>
        <v>48</v>
      </c>
      <c r="Z14" s="17">
        <f t="shared" si="6"/>
        <v>33</v>
      </c>
      <c r="AA14" s="17">
        <f t="shared" si="6"/>
        <v>13</v>
      </c>
      <c r="AB14" s="17">
        <f t="shared" si="6"/>
        <v>14</v>
      </c>
      <c r="AC14" s="17">
        <f t="shared" si="6"/>
        <v>636</v>
      </c>
      <c r="AD14" s="17">
        <f t="shared" si="6"/>
        <v>0</v>
      </c>
      <c r="AE14" s="31">
        <f t="shared" si="6"/>
        <v>412</v>
      </c>
      <c r="AF14" s="31">
        <f t="shared" si="6"/>
        <v>1048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140</v>
      </c>
      <c r="T15" s="17">
        <f t="shared" si="7"/>
        <v>8</v>
      </c>
      <c r="U15" s="17">
        <f t="shared" si="7"/>
        <v>19</v>
      </c>
      <c r="V15" s="17">
        <f t="shared" si="7"/>
        <v>66</v>
      </c>
      <c r="W15" s="17">
        <f t="shared" si="7"/>
        <v>8</v>
      </c>
      <c r="X15" s="17">
        <f t="shared" si="7"/>
        <v>0</v>
      </c>
      <c r="Y15" s="17">
        <f t="shared" si="7"/>
        <v>38</v>
      </c>
      <c r="Z15" s="17">
        <f t="shared" si="7"/>
        <v>17</v>
      </c>
      <c r="AA15" s="17">
        <f t="shared" si="7"/>
        <v>7</v>
      </c>
      <c r="AB15" s="17">
        <f t="shared" si="7"/>
        <v>15</v>
      </c>
      <c r="AC15" s="17">
        <f t="shared" si="7"/>
        <v>530</v>
      </c>
      <c r="AD15" s="17">
        <f t="shared" si="7"/>
        <v>0</v>
      </c>
      <c r="AE15" s="31">
        <f t="shared" si="7"/>
        <v>318</v>
      </c>
      <c r="AF15" s="31">
        <f t="shared" si="7"/>
        <v>848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0</v>
      </c>
      <c r="P16" s="15">
        <f t="shared" si="1"/>
        <v>0</v>
      </c>
      <c r="R16" s="1" t="s">
        <v>12</v>
      </c>
      <c r="S16" s="17">
        <f t="shared" ref="S16:AF16" si="8">SUM(C34:C37)</f>
        <v>139</v>
      </c>
      <c r="T16" s="17">
        <f t="shared" si="8"/>
        <v>11</v>
      </c>
      <c r="U16" s="17">
        <f t="shared" si="8"/>
        <v>29</v>
      </c>
      <c r="V16" s="17">
        <f t="shared" si="8"/>
        <v>42</v>
      </c>
      <c r="W16" s="17">
        <f t="shared" si="8"/>
        <v>10</v>
      </c>
      <c r="X16" s="17">
        <f t="shared" si="8"/>
        <v>0</v>
      </c>
      <c r="Y16" s="17">
        <f t="shared" si="8"/>
        <v>40</v>
      </c>
      <c r="Z16" s="17">
        <f t="shared" si="8"/>
        <v>16</v>
      </c>
      <c r="AA16" s="17">
        <f t="shared" si="8"/>
        <v>12</v>
      </c>
      <c r="AB16" s="17">
        <f t="shared" si="8"/>
        <v>23</v>
      </c>
      <c r="AC16" s="17">
        <f t="shared" si="8"/>
        <v>492</v>
      </c>
      <c r="AD16" s="17">
        <f t="shared" si="8"/>
        <v>0</v>
      </c>
      <c r="AE16" s="31">
        <f t="shared" si="8"/>
        <v>322</v>
      </c>
      <c r="AF16" s="31">
        <f t="shared" si="8"/>
        <v>814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163</v>
      </c>
      <c r="T17" s="17">
        <f t="shared" si="9"/>
        <v>16</v>
      </c>
      <c r="U17" s="17">
        <f t="shared" si="9"/>
        <v>26</v>
      </c>
      <c r="V17" s="17">
        <f t="shared" si="9"/>
        <v>53</v>
      </c>
      <c r="W17" s="17">
        <f t="shared" si="9"/>
        <v>9</v>
      </c>
      <c r="X17" s="17">
        <f t="shared" si="9"/>
        <v>0</v>
      </c>
      <c r="Y17" s="17">
        <f t="shared" si="9"/>
        <v>69</v>
      </c>
      <c r="Z17" s="17">
        <f t="shared" si="9"/>
        <v>13</v>
      </c>
      <c r="AA17" s="17">
        <f t="shared" si="9"/>
        <v>5</v>
      </c>
      <c r="AB17" s="17">
        <f t="shared" si="9"/>
        <v>22</v>
      </c>
      <c r="AC17" s="17">
        <f t="shared" si="9"/>
        <v>358</v>
      </c>
      <c r="AD17" s="17">
        <f t="shared" si="9"/>
        <v>0</v>
      </c>
      <c r="AE17" s="31">
        <f t="shared" si="9"/>
        <v>376</v>
      </c>
      <c r="AF17" s="31">
        <f t="shared" si="9"/>
        <v>734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0</v>
      </c>
      <c r="P18" s="15">
        <f t="shared" si="1"/>
        <v>0</v>
      </c>
      <c r="R18" s="1" t="s">
        <v>14</v>
      </c>
      <c r="S18" s="17">
        <f t="shared" ref="S18:AF18" si="10">SUM(C42:C45)</f>
        <v>235</v>
      </c>
      <c r="T18" s="17">
        <f t="shared" si="10"/>
        <v>16</v>
      </c>
      <c r="U18" s="17">
        <f t="shared" si="10"/>
        <v>34</v>
      </c>
      <c r="V18" s="17">
        <f t="shared" si="10"/>
        <v>49</v>
      </c>
      <c r="W18" s="17">
        <f t="shared" si="10"/>
        <v>8</v>
      </c>
      <c r="X18" s="17">
        <f t="shared" si="10"/>
        <v>0</v>
      </c>
      <c r="Y18" s="17">
        <f t="shared" si="10"/>
        <v>59</v>
      </c>
      <c r="Z18" s="17">
        <f t="shared" si="10"/>
        <v>18</v>
      </c>
      <c r="AA18" s="17">
        <f t="shared" si="10"/>
        <v>12</v>
      </c>
      <c r="AB18" s="17">
        <f t="shared" si="10"/>
        <v>15</v>
      </c>
      <c r="AC18" s="17">
        <f t="shared" si="10"/>
        <v>458</v>
      </c>
      <c r="AD18" s="17">
        <f t="shared" si="10"/>
        <v>0</v>
      </c>
      <c r="AE18" s="31">
        <f t="shared" si="10"/>
        <v>446</v>
      </c>
      <c r="AF18" s="31">
        <f t="shared" si="10"/>
        <v>904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318</v>
      </c>
      <c r="T19" s="17">
        <f t="shared" si="11"/>
        <v>25</v>
      </c>
      <c r="U19" s="17">
        <f t="shared" si="11"/>
        <v>33</v>
      </c>
      <c r="V19" s="17">
        <f t="shared" si="11"/>
        <v>51</v>
      </c>
      <c r="W19" s="17">
        <f t="shared" si="11"/>
        <v>8</v>
      </c>
      <c r="X19" s="17">
        <f t="shared" si="11"/>
        <v>1</v>
      </c>
      <c r="Y19" s="17">
        <f t="shared" si="11"/>
        <v>43</v>
      </c>
      <c r="Z19" s="17">
        <f t="shared" si="11"/>
        <v>19</v>
      </c>
      <c r="AA19" s="17">
        <f t="shared" si="11"/>
        <v>10</v>
      </c>
      <c r="AB19" s="17">
        <f t="shared" si="11"/>
        <v>24</v>
      </c>
      <c r="AC19" s="17">
        <f t="shared" si="11"/>
        <v>402</v>
      </c>
      <c r="AD19" s="17">
        <f t="shared" si="11"/>
        <v>0</v>
      </c>
      <c r="AE19" s="31">
        <f t="shared" si="11"/>
        <v>532</v>
      </c>
      <c r="AF19" s="31">
        <f t="shared" si="11"/>
        <v>934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0</v>
      </c>
      <c r="P20" s="15">
        <f t="shared" si="1"/>
        <v>0</v>
      </c>
      <c r="R20" s="1" t="s">
        <v>16</v>
      </c>
      <c r="S20" s="17">
        <f t="shared" ref="S20:AF20" si="12">SUM(C50:C53)</f>
        <v>369</v>
      </c>
      <c r="T20" s="17">
        <f t="shared" si="12"/>
        <v>42</v>
      </c>
      <c r="U20" s="17">
        <f t="shared" si="12"/>
        <v>60</v>
      </c>
      <c r="V20" s="17">
        <f t="shared" si="12"/>
        <v>73</v>
      </c>
      <c r="W20" s="17">
        <f t="shared" si="12"/>
        <v>14</v>
      </c>
      <c r="X20" s="17">
        <f t="shared" si="12"/>
        <v>0</v>
      </c>
      <c r="Y20" s="17">
        <f t="shared" si="12"/>
        <v>49</v>
      </c>
      <c r="Z20" s="17">
        <f t="shared" si="12"/>
        <v>19</v>
      </c>
      <c r="AA20" s="17">
        <f t="shared" si="12"/>
        <v>6</v>
      </c>
      <c r="AB20" s="17">
        <f t="shared" si="12"/>
        <v>25</v>
      </c>
      <c r="AC20" s="17">
        <f t="shared" si="12"/>
        <v>435</v>
      </c>
      <c r="AD20" s="17">
        <f t="shared" si="12"/>
        <v>0</v>
      </c>
      <c r="AE20" s="31">
        <f t="shared" si="12"/>
        <v>657</v>
      </c>
      <c r="AF20" s="31">
        <f t="shared" si="12"/>
        <v>1092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0</v>
      </c>
      <c r="P21" s="15">
        <f t="shared" si="1"/>
        <v>0</v>
      </c>
      <c r="R21" s="36" t="s">
        <v>20</v>
      </c>
      <c r="S21" s="34">
        <f t="shared" ref="S21:AF21" si="13">SUM(C54:C57)</f>
        <v>370</v>
      </c>
      <c r="T21" s="17">
        <f t="shared" si="13"/>
        <v>13</v>
      </c>
      <c r="U21" s="17">
        <f t="shared" si="13"/>
        <v>35</v>
      </c>
      <c r="V21" s="17">
        <f t="shared" si="13"/>
        <v>74</v>
      </c>
      <c r="W21" s="17">
        <f t="shared" si="13"/>
        <v>13</v>
      </c>
      <c r="X21" s="17">
        <f t="shared" si="13"/>
        <v>1</v>
      </c>
      <c r="Y21" s="17">
        <f t="shared" si="13"/>
        <v>42</v>
      </c>
      <c r="Z21" s="17">
        <f t="shared" si="13"/>
        <v>17</v>
      </c>
      <c r="AA21" s="17">
        <f t="shared" si="13"/>
        <v>6</v>
      </c>
      <c r="AB21" s="17">
        <f t="shared" si="13"/>
        <v>18</v>
      </c>
      <c r="AC21" s="17">
        <f t="shared" si="13"/>
        <v>560</v>
      </c>
      <c r="AD21" s="17">
        <f t="shared" si="13"/>
        <v>0</v>
      </c>
      <c r="AE21" s="31">
        <f t="shared" si="13"/>
        <v>589</v>
      </c>
      <c r="AF21" s="31">
        <f t="shared" si="13"/>
        <v>1149</v>
      </c>
    </row>
    <row r="22" spans="2:32" ht="23.1" customHeight="1" x14ac:dyDescent="0.25">
      <c r="B22" s="23" t="s">
        <v>49</v>
      </c>
      <c r="C22" s="50">
        <v>65</v>
      </c>
      <c r="D22" s="50">
        <v>9</v>
      </c>
      <c r="E22" s="50">
        <v>11</v>
      </c>
      <c r="F22" s="50">
        <v>28</v>
      </c>
      <c r="G22" s="50">
        <v>3</v>
      </c>
      <c r="H22" s="50">
        <v>0</v>
      </c>
      <c r="I22" s="50">
        <v>21</v>
      </c>
      <c r="J22" s="50">
        <v>13</v>
      </c>
      <c r="K22" s="50">
        <v>0</v>
      </c>
      <c r="L22" s="50">
        <v>5</v>
      </c>
      <c r="M22" s="50">
        <v>155</v>
      </c>
      <c r="N22" s="50">
        <v>0</v>
      </c>
      <c r="O22" s="15">
        <f t="shared" si="0"/>
        <v>155</v>
      </c>
      <c r="P22" s="15">
        <f t="shared" si="1"/>
        <v>310</v>
      </c>
      <c r="R22" s="38" t="s">
        <v>90</v>
      </c>
      <c r="S22" s="39">
        <f>MAX(S10:S12)</f>
        <v>0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0</v>
      </c>
      <c r="AD22" s="39">
        <f t="shared" si="14"/>
        <v>0</v>
      </c>
      <c r="AE22" s="40">
        <f t="shared" si="14"/>
        <v>0</v>
      </c>
      <c r="AF22" s="40">
        <f t="shared" si="14"/>
        <v>0</v>
      </c>
    </row>
    <row r="23" spans="2:32" ht="23.1" customHeight="1" x14ac:dyDescent="0.25">
      <c r="B23" s="23" t="s">
        <v>50</v>
      </c>
      <c r="C23" s="50">
        <v>30</v>
      </c>
      <c r="D23" s="50">
        <v>7</v>
      </c>
      <c r="E23" s="50">
        <v>3</v>
      </c>
      <c r="F23" s="50">
        <v>25</v>
      </c>
      <c r="G23" s="50">
        <v>2</v>
      </c>
      <c r="H23" s="50">
        <v>0</v>
      </c>
      <c r="I23" s="50">
        <v>9</v>
      </c>
      <c r="J23" s="50">
        <v>8</v>
      </c>
      <c r="K23" s="50">
        <v>4</v>
      </c>
      <c r="L23" s="50">
        <v>4</v>
      </c>
      <c r="M23" s="50">
        <v>110</v>
      </c>
      <c r="N23" s="50">
        <v>0</v>
      </c>
      <c r="O23" s="15">
        <f t="shared" si="0"/>
        <v>92</v>
      </c>
      <c r="P23" s="15">
        <f t="shared" si="1"/>
        <v>202</v>
      </c>
      <c r="R23" s="38" t="s">
        <v>91</v>
      </c>
      <c r="S23" s="39">
        <f>MAX(S13:S18)</f>
        <v>235</v>
      </c>
      <c r="T23" s="39">
        <f t="shared" ref="T23:AF23" si="15">MAX(T13:T18)</f>
        <v>26</v>
      </c>
      <c r="U23" s="39">
        <f t="shared" si="15"/>
        <v>37</v>
      </c>
      <c r="V23" s="39">
        <f t="shared" si="15"/>
        <v>80</v>
      </c>
      <c r="W23" s="39">
        <f t="shared" si="15"/>
        <v>10</v>
      </c>
      <c r="X23" s="39">
        <f t="shared" si="15"/>
        <v>0</v>
      </c>
      <c r="Y23" s="39">
        <f t="shared" si="15"/>
        <v>78</v>
      </c>
      <c r="Z23" s="39">
        <f t="shared" si="15"/>
        <v>33</v>
      </c>
      <c r="AA23" s="39">
        <f t="shared" si="15"/>
        <v>13</v>
      </c>
      <c r="AB23" s="39">
        <f t="shared" si="15"/>
        <v>25</v>
      </c>
      <c r="AC23" s="39">
        <f t="shared" si="15"/>
        <v>636</v>
      </c>
      <c r="AD23" s="39">
        <f t="shared" si="15"/>
        <v>0</v>
      </c>
      <c r="AE23" s="40">
        <f t="shared" si="15"/>
        <v>465</v>
      </c>
      <c r="AF23" s="40">
        <f t="shared" si="15"/>
        <v>1048</v>
      </c>
    </row>
    <row r="24" spans="2:32" ht="23.1" customHeight="1" x14ac:dyDescent="0.25">
      <c r="B24" s="23" t="s">
        <v>51</v>
      </c>
      <c r="C24" s="50">
        <v>42</v>
      </c>
      <c r="D24" s="50">
        <v>3</v>
      </c>
      <c r="E24" s="50">
        <v>11</v>
      </c>
      <c r="F24" s="50">
        <v>8</v>
      </c>
      <c r="G24" s="50">
        <v>3</v>
      </c>
      <c r="H24" s="50">
        <v>0</v>
      </c>
      <c r="I24" s="50">
        <v>37</v>
      </c>
      <c r="J24" s="50">
        <v>7</v>
      </c>
      <c r="K24" s="50">
        <v>2</v>
      </c>
      <c r="L24" s="50">
        <v>3</v>
      </c>
      <c r="M24" s="50">
        <v>150</v>
      </c>
      <c r="N24" s="50">
        <v>0</v>
      </c>
      <c r="O24" s="15">
        <f t="shared" si="0"/>
        <v>116</v>
      </c>
      <c r="P24" s="15">
        <f t="shared" si="1"/>
        <v>266</v>
      </c>
      <c r="R24" s="38" t="s">
        <v>92</v>
      </c>
      <c r="S24" s="39">
        <f>MAX(S19:S21)</f>
        <v>370</v>
      </c>
      <c r="T24" s="39">
        <f t="shared" ref="T24:AF24" si="16">MAX(T19:T21)</f>
        <v>42</v>
      </c>
      <c r="U24" s="39">
        <f t="shared" si="16"/>
        <v>60</v>
      </c>
      <c r="V24" s="39">
        <f t="shared" si="16"/>
        <v>74</v>
      </c>
      <c r="W24" s="39">
        <f t="shared" si="16"/>
        <v>14</v>
      </c>
      <c r="X24" s="39">
        <f t="shared" si="16"/>
        <v>1</v>
      </c>
      <c r="Y24" s="39">
        <f t="shared" si="16"/>
        <v>49</v>
      </c>
      <c r="Z24" s="39">
        <f t="shared" si="16"/>
        <v>19</v>
      </c>
      <c r="AA24" s="39">
        <f t="shared" si="16"/>
        <v>10</v>
      </c>
      <c r="AB24" s="39">
        <f t="shared" si="16"/>
        <v>25</v>
      </c>
      <c r="AC24" s="39">
        <f t="shared" si="16"/>
        <v>560</v>
      </c>
      <c r="AD24" s="39">
        <f t="shared" si="16"/>
        <v>0</v>
      </c>
      <c r="AE24" s="40">
        <f t="shared" si="16"/>
        <v>657</v>
      </c>
      <c r="AF24" s="40">
        <f t="shared" si="16"/>
        <v>1149</v>
      </c>
    </row>
    <row r="25" spans="2:32" ht="23.1" customHeight="1" x14ac:dyDescent="0.25">
      <c r="B25" s="23" t="s">
        <v>52</v>
      </c>
      <c r="C25" s="50">
        <v>41</v>
      </c>
      <c r="D25" s="50">
        <v>0</v>
      </c>
      <c r="E25" s="50">
        <v>8</v>
      </c>
      <c r="F25" s="50">
        <v>19</v>
      </c>
      <c r="G25" s="50">
        <v>2</v>
      </c>
      <c r="H25" s="50">
        <v>0</v>
      </c>
      <c r="I25" s="50">
        <v>11</v>
      </c>
      <c r="J25" s="50">
        <v>5</v>
      </c>
      <c r="K25" s="50">
        <v>3</v>
      </c>
      <c r="L25" s="50">
        <v>13</v>
      </c>
      <c r="M25" s="50">
        <v>90</v>
      </c>
      <c r="N25" s="50">
        <v>0</v>
      </c>
      <c r="O25" s="15">
        <f t="shared" si="0"/>
        <v>102</v>
      </c>
      <c r="P25" s="15">
        <f t="shared" si="1"/>
        <v>192</v>
      </c>
      <c r="R25" s="37" t="s">
        <v>85</v>
      </c>
      <c r="S25" s="35">
        <f t="shared" ref="S25:AF25" si="17">SUM(S10:S12)</f>
        <v>0</v>
      </c>
      <c r="T25" s="16">
        <f t="shared" si="17"/>
        <v>0</v>
      </c>
      <c r="U25" s="16">
        <f t="shared" si="17"/>
        <v>0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0</v>
      </c>
      <c r="AD25" s="16">
        <f t="shared" si="17"/>
        <v>0</v>
      </c>
      <c r="AE25" s="32">
        <f t="shared" si="17"/>
        <v>0</v>
      </c>
      <c r="AF25" s="32">
        <f t="shared" si="17"/>
        <v>0</v>
      </c>
    </row>
    <row r="26" spans="2:32" ht="23.1" customHeight="1" x14ac:dyDescent="0.25">
      <c r="B26" s="23" t="s">
        <v>53</v>
      </c>
      <c r="C26" s="50">
        <v>16</v>
      </c>
      <c r="D26" s="50">
        <v>4</v>
      </c>
      <c r="E26" s="50">
        <v>5</v>
      </c>
      <c r="F26" s="50">
        <v>19</v>
      </c>
      <c r="G26" s="50">
        <v>3</v>
      </c>
      <c r="H26" s="50">
        <v>0</v>
      </c>
      <c r="I26" s="50">
        <v>12</v>
      </c>
      <c r="J26" s="50">
        <v>8</v>
      </c>
      <c r="K26" s="50">
        <v>2</v>
      </c>
      <c r="L26" s="50">
        <v>2</v>
      </c>
      <c r="M26" s="50">
        <v>91</v>
      </c>
      <c r="N26" s="50">
        <v>0</v>
      </c>
      <c r="O26" s="15">
        <f t="shared" si="0"/>
        <v>71</v>
      </c>
      <c r="P26" s="15">
        <f t="shared" si="1"/>
        <v>162</v>
      </c>
      <c r="R26" s="28" t="s">
        <v>86</v>
      </c>
      <c r="S26" s="16">
        <f t="shared" ref="S26:AF26" si="18">SUM(S13:S18)</f>
        <v>1024</v>
      </c>
      <c r="T26" s="16">
        <f t="shared" si="18"/>
        <v>96</v>
      </c>
      <c r="U26" s="16">
        <f t="shared" si="18"/>
        <v>178</v>
      </c>
      <c r="V26" s="16">
        <f t="shared" si="18"/>
        <v>354</v>
      </c>
      <c r="W26" s="16">
        <f t="shared" si="18"/>
        <v>53</v>
      </c>
      <c r="X26" s="16">
        <f t="shared" si="18"/>
        <v>0</v>
      </c>
      <c r="Y26" s="16">
        <f t="shared" si="18"/>
        <v>332</v>
      </c>
      <c r="Z26" s="16">
        <f t="shared" si="18"/>
        <v>130</v>
      </c>
      <c r="AA26" s="16">
        <f t="shared" si="18"/>
        <v>58</v>
      </c>
      <c r="AB26" s="16">
        <f t="shared" si="18"/>
        <v>114</v>
      </c>
      <c r="AC26" s="16">
        <f t="shared" si="18"/>
        <v>2979</v>
      </c>
      <c r="AD26" s="16">
        <f t="shared" si="18"/>
        <v>0</v>
      </c>
      <c r="AE26" s="32">
        <f t="shared" si="18"/>
        <v>2339</v>
      </c>
      <c r="AF26" s="32">
        <f t="shared" si="18"/>
        <v>5318</v>
      </c>
    </row>
    <row r="27" spans="2:32" ht="23.1" customHeight="1" x14ac:dyDescent="0.25">
      <c r="B27" s="23" t="s">
        <v>54</v>
      </c>
      <c r="C27" s="50">
        <v>34</v>
      </c>
      <c r="D27" s="50">
        <v>10</v>
      </c>
      <c r="E27" s="50">
        <v>14</v>
      </c>
      <c r="F27" s="50">
        <v>15</v>
      </c>
      <c r="G27" s="50">
        <v>1</v>
      </c>
      <c r="H27" s="50">
        <v>0</v>
      </c>
      <c r="I27" s="50">
        <v>7</v>
      </c>
      <c r="J27" s="50">
        <v>7</v>
      </c>
      <c r="K27" s="50">
        <v>7</v>
      </c>
      <c r="L27" s="50">
        <v>7</v>
      </c>
      <c r="M27" s="50">
        <v>190</v>
      </c>
      <c r="N27" s="50">
        <v>0</v>
      </c>
      <c r="O27" s="15">
        <f t="shared" si="0"/>
        <v>102</v>
      </c>
      <c r="P27" s="15">
        <f t="shared" si="1"/>
        <v>292</v>
      </c>
      <c r="R27" s="29" t="s">
        <v>87</v>
      </c>
      <c r="S27" s="16">
        <f t="shared" ref="S27:AF27" si="19">SUM(S19:S21)</f>
        <v>1057</v>
      </c>
      <c r="T27" s="16">
        <f t="shared" si="19"/>
        <v>80</v>
      </c>
      <c r="U27" s="16">
        <f t="shared" si="19"/>
        <v>128</v>
      </c>
      <c r="V27" s="16">
        <f t="shared" si="19"/>
        <v>198</v>
      </c>
      <c r="W27" s="16">
        <f t="shared" si="19"/>
        <v>35</v>
      </c>
      <c r="X27" s="16">
        <f t="shared" si="19"/>
        <v>2</v>
      </c>
      <c r="Y27" s="16">
        <f t="shared" si="19"/>
        <v>134</v>
      </c>
      <c r="Z27" s="16">
        <f t="shared" si="19"/>
        <v>55</v>
      </c>
      <c r="AA27" s="16">
        <f t="shared" si="19"/>
        <v>22</v>
      </c>
      <c r="AB27" s="16">
        <f t="shared" si="19"/>
        <v>67</v>
      </c>
      <c r="AC27" s="16">
        <f t="shared" si="19"/>
        <v>1397</v>
      </c>
      <c r="AD27" s="16">
        <f t="shared" si="19"/>
        <v>0</v>
      </c>
      <c r="AE27" s="32">
        <f t="shared" si="19"/>
        <v>1778</v>
      </c>
      <c r="AF27" s="32">
        <f t="shared" si="19"/>
        <v>3175</v>
      </c>
    </row>
    <row r="28" spans="2:32" ht="23.1" customHeight="1" x14ac:dyDescent="0.25">
      <c r="B28" s="23" t="s">
        <v>55</v>
      </c>
      <c r="C28" s="50">
        <v>75</v>
      </c>
      <c r="D28" s="50">
        <v>7</v>
      </c>
      <c r="E28" s="50">
        <v>12</v>
      </c>
      <c r="F28" s="50">
        <v>19</v>
      </c>
      <c r="G28" s="50">
        <v>2</v>
      </c>
      <c r="H28" s="50">
        <v>0</v>
      </c>
      <c r="I28" s="50">
        <v>16</v>
      </c>
      <c r="J28" s="50">
        <v>9</v>
      </c>
      <c r="K28" s="50">
        <v>0</v>
      </c>
      <c r="L28" s="50">
        <v>0</v>
      </c>
      <c r="M28" s="50">
        <v>165</v>
      </c>
      <c r="N28" s="50">
        <v>0</v>
      </c>
      <c r="O28" s="15">
        <f t="shared" si="0"/>
        <v>140</v>
      </c>
      <c r="P28" s="15">
        <f t="shared" si="1"/>
        <v>305</v>
      </c>
      <c r="R28" s="5" t="s">
        <v>17</v>
      </c>
      <c r="S28" s="16">
        <f t="shared" ref="S28:AF28" si="20">SUM(S10:S21)</f>
        <v>2081</v>
      </c>
      <c r="T28" s="16">
        <f t="shared" si="20"/>
        <v>176</v>
      </c>
      <c r="U28" s="16">
        <f t="shared" si="20"/>
        <v>306</v>
      </c>
      <c r="V28" s="16">
        <f t="shared" si="20"/>
        <v>552</v>
      </c>
      <c r="W28" s="16">
        <f t="shared" si="20"/>
        <v>88</v>
      </c>
      <c r="X28" s="16">
        <f t="shared" si="20"/>
        <v>2</v>
      </c>
      <c r="Y28" s="16">
        <f t="shared" si="20"/>
        <v>466</v>
      </c>
      <c r="Z28" s="16">
        <f t="shared" si="20"/>
        <v>185</v>
      </c>
      <c r="AA28" s="16">
        <f t="shared" si="20"/>
        <v>80</v>
      </c>
      <c r="AB28" s="16">
        <f t="shared" si="20"/>
        <v>181</v>
      </c>
      <c r="AC28" s="16">
        <f t="shared" si="20"/>
        <v>4376</v>
      </c>
      <c r="AD28" s="16">
        <f t="shared" si="20"/>
        <v>0</v>
      </c>
      <c r="AE28" s="32">
        <f t="shared" si="20"/>
        <v>4117</v>
      </c>
      <c r="AF28" s="32">
        <f t="shared" si="20"/>
        <v>8493</v>
      </c>
    </row>
    <row r="29" spans="2:32" ht="23.1" customHeight="1" x14ac:dyDescent="0.25">
      <c r="B29" s="23" t="s">
        <v>56</v>
      </c>
      <c r="C29" s="50">
        <v>44</v>
      </c>
      <c r="D29" s="50">
        <v>5</v>
      </c>
      <c r="E29" s="50">
        <v>6</v>
      </c>
      <c r="F29" s="50">
        <v>11</v>
      </c>
      <c r="G29" s="50">
        <v>2</v>
      </c>
      <c r="H29" s="50">
        <v>0</v>
      </c>
      <c r="I29" s="50">
        <v>13</v>
      </c>
      <c r="J29" s="50">
        <v>9</v>
      </c>
      <c r="K29" s="50">
        <v>4</v>
      </c>
      <c r="L29" s="50">
        <v>5</v>
      </c>
      <c r="M29" s="50">
        <v>190</v>
      </c>
      <c r="N29" s="50">
        <v>0</v>
      </c>
      <c r="O29" s="15">
        <f t="shared" si="0"/>
        <v>99</v>
      </c>
      <c r="P29" s="15">
        <f t="shared" si="1"/>
        <v>289</v>
      </c>
      <c r="R29"/>
      <c r="S29" s="20"/>
      <c r="T29" s="19"/>
    </row>
    <row r="30" spans="2:32" ht="23.1" customHeight="1" x14ac:dyDescent="0.25">
      <c r="B30" s="23" t="s">
        <v>57</v>
      </c>
      <c r="C30" s="50">
        <v>16</v>
      </c>
      <c r="D30" s="50">
        <v>0</v>
      </c>
      <c r="E30" s="50">
        <v>3</v>
      </c>
      <c r="F30" s="50">
        <v>15</v>
      </c>
      <c r="G30" s="50">
        <v>3</v>
      </c>
      <c r="H30" s="50">
        <v>0</v>
      </c>
      <c r="I30" s="50">
        <v>13</v>
      </c>
      <c r="J30" s="50">
        <v>4</v>
      </c>
      <c r="K30" s="50">
        <v>0</v>
      </c>
      <c r="L30" s="50">
        <v>2</v>
      </c>
      <c r="M30" s="50">
        <v>150</v>
      </c>
      <c r="N30" s="50">
        <v>0</v>
      </c>
      <c r="O30" s="15">
        <f t="shared" si="0"/>
        <v>56</v>
      </c>
      <c r="P30" s="15">
        <f t="shared" si="1"/>
        <v>206</v>
      </c>
    </row>
    <row r="31" spans="2:32" ht="23.1" customHeight="1" x14ac:dyDescent="0.25">
      <c r="B31" s="24" t="s">
        <v>58</v>
      </c>
      <c r="C31" s="50">
        <v>41</v>
      </c>
      <c r="D31" s="50">
        <v>3</v>
      </c>
      <c r="E31" s="50">
        <v>6</v>
      </c>
      <c r="F31" s="50">
        <v>16</v>
      </c>
      <c r="G31" s="50">
        <v>1</v>
      </c>
      <c r="H31" s="50">
        <v>0</v>
      </c>
      <c r="I31" s="50">
        <v>9</v>
      </c>
      <c r="J31" s="50">
        <v>5</v>
      </c>
      <c r="K31" s="50">
        <v>4</v>
      </c>
      <c r="L31" s="50">
        <v>7</v>
      </c>
      <c r="M31" s="50">
        <v>140</v>
      </c>
      <c r="N31" s="50">
        <v>0</v>
      </c>
      <c r="O31" s="15">
        <f t="shared" si="0"/>
        <v>92</v>
      </c>
      <c r="P31" s="15">
        <f t="shared" si="1"/>
        <v>232</v>
      </c>
    </row>
    <row r="32" spans="2:32" ht="23.1" customHeight="1" x14ac:dyDescent="0.25">
      <c r="B32" s="24" t="s">
        <v>59</v>
      </c>
      <c r="C32" s="50">
        <v>36</v>
      </c>
      <c r="D32" s="50">
        <v>3</v>
      </c>
      <c r="E32" s="50">
        <v>6</v>
      </c>
      <c r="F32" s="50">
        <v>24</v>
      </c>
      <c r="G32" s="50">
        <v>3</v>
      </c>
      <c r="H32" s="50">
        <v>0</v>
      </c>
      <c r="I32" s="50">
        <v>5</v>
      </c>
      <c r="J32" s="50">
        <v>5</v>
      </c>
      <c r="K32" s="50">
        <v>0</v>
      </c>
      <c r="L32" s="50">
        <v>3</v>
      </c>
      <c r="M32" s="50">
        <v>95</v>
      </c>
      <c r="N32" s="50">
        <v>0</v>
      </c>
      <c r="O32" s="15">
        <f t="shared" si="0"/>
        <v>85</v>
      </c>
      <c r="P32" s="15">
        <f t="shared" si="1"/>
        <v>180</v>
      </c>
    </row>
    <row r="33" spans="2:20" ht="23.1" customHeight="1" x14ac:dyDescent="0.25">
      <c r="B33" s="23" t="s">
        <v>60</v>
      </c>
      <c r="C33" s="50">
        <v>47</v>
      </c>
      <c r="D33" s="50">
        <v>2</v>
      </c>
      <c r="E33" s="50">
        <v>4</v>
      </c>
      <c r="F33" s="50">
        <v>11</v>
      </c>
      <c r="G33" s="50">
        <v>1</v>
      </c>
      <c r="H33" s="50">
        <v>0</v>
      </c>
      <c r="I33" s="50">
        <v>11</v>
      </c>
      <c r="J33" s="50">
        <v>3</v>
      </c>
      <c r="K33" s="50">
        <v>3</v>
      </c>
      <c r="L33" s="50">
        <v>3</v>
      </c>
      <c r="M33" s="50">
        <v>145</v>
      </c>
      <c r="N33" s="50">
        <v>0</v>
      </c>
      <c r="O33" s="15">
        <f t="shared" si="0"/>
        <v>85</v>
      </c>
      <c r="P33" s="15">
        <f t="shared" si="1"/>
        <v>230</v>
      </c>
    </row>
    <row r="34" spans="2:20" ht="23.1" customHeight="1" x14ac:dyDescent="0.25">
      <c r="B34" s="24" t="s">
        <v>61</v>
      </c>
      <c r="C34" s="50">
        <v>42</v>
      </c>
      <c r="D34" s="50">
        <v>3</v>
      </c>
      <c r="E34" s="50">
        <v>10</v>
      </c>
      <c r="F34" s="50">
        <v>17</v>
      </c>
      <c r="G34" s="50">
        <v>4</v>
      </c>
      <c r="H34" s="50">
        <v>0</v>
      </c>
      <c r="I34" s="50">
        <v>13</v>
      </c>
      <c r="J34" s="50">
        <v>10</v>
      </c>
      <c r="K34" s="50">
        <v>2</v>
      </c>
      <c r="L34" s="50">
        <v>9</v>
      </c>
      <c r="M34" s="50">
        <v>127</v>
      </c>
      <c r="N34" s="50">
        <v>0</v>
      </c>
      <c r="O34" s="15">
        <f t="shared" si="0"/>
        <v>110</v>
      </c>
      <c r="P34" s="15">
        <f t="shared" si="1"/>
        <v>237</v>
      </c>
    </row>
    <row r="35" spans="2:20" ht="23.1" customHeight="1" x14ac:dyDescent="0.25">
      <c r="B35" s="24" t="s">
        <v>62</v>
      </c>
      <c r="C35" s="50">
        <v>5</v>
      </c>
      <c r="D35" s="50">
        <v>1</v>
      </c>
      <c r="E35" s="50">
        <v>0</v>
      </c>
      <c r="F35" s="50">
        <v>1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4</v>
      </c>
      <c r="M35" s="50">
        <v>135</v>
      </c>
      <c r="N35" s="50">
        <v>0</v>
      </c>
      <c r="O35" s="15">
        <f t="shared" si="0"/>
        <v>13</v>
      </c>
      <c r="P35" s="15">
        <f t="shared" si="1"/>
        <v>148</v>
      </c>
    </row>
    <row r="36" spans="2:20" ht="23.1" customHeight="1" x14ac:dyDescent="0.25">
      <c r="B36" s="24" t="s">
        <v>63</v>
      </c>
      <c r="C36" s="50">
        <v>46</v>
      </c>
      <c r="D36" s="50">
        <v>3</v>
      </c>
      <c r="E36" s="50">
        <v>8</v>
      </c>
      <c r="F36" s="50">
        <v>9</v>
      </c>
      <c r="G36" s="50">
        <v>2</v>
      </c>
      <c r="H36" s="50">
        <v>0</v>
      </c>
      <c r="I36" s="50">
        <v>7</v>
      </c>
      <c r="J36" s="50">
        <v>1</v>
      </c>
      <c r="K36" s="50">
        <v>2</v>
      </c>
      <c r="L36" s="50">
        <v>3</v>
      </c>
      <c r="M36" s="50">
        <v>95</v>
      </c>
      <c r="N36" s="50">
        <v>0</v>
      </c>
      <c r="O36" s="15">
        <f t="shared" si="0"/>
        <v>81</v>
      </c>
      <c r="P36" s="15">
        <f t="shared" si="1"/>
        <v>176</v>
      </c>
    </row>
    <row r="37" spans="2:20" ht="23.1" customHeight="1" x14ac:dyDescent="0.25">
      <c r="B37" s="23" t="s">
        <v>64</v>
      </c>
      <c r="C37" s="50">
        <v>46</v>
      </c>
      <c r="D37" s="50">
        <v>4</v>
      </c>
      <c r="E37" s="50">
        <v>11</v>
      </c>
      <c r="F37" s="50">
        <v>15</v>
      </c>
      <c r="G37" s="50">
        <v>4</v>
      </c>
      <c r="H37" s="50">
        <v>0</v>
      </c>
      <c r="I37" s="50">
        <v>18</v>
      </c>
      <c r="J37" s="50">
        <v>5</v>
      </c>
      <c r="K37" s="50">
        <v>8</v>
      </c>
      <c r="L37" s="50">
        <v>7</v>
      </c>
      <c r="M37" s="50">
        <v>135</v>
      </c>
      <c r="N37" s="50">
        <v>0</v>
      </c>
      <c r="O37" s="15">
        <f t="shared" si="0"/>
        <v>118</v>
      </c>
      <c r="P37" s="15">
        <f t="shared" si="1"/>
        <v>253</v>
      </c>
    </row>
    <row r="38" spans="2:20" ht="23.1" customHeight="1" x14ac:dyDescent="0.25">
      <c r="B38" s="24" t="s">
        <v>65</v>
      </c>
      <c r="C38" s="50">
        <v>68</v>
      </c>
      <c r="D38" s="50">
        <v>7</v>
      </c>
      <c r="E38" s="50">
        <v>15</v>
      </c>
      <c r="F38" s="50">
        <v>23</v>
      </c>
      <c r="G38" s="50">
        <v>3</v>
      </c>
      <c r="H38" s="50">
        <v>0</v>
      </c>
      <c r="I38" s="50">
        <v>26</v>
      </c>
      <c r="J38" s="50">
        <v>3</v>
      </c>
      <c r="K38" s="50">
        <v>2</v>
      </c>
      <c r="L38" s="50">
        <v>5</v>
      </c>
      <c r="M38" s="50">
        <v>105</v>
      </c>
      <c r="N38" s="50">
        <v>0</v>
      </c>
      <c r="O38" s="15">
        <f t="shared" si="0"/>
        <v>152</v>
      </c>
      <c r="P38" s="15">
        <f t="shared" si="1"/>
        <v>257</v>
      </c>
    </row>
    <row r="39" spans="2:20" ht="23.1" customHeight="1" x14ac:dyDescent="0.25">
      <c r="B39" s="24" t="s">
        <v>66</v>
      </c>
      <c r="C39" s="50">
        <v>36</v>
      </c>
      <c r="D39" s="50">
        <v>2</v>
      </c>
      <c r="E39" s="50">
        <v>5</v>
      </c>
      <c r="F39" s="50">
        <v>9</v>
      </c>
      <c r="G39" s="50">
        <v>2</v>
      </c>
      <c r="H39" s="50">
        <v>0</v>
      </c>
      <c r="I39" s="50">
        <v>15</v>
      </c>
      <c r="J39" s="50">
        <v>4</v>
      </c>
      <c r="K39" s="50">
        <v>1</v>
      </c>
      <c r="L39" s="50">
        <v>4</v>
      </c>
      <c r="M39" s="50">
        <v>86</v>
      </c>
      <c r="N39" s="50">
        <v>0</v>
      </c>
      <c r="O39" s="15">
        <f t="shared" si="0"/>
        <v>78</v>
      </c>
      <c r="P39" s="15">
        <f t="shared" si="1"/>
        <v>164</v>
      </c>
    </row>
    <row r="40" spans="2:20" ht="23.1" customHeight="1" x14ac:dyDescent="0.25">
      <c r="B40" s="24" t="s">
        <v>67</v>
      </c>
      <c r="C40" s="50">
        <v>27</v>
      </c>
      <c r="D40" s="50">
        <v>4</v>
      </c>
      <c r="E40" s="50">
        <v>1</v>
      </c>
      <c r="F40" s="50">
        <v>10</v>
      </c>
      <c r="G40" s="50">
        <v>2</v>
      </c>
      <c r="H40" s="50">
        <v>0</v>
      </c>
      <c r="I40" s="50">
        <v>7</v>
      </c>
      <c r="J40" s="50">
        <v>2</v>
      </c>
      <c r="K40" s="50">
        <v>2</v>
      </c>
      <c r="L40" s="50">
        <v>6</v>
      </c>
      <c r="M40" s="50">
        <v>82</v>
      </c>
      <c r="N40" s="50">
        <v>0</v>
      </c>
      <c r="O40" s="15">
        <f t="shared" si="0"/>
        <v>61</v>
      </c>
      <c r="P40" s="15">
        <f t="shared" si="1"/>
        <v>143</v>
      </c>
    </row>
    <row r="41" spans="2:20" ht="23.1" customHeight="1" x14ac:dyDescent="0.25">
      <c r="B41" s="23" t="s">
        <v>68</v>
      </c>
      <c r="C41" s="50">
        <v>32</v>
      </c>
      <c r="D41" s="50">
        <v>3</v>
      </c>
      <c r="E41" s="50">
        <v>5</v>
      </c>
      <c r="F41" s="50">
        <v>11</v>
      </c>
      <c r="G41" s="50">
        <v>2</v>
      </c>
      <c r="H41" s="50">
        <v>0</v>
      </c>
      <c r="I41" s="50">
        <v>21</v>
      </c>
      <c r="J41" s="50">
        <v>4</v>
      </c>
      <c r="K41" s="50">
        <v>0</v>
      </c>
      <c r="L41" s="50">
        <v>7</v>
      </c>
      <c r="M41" s="50">
        <v>85</v>
      </c>
      <c r="N41" s="50">
        <v>0</v>
      </c>
      <c r="O41" s="15">
        <f t="shared" si="0"/>
        <v>85</v>
      </c>
      <c r="P41" s="15">
        <f t="shared" si="1"/>
        <v>170</v>
      </c>
    </row>
    <row r="42" spans="2:20" ht="23.1" customHeight="1" x14ac:dyDescent="0.25">
      <c r="B42" s="24" t="s">
        <v>69</v>
      </c>
      <c r="C42" s="50">
        <v>57</v>
      </c>
      <c r="D42" s="50">
        <v>2</v>
      </c>
      <c r="E42" s="50">
        <v>6</v>
      </c>
      <c r="F42" s="50">
        <v>8</v>
      </c>
      <c r="G42" s="50">
        <v>1</v>
      </c>
      <c r="H42" s="50">
        <v>0</v>
      </c>
      <c r="I42" s="50">
        <v>13</v>
      </c>
      <c r="J42" s="50">
        <v>1</v>
      </c>
      <c r="K42" s="50">
        <v>3</v>
      </c>
      <c r="L42" s="50">
        <v>2</v>
      </c>
      <c r="M42" s="50">
        <v>113</v>
      </c>
      <c r="N42" s="50">
        <v>0</v>
      </c>
      <c r="O42" s="15">
        <f t="shared" si="0"/>
        <v>93</v>
      </c>
      <c r="P42" s="15">
        <f t="shared" si="1"/>
        <v>206</v>
      </c>
    </row>
    <row r="43" spans="2:20" ht="23.1" customHeight="1" x14ac:dyDescent="0.25">
      <c r="B43" s="23" t="s">
        <v>70</v>
      </c>
      <c r="C43" s="50">
        <v>47</v>
      </c>
      <c r="D43" s="50">
        <v>2</v>
      </c>
      <c r="E43" s="50">
        <v>6</v>
      </c>
      <c r="F43" s="50">
        <v>9</v>
      </c>
      <c r="G43" s="50">
        <v>2</v>
      </c>
      <c r="H43" s="50">
        <v>0</v>
      </c>
      <c r="I43" s="50">
        <v>10</v>
      </c>
      <c r="J43" s="50">
        <v>5</v>
      </c>
      <c r="K43" s="50">
        <v>2</v>
      </c>
      <c r="L43" s="50">
        <v>4</v>
      </c>
      <c r="M43" s="50">
        <v>105</v>
      </c>
      <c r="N43" s="50">
        <v>0</v>
      </c>
      <c r="O43" s="15">
        <f t="shared" si="0"/>
        <v>87</v>
      </c>
      <c r="P43" s="15">
        <f t="shared" si="1"/>
        <v>192</v>
      </c>
    </row>
    <row r="44" spans="2:20" ht="23.1" customHeight="1" x14ac:dyDescent="0.25">
      <c r="B44" s="25" t="s">
        <v>71</v>
      </c>
      <c r="C44" s="50">
        <v>51</v>
      </c>
      <c r="D44" s="50">
        <v>6</v>
      </c>
      <c r="E44" s="50">
        <v>13</v>
      </c>
      <c r="F44" s="50">
        <v>15</v>
      </c>
      <c r="G44" s="50">
        <v>3</v>
      </c>
      <c r="H44" s="50">
        <v>0</v>
      </c>
      <c r="I44" s="50">
        <v>16</v>
      </c>
      <c r="J44" s="50">
        <v>4</v>
      </c>
      <c r="K44" s="50">
        <v>1</v>
      </c>
      <c r="L44" s="50">
        <v>4</v>
      </c>
      <c r="M44" s="50">
        <v>135</v>
      </c>
      <c r="N44" s="50">
        <v>0</v>
      </c>
      <c r="O44" s="15">
        <f t="shared" si="0"/>
        <v>113</v>
      </c>
      <c r="P44" s="15">
        <f t="shared" si="1"/>
        <v>248</v>
      </c>
    </row>
    <row r="45" spans="2:20" ht="23.1" customHeight="1" x14ac:dyDescent="0.25">
      <c r="B45" s="23" t="s">
        <v>72</v>
      </c>
      <c r="C45" s="50">
        <v>80</v>
      </c>
      <c r="D45" s="50">
        <v>6</v>
      </c>
      <c r="E45" s="50">
        <v>9</v>
      </c>
      <c r="F45" s="50">
        <v>17</v>
      </c>
      <c r="G45" s="50">
        <v>2</v>
      </c>
      <c r="H45" s="50">
        <v>0</v>
      </c>
      <c r="I45" s="50">
        <v>20</v>
      </c>
      <c r="J45" s="50">
        <v>8</v>
      </c>
      <c r="K45" s="50">
        <v>6</v>
      </c>
      <c r="L45" s="50">
        <v>5</v>
      </c>
      <c r="M45" s="50">
        <v>105</v>
      </c>
      <c r="N45" s="50">
        <v>0</v>
      </c>
      <c r="O45" s="15">
        <f t="shared" si="0"/>
        <v>153</v>
      </c>
      <c r="P45" s="15">
        <f t="shared" si="1"/>
        <v>258</v>
      </c>
    </row>
    <row r="46" spans="2:20" ht="23.1" customHeight="1" x14ac:dyDescent="0.25">
      <c r="B46" s="24" t="s">
        <v>73</v>
      </c>
      <c r="C46" s="50">
        <v>76</v>
      </c>
      <c r="D46" s="50">
        <v>2</v>
      </c>
      <c r="E46" s="50">
        <v>9</v>
      </c>
      <c r="F46" s="50">
        <v>5</v>
      </c>
      <c r="G46" s="50">
        <v>2</v>
      </c>
      <c r="H46" s="50">
        <v>0</v>
      </c>
      <c r="I46" s="50">
        <v>9</v>
      </c>
      <c r="J46" s="50">
        <v>2</v>
      </c>
      <c r="K46" s="50">
        <v>1</v>
      </c>
      <c r="L46" s="50">
        <v>6</v>
      </c>
      <c r="M46" s="50">
        <v>87</v>
      </c>
      <c r="N46" s="50">
        <v>0</v>
      </c>
      <c r="O46" s="15">
        <f t="shared" si="0"/>
        <v>112</v>
      </c>
      <c r="P46" s="15">
        <f t="shared" si="1"/>
        <v>199</v>
      </c>
      <c r="R46" s="8"/>
      <c r="T46"/>
    </row>
    <row r="47" spans="2:20" ht="23.1" customHeight="1" x14ac:dyDescent="0.25">
      <c r="B47" s="24" t="s">
        <v>74</v>
      </c>
      <c r="C47" s="50">
        <v>80</v>
      </c>
      <c r="D47" s="50">
        <v>7</v>
      </c>
      <c r="E47" s="50">
        <v>6</v>
      </c>
      <c r="F47" s="50">
        <v>14</v>
      </c>
      <c r="G47" s="50">
        <v>3</v>
      </c>
      <c r="H47" s="50">
        <v>1</v>
      </c>
      <c r="I47" s="50">
        <v>9</v>
      </c>
      <c r="J47" s="50">
        <v>8</v>
      </c>
      <c r="K47" s="50">
        <v>2</v>
      </c>
      <c r="L47" s="50">
        <v>8</v>
      </c>
      <c r="M47" s="50">
        <v>121</v>
      </c>
      <c r="N47" s="50">
        <v>0</v>
      </c>
      <c r="O47" s="15">
        <f t="shared" si="0"/>
        <v>138</v>
      </c>
      <c r="P47" s="15">
        <f t="shared" si="1"/>
        <v>259</v>
      </c>
      <c r="R47" s="8"/>
      <c r="T47"/>
    </row>
    <row r="48" spans="2:20" ht="23.1" customHeight="1" x14ac:dyDescent="0.25">
      <c r="B48" s="24" t="s">
        <v>75</v>
      </c>
      <c r="C48" s="50">
        <v>82</v>
      </c>
      <c r="D48" s="50">
        <v>6</v>
      </c>
      <c r="E48" s="50">
        <v>4</v>
      </c>
      <c r="F48" s="50">
        <v>12</v>
      </c>
      <c r="G48" s="50">
        <v>1</v>
      </c>
      <c r="H48" s="50">
        <v>0</v>
      </c>
      <c r="I48" s="50">
        <v>10</v>
      </c>
      <c r="J48" s="50">
        <v>3</v>
      </c>
      <c r="K48" s="50">
        <v>4</v>
      </c>
      <c r="L48" s="50">
        <v>4</v>
      </c>
      <c r="M48" s="50">
        <v>70</v>
      </c>
      <c r="N48" s="50">
        <v>0</v>
      </c>
      <c r="O48" s="15">
        <f t="shared" si="0"/>
        <v>126</v>
      </c>
      <c r="P48" s="15">
        <f t="shared" si="1"/>
        <v>196</v>
      </c>
      <c r="R48" s="8"/>
      <c r="T48"/>
    </row>
    <row r="49" spans="2:20" ht="23.1" customHeight="1" x14ac:dyDescent="0.25">
      <c r="B49" s="23" t="s">
        <v>76</v>
      </c>
      <c r="C49" s="50">
        <v>80</v>
      </c>
      <c r="D49" s="50">
        <v>10</v>
      </c>
      <c r="E49" s="50">
        <v>14</v>
      </c>
      <c r="F49" s="50">
        <v>20</v>
      </c>
      <c r="G49" s="50">
        <v>2</v>
      </c>
      <c r="H49" s="50">
        <v>0</v>
      </c>
      <c r="I49" s="50">
        <v>15</v>
      </c>
      <c r="J49" s="50">
        <v>6</v>
      </c>
      <c r="K49" s="50">
        <v>3</v>
      </c>
      <c r="L49" s="50">
        <v>6</v>
      </c>
      <c r="M49" s="50">
        <v>124</v>
      </c>
      <c r="N49" s="50">
        <v>0</v>
      </c>
      <c r="O49" s="15">
        <f t="shared" si="0"/>
        <v>156</v>
      </c>
      <c r="P49" s="15">
        <f t="shared" si="1"/>
        <v>280</v>
      </c>
      <c r="R49" s="8"/>
      <c r="T49"/>
    </row>
    <row r="50" spans="2:20" ht="23.1" customHeight="1" x14ac:dyDescent="0.25">
      <c r="B50" s="24" t="s">
        <v>77</v>
      </c>
      <c r="C50" s="50">
        <v>94</v>
      </c>
      <c r="D50" s="50">
        <v>4</v>
      </c>
      <c r="E50" s="50">
        <v>6</v>
      </c>
      <c r="F50" s="50">
        <v>12</v>
      </c>
      <c r="G50" s="50">
        <v>4</v>
      </c>
      <c r="H50" s="50">
        <v>0</v>
      </c>
      <c r="I50" s="50">
        <v>11</v>
      </c>
      <c r="J50" s="50">
        <v>3</v>
      </c>
      <c r="K50" s="50">
        <v>3</v>
      </c>
      <c r="L50" s="50">
        <v>7</v>
      </c>
      <c r="M50" s="50">
        <v>105</v>
      </c>
      <c r="N50" s="50">
        <v>0</v>
      </c>
      <c r="O50" s="15">
        <f t="shared" si="0"/>
        <v>144</v>
      </c>
      <c r="P50" s="15">
        <f t="shared" si="1"/>
        <v>249</v>
      </c>
      <c r="R50" s="8"/>
      <c r="T50"/>
    </row>
    <row r="51" spans="2:20" ht="23.1" customHeight="1" x14ac:dyDescent="0.25">
      <c r="B51" s="24" t="s">
        <v>78</v>
      </c>
      <c r="C51" s="50">
        <v>80</v>
      </c>
      <c r="D51" s="50">
        <v>15</v>
      </c>
      <c r="E51" s="50">
        <v>10</v>
      </c>
      <c r="F51" s="50">
        <v>19</v>
      </c>
      <c r="G51" s="50">
        <v>6</v>
      </c>
      <c r="H51" s="50">
        <v>0</v>
      </c>
      <c r="I51" s="50">
        <v>9</v>
      </c>
      <c r="J51" s="50">
        <v>5</v>
      </c>
      <c r="K51" s="50">
        <v>0</v>
      </c>
      <c r="L51" s="50">
        <v>13</v>
      </c>
      <c r="M51" s="50">
        <v>85</v>
      </c>
      <c r="N51" s="50">
        <v>0</v>
      </c>
      <c r="O51" s="15">
        <f t="shared" si="0"/>
        <v>157</v>
      </c>
      <c r="P51" s="15">
        <f t="shared" si="1"/>
        <v>242</v>
      </c>
      <c r="R51" s="8"/>
      <c r="T51"/>
    </row>
    <row r="52" spans="2:20" ht="23.1" customHeight="1" x14ac:dyDescent="0.25">
      <c r="B52" s="24" t="s">
        <v>79</v>
      </c>
      <c r="C52" s="50">
        <v>90</v>
      </c>
      <c r="D52" s="50">
        <v>13</v>
      </c>
      <c r="E52" s="50">
        <v>22</v>
      </c>
      <c r="F52" s="50">
        <v>17</v>
      </c>
      <c r="G52" s="50">
        <v>2</v>
      </c>
      <c r="H52" s="50">
        <v>0</v>
      </c>
      <c r="I52" s="50">
        <v>21</v>
      </c>
      <c r="J52" s="50">
        <v>5</v>
      </c>
      <c r="K52" s="50">
        <v>3</v>
      </c>
      <c r="L52" s="50">
        <v>3</v>
      </c>
      <c r="M52" s="50">
        <v>125</v>
      </c>
      <c r="N52" s="50">
        <v>0</v>
      </c>
      <c r="O52" s="15">
        <f t="shared" si="0"/>
        <v>176</v>
      </c>
      <c r="P52" s="15">
        <f t="shared" si="1"/>
        <v>301</v>
      </c>
      <c r="R52" s="8"/>
      <c r="T52"/>
    </row>
    <row r="53" spans="2:20" ht="23.1" customHeight="1" x14ac:dyDescent="0.25">
      <c r="B53" s="23" t="s">
        <v>80</v>
      </c>
      <c r="C53" s="50">
        <v>105</v>
      </c>
      <c r="D53" s="50">
        <v>10</v>
      </c>
      <c r="E53" s="50">
        <v>22</v>
      </c>
      <c r="F53" s="50">
        <v>25</v>
      </c>
      <c r="G53" s="50">
        <v>2</v>
      </c>
      <c r="H53" s="50">
        <v>0</v>
      </c>
      <c r="I53" s="50">
        <v>8</v>
      </c>
      <c r="J53" s="50">
        <v>6</v>
      </c>
      <c r="K53" s="50">
        <v>0</v>
      </c>
      <c r="L53" s="50">
        <v>2</v>
      </c>
      <c r="M53" s="50">
        <v>120</v>
      </c>
      <c r="N53" s="50">
        <v>0</v>
      </c>
      <c r="O53" s="15">
        <f t="shared" si="0"/>
        <v>180</v>
      </c>
      <c r="P53" s="15">
        <f t="shared" si="1"/>
        <v>300</v>
      </c>
      <c r="R53" s="8"/>
      <c r="T53"/>
    </row>
    <row r="54" spans="2:20" ht="23.1" customHeight="1" x14ac:dyDescent="0.25">
      <c r="B54" s="23" t="s">
        <v>81</v>
      </c>
      <c r="C54" s="50">
        <v>75</v>
      </c>
      <c r="D54" s="50">
        <v>4</v>
      </c>
      <c r="E54" s="50">
        <v>4</v>
      </c>
      <c r="F54" s="50">
        <v>9</v>
      </c>
      <c r="G54" s="50">
        <v>1</v>
      </c>
      <c r="H54" s="50">
        <v>1</v>
      </c>
      <c r="I54" s="50">
        <v>8</v>
      </c>
      <c r="J54" s="50">
        <v>6</v>
      </c>
      <c r="K54" s="50">
        <v>1</v>
      </c>
      <c r="L54" s="50">
        <v>3</v>
      </c>
      <c r="M54" s="50">
        <v>135</v>
      </c>
      <c r="N54" s="50">
        <v>0</v>
      </c>
      <c r="O54" s="15">
        <f t="shared" si="0"/>
        <v>112</v>
      </c>
      <c r="P54" s="15">
        <f t="shared" si="1"/>
        <v>247</v>
      </c>
      <c r="R54" s="8"/>
      <c r="T54"/>
    </row>
    <row r="55" spans="2:20" ht="23.1" customHeight="1" x14ac:dyDescent="0.25">
      <c r="B55" s="23" t="s">
        <v>82</v>
      </c>
      <c r="C55" s="50">
        <v>125</v>
      </c>
      <c r="D55" s="50">
        <v>1</v>
      </c>
      <c r="E55" s="50">
        <v>14</v>
      </c>
      <c r="F55" s="50">
        <v>27</v>
      </c>
      <c r="G55" s="50">
        <v>3</v>
      </c>
      <c r="H55" s="50">
        <v>0</v>
      </c>
      <c r="I55" s="50">
        <v>8</v>
      </c>
      <c r="J55" s="50">
        <v>4</v>
      </c>
      <c r="K55" s="50">
        <v>1</v>
      </c>
      <c r="L55" s="50">
        <v>5</v>
      </c>
      <c r="M55" s="50">
        <v>160</v>
      </c>
      <c r="N55" s="50">
        <v>0</v>
      </c>
      <c r="O55" s="15">
        <f t="shared" si="0"/>
        <v>188</v>
      </c>
      <c r="P55" s="15">
        <f t="shared" si="1"/>
        <v>348</v>
      </c>
      <c r="R55" s="8"/>
      <c r="T55"/>
    </row>
    <row r="56" spans="2:20" ht="23.1" customHeight="1" x14ac:dyDescent="0.25">
      <c r="B56" s="23" t="s">
        <v>83</v>
      </c>
      <c r="C56" s="50">
        <v>85</v>
      </c>
      <c r="D56" s="50">
        <v>3</v>
      </c>
      <c r="E56" s="50">
        <v>10</v>
      </c>
      <c r="F56" s="50">
        <v>17</v>
      </c>
      <c r="G56" s="50">
        <v>4</v>
      </c>
      <c r="H56" s="50">
        <v>0</v>
      </c>
      <c r="I56" s="50">
        <v>11</v>
      </c>
      <c r="J56" s="50">
        <v>3</v>
      </c>
      <c r="K56" s="50">
        <v>4</v>
      </c>
      <c r="L56" s="50">
        <v>6</v>
      </c>
      <c r="M56" s="50">
        <v>135</v>
      </c>
      <c r="N56" s="50">
        <v>0</v>
      </c>
      <c r="O56" s="15">
        <f t="shared" si="0"/>
        <v>143</v>
      </c>
      <c r="P56" s="15">
        <f t="shared" si="1"/>
        <v>278</v>
      </c>
      <c r="R56" s="8"/>
      <c r="T56"/>
    </row>
    <row r="57" spans="2:20" ht="23.1" customHeight="1" x14ac:dyDescent="0.25">
      <c r="B57" s="23" t="s">
        <v>84</v>
      </c>
      <c r="C57" s="50">
        <v>85</v>
      </c>
      <c r="D57" s="50">
        <v>5</v>
      </c>
      <c r="E57" s="50">
        <v>7</v>
      </c>
      <c r="F57" s="50">
        <v>21</v>
      </c>
      <c r="G57" s="50">
        <v>5</v>
      </c>
      <c r="H57" s="50">
        <v>0</v>
      </c>
      <c r="I57" s="50">
        <v>15</v>
      </c>
      <c r="J57" s="50">
        <v>4</v>
      </c>
      <c r="K57" s="50">
        <v>0</v>
      </c>
      <c r="L57" s="50">
        <v>4</v>
      </c>
      <c r="M57" s="50">
        <v>130</v>
      </c>
      <c r="N57" s="50">
        <v>0</v>
      </c>
      <c r="O57" s="15">
        <f t="shared" si="0"/>
        <v>146</v>
      </c>
      <c r="P57" s="15">
        <f t="shared" si="1"/>
        <v>276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2081</v>
      </c>
      <c r="D58" s="16">
        <f t="shared" si="21"/>
        <v>176</v>
      </c>
      <c r="E58" s="16">
        <f t="shared" si="21"/>
        <v>306</v>
      </c>
      <c r="F58" s="16">
        <f t="shared" si="21"/>
        <v>552</v>
      </c>
      <c r="G58" s="16">
        <f t="shared" si="21"/>
        <v>88</v>
      </c>
      <c r="H58" s="16">
        <f t="shared" si="21"/>
        <v>2</v>
      </c>
      <c r="I58" s="16">
        <f t="shared" si="21"/>
        <v>466</v>
      </c>
      <c r="J58" s="16">
        <f t="shared" si="21"/>
        <v>185</v>
      </c>
      <c r="K58" s="16">
        <f t="shared" si="21"/>
        <v>80</v>
      </c>
      <c r="L58" s="16">
        <f t="shared" si="21"/>
        <v>181</v>
      </c>
      <c r="M58" s="16">
        <f t="shared" si="21"/>
        <v>4376</v>
      </c>
      <c r="N58" s="16">
        <f t="shared" si="21"/>
        <v>0</v>
      </c>
      <c r="O58" s="16">
        <f t="shared" si="21"/>
        <v>4117</v>
      </c>
      <c r="P58" s="16">
        <f t="shared" si="21"/>
        <v>8493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0.2450253149652655</v>
      </c>
      <c r="D59" s="43">
        <f t="shared" si="22"/>
        <v>2.0722948310373249E-2</v>
      </c>
      <c r="E59" s="43">
        <f t="shared" si="22"/>
        <v>3.6029671494171668E-2</v>
      </c>
      <c r="F59" s="43">
        <f t="shared" si="22"/>
        <v>6.4994701518897913E-2</v>
      </c>
      <c r="G59" s="43">
        <f t="shared" si="22"/>
        <v>1.0361474155186625E-2</v>
      </c>
      <c r="H59" s="43">
        <f t="shared" si="22"/>
        <v>2.3548804898151419E-4</v>
      </c>
      <c r="I59" s="43">
        <f t="shared" si="22"/>
        <v>5.4868715412692809E-2</v>
      </c>
      <c r="J59" s="43">
        <f t="shared" si="22"/>
        <v>2.1782644530790062E-2</v>
      </c>
      <c r="K59" s="43">
        <f t="shared" si="22"/>
        <v>9.419521959260567E-3</v>
      </c>
      <c r="L59" s="43">
        <f t="shared" si="22"/>
        <v>2.1311668432827034E-2</v>
      </c>
      <c r="M59" s="43">
        <f t="shared" si="22"/>
        <v>0.51524785117155303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0.50546514452271074</v>
      </c>
      <c r="D60" s="44">
        <f t="shared" ref="D60:N60" si="23">D58/$O$58</f>
        <v>4.2749574933203791E-2</v>
      </c>
      <c r="E60" s="44">
        <f t="shared" si="23"/>
        <v>7.432596550886568E-2</v>
      </c>
      <c r="F60" s="44">
        <f t="shared" si="23"/>
        <v>0.13407821229050279</v>
      </c>
      <c r="G60" s="44">
        <f t="shared" si="23"/>
        <v>2.1374787466601895E-2</v>
      </c>
      <c r="H60" s="44">
        <f t="shared" si="23"/>
        <v>4.8579062424095217E-4</v>
      </c>
      <c r="I60" s="44">
        <f t="shared" si="23"/>
        <v>0.11318921544814185</v>
      </c>
      <c r="J60" s="44">
        <f t="shared" si="23"/>
        <v>4.4935632742288074E-2</v>
      </c>
      <c r="K60" s="44">
        <f t="shared" si="23"/>
        <v>1.9431624969638087E-2</v>
      </c>
      <c r="L60" s="44">
        <f t="shared" si="23"/>
        <v>4.3964051493806167E-2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6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Kinawataka-Kireka'!C3:G3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'29.07 Kinawataka-Kireka'!D5</f>
        <v>29.07.19</v>
      </c>
      <c r="E5" s="3"/>
      <c r="F5" s="41" t="s">
        <v>1</v>
      </c>
      <c r="G5" s="60" t="str">
        <f>'29.07 Kinawataka-Kireka'!G5:H5</f>
        <v>Kireka road</v>
      </c>
      <c r="H5" s="61"/>
      <c r="I5" s="14"/>
      <c r="J5" s="2" t="s">
        <v>5</v>
      </c>
      <c r="K5" s="60" t="s">
        <v>173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54" t="s">
        <v>169</v>
      </c>
      <c r="E6" s="55"/>
      <c r="F6" s="2" t="s">
        <v>2</v>
      </c>
      <c r="G6" s="54" t="s">
        <v>165</v>
      </c>
      <c r="H6" s="55"/>
      <c r="J6" s="2" t="s">
        <v>21</v>
      </c>
      <c r="K6" s="60" t="str">
        <f>'29.07 Kinawataka-Kireka'!K6:L6</f>
        <v>Steven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0</v>
      </c>
      <c r="AF10" s="31">
        <f t="shared" si="2"/>
        <v>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0</v>
      </c>
      <c r="AF11" s="31">
        <f t="shared" si="3"/>
        <v>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0</v>
      </c>
      <c r="P12" s="15">
        <f t="shared" si="1"/>
        <v>0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0</v>
      </c>
      <c r="AD12" s="17">
        <f t="shared" si="4"/>
        <v>0</v>
      </c>
      <c r="AE12" s="31">
        <f t="shared" si="4"/>
        <v>0</v>
      </c>
      <c r="AF12" s="31">
        <f t="shared" si="4"/>
        <v>0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169</v>
      </c>
      <c r="T13" s="17">
        <f t="shared" si="5"/>
        <v>111</v>
      </c>
      <c r="U13" s="17">
        <f t="shared" si="5"/>
        <v>34</v>
      </c>
      <c r="V13" s="17">
        <f t="shared" si="5"/>
        <v>96</v>
      </c>
      <c r="W13" s="17">
        <f t="shared" si="5"/>
        <v>5</v>
      </c>
      <c r="X13" s="17">
        <f t="shared" si="5"/>
        <v>2</v>
      </c>
      <c r="Y13" s="17">
        <f t="shared" si="5"/>
        <v>17</v>
      </c>
      <c r="Z13" s="17">
        <f t="shared" si="5"/>
        <v>25</v>
      </c>
      <c r="AA13" s="17">
        <f t="shared" si="5"/>
        <v>21</v>
      </c>
      <c r="AB13" s="17">
        <f t="shared" si="5"/>
        <v>11</v>
      </c>
      <c r="AC13" s="17">
        <f t="shared" si="5"/>
        <v>321</v>
      </c>
      <c r="AD13" s="17">
        <f t="shared" si="5"/>
        <v>1</v>
      </c>
      <c r="AE13" s="31">
        <f t="shared" si="5"/>
        <v>492</v>
      </c>
      <c r="AF13" s="31">
        <f t="shared" si="5"/>
        <v>813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0</v>
      </c>
      <c r="P14" s="15">
        <f t="shared" si="1"/>
        <v>0</v>
      </c>
      <c r="R14" s="1" t="s">
        <v>10</v>
      </c>
      <c r="S14" s="17">
        <f t="shared" ref="S14:AF14" si="6">SUM(C26:C29)</f>
        <v>179</v>
      </c>
      <c r="T14" s="17">
        <f t="shared" si="6"/>
        <v>85</v>
      </c>
      <c r="U14" s="17">
        <f t="shared" si="6"/>
        <v>49</v>
      </c>
      <c r="V14" s="17">
        <f t="shared" si="6"/>
        <v>68</v>
      </c>
      <c r="W14" s="17">
        <f t="shared" si="6"/>
        <v>0</v>
      </c>
      <c r="X14" s="17">
        <f t="shared" si="6"/>
        <v>1</v>
      </c>
      <c r="Y14" s="17">
        <f t="shared" si="6"/>
        <v>17</v>
      </c>
      <c r="Z14" s="17">
        <f t="shared" si="6"/>
        <v>33</v>
      </c>
      <c r="AA14" s="17">
        <f t="shared" si="6"/>
        <v>35</v>
      </c>
      <c r="AB14" s="17">
        <f t="shared" si="6"/>
        <v>18</v>
      </c>
      <c r="AC14" s="17">
        <f t="shared" si="6"/>
        <v>452</v>
      </c>
      <c r="AD14" s="17">
        <f t="shared" si="6"/>
        <v>0</v>
      </c>
      <c r="AE14" s="31">
        <f t="shared" si="6"/>
        <v>485</v>
      </c>
      <c r="AF14" s="31">
        <f t="shared" si="6"/>
        <v>937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91</v>
      </c>
      <c r="T15" s="17">
        <f t="shared" si="7"/>
        <v>59</v>
      </c>
      <c r="U15" s="17">
        <f t="shared" si="7"/>
        <v>19</v>
      </c>
      <c r="V15" s="17">
        <f t="shared" si="7"/>
        <v>48</v>
      </c>
      <c r="W15" s="17">
        <f t="shared" si="7"/>
        <v>2</v>
      </c>
      <c r="X15" s="17">
        <f t="shared" si="7"/>
        <v>0</v>
      </c>
      <c r="Y15" s="17">
        <f t="shared" si="7"/>
        <v>15</v>
      </c>
      <c r="Z15" s="17">
        <f t="shared" si="7"/>
        <v>37</v>
      </c>
      <c r="AA15" s="17">
        <f t="shared" si="7"/>
        <v>10</v>
      </c>
      <c r="AB15" s="17">
        <f t="shared" si="7"/>
        <v>11</v>
      </c>
      <c r="AC15" s="17">
        <f t="shared" si="7"/>
        <v>420</v>
      </c>
      <c r="AD15" s="17">
        <f t="shared" si="7"/>
        <v>0</v>
      </c>
      <c r="AE15" s="31">
        <f t="shared" si="7"/>
        <v>292</v>
      </c>
      <c r="AF15" s="31">
        <f t="shared" si="7"/>
        <v>712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0</v>
      </c>
      <c r="P16" s="15">
        <f t="shared" si="1"/>
        <v>0</v>
      </c>
      <c r="R16" s="1" t="s">
        <v>12</v>
      </c>
      <c r="S16" s="17">
        <f t="shared" ref="S16:AF16" si="8">SUM(C34:C37)</f>
        <v>88</v>
      </c>
      <c r="T16" s="17">
        <f t="shared" si="8"/>
        <v>53</v>
      </c>
      <c r="U16" s="17">
        <f t="shared" si="8"/>
        <v>19</v>
      </c>
      <c r="V16" s="17">
        <f t="shared" si="8"/>
        <v>31</v>
      </c>
      <c r="W16" s="17">
        <f t="shared" si="8"/>
        <v>1</v>
      </c>
      <c r="X16" s="17">
        <f t="shared" si="8"/>
        <v>0</v>
      </c>
      <c r="Y16" s="17">
        <f t="shared" si="8"/>
        <v>7</v>
      </c>
      <c r="Z16" s="17">
        <f t="shared" si="8"/>
        <v>37</v>
      </c>
      <c r="AA16" s="17">
        <f t="shared" si="8"/>
        <v>10</v>
      </c>
      <c r="AB16" s="17">
        <f t="shared" si="8"/>
        <v>16</v>
      </c>
      <c r="AC16" s="17">
        <f t="shared" si="8"/>
        <v>378</v>
      </c>
      <c r="AD16" s="17">
        <f t="shared" si="8"/>
        <v>0</v>
      </c>
      <c r="AE16" s="31">
        <f t="shared" si="8"/>
        <v>262</v>
      </c>
      <c r="AF16" s="31">
        <f t="shared" si="8"/>
        <v>640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140</v>
      </c>
      <c r="T17" s="17">
        <f t="shared" si="9"/>
        <v>76</v>
      </c>
      <c r="U17" s="17">
        <f t="shared" si="9"/>
        <v>22</v>
      </c>
      <c r="V17" s="17">
        <f t="shared" si="9"/>
        <v>68</v>
      </c>
      <c r="W17" s="17">
        <f t="shared" si="9"/>
        <v>8</v>
      </c>
      <c r="X17" s="17">
        <f t="shared" si="9"/>
        <v>0</v>
      </c>
      <c r="Y17" s="17">
        <f t="shared" si="9"/>
        <v>22</v>
      </c>
      <c r="Z17" s="17">
        <f t="shared" si="9"/>
        <v>50</v>
      </c>
      <c r="AA17" s="17">
        <f t="shared" si="9"/>
        <v>14</v>
      </c>
      <c r="AB17" s="17">
        <f t="shared" si="9"/>
        <v>20</v>
      </c>
      <c r="AC17" s="17">
        <f t="shared" si="9"/>
        <v>303</v>
      </c>
      <c r="AD17" s="17">
        <f t="shared" si="9"/>
        <v>0</v>
      </c>
      <c r="AE17" s="31">
        <f t="shared" si="9"/>
        <v>420</v>
      </c>
      <c r="AF17" s="31">
        <f t="shared" si="9"/>
        <v>723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0</v>
      </c>
      <c r="P18" s="15">
        <f t="shared" si="1"/>
        <v>0</v>
      </c>
      <c r="R18" s="1" t="s">
        <v>14</v>
      </c>
      <c r="S18" s="17">
        <f t="shared" ref="S18:AF18" si="10">SUM(C42:C45)</f>
        <v>105</v>
      </c>
      <c r="T18" s="17">
        <f t="shared" si="10"/>
        <v>80</v>
      </c>
      <c r="U18" s="17">
        <f t="shared" si="10"/>
        <v>38</v>
      </c>
      <c r="V18" s="17">
        <f t="shared" si="10"/>
        <v>76</v>
      </c>
      <c r="W18" s="17">
        <f t="shared" si="10"/>
        <v>0</v>
      </c>
      <c r="X18" s="17">
        <f t="shared" si="10"/>
        <v>0</v>
      </c>
      <c r="Y18" s="17">
        <f t="shared" si="10"/>
        <v>15</v>
      </c>
      <c r="Z18" s="17">
        <f t="shared" si="10"/>
        <v>28</v>
      </c>
      <c r="AA18" s="17">
        <f t="shared" si="10"/>
        <v>16</v>
      </c>
      <c r="AB18" s="17">
        <f t="shared" si="10"/>
        <v>17</v>
      </c>
      <c r="AC18" s="17">
        <f t="shared" si="10"/>
        <v>361</v>
      </c>
      <c r="AD18" s="17">
        <f t="shared" si="10"/>
        <v>0</v>
      </c>
      <c r="AE18" s="31">
        <f t="shared" si="10"/>
        <v>375</v>
      </c>
      <c r="AF18" s="31">
        <f t="shared" si="10"/>
        <v>736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122</v>
      </c>
      <c r="T19" s="17">
        <f t="shared" si="11"/>
        <v>78</v>
      </c>
      <c r="U19" s="17">
        <f t="shared" si="11"/>
        <v>29</v>
      </c>
      <c r="V19" s="17">
        <f t="shared" si="11"/>
        <v>58</v>
      </c>
      <c r="W19" s="17">
        <f t="shared" si="11"/>
        <v>5</v>
      </c>
      <c r="X19" s="17">
        <f t="shared" si="11"/>
        <v>0</v>
      </c>
      <c r="Y19" s="17">
        <f t="shared" si="11"/>
        <v>21</v>
      </c>
      <c r="Z19" s="17">
        <f t="shared" si="11"/>
        <v>58</v>
      </c>
      <c r="AA19" s="17">
        <f t="shared" si="11"/>
        <v>8</v>
      </c>
      <c r="AB19" s="17">
        <f t="shared" si="11"/>
        <v>17</v>
      </c>
      <c r="AC19" s="17">
        <f t="shared" si="11"/>
        <v>320</v>
      </c>
      <c r="AD19" s="17">
        <f t="shared" si="11"/>
        <v>0</v>
      </c>
      <c r="AE19" s="31">
        <f t="shared" si="11"/>
        <v>396</v>
      </c>
      <c r="AF19" s="31">
        <f t="shared" si="11"/>
        <v>716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0</v>
      </c>
      <c r="P20" s="15">
        <f t="shared" si="1"/>
        <v>0</v>
      </c>
      <c r="R20" s="1" t="s">
        <v>16</v>
      </c>
      <c r="S20" s="17">
        <f t="shared" ref="S20:AF20" si="12">SUM(C50:C53)</f>
        <v>109</v>
      </c>
      <c r="T20" s="17">
        <f t="shared" si="12"/>
        <v>60</v>
      </c>
      <c r="U20" s="17">
        <f t="shared" si="12"/>
        <v>29</v>
      </c>
      <c r="V20" s="17">
        <f t="shared" si="12"/>
        <v>66</v>
      </c>
      <c r="W20" s="17">
        <f t="shared" si="12"/>
        <v>6</v>
      </c>
      <c r="X20" s="17">
        <f t="shared" si="12"/>
        <v>0</v>
      </c>
      <c r="Y20" s="17">
        <f t="shared" si="12"/>
        <v>20</v>
      </c>
      <c r="Z20" s="17">
        <f t="shared" si="12"/>
        <v>35</v>
      </c>
      <c r="AA20" s="17">
        <f t="shared" si="12"/>
        <v>8</v>
      </c>
      <c r="AB20" s="17">
        <f t="shared" si="12"/>
        <v>18</v>
      </c>
      <c r="AC20" s="17">
        <f t="shared" si="12"/>
        <v>347</v>
      </c>
      <c r="AD20" s="17">
        <f t="shared" si="12"/>
        <v>0</v>
      </c>
      <c r="AE20" s="31">
        <f t="shared" si="12"/>
        <v>351</v>
      </c>
      <c r="AF20" s="31">
        <f t="shared" si="12"/>
        <v>698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0</v>
      </c>
      <c r="P21" s="15">
        <f t="shared" si="1"/>
        <v>0</v>
      </c>
      <c r="R21" s="36" t="s">
        <v>20</v>
      </c>
      <c r="S21" s="34">
        <f t="shared" ref="S21:AF21" si="13">SUM(C54:C57)</f>
        <v>104</v>
      </c>
      <c r="T21" s="17">
        <f t="shared" si="13"/>
        <v>69</v>
      </c>
      <c r="U21" s="17">
        <f t="shared" si="13"/>
        <v>30</v>
      </c>
      <c r="V21" s="17">
        <f t="shared" si="13"/>
        <v>71</v>
      </c>
      <c r="W21" s="17">
        <f t="shared" si="13"/>
        <v>7</v>
      </c>
      <c r="X21" s="17">
        <f t="shared" si="13"/>
        <v>0</v>
      </c>
      <c r="Y21" s="17">
        <f t="shared" si="13"/>
        <v>12</v>
      </c>
      <c r="Z21" s="17">
        <f t="shared" si="13"/>
        <v>39</v>
      </c>
      <c r="AA21" s="17">
        <f t="shared" si="13"/>
        <v>6</v>
      </c>
      <c r="AB21" s="17">
        <f t="shared" si="13"/>
        <v>8</v>
      </c>
      <c r="AC21" s="17">
        <f t="shared" si="13"/>
        <v>318</v>
      </c>
      <c r="AD21" s="17">
        <f t="shared" si="13"/>
        <v>0</v>
      </c>
      <c r="AE21" s="31">
        <f t="shared" si="13"/>
        <v>346</v>
      </c>
      <c r="AF21" s="31">
        <f t="shared" si="13"/>
        <v>664</v>
      </c>
    </row>
    <row r="22" spans="2:32" ht="23.1" customHeight="1" x14ac:dyDescent="0.25">
      <c r="B22" s="23" t="s">
        <v>49</v>
      </c>
      <c r="C22" s="50">
        <v>35</v>
      </c>
      <c r="D22" s="50">
        <v>15</v>
      </c>
      <c r="E22" s="50">
        <v>6</v>
      </c>
      <c r="F22" s="50">
        <v>14</v>
      </c>
      <c r="G22" s="50">
        <v>1</v>
      </c>
      <c r="H22" s="50">
        <v>0</v>
      </c>
      <c r="I22" s="50">
        <v>2</v>
      </c>
      <c r="J22" s="50">
        <v>6</v>
      </c>
      <c r="K22" s="50">
        <v>2</v>
      </c>
      <c r="L22" s="50">
        <v>3</v>
      </c>
      <c r="M22" s="50">
        <v>80</v>
      </c>
      <c r="N22" s="50">
        <v>0</v>
      </c>
      <c r="O22" s="15">
        <f t="shared" si="0"/>
        <v>84</v>
      </c>
      <c r="P22" s="15">
        <f t="shared" si="1"/>
        <v>164</v>
      </c>
      <c r="R22" s="38" t="s">
        <v>90</v>
      </c>
      <c r="S22" s="39">
        <f>MAX(S10:S12)</f>
        <v>0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0</v>
      </c>
      <c r="AD22" s="39">
        <f t="shared" si="14"/>
        <v>0</v>
      </c>
      <c r="AE22" s="40">
        <f t="shared" si="14"/>
        <v>0</v>
      </c>
      <c r="AF22" s="40">
        <f t="shared" si="14"/>
        <v>0</v>
      </c>
    </row>
    <row r="23" spans="2:32" ht="23.1" customHeight="1" x14ac:dyDescent="0.25">
      <c r="B23" s="23" t="s">
        <v>50</v>
      </c>
      <c r="C23" s="50">
        <v>46</v>
      </c>
      <c r="D23" s="50">
        <v>34</v>
      </c>
      <c r="E23" s="50">
        <v>12</v>
      </c>
      <c r="F23" s="50">
        <v>29</v>
      </c>
      <c r="G23" s="50">
        <v>3</v>
      </c>
      <c r="H23" s="50">
        <v>1</v>
      </c>
      <c r="I23" s="50">
        <v>7</v>
      </c>
      <c r="J23" s="50">
        <v>7</v>
      </c>
      <c r="K23" s="50">
        <v>6</v>
      </c>
      <c r="L23" s="50">
        <v>4</v>
      </c>
      <c r="M23" s="50">
        <v>85</v>
      </c>
      <c r="N23" s="50">
        <v>0</v>
      </c>
      <c r="O23" s="15">
        <f t="shared" si="0"/>
        <v>149</v>
      </c>
      <c r="P23" s="15">
        <f t="shared" si="1"/>
        <v>234</v>
      </c>
      <c r="R23" s="38" t="s">
        <v>91</v>
      </c>
      <c r="S23" s="39">
        <f>MAX(S13:S18)</f>
        <v>179</v>
      </c>
      <c r="T23" s="39">
        <f t="shared" ref="T23:AF23" si="15">MAX(T13:T18)</f>
        <v>111</v>
      </c>
      <c r="U23" s="39">
        <f t="shared" si="15"/>
        <v>49</v>
      </c>
      <c r="V23" s="39">
        <f t="shared" si="15"/>
        <v>96</v>
      </c>
      <c r="W23" s="39">
        <f t="shared" si="15"/>
        <v>8</v>
      </c>
      <c r="X23" s="39">
        <f t="shared" si="15"/>
        <v>2</v>
      </c>
      <c r="Y23" s="39">
        <f t="shared" si="15"/>
        <v>22</v>
      </c>
      <c r="Z23" s="39">
        <f t="shared" si="15"/>
        <v>50</v>
      </c>
      <c r="AA23" s="39">
        <f t="shared" si="15"/>
        <v>35</v>
      </c>
      <c r="AB23" s="39">
        <f t="shared" si="15"/>
        <v>20</v>
      </c>
      <c r="AC23" s="39">
        <f t="shared" si="15"/>
        <v>452</v>
      </c>
      <c r="AD23" s="39">
        <f t="shared" si="15"/>
        <v>1</v>
      </c>
      <c r="AE23" s="40">
        <f t="shared" si="15"/>
        <v>492</v>
      </c>
      <c r="AF23" s="40">
        <f t="shared" si="15"/>
        <v>937</v>
      </c>
    </row>
    <row r="24" spans="2:32" ht="23.1" customHeight="1" x14ac:dyDescent="0.25">
      <c r="B24" s="23" t="s">
        <v>51</v>
      </c>
      <c r="C24" s="50">
        <v>48</v>
      </c>
      <c r="D24" s="50">
        <v>26</v>
      </c>
      <c r="E24" s="50">
        <v>7</v>
      </c>
      <c r="F24" s="50">
        <v>20</v>
      </c>
      <c r="G24" s="50">
        <v>1</v>
      </c>
      <c r="H24" s="50">
        <v>1</v>
      </c>
      <c r="I24" s="50">
        <v>6</v>
      </c>
      <c r="J24" s="50">
        <v>3</v>
      </c>
      <c r="K24" s="50">
        <v>3</v>
      </c>
      <c r="L24" s="50">
        <v>2</v>
      </c>
      <c r="M24" s="50">
        <v>70</v>
      </c>
      <c r="N24" s="50">
        <v>0</v>
      </c>
      <c r="O24" s="15">
        <f t="shared" si="0"/>
        <v>117</v>
      </c>
      <c r="P24" s="15">
        <f t="shared" si="1"/>
        <v>187</v>
      </c>
      <c r="R24" s="38" t="s">
        <v>92</v>
      </c>
      <c r="S24" s="39">
        <f>MAX(S19:S21)</f>
        <v>122</v>
      </c>
      <c r="T24" s="39">
        <f t="shared" ref="T24:AF24" si="16">MAX(T19:T21)</f>
        <v>78</v>
      </c>
      <c r="U24" s="39">
        <f t="shared" si="16"/>
        <v>30</v>
      </c>
      <c r="V24" s="39">
        <f t="shared" si="16"/>
        <v>71</v>
      </c>
      <c r="W24" s="39">
        <f t="shared" si="16"/>
        <v>7</v>
      </c>
      <c r="X24" s="39">
        <f t="shared" si="16"/>
        <v>0</v>
      </c>
      <c r="Y24" s="39">
        <f t="shared" si="16"/>
        <v>21</v>
      </c>
      <c r="Z24" s="39">
        <f t="shared" si="16"/>
        <v>58</v>
      </c>
      <c r="AA24" s="39">
        <f t="shared" si="16"/>
        <v>8</v>
      </c>
      <c r="AB24" s="39">
        <f t="shared" si="16"/>
        <v>18</v>
      </c>
      <c r="AC24" s="39">
        <f t="shared" si="16"/>
        <v>347</v>
      </c>
      <c r="AD24" s="39">
        <f t="shared" si="16"/>
        <v>0</v>
      </c>
      <c r="AE24" s="40">
        <f t="shared" si="16"/>
        <v>396</v>
      </c>
      <c r="AF24" s="40">
        <f t="shared" si="16"/>
        <v>716</v>
      </c>
    </row>
    <row r="25" spans="2:32" ht="23.1" customHeight="1" x14ac:dyDescent="0.25">
      <c r="B25" s="23" t="s">
        <v>52</v>
      </c>
      <c r="C25" s="50">
        <v>40</v>
      </c>
      <c r="D25" s="50">
        <v>36</v>
      </c>
      <c r="E25" s="50">
        <v>9</v>
      </c>
      <c r="F25" s="50">
        <v>33</v>
      </c>
      <c r="G25" s="50">
        <v>0</v>
      </c>
      <c r="H25" s="50">
        <v>0</v>
      </c>
      <c r="I25" s="50">
        <v>2</v>
      </c>
      <c r="J25" s="50">
        <v>9</v>
      </c>
      <c r="K25" s="50">
        <v>10</v>
      </c>
      <c r="L25" s="50">
        <v>2</v>
      </c>
      <c r="M25" s="50">
        <v>86</v>
      </c>
      <c r="N25" s="50">
        <v>1</v>
      </c>
      <c r="O25" s="15">
        <f t="shared" si="0"/>
        <v>142</v>
      </c>
      <c r="P25" s="15">
        <f t="shared" si="1"/>
        <v>228</v>
      </c>
      <c r="R25" s="37" t="s">
        <v>85</v>
      </c>
      <c r="S25" s="35">
        <f t="shared" ref="S25:AF25" si="17">SUM(S10:S12)</f>
        <v>0</v>
      </c>
      <c r="T25" s="16">
        <f t="shared" si="17"/>
        <v>0</v>
      </c>
      <c r="U25" s="16">
        <f t="shared" si="17"/>
        <v>0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0</v>
      </c>
      <c r="AD25" s="16">
        <f t="shared" si="17"/>
        <v>0</v>
      </c>
      <c r="AE25" s="32">
        <f t="shared" si="17"/>
        <v>0</v>
      </c>
      <c r="AF25" s="32">
        <f t="shared" si="17"/>
        <v>0</v>
      </c>
    </row>
    <row r="26" spans="2:32" ht="23.1" customHeight="1" x14ac:dyDescent="0.25">
      <c r="B26" s="23" t="s">
        <v>53</v>
      </c>
      <c r="C26" s="50">
        <v>83</v>
      </c>
      <c r="D26" s="50">
        <v>20</v>
      </c>
      <c r="E26" s="50">
        <v>13</v>
      </c>
      <c r="F26" s="50">
        <v>23</v>
      </c>
      <c r="G26" s="50">
        <v>0</v>
      </c>
      <c r="H26" s="50">
        <v>0</v>
      </c>
      <c r="I26" s="50">
        <v>6</v>
      </c>
      <c r="J26" s="50">
        <v>9</v>
      </c>
      <c r="K26" s="50">
        <v>11</v>
      </c>
      <c r="L26" s="50">
        <v>3</v>
      </c>
      <c r="M26" s="50">
        <v>105</v>
      </c>
      <c r="N26" s="50">
        <v>0</v>
      </c>
      <c r="O26" s="15">
        <f t="shared" si="0"/>
        <v>168</v>
      </c>
      <c r="P26" s="15">
        <f t="shared" si="1"/>
        <v>273</v>
      </c>
      <c r="R26" s="28" t="s">
        <v>86</v>
      </c>
      <c r="S26" s="16">
        <f t="shared" ref="S26:AF26" si="18">SUM(S13:S18)</f>
        <v>772</v>
      </c>
      <c r="T26" s="16">
        <f t="shared" si="18"/>
        <v>464</v>
      </c>
      <c r="U26" s="16">
        <f t="shared" si="18"/>
        <v>181</v>
      </c>
      <c r="V26" s="16">
        <f t="shared" si="18"/>
        <v>387</v>
      </c>
      <c r="W26" s="16">
        <f t="shared" si="18"/>
        <v>16</v>
      </c>
      <c r="X26" s="16">
        <f t="shared" si="18"/>
        <v>3</v>
      </c>
      <c r="Y26" s="16">
        <f t="shared" si="18"/>
        <v>93</v>
      </c>
      <c r="Z26" s="16">
        <f t="shared" si="18"/>
        <v>210</v>
      </c>
      <c r="AA26" s="16">
        <f t="shared" si="18"/>
        <v>106</v>
      </c>
      <c r="AB26" s="16">
        <f t="shared" si="18"/>
        <v>93</v>
      </c>
      <c r="AC26" s="16">
        <f t="shared" si="18"/>
        <v>2235</v>
      </c>
      <c r="AD26" s="16">
        <f t="shared" si="18"/>
        <v>1</v>
      </c>
      <c r="AE26" s="32">
        <f t="shared" si="18"/>
        <v>2326</v>
      </c>
      <c r="AF26" s="32">
        <f t="shared" si="18"/>
        <v>4561</v>
      </c>
    </row>
    <row r="27" spans="2:32" ht="23.1" customHeight="1" x14ac:dyDescent="0.25">
      <c r="B27" s="23" t="s">
        <v>54</v>
      </c>
      <c r="C27" s="50">
        <v>30</v>
      </c>
      <c r="D27" s="50">
        <v>27</v>
      </c>
      <c r="E27" s="50">
        <v>7</v>
      </c>
      <c r="F27" s="50">
        <v>16</v>
      </c>
      <c r="G27" s="50">
        <v>0</v>
      </c>
      <c r="H27" s="50">
        <v>0</v>
      </c>
      <c r="I27" s="50">
        <v>6</v>
      </c>
      <c r="J27" s="50">
        <v>10</v>
      </c>
      <c r="K27" s="50">
        <v>9</v>
      </c>
      <c r="L27" s="50">
        <v>7</v>
      </c>
      <c r="M27" s="50">
        <v>144</v>
      </c>
      <c r="N27" s="50">
        <v>0</v>
      </c>
      <c r="O27" s="15">
        <f t="shared" si="0"/>
        <v>112</v>
      </c>
      <c r="P27" s="15">
        <f t="shared" si="1"/>
        <v>256</v>
      </c>
      <c r="R27" s="29" t="s">
        <v>87</v>
      </c>
      <c r="S27" s="16">
        <f t="shared" ref="S27:AF27" si="19">SUM(S19:S21)</f>
        <v>335</v>
      </c>
      <c r="T27" s="16">
        <f t="shared" si="19"/>
        <v>207</v>
      </c>
      <c r="U27" s="16">
        <f t="shared" si="19"/>
        <v>88</v>
      </c>
      <c r="V27" s="16">
        <f t="shared" si="19"/>
        <v>195</v>
      </c>
      <c r="W27" s="16">
        <f t="shared" si="19"/>
        <v>18</v>
      </c>
      <c r="X27" s="16">
        <f t="shared" si="19"/>
        <v>0</v>
      </c>
      <c r="Y27" s="16">
        <f t="shared" si="19"/>
        <v>53</v>
      </c>
      <c r="Z27" s="16">
        <f t="shared" si="19"/>
        <v>132</v>
      </c>
      <c r="AA27" s="16">
        <f t="shared" si="19"/>
        <v>22</v>
      </c>
      <c r="AB27" s="16">
        <f t="shared" si="19"/>
        <v>43</v>
      </c>
      <c r="AC27" s="16">
        <f t="shared" si="19"/>
        <v>985</v>
      </c>
      <c r="AD27" s="16">
        <f t="shared" si="19"/>
        <v>0</v>
      </c>
      <c r="AE27" s="32">
        <f t="shared" si="19"/>
        <v>1093</v>
      </c>
      <c r="AF27" s="32">
        <f t="shared" si="19"/>
        <v>2078</v>
      </c>
    </row>
    <row r="28" spans="2:32" ht="23.1" customHeight="1" x14ac:dyDescent="0.25">
      <c r="B28" s="23" t="s">
        <v>55</v>
      </c>
      <c r="C28" s="50">
        <v>33</v>
      </c>
      <c r="D28" s="50">
        <v>21</v>
      </c>
      <c r="E28" s="50">
        <v>19</v>
      </c>
      <c r="F28" s="50">
        <v>22</v>
      </c>
      <c r="G28" s="50">
        <v>0</v>
      </c>
      <c r="H28" s="50">
        <v>0</v>
      </c>
      <c r="I28" s="50">
        <v>3</v>
      </c>
      <c r="J28" s="50">
        <v>9</v>
      </c>
      <c r="K28" s="50">
        <v>10</v>
      </c>
      <c r="L28" s="50">
        <v>5</v>
      </c>
      <c r="M28" s="50">
        <v>101</v>
      </c>
      <c r="N28" s="50">
        <v>0</v>
      </c>
      <c r="O28" s="15">
        <f t="shared" si="0"/>
        <v>122</v>
      </c>
      <c r="P28" s="15">
        <f t="shared" si="1"/>
        <v>223</v>
      </c>
      <c r="R28" s="5" t="s">
        <v>17</v>
      </c>
      <c r="S28" s="16">
        <f t="shared" ref="S28:AF28" si="20">SUM(S10:S21)</f>
        <v>1107</v>
      </c>
      <c r="T28" s="16">
        <f t="shared" si="20"/>
        <v>671</v>
      </c>
      <c r="U28" s="16">
        <f t="shared" si="20"/>
        <v>269</v>
      </c>
      <c r="V28" s="16">
        <f t="shared" si="20"/>
        <v>582</v>
      </c>
      <c r="W28" s="16">
        <f t="shared" si="20"/>
        <v>34</v>
      </c>
      <c r="X28" s="16">
        <f t="shared" si="20"/>
        <v>3</v>
      </c>
      <c r="Y28" s="16">
        <f t="shared" si="20"/>
        <v>146</v>
      </c>
      <c r="Z28" s="16">
        <f t="shared" si="20"/>
        <v>342</v>
      </c>
      <c r="AA28" s="16">
        <f t="shared" si="20"/>
        <v>128</v>
      </c>
      <c r="AB28" s="16">
        <f t="shared" si="20"/>
        <v>136</v>
      </c>
      <c r="AC28" s="16">
        <f t="shared" si="20"/>
        <v>3220</v>
      </c>
      <c r="AD28" s="16">
        <f t="shared" si="20"/>
        <v>1</v>
      </c>
      <c r="AE28" s="32">
        <f t="shared" si="20"/>
        <v>3419</v>
      </c>
      <c r="AF28" s="32">
        <f t="shared" si="20"/>
        <v>6639</v>
      </c>
    </row>
    <row r="29" spans="2:32" ht="23.1" customHeight="1" x14ac:dyDescent="0.25">
      <c r="B29" s="23" t="s">
        <v>56</v>
      </c>
      <c r="C29" s="50">
        <v>33</v>
      </c>
      <c r="D29" s="50">
        <v>17</v>
      </c>
      <c r="E29" s="50">
        <v>10</v>
      </c>
      <c r="F29" s="50">
        <v>7</v>
      </c>
      <c r="G29" s="50">
        <v>0</v>
      </c>
      <c r="H29" s="50">
        <v>1</v>
      </c>
      <c r="I29" s="50">
        <v>2</v>
      </c>
      <c r="J29" s="50">
        <v>5</v>
      </c>
      <c r="K29" s="50">
        <v>5</v>
      </c>
      <c r="L29" s="50">
        <v>3</v>
      </c>
      <c r="M29" s="50">
        <v>102</v>
      </c>
      <c r="N29" s="50">
        <v>0</v>
      </c>
      <c r="O29" s="15">
        <f t="shared" si="0"/>
        <v>83</v>
      </c>
      <c r="P29" s="15">
        <f t="shared" si="1"/>
        <v>185</v>
      </c>
      <c r="R29"/>
      <c r="S29" s="20"/>
      <c r="T29" s="19"/>
    </row>
    <row r="30" spans="2:32" ht="23.1" customHeight="1" x14ac:dyDescent="0.25">
      <c r="B30" s="23" t="s">
        <v>57</v>
      </c>
      <c r="C30" s="50">
        <v>9</v>
      </c>
      <c r="D30" s="50">
        <v>9</v>
      </c>
      <c r="E30" s="50">
        <v>10</v>
      </c>
      <c r="F30" s="50">
        <v>6</v>
      </c>
      <c r="G30" s="50">
        <v>0</v>
      </c>
      <c r="H30" s="50">
        <v>0</v>
      </c>
      <c r="I30" s="50">
        <v>1</v>
      </c>
      <c r="J30" s="50">
        <v>8</v>
      </c>
      <c r="K30" s="50">
        <v>3</v>
      </c>
      <c r="L30" s="50">
        <v>3</v>
      </c>
      <c r="M30" s="50">
        <v>79</v>
      </c>
      <c r="N30" s="50">
        <v>0</v>
      </c>
      <c r="O30" s="15">
        <f t="shared" si="0"/>
        <v>49</v>
      </c>
      <c r="P30" s="15">
        <f t="shared" si="1"/>
        <v>128</v>
      </c>
    </row>
    <row r="31" spans="2:32" ht="23.1" customHeight="1" x14ac:dyDescent="0.25">
      <c r="B31" s="24" t="s">
        <v>58</v>
      </c>
      <c r="C31" s="50">
        <v>30</v>
      </c>
      <c r="D31" s="50">
        <v>12</v>
      </c>
      <c r="E31" s="50">
        <v>4</v>
      </c>
      <c r="F31" s="50">
        <v>13</v>
      </c>
      <c r="G31" s="50">
        <v>1</v>
      </c>
      <c r="H31" s="50">
        <v>0</v>
      </c>
      <c r="I31" s="50">
        <v>8</v>
      </c>
      <c r="J31" s="50">
        <v>7</v>
      </c>
      <c r="K31" s="50">
        <v>3</v>
      </c>
      <c r="L31" s="50">
        <v>3</v>
      </c>
      <c r="M31" s="50">
        <v>130</v>
      </c>
      <c r="N31" s="50">
        <v>0</v>
      </c>
      <c r="O31" s="15">
        <f t="shared" si="0"/>
        <v>81</v>
      </c>
      <c r="P31" s="15">
        <f t="shared" si="1"/>
        <v>211</v>
      </c>
    </row>
    <row r="32" spans="2:32" ht="23.1" customHeight="1" x14ac:dyDescent="0.25">
      <c r="B32" s="24" t="s">
        <v>59</v>
      </c>
      <c r="C32" s="50">
        <v>31</v>
      </c>
      <c r="D32" s="50">
        <v>20</v>
      </c>
      <c r="E32" s="50">
        <v>3</v>
      </c>
      <c r="F32" s="50">
        <v>15</v>
      </c>
      <c r="G32" s="50">
        <v>0</v>
      </c>
      <c r="H32" s="50">
        <v>0</v>
      </c>
      <c r="I32" s="50">
        <v>5</v>
      </c>
      <c r="J32" s="50">
        <v>10</v>
      </c>
      <c r="K32" s="50">
        <v>1</v>
      </c>
      <c r="L32" s="50">
        <v>2</v>
      </c>
      <c r="M32" s="50">
        <v>97</v>
      </c>
      <c r="N32" s="50">
        <v>0</v>
      </c>
      <c r="O32" s="15">
        <f t="shared" si="0"/>
        <v>87</v>
      </c>
      <c r="P32" s="15">
        <f t="shared" si="1"/>
        <v>184</v>
      </c>
    </row>
    <row r="33" spans="2:20" ht="23.1" customHeight="1" x14ac:dyDescent="0.25">
      <c r="B33" s="23" t="s">
        <v>60</v>
      </c>
      <c r="C33" s="50">
        <v>21</v>
      </c>
      <c r="D33" s="50">
        <v>18</v>
      </c>
      <c r="E33" s="50">
        <v>2</v>
      </c>
      <c r="F33" s="50">
        <v>14</v>
      </c>
      <c r="G33" s="50">
        <v>1</v>
      </c>
      <c r="H33" s="50">
        <v>0</v>
      </c>
      <c r="I33" s="50">
        <v>1</v>
      </c>
      <c r="J33" s="50">
        <v>12</v>
      </c>
      <c r="K33" s="50">
        <v>3</v>
      </c>
      <c r="L33" s="50">
        <v>3</v>
      </c>
      <c r="M33" s="50">
        <v>114</v>
      </c>
      <c r="N33" s="50">
        <v>0</v>
      </c>
      <c r="O33" s="15">
        <f t="shared" si="0"/>
        <v>75</v>
      </c>
      <c r="P33" s="15">
        <f t="shared" si="1"/>
        <v>189</v>
      </c>
    </row>
    <row r="34" spans="2:20" ht="23.1" customHeight="1" x14ac:dyDescent="0.25">
      <c r="B34" s="24" t="s">
        <v>61</v>
      </c>
      <c r="C34" s="50">
        <v>20</v>
      </c>
      <c r="D34" s="50">
        <v>15</v>
      </c>
      <c r="E34" s="50">
        <v>5</v>
      </c>
      <c r="F34" s="50">
        <v>7</v>
      </c>
      <c r="G34" s="50">
        <v>1</v>
      </c>
      <c r="H34" s="50">
        <v>0</v>
      </c>
      <c r="I34" s="50">
        <v>1</v>
      </c>
      <c r="J34" s="50">
        <v>6</v>
      </c>
      <c r="K34" s="50">
        <v>0</v>
      </c>
      <c r="L34" s="50">
        <v>5</v>
      </c>
      <c r="M34" s="50">
        <v>48</v>
      </c>
      <c r="N34" s="50">
        <v>0</v>
      </c>
      <c r="O34" s="15">
        <f t="shared" si="0"/>
        <v>60</v>
      </c>
      <c r="P34" s="15">
        <f t="shared" si="1"/>
        <v>108</v>
      </c>
    </row>
    <row r="35" spans="2:20" ht="23.1" customHeight="1" x14ac:dyDescent="0.25">
      <c r="B35" s="24" t="s">
        <v>62</v>
      </c>
      <c r="C35" s="50">
        <v>12</v>
      </c>
      <c r="D35" s="50">
        <v>2</v>
      </c>
      <c r="E35" s="50">
        <v>0</v>
      </c>
      <c r="F35" s="50">
        <v>3</v>
      </c>
      <c r="G35" s="50">
        <v>0</v>
      </c>
      <c r="H35" s="50">
        <v>0</v>
      </c>
      <c r="I35" s="50">
        <v>1</v>
      </c>
      <c r="J35" s="50">
        <v>11</v>
      </c>
      <c r="K35" s="50">
        <v>3</v>
      </c>
      <c r="L35" s="50">
        <v>4</v>
      </c>
      <c r="M35" s="50">
        <v>91</v>
      </c>
      <c r="N35" s="50">
        <v>0</v>
      </c>
      <c r="O35" s="15">
        <f t="shared" si="0"/>
        <v>36</v>
      </c>
      <c r="P35" s="15">
        <f t="shared" si="1"/>
        <v>127</v>
      </c>
    </row>
    <row r="36" spans="2:20" ht="23.1" customHeight="1" x14ac:dyDescent="0.25">
      <c r="B36" s="24" t="s">
        <v>63</v>
      </c>
      <c r="C36" s="50">
        <v>18</v>
      </c>
      <c r="D36" s="50">
        <v>12</v>
      </c>
      <c r="E36" s="50">
        <v>5</v>
      </c>
      <c r="F36" s="50">
        <v>4</v>
      </c>
      <c r="G36" s="50">
        <v>0</v>
      </c>
      <c r="H36" s="50">
        <v>0</v>
      </c>
      <c r="I36" s="50">
        <v>2</v>
      </c>
      <c r="J36" s="50">
        <v>6</v>
      </c>
      <c r="K36" s="50">
        <v>3</v>
      </c>
      <c r="L36" s="50">
        <v>0</v>
      </c>
      <c r="M36" s="50">
        <v>112</v>
      </c>
      <c r="N36" s="50">
        <v>0</v>
      </c>
      <c r="O36" s="15">
        <f t="shared" si="0"/>
        <v>50</v>
      </c>
      <c r="P36" s="15">
        <f t="shared" si="1"/>
        <v>162</v>
      </c>
    </row>
    <row r="37" spans="2:20" ht="23.1" customHeight="1" x14ac:dyDescent="0.25">
      <c r="B37" s="23" t="s">
        <v>64</v>
      </c>
      <c r="C37" s="50">
        <v>38</v>
      </c>
      <c r="D37" s="50">
        <v>24</v>
      </c>
      <c r="E37" s="50">
        <v>9</v>
      </c>
      <c r="F37" s="50">
        <v>17</v>
      </c>
      <c r="G37" s="50">
        <v>0</v>
      </c>
      <c r="H37" s="50">
        <v>0</v>
      </c>
      <c r="I37" s="50">
        <v>3</v>
      </c>
      <c r="J37" s="50">
        <v>14</v>
      </c>
      <c r="K37" s="50">
        <v>4</v>
      </c>
      <c r="L37" s="50">
        <v>7</v>
      </c>
      <c r="M37" s="50">
        <v>127</v>
      </c>
      <c r="N37" s="50">
        <v>0</v>
      </c>
      <c r="O37" s="15">
        <f t="shared" si="0"/>
        <v>116</v>
      </c>
      <c r="P37" s="15">
        <f t="shared" si="1"/>
        <v>243</v>
      </c>
    </row>
    <row r="38" spans="2:20" ht="23.1" customHeight="1" x14ac:dyDescent="0.25">
      <c r="B38" s="24" t="s">
        <v>65</v>
      </c>
      <c r="C38" s="50">
        <v>29</v>
      </c>
      <c r="D38" s="50">
        <v>11</v>
      </c>
      <c r="E38" s="50">
        <v>7</v>
      </c>
      <c r="F38" s="50">
        <v>15</v>
      </c>
      <c r="G38" s="50">
        <v>0</v>
      </c>
      <c r="H38" s="50">
        <v>0</v>
      </c>
      <c r="I38" s="50">
        <v>7</v>
      </c>
      <c r="J38" s="50">
        <v>17</v>
      </c>
      <c r="K38" s="50">
        <v>6</v>
      </c>
      <c r="L38" s="50">
        <v>13</v>
      </c>
      <c r="M38" s="50">
        <v>97</v>
      </c>
      <c r="N38" s="50">
        <v>0</v>
      </c>
      <c r="O38" s="15">
        <f t="shared" si="0"/>
        <v>105</v>
      </c>
      <c r="P38" s="15">
        <f t="shared" si="1"/>
        <v>202</v>
      </c>
    </row>
    <row r="39" spans="2:20" ht="23.1" customHeight="1" x14ac:dyDescent="0.25">
      <c r="B39" s="24" t="s">
        <v>66</v>
      </c>
      <c r="C39" s="50">
        <v>38</v>
      </c>
      <c r="D39" s="50">
        <v>22</v>
      </c>
      <c r="E39" s="50">
        <v>8</v>
      </c>
      <c r="F39" s="50">
        <v>23</v>
      </c>
      <c r="G39" s="50">
        <v>0</v>
      </c>
      <c r="H39" s="50">
        <v>0</v>
      </c>
      <c r="I39" s="50">
        <v>6</v>
      </c>
      <c r="J39" s="50">
        <v>13</v>
      </c>
      <c r="K39" s="50">
        <v>5</v>
      </c>
      <c r="L39" s="50">
        <v>2</v>
      </c>
      <c r="M39" s="50">
        <v>55</v>
      </c>
      <c r="N39" s="50">
        <v>0</v>
      </c>
      <c r="O39" s="15">
        <f t="shared" si="0"/>
        <v>117</v>
      </c>
      <c r="P39" s="15">
        <f t="shared" si="1"/>
        <v>172</v>
      </c>
    </row>
    <row r="40" spans="2:20" ht="23.1" customHeight="1" x14ac:dyDescent="0.25">
      <c r="B40" s="24" t="s">
        <v>67</v>
      </c>
      <c r="C40" s="50">
        <v>32</v>
      </c>
      <c r="D40" s="50">
        <v>23</v>
      </c>
      <c r="E40" s="50">
        <v>4</v>
      </c>
      <c r="F40" s="50">
        <v>16</v>
      </c>
      <c r="G40" s="50">
        <v>7</v>
      </c>
      <c r="H40" s="50">
        <v>0</v>
      </c>
      <c r="I40" s="50">
        <v>5</v>
      </c>
      <c r="J40" s="50">
        <v>13</v>
      </c>
      <c r="K40" s="50">
        <v>2</v>
      </c>
      <c r="L40" s="50">
        <v>1</v>
      </c>
      <c r="M40" s="50">
        <v>75</v>
      </c>
      <c r="N40" s="50">
        <v>0</v>
      </c>
      <c r="O40" s="15">
        <f t="shared" si="0"/>
        <v>103</v>
      </c>
      <c r="P40" s="15">
        <f t="shared" si="1"/>
        <v>178</v>
      </c>
    </row>
    <row r="41" spans="2:20" ht="23.1" customHeight="1" x14ac:dyDescent="0.25">
      <c r="B41" s="23" t="s">
        <v>68</v>
      </c>
      <c r="C41" s="50">
        <v>41</v>
      </c>
      <c r="D41" s="50">
        <v>20</v>
      </c>
      <c r="E41" s="50">
        <v>3</v>
      </c>
      <c r="F41" s="50">
        <v>14</v>
      </c>
      <c r="G41" s="50">
        <v>1</v>
      </c>
      <c r="H41" s="50">
        <v>0</v>
      </c>
      <c r="I41" s="50">
        <v>4</v>
      </c>
      <c r="J41" s="50">
        <v>7</v>
      </c>
      <c r="K41" s="50">
        <v>1</v>
      </c>
      <c r="L41" s="50">
        <v>4</v>
      </c>
      <c r="M41" s="50">
        <v>76</v>
      </c>
      <c r="N41" s="50">
        <v>0</v>
      </c>
      <c r="O41" s="15">
        <f t="shared" si="0"/>
        <v>95</v>
      </c>
      <c r="P41" s="15">
        <f t="shared" si="1"/>
        <v>171</v>
      </c>
    </row>
    <row r="42" spans="2:20" ht="23.1" customHeight="1" x14ac:dyDescent="0.25">
      <c r="B42" s="24" t="s">
        <v>69</v>
      </c>
      <c r="C42" s="50">
        <v>24</v>
      </c>
      <c r="D42" s="50">
        <v>15</v>
      </c>
      <c r="E42" s="50">
        <v>11</v>
      </c>
      <c r="F42" s="50">
        <v>30</v>
      </c>
      <c r="G42" s="50">
        <v>0</v>
      </c>
      <c r="H42" s="50">
        <v>0</v>
      </c>
      <c r="I42" s="50">
        <v>5</v>
      </c>
      <c r="J42" s="50">
        <v>7</v>
      </c>
      <c r="K42" s="50">
        <v>3</v>
      </c>
      <c r="L42" s="50">
        <v>2</v>
      </c>
      <c r="M42" s="50">
        <v>102</v>
      </c>
      <c r="N42" s="50">
        <v>0</v>
      </c>
      <c r="O42" s="15">
        <f t="shared" si="0"/>
        <v>97</v>
      </c>
      <c r="P42" s="15">
        <f t="shared" si="1"/>
        <v>199</v>
      </c>
    </row>
    <row r="43" spans="2:20" ht="23.1" customHeight="1" x14ac:dyDescent="0.25">
      <c r="B43" s="23" t="s">
        <v>70</v>
      </c>
      <c r="C43" s="50">
        <v>35</v>
      </c>
      <c r="D43" s="50">
        <v>23</v>
      </c>
      <c r="E43" s="50">
        <v>10</v>
      </c>
      <c r="F43" s="50">
        <v>15</v>
      </c>
      <c r="G43" s="50">
        <v>0</v>
      </c>
      <c r="H43" s="50">
        <v>0</v>
      </c>
      <c r="I43" s="50">
        <v>0</v>
      </c>
      <c r="J43" s="50">
        <v>8</v>
      </c>
      <c r="K43" s="50">
        <v>4</v>
      </c>
      <c r="L43" s="50">
        <v>5</v>
      </c>
      <c r="M43" s="50">
        <v>102</v>
      </c>
      <c r="N43" s="50">
        <v>0</v>
      </c>
      <c r="O43" s="15">
        <f t="shared" si="0"/>
        <v>100</v>
      </c>
      <c r="P43" s="15">
        <f t="shared" si="1"/>
        <v>202</v>
      </c>
    </row>
    <row r="44" spans="2:20" ht="23.1" customHeight="1" x14ac:dyDescent="0.25">
      <c r="B44" s="25" t="s">
        <v>71</v>
      </c>
      <c r="C44" s="50">
        <v>13</v>
      </c>
      <c r="D44" s="50">
        <v>15</v>
      </c>
      <c r="E44" s="50">
        <v>10</v>
      </c>
      <c r="F44" s="50">
        <v>5</v>
      </c>
      <c r="G44" s="50">
        <v>0</v>
      </c>
      <c r="H44" s="50">
        <v>0</v>
      </c>
      <c r="I44" s="50">
        <v>1</v>
      </c>
      <c r="J44" s="50">
        <v>4</v>
      </c>
      <c r="K44" s="50">
        <v>3</v>
      </c>
      <c r="L44" s="50">
        <v>4</v>
      </c>
      <c r="M44" s="50">
        <v>85</v>
      </c>
      <c r="N44" s="50">
        <v>0</v>
      </c>
      <c r="O44" s="15">
        <f t="shared" si="0"/>
        <v>55</v>
      </c>
      <c r="P44" s="15">
        <f t="shared" si="1"/>
        <v>140</v>
      </c>
    </row>
    <row r="45" spans="2:20" ht="23.1" customHeight="1" x14ac:dyDescent="0.25">
      <c r="B45" s="23" t="s">
        <v>72</v>
      </c>
      <c r="C45" s="50">
        <v>33</v>
      </c>
      <c r="D45" s="50">
        <v>27</v>
      </c>
      <c r="E45" s="50">
        <v>7</v>
      </c>
      <c r="F45" s="50">
        <v>26</v>
      </c>
      <c r="G45" s="50">
        <v>0</v>
      </c>
      <c r="H45" s="50">
        <v>0</v>
      </c>
      <c r="I45" s="50">
        <v>9</v>
      </c>
      <c r="J45" s="50">
        <v>9</v>
      </c>
      <c r="K45" s="50">
        <v>6</v>
      </c>
      <c r="L45" s="50">
        <v>6</v>
      </c>
      <c r="M45" s="50">
        <v>72</v>
      </c>
      <c r="N45" s="50">
        <v>0</v>
      </c>
      <c r="O45" s="15">
        <f t="shared" si="0"/>
        <v>123</v>
      </c>
      <c r="P45" s="15">
        <f t="shared" si="1"/>
        <v>195</v>
      </c>
    </row>
    <row r="46" spans="2:20" ht="23.1" customHeight="1" x14ac:dyDescent="0.25">
      <c r="B46" s="24" t="s">
        <v>73</v>
      </c>
      <c r="C46" s="50">
        <v>40</v>
      </c>
      <c r="D46" s="50">
        <v>21</v>
      </c>
      <c r="E46" s="50">
        <v>6</v>
      </c>
      <c r="F46" s="50">
        <v>14</v>
      </c>
      <c r="G46" s="50">
        <v>0</v>
      </c>
      <c r="H46" s="50">
        <v>0</v>
      </c>
      <c r="I46" s="50">
        <v>7</v>
      </c>
      <c r="J46" s="50">
        <v>11</v>
      </c>
      <c r="K46" s="50">
        <v>3</v>
      </c>
      <c r="L46" s="50">
        <v>3</v>
      </c>
      <c r="M46" s="50">
        <v>55</v>
      </c>
      <c r="N46" s="50">
        <v>0</v>
      </c>
      <c r="O46" s="15">
        <f t="shared" si="0"/>
        <v>105</v>
      </c>
      <c r="P46" s="15">
        <f t="shared" si="1"/>
        <v>160</v>
      </c>
      <c r="R46" s="8"/>
      <c r="T46"/>
    </row>
    <row r="47" spans="2:20" ht="23.1" customHeight="1" x14ac:dyDescent="0.25">
      <c r="B47" s="24" t="s">
        <v>74</v>
      </c>
      <c r="C47" s="50">
        <v>20</v>
      </c>
      <c r="D47" s="50">
        <v>11</v>
      </c>
      <c r="E47" s="50">
        <v>8</v>
      </c>
      <c r="F47" s="50">
        <v>15</v>
      </c>
      <c r="G47" s="50">
        <v>0</v>
      </c>
      <c r="H47" s="50">
        <v>0</v>
      </c>
      <c r="I47" s="50">
        <v>3</v>
      </c>
      <c r="J47" s="50">
        <v>17</v>
      </c>
      <c r="K47" s="50">
        <v>2</v>
      </c>
      <c r="L47" s="50">
        <v>7</v>
      </c>
      <c r="M47" s="50">
        <v>61</v>
      </c>
      <c r="N47" s="50">
        <v>0</v>
      </c>
      <c r="O47" s="15">
        <f t="shared" si="0"/>
        <v>83</v>
      </c>
      <c r="P47" s="15">
        <f t="shared" si="1"/>
        <v>144</v>
      </c>
      <c r="R47" s="8"/>
      <c r="T47"/>
    </row>
    <row r="48" spans="2:20" ht="23.1" customHeight="1" x14ac:dyDescent="0.25">
      <c r="B48" s="24" t="s">
        <v>75</v>
      </c>
      <c r="C48" s="50">
        <v>30</v>
      </c>
      <c r="D48" s="50">
        <v>16</v>
      </c>
      <c r="E48" s="50">
        <v>7</v>
      </c>
      <c r="F48" s="50">
        <v>15</v>
      </c>
      <c r="G48" s="50">
        <v>5</v>
      </c>
      <c r="H48" s="50">
        <v>0</v>
      </c>
      <c r="I48" s="50">
        <v>5</v>
      </c>
      <c r="J48" s="50">
        <v>15</v>
      </c>
      <c r="K48" s="50">
        <v>2</v>
      </c>
      <c r="L48" s="50">
        <v>2</v>
      </c>
      <c r="M48" s="50">
        <v>80</v>
      </c>
      <c r="N48" s="50">
        <v>0</v>
      </c>
      <c r="O48" s="15">
        <f t="shared" si="0"/>
        <v>97</v>
      </c>
      <c r="P48" s="15">
        <f t="shared" si="1"/>
        <v>177</v>
      </c>
      <c r="R48" s="8"/>
      <c r="T48"/>
    </row>
    <row r="49" spans="2:20" ht="23.1" customHeight="1" x14ac:dyDescent="0.25">
      <c r="B49" s="23" t="s">
        <v>76</v>
      </c>
      <c r="C49" s="50">
        <v>32</v>
      </c>
      <c r="D49" s="50">
        <v>30</v>
      </c>
      <c r="E49" s="50">
        <v>8</v>
      </c>
      <c r="F49" s="50">
        <v>14</v>
      </c>
      <c r="G49" s="50">
        <v>0</v>
      </c>
      <c r="H49" s="50">
        <v>0</v>
      </c>
      <c r="I49" s="50">
        <v>6</v>
      </c>
      <c r="J49" s="50">
        <v>15</v>
      </c>
      <c r="K49" s="50">
        <v>1</v>
      </c>
      <c r="L49" s="50">
        <v>5</v>
      </c>
      <c r="M49" s="50">
        <v>124</v>
      </c>
      <c r="N49" s="50">
        <v>0</v>
      </c>
      <c r="O49" s="15">
        <f t="shared" si="0"/>
        <v>111</v>
      </c>
      <c r="P49" s="15">
        <f t="shared" si="1"/>
        <v>235</v>
      </c>
      <c r="R49" s="8"/>
      <c r="T49"/>
    </row>
    <row r="50" spans="2:20" ht="23.1" customHeight="1" x14ac:dyDescent="0.25">
      <c r="B50" s="24" t="s">
        <v>77</v>
      </c>
      <c r="C50" s="50">
        <v>21</v>
      </c>
      <c r="D50" s="50">
        <v>15</v>
      </c>
      <c r="E50" s="50">
        <v>4</v>
      </c>
      <c r="F50" s="50">
        <v>13</v>
      </c>
      <c r="G50" s="50">
        <v>4</v>
      </c>
      <c r="H50" s="50">
        <v>0</v>
      </c>
      <c r="I50" s="50">
        <v>7</v>
      </c>
      <c r="J50" s="50">
        <v>9</v>
      </c>
      <c r="K50" s="50">
        <v>4</v>
      </c>
      <c r="L50" s="50">
        <v>4</v>
      </c>
      <c r="M50" s="50">
        <v>120</v>
      </c>
      <c r="N50" s="50">
        <v>0</v>
      </c>
      <c r="O50" s="15">
        <f t="shared" si="0"/>
        <v>81</v>
      </c>
      <c r="P50" s="15">
        <f t="shared" si="1"/>
        <v>201</v>
      </c>
      <c r="R50" s="8"/>
      <c r="T50"/>
    </row>
    <row r="51" spans="2:20" ht="23.1" customHeight="1" x14ac:dyDescent="0.25">
      <c r="B51" s="24" t="s">
        <v>78</v>
      </c>
      <c r="C51" s="50">
        <v>31</v>
      </c>
      <c r="D51" s="50">
        <v>15</v>
      </c>
      <c r="E51" s="50">
        <v>10</v>
      </c>
      <c r="F51" s="50">
        <v>19</v>
      </c>
      <c r="G51" s="50">
        <v>1</v>
      </c>
      <c r="H51" s="50">
        <v>0</v>
      </c>
      <c r="I51" s="50">
        <v>7</v>
      </c>
      <c r="J51" s="50">
        <v>6</v>
      </c>
      <c r="K51" s="50">
        <v>2</v>
      </c>
      <c r="L51" s="50">
        <v>9</v>
      </c>
      <c r="M51" s="50">
        <v>102</v>
      </c>
      <c r="N51" s="50">
        <v>0</v>
      </c>
      <c r="O51" s="15">
        <f t="shared" si="0"/>
        <v>100</v>
      </c>
      <c r="P51" s="15">
        <f t="shared" si="1"/>
        <v>202</v>
      </c>
      <c r="R51" s="8"/>
      <c r="T51"/>
    </row>
    <row r="52" spans="2:20" ht="23.1" customHeight="1" x14ac:dyDescent="0.25">
      <c r="B52" s="24" t="s">
        <v>79</v>
      </c>
      <c r="C52" s="50">
        <v>22</v>
      </c>
      <c r="D52" s="50">
        <v>17</v>
      </c>
      <c r="E52" s="50">
        <v>9</v>
      </c>
      <c r="F52" s="50">
        <v>18</v>
      </c>
      <c r="G52" s="50">
        <v>0</v>
      </c>
      <c r="H52" s="50">
        <v>0</v>
      </c>
      <c r="I52" s="50">
        <v>4</v>
      </c>
      <c r="J52" s="50">
        <v>8</v>
      </c>
      <c r="K52" s="50">
        <v>2</v>
      </c>
      <c r="L52" s="50">
        <v>3</v>
      </c>
      <c r="M52" s="50">
        <v>60</v>
      </c>
      <c r="N52" s="50">
        <v>0</v>
      </c>
      <c r="O52" s="15">
        <f t="shared" si="0"/>
        <v>83</v>
      </c>
      <c r="P52" s="15">
        <f t="shared" si="1"/>
        <v>143</v>
      </c>
      <c r="R52" s="8"/>
      <c r="T52"/>
    </row>
    <row r="53" spans="2:20" ht="23.1" customHeight="1" x14ac:dyDescent="0.25">
      <c r="B53" s="23" t="s">
        <v>80</v>
      </c>
      <c r="C53" s="50">
        <v>35</v>
      </c>
      <c r="D53" s="50">
        <v>13</v>
      </c>
      <c r="E53" s="50">
        <v>6</v>
      </c>
      <c r="F53" s="50">
        <v>16</v>
      </c>
      <c r="G53" s="50">
        <v>1</v>
      </c>
      <c r="H53" s="50">
        <v>0</v>
      </c>
      <c r="I53" s="50">
        <v>2</v>
      </c>
      <c r="J53" s="50">
        <v>12</v>
      </c>
      <c r="K53" s="50">
        <v>0</v>
      </c>
      <c r="L53" s="50">
        <v>2</v>
      </c>
      <c r="M53" s="50">
        <v>65</v>
      </c>
      <c r="N53" s="50">
        <v>0</v>
      </c>
      <c r="O53" s="15">
        <f t="shared" si="0"/>
        <v>87</v>
      </c>
      <c r="P53" s="15">
        <f t="shared" si="1"/>
        <v>152</v>
      </c>
      <c r="R53" s="8"/>
      <c r="T53"/>
    </row>
    <row r="54" spans="2:20" ht="23.1" customHeight="1" x14ac:dyDescent="0.25">
      <c r="B54" s="23" t="s">
        <v>81</v>
      </c>
      <c r="C54" s="50">
        <v>31</v>
      </c>
      <c r="D54" s="50">
        <v>15</v>
      </c>
      <c r="E54" s="50">
        <v>11</v>
      </c>
      <c r="F54" s="50">
        <v>12</v>
      </c>
      <c r="G54" s="50">
        <v>1</v>
      </c>
      <c r="H54" s="50">
        <v>0</v>
      </c>
      <c r="I54" s="50">
        <v>3</v>
      </c>
      <c r="J54" s="50">
        <v>10</v>
      </c>
      <c r="K54" s="50">
        <v>2</v>
      </c>
      <c r="L54" s="50">
        <v>5</v>
      </c>
      <c r="M54" s="50">
        <v>82</v>
      </c>
      <c r="N54" s="50">
        <v>0</v>
      </c>
      <c r="O54" s="15">
        <f t="shared" si="0"/>
        <v>90</v>
      </c>
      <c r="P54" s="15">
        <f t="shared" si="1"/>
        <v>172</v>
      </c>
      <c r="R54" s="8"/>
      <c r="T54"/>
    </row>
    <row r="55" spans="2:20" ht="23.1" customHeight="1" x14ac:dyDescent="0.25">
      <c r="B55" s="23" t="s">
        <v>82</v>
      </c>
      <c r="C55" s="50">
        <v>16</v>
      </c>
      <c r="D55" s="50">
        <v>19</v>
      </c>
      <c r="E55" s="50">
        <v>7</v>
      </c>
      <c r="F55" s="50">
        <v>18</v>
      </c>
      <c r="G55" s="50">
        <v>4</v>
      </c>
      <c r="H55" s="50">
        <v>0</v>
      </c>
      <c r="I55" s="50">
        <v>7</v>
      </c>
      <c r="J55" s="50">
        <v>6</v>
      </c>
      <c r="K55" s="50">
        <v>1</v>
      </c>
      <c r="L55" s="50">
        <v>0</v>
      </c>
      <c r="M55" s="50">
        <v>70</v>
      </c>
      <c r="N55" s="50">
        <v>0</v>
      </c>
      <c r="O55" s="15">
        <f t="shared" si="0"/>
        <v>78</v>
      </c>
      <c r="P55" s="15">
        <f t="shared" si="1"/>
        <v>148</v>
      </c>
      <c r="R55" s="8"/>
      <c r="T55"/>
    </row>
    <row r="56" spans="2:20" ht="23.1" customHeight="1" x14ac:dyDescent="0.25">
      <c r="B56" s="23" t="s">
        <v>83</v>
      </c>
      <c r="C56" s="50">
        <v>35</v>
      </c>
      <c r="D56" s="50">
        <v>19</v>
      </c>
      <c r="E56" s="50">
        <v>9</v>
      </c>
      <c r="F56" s="50">
        <v>22</v>
      </c>
      <c r="G56" s="50">
        <v>1</v>
      </c>
      <c r="H56" s="50">
        <v>0</v>
      </c>
      <c r="I56" s="50">
        <v>1</v>
      </c>
      <c r="J56" s="50">
        <v>18</v>
      </c>
      <c r="K56" s="50">
        <v>1</v>
      </c>
      <c r="L56" s="50">
        <v>2</v>
      </c>
      <c r="M56" s="50">
        <v>69</v>
      </c>
      <c r="N56" s="50">
        <v>0</v>
      </c>
      <c r="O56" s="15">
        <f t="shared" si="0"/>
        <v>108</v>
      </c>
      <c r="P56" s="15">
        <f t="shared" si="1"/>
        <v>177</v>
      </c>
      <c r="R56" s="8"/>
      <c r="T56"/>
    </row>
    <row r="57" spans="2:20" ht="23.1" customHeight="1" x14ac:dyDescent="0.25">
      <c r="B57" s="23" t="s">
        <v>84</v>
      </c>
      <c r="C57" s="50">
        <v>22</v>
      </c>
      <c r="D57" s="50">
        <v>16</v>
      </c>
      <c r="E57" s="50">
        <v>3</v>
      </c>
      <c r="F57" s="50">
        <v>19</v>
      </c>
      <c r="G57" s="50">
        <v>1</v>
      </c>
      <c r="H57" s="50">
        <v>0</v>
      </c>
      <c r="I57" s="50">
        <v>1</v>
      </c>
      <c r="J57" s="50">
        <v>5</v>
      </c>
      <c r="K57" s="50">
        <v>2</v>
      </c>
      <c r="L57" s="50">
        <v>1</v>
      </c>
      <c r="M57" s="50">
        <v>97</v>
      </c>
      <c r="N57" s="50">
        <v>0</v>
      </c>
      <c r="O57" s="15">
        <f t="shared" si="0"/>
        <v>70</v>
      </c>
      <c r="P57" s="15">
        <f t="shared" si="1"/>
        <v>167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1107</v>
      </c>
      <c r="D58" s="16">
        <f t="shared" si="21"/>
        <v>671</v>
      </c>
      <c r="E58" s="16">
        <f t="shared" si="21"/>
        <v>269</v>
      </c>
      <c r="F58" s="16">
        <f t="shared" si="21"/>
        <v>582</v>
      </c>
      <c r="G58" s="16">
        <f t="shared" si="21"/>
        <v>34</v>
      </c>
      <c r="H58" s="16">
        <f t="shared" si="21"/>
        <v>3</v>
      </c>
      <c r="I58" s="16">
        <f t="shared" si="21"/>
        <v>146</v>
      </c>
      <c r="J58" s="16">
        <f t="shared" si="21"/>
        <v>342</v>
      </c>
      <c r="K58" s="16">
        <f t="shared" si="21"/>
        <v>128</v>
      </c>
      <c r="L58" s="16">
        <f t="shared" si="21"/>
        <v>136</v>
      </c>
      <c r="M58" s="16">
        <f t="shared" si="21"/>
        <v>3220</v>
      </c>
      <c r="N58" s="16">
        <f t="shared" si="21"/>
        <v>1</v>
      </c>
      <c r="O58" s="16">
        <f t="shared" si="21"/>
        <v>3419</v>
      </c>
      <c r="P58" s="16">
        <f t="shared" si="21"/>
        <v>6639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0.16674197921373701</v>
      </c>
      <c r="D59" s="43">
        <f t="shared" si="22"/>
        <v>0.10106943816839886</v>
      </c>
      <c r="E59" s="43">
        <f t="shared" si="22"/>
        <v>4.0518150323843954E-2</v>
      </c>
      <c r="F59" s="43">
        <f t="shared" si="22"/>
        <v>8.7663804789877994E-2</v>
      </c>
      <c r="G59" s="43">
        <f t="shared" si="22"/>
        <v>5.1212532007832504E-3</v>
      </c>
      <c r="H59" s="43">
        <f t="shared" si="22"/>
        <v>4.5187528242205153E-4</v>
      </c>
      <c r="I59" s="43">
        <f t="shared" si="22"/>
        <v>2.199126374453984E-2</v>
      </c>
      <c r="J59" s="43">
        <f t="shared" si="22"/>
        <v>5.1513782196113869E-2</v>
      </c>
      <c r="K59" s="43">
        <f t="shared" si="22"/>
        <v>1.9280012050007532E-2</v>
      </c>
      <c r="L59" s="43">
        <f t="shared" si="22"/>
        <v>2.0485012803133001E-2</v>
      </c>
      <c r="M59" s="43">
        <f t="shared" si="22"/>
        <v>0.48501280313300194</v>
      </c>
      <c r="N59" s="43">
        <f t="shared" si="22"/>
        <v>1.5062509414068384E-4</v>
      </c>
      <c r="R59" s="8"/>
      <c r="T59"/>
    </row>
    <row r="60" spans="2:20" ht="23.1" customHeight="1" x14ac:dyDescent="0.25">
      <c r="B60" s="42" t="s">
        <v>94</v>
      </c>
      <c r="C60" s="44">
        <f>C58/$O$58</f>
        <v>0.32377888271424393</v>
      </c>
      <c r="D60" s="44">
        <f t="shared" ref="D60:N60" si="23">D58/$O$58</f>
        <v>0.1962562152676221</v>
      </c>
      <c r="E60" s="44">
        <f t="shared" si="23"/>
        <v>7.8677976016379061E-2</v>
      </c>
      <c r="F60" s="44">
        <f t="shared" si="23"/>
        <v>0.17022521205030711</v>
      </c>
      <c r="G60" s="44">
        <f t="shared" si="23"/>
        <v>9.9444281953787652E-3</v>
      </c>
      <c r="H60" s="44">
        <f t="shared" si="23"/>
        <v>8.774495466510676E-4</v>
      </c>
      <c r="I60" s="44">
        <f t="shared" si="23"/>
        <v>4.2702544603685291E-2</v>
      </c>
      <c r="J60" s="44">
        <f t="shared" si="23"/>
        <v>0.1000292483182217</v>
      </c>
      <c r="K60" s="44">
        <f t="shared" si="23"/>
        <v>3.7437847323778882E-2</v>
      </c>
      <c r="L60" s="44">
        <f t="shared" si="23"/>
        <v>3.9777712781515061E-2</v>
      </c>
      <c r="M60" s="44"/>
      <c r="N60" s="44">
        <f t="shared" si="23"/>
        <v>2.9248318221702252E-4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1" sqref="C1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Kinawataka-Kireka'!C3:G3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3" t="str">
        <f>'29.07 Kinawataka-Kireka'!G5:H5</f>
        <v>Kireka road</v>
      </c>
      <c r="H5" s="64"/>
      <c r="I5" s="14"/>
      <c r="J5" s="2" t="s">
        <v>5</v>
      </c>
      <c r="K5" s="63" t="str">
        <f>'29.07 Kinawataka-Kireka'!K5:L5</f>
        <v>Omeje Brian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Kinawataka-Kireka'!D6:E6</f>
        <v>Kinawataka</v>
      </c>
      <c r="E6" s="64"/>
      <c r="F6" s="2" t="s">
        <v>2</v>
      </c>
      <c r="G6" s="63" t="str">
        <f>'29.07 Kinawataka-Kireka'!G6:H6</f>
        <v xml:space="preserve">Kireka </v>
      </c>
      <c r="H6" s="64"/>
      <c r="J6" s="2" t="s">
        <v>21</v>
      </c>
      <c r="K6" s="63" t="str">
        <f>'29.07 Kinawataka-Kireka'!K6:L6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25</v>
      </c>
      <c r="D10" s="50">
        <v>1</v>
      </c>
      <c r="E10" s="50">
        <v>1</v>
      </c>
      <c r="F10" s="50">
        <v>8</v>
      </c>
      <c r="G10" s="50">
        <v>1</v>
      </c>
      <c r="H10" s="50">
        <v>0</v>
      </c>
      <c r="I10" s="50">
        <v>5</v>
      </c>
      <c r="J10" s="50">
        <v>0</v>
      </c>
      <c r="K10" s="50">
        <v>1</v>
      </c>
      <c r="L10" s="50">
        <v>2</v>
      </c>
      <c r="M10" s="50">
        <v>60</v>
      </c>
      <c r="N10" s="50">
        <v>0</v>
      </c>
      <c r="O10" s="15">
        <f t="shared" ref="O10:O57" si="0">SUM(C10:L10,N10)</f>
        <v>44</v>
      </c>
      <c r="P10" s="15">
        <f t="shared" ref="P10:P57" si="1">SUM(C10:N10)</f>
        <v>104</v>
      </c>
      <c r="R10" s="1" t="s">
        <v>6</v>
      </c>
      <c r="S10" s="17">
        <f t="shared" ref="S10:AF10" si="2">SUM(C10:C13)</f>
        <v>133</v>
      </c>
      <c r="T10" s="17">
        <f t="shared" si="2"/>
        <v>8</v>
      </c>
      <c r="U10" s="17">
        <f t="shared" si="2"/>
        <v>20</v>
      </c>
      <c r="V10" s="17">
        <f t="shared" si="2"/>
        <v>95</v>
      </c>
      <c r="W10" s="17">
        <f t="shared" si="2"/>
        <v>9</v>
      </c>
      <c r="X10" s="17">
        <f t="shared" si="2"/>
        <v>1</v>
      </c>
      <c r="Y10" s="17">
        <f t="shared" si="2"/>
        <v>23</v>
      </c>
      <c r="Z10" s="17">
        <f t="shared" si="2"/>
        <v>6</v>
      </c>
      <c r="AA10" s="17">
        <f t="shared" si="2"/>
        <v>5</v>
      </c>
      <c r="AB10" s="17">
        <f t="shared" si="2"/>
        <v>5</v>
      </c>
      <c r="AC10" s="17">
        <f t="shared" si="2"/>
        <v>563</v>
      </c>
      <c r="AD10" s="17">
        <f t="shared" si="2"/>
        <v>0</v>
      </c>
      <c r="AE10" s="31">
        <f t="shared" si="2"/>
        <v>305</v>
      </c>
      <c r="AF10" s="31">
        <f t="shared" si="2"/>
        <v>868</v>
      </c>
    </row>
    <row r="11" spans="2:32" s="6" customFormat="1" ht="23.1" customHeight="1" x14ac:dyDescent="0.25">
      <c r="B11" s="23" t="s">
        <v>38</v>
      </c>
      <c r="C11" s="50">
        <v>37</v>
      </c>
      <c r="D11" s="50">
        <v>3</v>
      </c>
      <c r="E11" s="50">
        <v>4</v>
      </c>
      <c r="F11" s="50">
        <v>31</v>
      </c>
      <c r="G11" s="50">
        <v>4</v>
      </c>
      <c r="H11" s="50">
        <v>0</v>
      </c>
      <c r="I11" s="50">
        <v>6</v>
      </c>
      <c r="J11" s="50">
        <v>3</v>
      </c>
      <c r="K11" s="50">
        <v>2</v>
      </c>
      <c r="L11" s="50">
        <v>2</v>
      </c>
      <c r="M11" s="50">
        <v>168</v>
      </c>
      <c r="N11" s="50">
        <v>0</v>
      </c>
      <c r="O11" s="15">
        <f t="shared" si="0"/>
        <v>92</v>
      </c>
      <c r="P11" s="15">
        <f t="shared" si="1"/>
        <v>260</v>
      </c>
      <c r="R11" s="1" t="s">
        <v>7</v>
      </c>
      <c r="S11" s="17">
        <f t="shared" ref="S11:AF11" si="3">SUM(C14:C17)</f>
        <v>131</v>
      </c>
      <c r="T11" s="17">
        <f t="shared" si="3"/>
        <v>15</v>
      </c>
      <c r="U11" s="17">
        <f t="shared" si="3"/>
        <v>25</v>
      </c>
      <c r="V11" s="17">
        <f t="shared" si="3"/>
        <v>87</v>
      </c>
      <c r="W11" s="17">
        <f t="shared" si="3"/>
        <v>11</v>
      </c>
      <c r="X11" s="17">
        <f t="shared" si="3"/>
        <v>0</v>
      </c>
      <c r="Y11" s="17">
        <f t="shared" si="3"/>
        <v>28</v>
      </c>
      <c r="Z11" s="17">
        <f t="shared" si="3"/>
        <v>6</v>
      </c>
      <c r="AA11" s="17">
        <f t="shared" si="3"/>
        <v>4</v>
      </c>
      <c r="AB11" s="17">
        <f t="shared" si="3"/>
        <v>13</v>
      </c>
      <c r="AC11" s="17">
        <f t="shared" si="3"/>
        <v>615</v>
      </c>
      <c r="AD11" s="17">
        <f t="shared" si="3"/>
        <v>0</v>
      </c>
      <c r="AE11" s="31">
        <f t="shared" si="3"/>
        <v>320</v>
      </c>
      <c r="AF11" s="31">
        <f t="shared" si="3"/>
        <v>935</v>
      </c>
    </row>
    <row r="12" spans="2:32" ht="23.1" customHeight="1" x14ac:dyDescent="0.25">
      <c r="B12" s="23" t="s">
        <v>39</v>
      </c>
      <c r="C12" s="50">
        <v>44</v>
      </c>
      <c r="D12" s="50">
        <v>3</v>
      </c>
      <c r="E12" s="50">
        <v>7</v>
      </c>
      <c r="F12" s="50">
        <v>29</v>
      </c>
      <c r="G12" s="50">
        <v>3</v>
      </c>
      <c r="H12" s="50">
        <v>1</v>
      </c>
      <c r="I12" s="50">
        <v>7</v>
      </c>
      <c r="J12" s="50">
        <v>3</v>
      </c>
      <c r="K12" s="50">
        <v>2</v>
      </c>
      <c r="L12" s="50">
        <v>0</v>
      </c>
      <c r="M12" s="50">
        <v>180</v>
      </c>
      <c r="N12" s="50">
        <v>0</v>
      </c>
      <c r="O12" s="15">
        <f t="shared" si="0"/>
        <v>99</v>
      </c>
      <c r="P12" s="15">
        <f t="shared" si="1"/>
        <v>279</v>
      </c>
      <c r="R12" s="1" t="s">
        <v>8</v>
      </c>
      <c r="S12" s="17">
        <f t="shared" ref="S12:AF12" si="4">SUM(C18:C21)</f>
        <v>150</v>
      </c>
      <c r="T12" s="17">
        <f t="shared" si="4"/>
        <v>11</v>
      </c>
      <c r="U12" s="17">
        <f t="shared" si="4"/>
        <v>26</v>
      </c>
      <c r="V12" s="17">
        <f t="shared" si="4"/>
        <v>96</v>
      </c>
      <c r="W12" s="17">
        <f t="shared" si="4"/>
        <v>9</v>
      </c>
      <c r="X12" s="17">
        <f t="shared" si="4"/>
        <v>0</v>
      </c>
      <c r="Y12" s="17">
        <f t="shared" si="4"/>
        <v>56</v>
      </c>
      <c r="Z12" s="17">
        <f t="shared" si="4"/>
        <v>12</v>
      </c>
      <c r="AA12" s="17">
        <f t="shared" si="4"/>
        <v>5</v>
      </c>
      <c r="AB12" s="17">
        <f t="shared" si="4"/>
        <v>14</v>
      </c>
      <c r="AC12" s="17">
        <f t="shared" si="4"/>
        <v>395</v>
      </c>
      <c r="AD12" s="17">
        <f t="shared" si="4"/>
        <v>2</v>
      </c>
      <c r="AE12" s="31">
        <f t="shared" si="4"/>
        <v>381</v>
      </c>
      <c r="AF12" s="31">
        <f t="shared" si="4"/>
        <v>776</v>
      </c>
    </row>
    <row r="13" spans="2:32" ht="23.1" customHeight="1" x14ac:dyDescent="0.25">
      <c r="B13" s="23" t="s">
        <v>40</v>
      </c>
      <c r="C13" s="50">
        <v>27</v>
      </c>
      <c r="D13" s="50">
        <v>1</v>
      </c>
      <c r="E13" s="50">
        <v>8</v>
      </c>
      <c r="F13" s="50">
        <v>27</v>
      </c>
      <c r="G13" s="50">
        <v>1</v>
      </c>
      <c r="H13" s="50">
        <v>0</v>
      </c>
      <c r="I13" s="50">
        <v>5</v>
      </c>
      <c r="J13" s="50">
        <v>0</v>
      </c>
      <c r="K13" s="50">
        <v>0</v>
      </c>
      <c r="L13" s="50">
        <v>1</v>
      </c>
      <c r="M13" s="50">
        <v>155</v>
      </c>
      <c r="N13" s="50">
        <v>0</v>
      </c>
      <c r="O13" s="15">
        <f t="shared" si="0"/>
        <v>70</v>
      </c>
      <c r="P13" s="15">
        <f t="shared" si="1"/>
        <v>225</v>
      </c>
      <c r="R13" s="1" t="s">
        <v>9</v>
      </c>
      <c r="S13" s="17">
        <f t="shared" ref="S13:AF13" si="5">SUM(C22:C25)</f>
        <v>168</v>
      </c>
      <c r="T13" s="17">
        <f t="shared" si="5"/>
        <v>20</v>
      </c>
      <c r="U13" s="17">
        <f t="shared" si="5"/>
        <v>31</v>
      </c>
      <c r="V13" s="17">
        <f t="shared" si="5"/>
        <v>80</v>
      </c>
      <c r="W13" s="17">
        <f t="shared" si="5"/>
        <v>9</v>
      </c>
      <c r="X13" s="17">
        <f t="shared" si="5"/>
        <v>2</v>
      </c>
      <c r="Y13" s="17">
        <f t="shared" si="5"/>
        <v>38</v>
      </c>
      <c r="Z13" s="17">
        <f t="shared" si="5"/>
        <v>19</v>
      </c>
      <c r="AA13" s="17">
        <f t="shared" si="5"/>
        <v>10</v>
      </c>
      <c r="AB13" s="17">
        <f t="shared" si="5"/>
        <v>23</v>
      </c>
      <c r="AC13" s="17">
        <f t="shared" si="5"/>
        <v>473</v>
      </c>
      <c r="AD13" s="17">
        <f t="shared" si="5"/>
        <v>0</v>
      </c>
      <c r="AE13" s="31">
        <f t="shared" si="5"/>
        <v>400</v>
      </c>
      <c r="AF13" s="31">
        <f t="shared" si="5"/>
        <v>873</v>
      </c>
    </row>
    <row r="14" spans="2:32" ht="23.1" customHeight="1" x14ac:dyDescent="0.25">
      <c r="B14" s="23" t="s">
        <v>41</v>
      </c>
      <c r="C14" s="50">
        <v>24</v>
      </c>
      <c r="D14" s="50">
        <v>4</v>
      </c>
      <c r="E14" s="50">
        <v>5</v>
      </c>
      <c r="F14" s="50">
        <v>23</v>
      </c>
      <c r="G14" s="50">
        <v>0</v>
      </c>
      <c r="H14" s="50">
        <v>0</v>
      </c>
      <c r="I14" s="50">
        <v>4</v>
      </c>
      <c r="J14" s="50">
        <v>1</v>
      </c>
      <c r="K14" s="50">
        <v>2</v>
      </c>
      <c r="L14" s="50">
        <v>0</v>
      </c>
      <c r="M14" s="50">
        <v>125</v>
      </c>
      <c r="N14" s="50">
        <v>0</v>
      </c>
      <c r="O14" s="15">
        <f t="shared" si="0"/>
        <v>63</v>
      </c>
      <c r="P14" s="15">
        <f t="shared" si="1"/>
        <v>188</v>
      </c>
      <c r="R14" s="1" t="s">
        <v>10</v>
      </c>
      <c r="S14" s="17">
        <f t="shared" ref="S14:AF14" si="6">SUM(C26:C29)</f>
        <v>178</v>
      </c>
      <c r="T14" s="17">
        <f t="shared" si="6"/>
        <v>14</v>
      </c>
      <c r="U14" s="17">
        <f t="shared" si="6"/>
        <v>30</v>
      </c>
      <c r="V14" s="17">
        <f t="shared" si="6"/>
        <v>77</v>
      </c>
      <c r="W14" s="17">
        <f t="shared" si="6"/>
        <v>5</v>
      </c>
      <c r="X14" s="17">
        <f t="shared" si="6"/>
        <v>0</v>
      </c>
      <c r="Y14" s="17">
        <f t="shared" si="6"/>
        <v>49</v>
      </c>
      <c r="Z14" s="17">
        <f t="shared" si="6"/>
        <v>18</v>
      </c>
      <c r="AA14" s="17">
        <f t="shared" si="6"/>
        <v>13</v>
      </c>
      <c r="AB14" s="17">
        <f t="shared" si="6"/>
        <v>25</v>
      </c>
      <c r="AC14" s="17">
        <f t="shared" si="6"/>
        <v>395</v>
      </c>
      <c r="AD14" s="17">
        <f t="shared" si="6"/>
        <v>0</v>
      </c>
      <c r="AE14" s="31">
        <f t="shared" si="6"/>
        <v>409</v>
      </c>
      <c r="AF14" s="31">
        <f t="shared" si="6"/>
        <v>804</v>
      </c>
    </row>
    <row r="15" spans="2:32" ht="23.1" customHeight="1" x14ac:dyDescent="0.25">
      <c r="B15" s="23" t="s">
        <v>42</v>
      </c>
      <c r="C15" s="50">
        <v>39</v>
      </c>
      <c r="D15" s="50">
        <v>6</v>
      </c>
      <c r="E15" s="50">
        <v>6</v>
      </c>
      <c r="F15" s="50">
        <v>20</v>
      </c>
      <c r="G15" s="50">
        <v>1</v>
      </c>
      <c r="H15" s="50">
        <v>0</v>
      </c>
      <c r="I15" s="50">
        <v>7</v>
      </c>
      <c r="J15" s="50">
        <v>2</v>
      </c>
      <c r="K15" s="50">
        <v>1</v>
      </c>
      <c r="L15" s="50">
        <v>2</v>
      </c>
      <c r="M15" s="50">
        <v>150</v>
      </c>
      <c r="N15" s="50">
        <v>0</v>
      </c>
      <c r="O15" s="15">
        <f t="shared" si="0"/>
        <v>84</v>
      </c>
      <c r="P15" s="15">
        <f t="shared" si="1"/>
        <v>234</v>
      </c>
      <c r="R15" s="1" t="s">
        <v>11</v>
      </c>
      <c r="S15" s="17">
        <f t="shared" ref="S15:AF15" si="7">SUM(C30:C33)</f>
        <v>137</v>
      </c>
      <c r="T15" s="17">
        <f t="shared" si="7"/>
        <v>13</v>
      </c>
      <c r="U15" s="17">
        <f t="shared" si="7"/>
        <v>22</v>
      </c>
      <c r="V15" s="17">
        <f t="shared" si="7"/>
        <v>51</v>
      </c>
      <c r="W15" s="17">
        <f t="shared" si="7"/>
        <v>5</v>
      </c>
      <c r="X15" s="17">
        <f t="shared" si="7"/>
        <v>1</v>
      </c>
      <c r="Y15" s="17">
        <f t="shared" si="7"/>
        <v>34</v>
      </c>
      <c r="Z15" s="17">
        <f t="shared" si="7"/>
        <v>25</v>
      </c>
      <c r="AA15" s="17">
        <f t="shared" si="7"/>
        <v>15</v>
      </c>
      <c r="AB15" s="17">
        <f t="shared" si="7"/>
        <v>17</v>
      </c>
      <c r="AC15" s="17">
        <f t="shared" si="7"/>
        <v>325</v>
      </c>
      <c r="AD15" s="17">
        <f t="shared" si="7"/>
        <v>1</v>
      </c>
      <c r="AE15" s="31">
        <f t="shared" si="7"/>
        <v>321</v>
      </c>
      <c r="AF15" s="31">
        <f t="shared" si="7"/>
        <v>646</v>
      </c>
    </row>
    <row r="16" spans="2:32" ht="23.1" customHeight="1" x14ac:dyDescent="0.25">
      <c r="B16" s="23" t="s">
        <v>43</v>
      </c>
      <c r="C16" s="50">
        <v>42</v>
      </c>
      <c r="D16" s="50">
        <v>2</v>
      </c>
      <c r="E16" s="50">
        <v>9</v>
      </c>
      <c r="F16" s="50">
        <v>22</v>
      </c>
      <c r="G16" s="50">
        <v>6</v>
      </c>
      <c r="H16" s="50">
        <v>0</v>
      </c>
      <c r="I16" s="50">
        <v>9</v>
      </c>
      <c r="J16" s="50">
        <v>3</v>
      </c>
      <c r="K16" s="50">
        <v>1</v>
      </c>
      <c r="L16" s="50">
        <v>1</v>
      </c>
      <c r="M16" s="50">
        <v>165</v>
      </c>
      <c r="N16" s="50">
        <v>0</v>
      </c>
      <c r="O16" s="15">
        <f t="shared" si="0"/>
        <v>95</v>
      </c>
      <c r="P16" s="15">
        <f t="shared" si="1"/>
        <v>260</v>
      </c>
      <c r="R16" s="1" t="s">
        <v>12</v>
      </c>
      <c r="S16" s="17">
        <f t="shared" ref="S16:AF16" si="8">SUM(C34:C37)</f>
        <v>138</v>
      </c>
      <c r="T16" s="17">
        <f t="shared" si="8"/>
        <v>12</v>
      </c>
      <c r="U16" s="17">
        <f t="shared" si="8"/>
        <v>20</v>
      </c>
      <c r="V16" s="17">
        <f t="shared" si="8"/>
        <v>41</v>
      </c>
      <c r="W16" s="17">
        <f t="shared" si="8"/>
        <v>7</v>
      </c>
      <c r="X16" s="17">
        <f t="shared" si="8"/>
        <v>0</v>
      </c>
      <c r="Y16" s="17">
        <f t="shared" si="8"/>
        <v>35</v>
      </c>
      <c r="Z16" s="17">
        <f t="shared" si="8"/>
        <v>13</v>
      </c>
      <c r="AA16" s="17">
        <f t="shared" si="8"/>
        <v>5</v>
      </c>
      <c r="AB16" s="17">
        <f t="shared" si="8"/>
        <v>19</v>
      </c>
      <c r="AC16" s="17">
        <f t="shared" si="8"/>
        <v>325</v>
      </c>
      <c r="AD16" s="17">
        <f t="shared" si="8"/>
        <v>0</v>
      </c>
      <c r="AE16" s="31">
        <f t="shared" si="8"/>
        <v>290</v>
      </c>
      <c r="AF16" s="31">
        <f t="shared" si="8"/>
        <v>615</v>
      </c>
    </row>
    <row r="17" spans="2:32" ht="23.1" customHeight="1" x14ac:dyDescent="0.25">
      <c r="B17" s="23" t="s">
        <v>44</v>
      </c>
      <c r="C17" s="50">
        <v>26</v>
      </c>
      <c r="D17" s="50">
        <v>3</v>
      </c>
      <c r="E17" s="50">
        <v>5</v>
      </c>
      <c r="F17" s="50">
        <v>22</v>
      </c>
      <c r="G17" s="50">
        <v>4</v>
      </c>
      <c r="H17" s="50">
        <v>0</v>
      </c>
      <c r="I17" s="50">
        <v>8</v>
      </c>
      <c r="J17" s="50">
        <v>0</v>
      </c>
      <c r="K17" s="50">
        <v>0</v>
      </c>
      <c r="L17" s="50">
        <v>10</v>
      </c>
      <c r="M17" s="50">
        <v>175</v>
      </c>
      <c r="N17" s="50">
        <v>0</v>
      </c>
      <c r="O17" s="15">
        <f t="shared" si="0"/>
        <v>78</v>
      </c>
      <c r="P17" s="15">
        <f t="shared" si="1"/>
        <v>253</v>
      </c>
      <c r="R17" s="1" t="s">
        <v>13</v>
      </c>
      <c r="S17" s="17">
        <f t="shared" ref="S17:AF17" si="9">SUM(C38:C41)</f>
        <v>146</v>
      </c>
      <c r="T17" s="17">
        <f t="shared" si="9"/>
        <v>11</v>
      </c>
      <c r="U17" s="17">
        <f t="shared" si="9"/>
        <v>21</v>
      </c>
      <c r="V17" s="17">
        <f t="shared" si="9"/>
        <v>29</v>
      </c>
      <c r="W17" s="17">
        <f t="shared" si="9"/>
        <v>10</v>
      </c>
      <c r="X17" s="17">
        <f t="shared" si="9"/>
        <v>0</v>
      </c>
      <c r="Y17" s="17">
        <f t="shared" si="9"/>
        <v>30</v>
      </c>
      <c r="Z17" s="17">
        <f t="shared" si="9"/>
        <v>23</v>
      </c>
      <c r="AA17" s="17">
        <f t="shared" si="9"/>
        <v>8</v>
      </c>
      <c r="AB17" s="17">
        <f t="shared" si="9"/>
        <v>28</v>
      </c>
      <c r="AC17" s="17">
        <f t="shared" si="9"/>
        <v>315</v>
      </c>
      <c r="AD17" s="17">
        <f t="shared" si="9"/>
        <v>0</v>
      </c>
      <c r="AE17" s="31">
        <f t="shared" si="9"/>
        <v>306</v>
      </c>
      <c r="AF17" s="31">
        <f t="shared" si="9"/>
        <v>621</v>
      </c>
    </row>
    <row r="18" spans="2:32" ht="23.1" customHeight="1" x14ac:dyDescent="0.25">
      <c r="B18" s="23" t="s">
        <v>45</v>
      </c>
      <c r="C18" s="50">
        <v>31</v>
      </c>
      <c r="D18" s="50">
        <v>5</v>
      </c>
      <c r="E18" s="50">
        <v>6</v>
      </c>
      <c r="F18" s="50">
        <v>33</v>
      </c>
      <c r="G18" s="50">
        <v>2</v>
      </c>
      <c r="H18" s="50">
        <v>0</v>
      </c>
      <c r="I18" s="50">
        <v>12</v>
      </c>
      <c r="J18" s="50">
        <v>5</v>
      </c>
      <c r="K18" s="50">
        <v>1</v>
      </c>
      <c r="L18" s="50">
        <v>6</v>
      </c>
      <c r="M18" s="50">
        <v>105</v>
      </c>
      <c r="N18" s="50">
        <v>1</v>
      </c>
      <c r="O18" s="15">
        <f t="shared" si="0"/>
        <v>102</v>
      </c>
      <c r="P18" s="15">
        <f t="shared" si="1"/>
        <v>207</v>
      </c>
      <c r="R18" s="1" t="s">
        <v>14</v>
      </c>
      <c r="S18" s="17">
        <f t="shared" ref="S18:AF18" si="10">SUM(C42:C45)</f>
        <v>124</v>
      </c>
      <c r="T18" s="17">
        <f t="shared" si="10"/>
        <v>8</v>
      </c>
      <c r="U18" s="17">
        <f t="shared" si="10"/>
        <v>16</v>
      </c>
      <c r="V18" s="17">
        <f t="shared" si="10"/>
        <v>34</v>
      </c>
      <c r="W18" s="17">
        <f t="shared" si="10"/>
        <v>7</v>
      </c>
      <c r="X18" s="17">
        <f t="shared" si="10"/>
        <v>0</v>
      </c>
      <c r="Y18" s="17">
        <f t="shared" si="10"/>
        <v>53</v>
      </c>
      <c r="Z18" s="17">
        <f t="shared" si="10"/>
        <v>15</v>
      </c>
      <c r="AA18" s="17">
        <f t="shared" si="10"/>
        <v>4</v>
      </c>
      <c r="AB18" s="17">
        <f t="shared" si="10"/>
        <v>17</v>
      </c>
      <c r="AC18" s="17">
        <f t="shared" si="10"/>
        <v>250</v>
      </c>
      <c r="AD18" s="17">
        <f t="shared" si="10"/>
        <v>0</v>
      </c>
      <c r="AE18" s="31">
        <f t="shared" si="10"/>
        <v>278</v>
      </c>
      <c r="AF18" s="31">
        <f t="shared" si="10"/>
        <v>528</v>
      </c>
    </row>
    <row r="19" spans="2:32" ht="23.1" customHeight="1" x14ac:dyDescent="0.25">
      <c r="B19" s="23" t="s">
        <v>46</v>
      </c>
      <c r="C19" s="50">
        <v>26</v>
      </c>
      <c r="D19" s="50">
        <v>0</v>
      </c>
      <c r="E19" s="50">
        <v>2</v>
      </c>
      <c r="F19" s="50">
        <v>20</v>
      </c>
      <c r="G19" s="50">
        <v>3</v>
      </c>
      <c r="H19" s="50">
        <v>0</v>
      </c>
      <c r="I19" s="50">
        <v>8</v>
      </c>
      <c r="J19" s="50">
        <v>1</v>
      </c>
      <c r="K19" s="50">
        <v>1</v>
      </c>
      <c r="L19" s="50">
        <v>3</v>
      </c>
      <c r="M19" s="50">
        <v>85</v>
      </c>
      <c r="N19" s="50">
        <v>1</v>
      </c>
      <c r="O19" s="15">
        <f t="shared" si="0"/>
        <v>65</v>
      </c>
      <c r="P19" s="15">
        <f t="shared" si="1"/>
        <v>150</v>
      </c>
      <c r="R19" s="1" t="s">
        <v>15</v>
      </c>
      <c r="S19" s="17">
        <f t="shared" ref="S19:AF19" si="11">SUM(C46:C49)</f>
        <v>270</v>
      </c>
      <c r="T19" s="17">
        <f t="shared" si="11"/>
        <v>30</v>
      </c>
      <c r="U19" s="17">
        <f t="shared" si="11"/>
        <v>33</v>
      </c>
      <c r="V19" s="17">
        <f t="shared" si="11"/>
        <v>55</v>
      </c>
      <c r="W19" s="17">
        <f t="shared" si="11"/>
        <v>9</v>
      </c>
      <c r="X19" s="17">
        <f t="shared" si="11"/>
        <v>0</v>
      </c>
      <c r="Y19" s="17">
        <f t="shared" si="11"/>
        <v>61</v>
      </c>
      <c r="Z19" s="17">
        <f t="shared" si="11"/>
        <v>30</v>
      </c>
      <c r="AA19" s="17">
        <f t="shared" si="11"/>
        <v>12</v>
      </c>
      <c r="AB19" s="17">
        <f t="shared" si="11"/>
        <v>29</v>
      </c>
      <c r="AC19" s="17">
        <f t="shared" si="11"/>
        <v>375</v>
      </c>
      <c r="AD19" s="17">
        <f t="shared" si="11"/>
        <v>0</v>
      </c>
      <c r="AE19" s="31">
        <f t="shared" si="11"/>
        <v>529</v>
      </c>
      <c r="AF19" s="31">
        <f t="shared" si="11"/>
        <v>904</v>
      </c>
    </row>
    <row r="20" spans="2:32" ht="23.1" customHeight="1" x14ac:dyDescent="0.25">
      <c r="B20" s="23" t="s">
        <v>47</v>
      </c>
      <c r="C20" s="50">
        <v>34</v>
      </c>
      <c r="D20" s="50">
        <v>5</v>
      </c>
      <c r="E20" s="50">
        <v>10</v>
      </c>
      <c r="F20" s="50">
        <v>20</v>
      </c>
      <c r="G20" s="50">
        <v>1</v>
      </c>
      <c r="H20" s="50">
        <v>0</v>
      </c>
      <c r="I20" s="50">
        <v>12</v>
      </c>
      <c r="J20" s="50">
        <v>1</v>
      </c>
      <c r="K20" s="50">
        <v>2</v>
      </c>
      <c r="L20" s="50">
        <v>2</v>
      </c>
      <c r="M20" s="50">
        <v>100</v>
      </c>
      <c r="N20" s="50">
        <v>0</v>
      </c>
      <c r="O20" s="15">
        <f t="shared" si="0"/>
        <v>87</v>
      </c>
      <c r="P20" s="15">
        <f t="shared" si="1"/>
        <v>187</v>
      </c>
      <c r="R20" s="1" t="s">
        <v>16</v>
      </c>
      <c r="S20" s="17">
        <f t="shared" ref="S20:AF20" si="12">SUM(C50:C53)</f>
        <v>278</v>
      </c>
      <c r="T20" s="17">
        <f t="shared" si="12"/>
        <v>15</v>
      </c>
      <c r="U20" s="17">
        <f t="shared" si="12"/>
        <v>42</v>
      </c>
      <c r="V20" s="17">
        <f t="shared" si="12"/>
        <v>37</v>
      </c>
      <c r="W20" s="17">
        <f t="shared" si="12"/>
        <v>12</v>
      </c>
      <c r="X20" s="17">
        <f t="shared" si="12"/>
        <v>0</v>
      </c>
      <c r="Y20" s="17">
        <f t="shared" si="12"/>
        <v>23</v>
      </c>
      <c r="Z20" s="17">
        <f t="shared" si="12"/>
        <v>12</v>
      </c>
      <c r="AA20" s="17">
        <f t="shared" si="12"/>
        <v>7</v>
      </c>
      <c r="AB20" s="17">
        <f t="shared" si="12"/>
        <v>26</v>
      </c>
      <c r="AC20" s="17">
        <f t="shared" si="12"/>
        <v>375</v>
      </c>
      <c r="AD20" s="17">
        <f t="shared" si="12"/>
        <v>1</v>
      </c>
      <c r="AE20" s="31">
        <f t="shared" si="12"/>
        <v>453</v>
      </c>
      <c r="AF20" s="31">
        <f t="shared" si="12"/>
        <v>828</v>
      </c>
    </row>
    <row r="21" spans="2:32" ht="23.1" customHeight="1" x14ac:dyDescent="0.25">
      <c r="B21" s="23" t="s">
        <v>48</v>
      </c>
      <c r="C21" s="50">
        <v>59</v>
      </c>
      <c r="D21" s="50">
        <v>1</v>
      </c>
      <c r="E21" s="50">
        <v>8</v>
      </c>
      <c r="F21" s="50">
        <v>23</v>
      </c>
      <c r="G21" s="50">
        <v>3</v>
      </c>
      <c r="H21" s="50">
        <v>0</v>
      </c>
      <c r="I21" s="50">
        <v>24</v>
      </c>
      <c r="J21" s="50">
        <v>5</v>
      </c>
      <c r="K21" s="50">
        <v>1</v>
      </c>
      <c r="L21" s="50">
        <v>3</v>
      </c>
      <c r="M21" s="50">
        <v>105</v>
      </c>
      <c r="N21" s="50">
        <v>0</v>
      </c>
      <c r="O21" s="15">
        <f t="shared" si="0"/>
        <v>127</v>
      </c>
      <c r="P21" s="15">
        <f t="shared" si="1"/>
        <v>232</v>
      </c>
      <c r="R21" s="36" t="s">
        <v>20</v>
      </c>
      <c r="S21" s="34">
        <f t="shared" ref="S21:AF21" si="13">SUM(C54:C57)</f>
        <v>300</v>
      </c>
      <c r="T21" s="17">
        <f t="shared" si="13"/>
        <v>29</v>
      </c>
      <c r="U21" s="17">
        <f t="shared" si="13"/>
        <v>42</v>
      </c>
      <c r="V21" s="17">
        <f t="shared" si="13"/>
        <v>51</v>
      </c>
      <c r="W21" s="17">
        <f t="shared" si="13"/>
        <v>6</v>
      </c>
      <c r="X21" s="17">
        <f t="shared" si="13"/>
        <v>0</v>
      </c>
      <c r="Y21" s="17">
        <f t="shared" si="13"/>
        <v>33</v>
      </c>
      <c r="Z21" s="17">
        <f t="shared" si="13"/>
        <v>7</v>
      </c>
      <c r="AA21" s="17">
        <f t="shared" si="13"/>
        <v>7</v>
      </c>
      <c r="AB21" s="17">
        <f t="shared" si="13"/>
        <v>7</v>
      </c>
      <c r="AC21" s="17">
        <f t="shared" si="13"/>
        <v>550</v>
      </c>
      <c r="AD21" s="17">
        <f t="shared" si="13"/>
        <v>0</v>
      </c>
      <c r="AE21" s="31">
        <f t="shared" si="13"/>
        <v>482</v>
      </c>
      <c r="AF21" s="31">
        <f t="shared" si="13"/>
        <v>1032</v>
      </c>
    </row>
    <row r="22" spans="2:32" ht="23.1" customHeight="1" x14ac:dyDescent="0.25">
      <c r="B22" s="23" t="s">
        <v>49</v>
      </c>
      <c r="C22" s="50">
        <v>56</v>
      </c>
      <c r="D22" s="50">
        <v>7</v>
      </c>
      <c r="E22" s="50">
        <v>15</v>
      </c>
      <c r="F22" s="50">
        <v>33</v>
      </c>
      <c r="G22" s="50">
        <v>1</v>
      </c>
      <c r="H22" s="50">
        <v>1</v>
      </c>
      <c r="I22" s="50">
        <v>11</v>
      </c>
      <c r="J22" s="50">
        <v>4</v>
      </c>
      <c r="K22" s="50">
        <v>3</v>
      </c>
      <c r="L22" s="50">
        <v>4</v>
      </c>
      <c r="M22" s="50">
        <v>105</v>
      </c>
      <c r="N22" s="50">
        <v>0</v>
      </c>
      <c r="O22" s="15">
        <f t="shared" si="0"/>
        <v>135</v>
      </c>
      <c r="P22" s="15">
        <f t="shared" si="1"/>
        <v>240</v>
      </c>
      <c r="R22" s="38" t="s">
        <v>90</v>
      </c>
      <c r="S22" s="39">
        <f>MAX(S10:S12)</f>
        <v>150</v>
      </c>
      <c r="T22" s="39">
        <f t="shared" ref="T22:AF22" si="14">MAX(T10:T12)</f>
        <v>15</v>
      </c>
      <c r="U22" s="39">
        <f t="shared" si="14"/>
        <v>26</v>
      </c>
      <c r="V22" s="39">
        <f t="shared" si="14"/>
        <v>96</v>
      </c>
      <c r="W22" s="39">
        <f t="shared" si="14"/>
        <v>11</v>
      </c>
      <c r="X22" s="39">
        <f t="shared" si="14"/>
        <v>1</v>
      </c>
      <c r="Y22" s="39">
        <f t="shared" si="14"/>
        <v>56</v>
      </c>
      <c r="Z22" s="39">
        <f t="shared" si="14"/>
        <v>12</v>
      </c>
      <c r="AA22" s="39">
        <f t="shared" si="14"/>
        <v>5</v>
      </c>
      <c r="AB22" s="39">
        <f t="shared" si="14"/>
        <v>14</v>
      </c>
      <c r="AC22" s="39">
        <f t="shared" si="14"/>
        <v>615</v>
      </c>
      <c r="AD22" s="39">
        <f t="shared" si="14"/>
        <v>2</v>
      </c>
      <c r="AE22" s="40">
        <f t="shared" si="14"/>
        <v>381</v>
      </c>
      <c r="AF22" s="40">
        <f t="shared" si="14"/>
        <v>935</v>
      </c>
    </row>
    <row r="23" spans="2:32" ht="23.1" customHeight="1" x14ac:dyDescent="0.25">
      <c r="B23" s="23" t="s">
        <v>50</v>
      </c>
      <c r="C23" s="50">
        <v>30</v>
      </c>
      <c r="D23" s="50">
        <v>3</v>
      </c>
      <c r="E23" s="50">
        <v>8</v>
      </c>
      <c r="F23" s="50">
        <v>24</v>
      </c>
      <c r="G23" s="50">
        <v>1</v>
      </c>
      <c r="H23" s="50">
        <v>0</v>
      </c>
      <c r="I23" s="50">
        <v>12</v>
      </c>
      <c r="J23" s="50">
        <v>5</v>
      </c>
      <c r="K23" s="50">
        <v>2</v>
      </c>
      <c r="L23" s="50">
        <v>7</v>
      </c>
      <c r="M23" s="50">
        <v>120</v>
      </c>
      <c r="N23" s="50">
        <v>0</v>
      </c>
      <c r="O23" s="15">
        <f t="shared" si="0"/>
        <v>92</v>
      </c>
      <c r="P23" s="15">
        <f t="shared" si="1"/>
        <v>212</v>
      </c>
      <c r="R23" s="38" t="s">
        <v>91</v>
      </c>
      <c r="S23" s="39">
        <f>MAX(S13:S18)</f>
        <v>178</v>
      </c>
      <c r="T23" s="39">
        <f t="shared" ref="T23:AF23" si="15">MAX(T13:T18)</f>
        <v>20</v>
      </c>
      <c r="U23" s="39">
        <f t="shared" si="15"/>
        <v>31</v>
      </c>
      <c r="V23" s="39">
        <f t="shared" si="15"/>
        <v>80</v>
      </c>
      <c r="W23" s="39">
        <f t="shared" si="15"/>
        <v>10</v>
      </c>
      <c r="X23" s="39">
        <f t="shared" si="15"/>
        <v>2</v>
      </c>
      <c r="Y23" s="39">
        <f t="shared" si="15"/>
        <v>53</v>
      </c>
      <c r="Z23" s="39">
        <f t="shared" si="15"/>
        <v>25</v>
      </c>
      <c r="AA23" s="39">
        <f t="shared" si="15"/>
        <v>15</v>
      </c>
      <c r="AB23" s="39">
        <f t="shared" si="15"/>
        <v>28</v>
      </c>
      <c r="AC23" s="39">
        <f t="shared" si="15"/>
        <v>473</v>
      </c>
      <c r="AD23" s="39">
        <f t="shared" si="15"/>
        <v>1</v>
      </c>
      <c r="AE23" s="40">
        <f t="shared" si="15"/>
        <v>409</v>
      </c>
      <c r="AF23" s="40">
        <f t="shared" si="15"/>
        <v>873</v>
      </c>
    </row>
    <row r="24" spans="2:32" ht="23.1" customHeight="1" x14ac:dyDescent="0.25">
      <c r="B24" s="23" t="s">
        <v>51</v>
      </c>
      <c r="C24" s="50">
        <v>26</v>
      </c>
      <c r="D24" s="50">
        <v>6</v>
      </c>
      <c r="E24" s="50">
        <v>5</v>
      </c>
      <c r="F24" s="50">
        <v>8</v>
      </c>
      <c r="G24" s="50">
        <v>2</v>
      </c>
      <c r="H24" s="50">
        <v>0</v>
      </c>
      <c r="I24" s="50">
        <v>8</v>
      </c>
      <c r="J24" s="50">
        <v>4</v>
      </c>
      <c r="K24" s="50">
        <v>5</v>
      </c>
      <c r="L24" s="50">
        <v>5</v>
      </c>
      <c r="M24" s="50">
        <v>90</v>
      </c>
      <c r="N24" s="50">
        <v>0</v>
      </c>
      <c r="O24" s="15">
        <f t="shared" si="0"/>
        <v>69</v>
      </c>
      <c r="P24" s="15">
        <f t="shared" si="1"/>
        <v>159</v>
      </c>
      <c r="R24" s="38" t="s">
        <v>92</v>
      </c>
      <c r="S24" s="39">
        <f>MAX(S19:S21)</f>
        <v>300</v>
      </c>
      <c r="T24" s="39">
        <f t="shared" ref="T24:AF24" si="16">MAX(T19:T21)</f>
        <v>30</v>
      </c>
      <c r="U24" s="39">
        <f t="shared" si="16"/>
        <v>42</v>
      </c>
      <c r="V24" s="39">
        <f t="shared" si="16"/>
        <v>55</v>
      </c>
      <c r="W24" s="39">
        <f t="shared" si="16"/>
        <v>12</v>
      </c>
      <c r="X24" s="39">
        <f t="shared" si="16"/>
        <v>0</v>
      </c>
      <c r="Y24" s="39">
        <f t="shared" si="16"/>
        <v>61</v>
      </c>
      <c r="Z24" s="39">
        <f t="shared" si="16"/>
        <v>30</v>
      </c>
      <c r="AA24" s="39">
        <f t="shared" si="16"/>
        <v>12</v>
      </c>
      <c r="AB24" s="39">
        <f t="shared" si="16"/>
        <v>29</v>
      </c>
      <c r="AC24" s="39">
        <f t="shared" si="16"/>
        <v>550</v>
      </c>
      <c r="AD24" s="39">
        <f t="shared" si="16"/>
        <v>1</v>
      </c>
      <c r="AE24" s="40">
        <f t="shared" si="16"/>
        <v>529</v>
      </c>
      <c r="AF24" s="40">
        <f t="shared" si="16"/>
        <v>1032</v>
      </c>
    </row>
    <row r="25" spans="2:32" ht="23.1" customHeight="1" x14ac:dyDescent="0.25">
      <c r="B25" s="23" t="s">
        <v>52</v>
      </c>
      <c r="C25" s="50">
        <v>56</v>
      </c>
      <c r="D25" s="50">
        <v>4</v>
      </c>
      <c r="E25" s="50">
        <v>3</v>
      </c>
      <c r="F25" s="50">
        <v>15</v>
      </c>
      <c r="G25" s="50">
        <v>5</v>
      </c>
      <c r="H25" s="50">
        <v>1</v>
      </c>
      <c r="I25" s="50">
        <v>7</v>
      </c>
      <c r="J25" s="50">
        <v>6</v>
      </c>
      <c r="K25" s="50">
        <v>0</v>
      </c>
      <c r="L25" s="50">
        <v>7</v>
      </c>
      <c r="M25" s="50">
        <v>158</v>
      </c>
      <c r="N25" s="50">
        <v>0</v>
      </c>
      <c r="O25" s="15">
        <f t="shared" si="0"/>
        <v>104</v>
      </c>
      <c r="P25" s="15">
        <f t="shared" si="1"/>
        <v>262</v>
      </c>
      <c r="R25" s="37" t="s">
        <v>85</v>
      </c>
      <c r="S25" s="35">
        <f t="shared" ref="S25:AF25" si="17">SUM(S10:S12)</f>
        <v>414</v>
      </c>
      <c r="T25" s="16">
        <f t="shared" si="17"/>
        <v>34</v>
      </c>
      <c r="U25" s="16">
        <f t="shared" si="17"/>
        <v>71</v>
      </c>
      <c r="V25" s="16">
        <f t="shared" si="17"/>
        <v>278</v>
      </c>
      <c r="W25" s="16">
        <f t="shared" si="17"/>
        <v>29</v>
      </c>
      <c r="X25" s="16">
        <f t="shared" si="17"/>
        <v>1</v>
      </c>
      <c r="Y25" s="16">
        <f t="shared" si="17"/>
        <v>107</v>
      </c>
      <c r="Z25" s="16">
        <f t="shared" si="17"/>
        <v>24</v>
      </c>
      <c r="AA25" s="16">
        <f t="shared" si="17"/>
        <v>14</v>
      </c>
      <c r="AB25" s="16">
        <f t="shared" si="17"/>
        <v>32</v>
      </c>
      <c r="AC25" s="16">
        <f t="shared" si="17"/>
        <v>1573</v>
      </c>
      <c r="AD25" s="16">
        <f t="shared" si="17"/>
        <v>2</v>
      </c>
      <c r="AE25" s="32">
        <f t="shared" si="17"/>
        <v>1006</v>
      </c>
      <c r="AF25" s="32">
        <f t="shared" si="17"/>
        <v>2579</v>
      </c>
    </row>
    <row r="26" spans="2:32" ht="23.1" customHeight="1" x14ac:dyDescent="0.25">
      <c r="B26" s="23" t="s">
        <v>53</v>
      </c>
      <c r="C26" s="50">
        <v>45</v>
      </c>
      <c r="D26" s="50">
        <v>3</v>
      </c>
      <c r="E26" s="50">
        <v>2</v>
      </c>
      <c r="F26" s="50">
        <v>26</v>
      </c>
      <c r="G26" s="50">
        <v>3</v>
      </c>
      <c r="H26" s="50">
        <v>0</v>
      </c>
      <c r="I26" s="50">
        <v>16</v>
      </c>
      <c r="J26" s="50">
        <v>6</v>
      </c>
      <c r="K26" s="50">
        <v>7</v>
      </c>
      <c r="L26" s="50">
        <v>3</v>
      </c>
      <c r="M26" s="50">
        <v>135</v>
      </c>
      <c r="N26" s="50">
        <v>0</v>
      </c>
      <c r="O26" s="15">
        <f t="shared" si="0"/>
        <v>111</v>
      </c>
      <c r="P26" s="15">
        <f t="shared" si="1"/>
        <v>246</v>
      </c>
      <c r="R26" s="28" t="s">
        <v>86</v>
      </c>
      <c r="S26" s="16">
        <f t="shared" ref="S26:AF26" si="18">SUM(S13:S18)</f>
        <v>891</v>
      </c>
      <c r="T26" s="16">
        <f t="shared" si="18"/>
        <v>78</v>
      </c>
      <c r="U26" s="16">
        <f t="shared" si="18"/>
        <v>140</v>
      </c>
      <c r="V26" s="16">
        <f t="shared" si="18"/>
        <v>312</v>
      </c>
      <c r="W26" s="16">
        <f t="shared" si="18"/>
        <v>43</v>
      </c>
      <c r="X26" s="16">
        <f t="shared" si="18"/>
        <v>3</v>
      </c>
      <c r="Y26" s="16">
        <f t="shared" si="18"/>
        <v>239</v>
      </c>
      <c r="Z26" s="16">
        <f t="shared" si="18"/>
        <v>113</v>
      </c>
      <c r="AA26" s="16">
        <f t="shared" si="18"/>
        <v>55</v>
      </c>
      <c r="AB26" s="16">
        <f t="shared" si="18"/>
        <v>129</v>
      </c>
      <c r="AC26" s="16">
        <f t="shared" si="18"/>
        <v>2083</v>
      </c>
      <c r="AD26" s="16">
        <f t="shared" si="18"/>
        <v>1</v>
      </c>
      <c r="AE26" s="32">
        <f t="shared" si="18"/>
        <v>2004</v>
      </c>
      <c r="AF26" s="32">
        <f t="shared" si="18"/>
        <v>4087</v>
      </c>
    </row>
    <row r="27" spans="2:32" ht="23.1" customHeight="1" x14ac:dyDescent="0.25">
      <c r="B27" s="23" t="s">
        <v>54</v>
      </c>
      <c r="C27" s="50">
        <v>66</v>
      </c>
      <c r="D27" s="50">
        <v>2</v>
      </c>
      <c r="E27" s="50">
        <v>11</v>
      </c>
      <c r="F27" s="50">
        <v>15</v>
      </c>
      <c r="G27" s="50">
        <v>1</v>
      </c>
      <c r="H27" s="50">
        <v>0</v>
      </c>
      <c r="I27" s="50">
        <v>10</v>
      </c>
      <c r="J27" s="50">
        <v>0</v>
      </c>
      <c r="K27" s="50">
        <v>2</v>
      </c>
      <c r="L27" s="50">
        <v>5</v>
      </c>
      <c r="M27" s="50">
        <v>100</v>
      </c>
      <c r="N27" s="50">
        <v>0</v>
      </c>
      <c r="O27" s="15">
        <f t="shared" si="0"/>
        <v>112</v>
      </c>
      <c r="P27" s="15">
        <f t="shared" si="1"/>
        <v>212</v>
      </c>
      <c r="R27" s="29" t="s">
        <v>87</v>
      </c>
      <c r="S27" s="16">
        <f t="shared" ref="S27:AF27" si="19">SUM(S19:S21)</f>
        <v>848</v>
      </c>
      <c r="T27" s="16">
        <f t="shared" si="19"/>
        <v>74</v>
      </c>
      <c r="U27" s="16">
        <f t="shared" si="19"/>
        <v>117</v>
      </c>
      <c r="V27" s="16">
        <f t="shared" si="19"/>
        <v>143</v>
      </c>
      <c r="W27" s="16">
        <f t="shared" si="19"/>
        <v>27</v>
      </c>
      <c r="X27" s="16">
        <f t="shared" si="19"/>
        <v>0</v>
      </c>
      <c r="Y27" s="16">
        <f t="shared" si="19"/>
        <v>117</v>
      </c>
      <c r="Z27" s="16">
        <f t="shared" si="19"/>
        <v>49</v>
      </c>
      <c r="AA27" s="16">
        <f t="shared" si="19"/>
        <v>26</v>
      </c>
      <c r="AB27" s="16">
        <f t="shared" si="19"/>
        <v>62</v>
      </c>
      <c r="AC27" s="16">
        <f t="shared" si="19"/>
        <v>1300</v>
      </c>
      <c r="AD27" s="16">
        <f t="shared" si="19"/>
        <v>1</v>
      </c>
      <c r="AE27" s="32">
        <f t="shared" si="19"/>
        <v>1464</v>
      </c>
      <c r="AF27" s="32">
        <f t="shared" si="19"/>
        <v>2764</v>
      </c>
    </row>
    <row r="28" spans="2:32" ht="23.1" customHeight="1" x14ac:dyDescent="0.25">
      <c r="B28" s="23" t="s">
        <v>55</v>
      </c>
      <c r="C28" s="50">
        <v>42</v>
      </c>
      <c r="D28" s="50">
        <v>2</v>
      </c>
      <c r="E28" s="50">
        <v>4</v>
      </c>
      <c r="F28" s="50">
        <v>21</v>
      </c>
      <c r="G28" s="50">
        <v>1</v>
      </c>
      <c r="H28" s="50">
        <v>0</v>
      </c>
      <c r="I28" s="50">
        <v>11</v>
      </c>
      <c r="J28" s="50">
        <v>5</v>
      </c>
      <c r="K28" s="50">
        <v>2</v>
      </c>
      <c r="L28" s="50">
        <v>7</v>
      </c>
      <c r="M28" s="50">
        <v>85</v>
      </c>
      <c r="N28" s="50">
        <v>0</v>
      </c>
      <c r="O28" s="15">
        <f t="shared" si="0"/>
        <v>95</v>
      </c>
      <c r="P28" s="15">
        <f t="shared" si="1"/>
        <v>180</v>
      </c>
      <c r="R28" s="5" t="s">
        <v>17</v>
      </c>
      <c r="S28" s="16">
        <f t="shared" ref="S28:AF28" si="20">SUM(S10:S21)</f>
        <v>2153</v>
      </c>
      <c r="T28" s="16">
        <f t="shared" si="20"/>
        <v>186</v>
      </c>
      <c r="U28" s="16">
        <f t="shared" si="20"/>
        <v>328</v>
      </c>
      <c r="V28" s="16">
        <f t="shared" si="20"/>
        <v>733</v>
      </c>
      <c r="W28" s="16">
        <f t="shared" si="20"/>
        <v>99</v>
      </c>
      <c r="X28" s="16">
        <f t="shared" si="20"/>
        <v>4</v>
      </c>
      <c r="Y28" s="16">
        <f t="shared" si="20"/>
        <v>463</v>
      </c>
      <c r="Z28" s="16">
        <f t="shared" si="20"/>
        <v>186</v>
      </c>
      <c r="AA28" s="16">
        <f t="shared" si="20"/>
        <v>95</v>
      </c>
      <c r="AB28" s="16">
        <f t="shared" si="20"/>
        <v>223</v>
      </c>
      <c r="AC28" s="16">
        <f t="shared" si="20"/>
        <v>4956</v>
      </c>
      <c r="AD28" s="16">
        <f t="shared" si="20"/>
        <v>4</v>
      </c>
      <c r="AE28" s="32">
        <f t="shared" si="20"/>
        <v>4474</v>
      </c>
      <c r="AF28" s="32">
        <f t="shared" si="20"/>
        <v>9430</v>
      </c>
    </row>
    <row r="29" spans="2:32" ht="23.1" customHeight="1" x14ac:dyDescent="0.25">
      <c r="B29" s="23" t="s">
        <v>56</v>
      </c>
      <c r="C29" s="50">
        <v>25</v>
      </c>
      <c r="D29" s="50">
        <v>7</v>
      </c>
      <c r="E29" s="50">
        <v>13</v>
      </c>
      <c r="F29" s="50">
        <v>15</v>
      </c>
      <c r="G29" s="50">
        <v>0</v>
      </c>
      <c r="H29" s="50">
        <v>0</v>
      </c>
      <c r="I29" s="50">
        <v>12</v>
      </c>
      <c r="J29" s="50">
        <v>7</v>
      </c>
      <c r="K29" s="50">
        <v>2</v>
      </c>
      <c r="L29" s="50">
        <v>10</v>
      </c>
      <c r="M29" s="50">
        <v>75</v>
      </c>
      <c r="N29" s="50">
        <v>0</v>
      </c>
      <c r="O29" s="15">
        <f t="shared" si="0"/>
        <v>91</v>
      </c>
      <c r="P29" s="15">
        <f t="shared" si="1"/>
        <v>166</v>
      </c>
      <c r="R29"/>
      <c r="S29" s="20"/>
      <c r="T29" s="19"/>
    </row>
    <row r="30" spans="2:32" ht="23.1" customHeight="1" x14ac:dyDescent="0.25">
      <c r="B30" s="23" t="s">
        <v>57</v>
      </c>
      <c r="C30" s="50">
        <v>27</v>
      </c>
      <c r="D30" s="50">
        <v>3</v>
      </c>
      <c r="E30" s="50">
        <v>5</v>
      </c>
      <c r="F30" s="50">
        <v>13</v>
      </c>
      <c r="G30" s="50">
        <v>2</v>
      </c>
      <c r="H30" s="50">
        <v>0</v>
      </c>
      <c r="I30" s="50">
        <v>7</v>
      </c>
      <c r="J30" s="50">
        <v>7</v>
      </c>
      <c r="K30" s="50">
        <v>3</v>
      </c>
      <c r="L30" s="50">
        <v>2</v>
      </c>
      <c r="M30" s="50">
        <v>70</v>
      </c>
      <c r="N30" s="50">
        <v>1</v>
      </c>
      <c r="O30" s="15">
        <f t="shared" si="0"/>
        <v>70</v>
      </c>
      <c r="P30" s="15">
        <f t="shared" si="1"/>
        <v>140</v>
      </c>
    </row>
    <row r="31" spans="2:32" ht="23.1" customHeight="1" x14ac:dyDescent="0.25">
      <c r="B31" s="24" t="s">
        <v>58</v>
      </c>
      <c r="C31" s="50">
        <v>29</v>
      </c>
      <c r="D31" s="50">
        <v>5</v>
      </c>
      <c r="E31" s="50">
        <v>8</v>
      </c>
      <c r="F31" s="50">
        <v>15</v>
      </c>
      <c r="G31" s="50">
        <v>1</v>
      </c>
      <c r="H31" s="50">
        <v>0</v>
      </c>
      <c r="I31" s="50">
        <v>11</v>
      </c>
      <c r="J31" s="50">
        <v>5</v>
      </c>
      <c r="K31" s="50">
        <v>7</v>
      </c>
      <c r="L31" s="50">
        <v>8</v>
      </c>
      <c r="M31" s="50">
        <v>90</v>
      </c>
      <c r="N31" s="50">
        <v>0</v>
      </c>
      <c r="O31" s="15">
        <f t="shared" si="0"/>
        <v>89</v>
      </c>
      <c r="P31" s="15">
        <f t="shared" si="1"/>
        <v>179</v>
      </c>
    </row>
    <row r="32" spans="2:32" ht="23.1" customHeight="1" x14ac:dyDescent="0.25">
      <c r="B32" s="24" t="s">
        <v>59</v>
      </c>
      <c r="C32" s="50">
        <v>26</v>
      </c>
      <c r="D32" s="50">
        <v>0</v>
      </c>
      <c r="E32" s="50">
        <v>4</v>
      </c>
      <c r="F32" s="50">
        <v>7</v>
      </c>
      <c r="G32" s="50">
        <v>0</v>
      </c>
      <c r="H32" s="50">
        <v>0</v>
      </c>
      <c r="I32" s="50">
        <v>6</v>
      </c>
      <c r="J32" s="50">
        <v>3</v>
      </c>
      <c r="K32" s="50">
        <v>3</v>
      </c>
      <c r="L32" s="50">
        <v>4</v>
      </c>
      <c r="M32" s="50">
        <v>90</v>
      </c>
      <c r="N32" s="50">
        <v>0</v>
      </c>
      <c r="O32" s="15">
        <f t="shared" si="0"/>
        <v>53</v>
      </c>
      <c r="P32" s="15">
        <f t="shared" si="1"/>
        <v>143</v>
      </c>
    </row>
    <row r="33" spans="2:20" ht="23.1" customHeight="1" x14ac:dyDescent="0.25">
      <c r="B33" s="23" t="s">
        <v>60</v>
      </c>
      <c r="C33" s="50">
        <v>55</v>
      </c>
      <c r="D33" s="50">
        <v>5</v>
      </c>
      <c r="E33" s="50">
        <v>5</v>
      </c>
      <c r="F33" s="50">
        <v>16</v>
      </c>
      <c r="G33" s="50">
        <v>2</v>
      </c>
      <c r="H33" s="50">
        <v>1</v>
      </c>
      <c r="I33" s="50">
        <v>10</v>
      </c>
      <c r="J33" s="50">
        <v>10</v>
      </c>
      <c r="K33" s="50">
        <v>2</v>
      </c>
      <c r="L33" s="50">
        <v>3</v>
      </c>
      <c r="M33" s="50">
        <v>75</v>
      </c>
      <c r="N33" s="50">
        <v>0</v>
      </c>
      <c r="O33" s="15">
        <f t="shared" si="0"/>
        <v>109</v>
      </c>
      <c r="P33" s="15">
        <f t="shared" si="1"/>
        <v>184</v>
      </c>
    </row>
    <row r="34" spans="2:20" ht="23.1" customHeight="1" x14ac:dyDescent="0.25">
      <c r="B34" s="24" t="s">
        <v>61</v>
      </c>
      <c r="C34" s="50">
        <v>17</v>
      </c>
      <c r="D34" s="50">
        <v>4</v>
      </c>
      <c r="E34" s="50">
        <v>5</v>
      </c>
      <c r="F34" s="50">
        <v>19</v>
      </c>
      <c r="G34" s="50">
        <v>2</v>
      </c>
      <c r="H34" s="50">
        <v>0</v>
      </c>
      <c r="I34" s="50">
        <v>15</v>
      </c>
      <c r="J34" s="50">
        <v>0</v>
      </c>
      <c r="K34" s="50">
        <v>1</v>
      </c>
      <c r="L34" s="50">
        <v>2</v>
      </c>
      <c r="M34" s="50">
        <v>80</v>
      </c>
      <c r="N34" s="50">
        <v>0</v>
      </c>
      <c r="O34" s="15">
        <f t="shared" si="0"/>
        <v>65</v>
      </c>
      <c r="P34" s="15">
        <f t="shared" si="1"/>
        <v>145</v>
      </c>
    </row>
    <row r="35" spans="2:20" ht="23.1" customHeight="1" x14ac:dyDescent="0.25">
      <c r="B35" s="24" t="s">
        <v>62</v>
      </c>
      <c r="C35" s="50">
        <v>62</v>
      </c>
      <c r="D35" s="50">
        <v>2</v>
      </c>
      <c r="E35" s="50">
        <v>9</v>
      </c>
      <c r="F35" s="50">
        <v>14</v>
      </c>
      <c r="G35" s="50">
        <v>4</v>
      </c>
      <c r="H35" s="50">
        <v>0</v>
      </c>
      <c r="I35" s="50">
        <v>10</v>
      </c>
      <c r="J35" s="50">
        <v>6</v>
      </c>
      <c r="K35" s="50">
        <v>1</v>
      </c>
      <c r="L35" s="50">
        <v>8</v>
      </c>
      <c r="M35" s="50">
        <v>110</v>
      </c>
      <c r="N35" s="50">
        <v>0</v>
      </c>
      <c r="O35" s="15">
        <f t="shared" si="0"/>
        <v>116</v>
      </c>
      <c r="P35" s="15">
        <f t="shared" si="1"/>
        <v>226</v>
      </c>
    </row>
    <row r="36" spans="2:20" ht="23.1" customHeight="1" x14ac:dyDescent="0.25">
      <c r="B36" s="24" t="s">
        <v>63</v>
      </c>
      <c r="C36" s="50">
        <v>26</v>
      </c>
      <c r="D36" s="50">
        <v>4</v>
      </c>
      <c r="E36" s="50">
        <v>3</v>
      </c>
      <c r="F36" s="50">
        <v>6</v>
      </c>
      <c r="G36" s="50">
        <v>1</v>
      </c>
      <c r="H36" s="50">
        <v>0</v>
      </c>
      <c r="I36" s="50">
        <v>7</v>
      </c>
      <c r="J36" s="50">
        <v>5</v>
      </c>
      <c r="K36" s="50">
        <v>3</v>
      </c>
      <c r="L36" s="50">
        <v>9</v>
      </c>
      <c r="M36" s="50">
        <v>75</v>
      </c>
      <c r="N36" s="50">
        <v>0</v>
      </c>
      <c r="O36" s="15">
        <f t="shared" si="0"/>
        <v>64</v>
      </c>
      <c r="P36" s="15">
        <f t="shared" si="1"/>
        <v>139</v>
      </c>
    </row>
    <row r="37" spans="2:20" ht="23.1" customHeight="1" x14ac:dyDescent="0.25">
      <c r="B37" s="23" t="s">
        <v>64</v>
      </c>
      <c r="C37" s="50">
        <v>33</v>
      </c>
      <c r="D37" s="50">
        <v>2</v>
      </c>
      <c r="E37" s="50">
        <v>3</v>
      </c>
      <c r="F37" s="50">
        <v>2</v>
      </c>
      <c r="G37" s="50">
        <v>0</v>
      </c>
      <c r="H37" s="50">
        <v>0</v>
      </c>
      <c r="I37" s="50">
        <v>3</v>
      </c>
      <c r="J37" s="50">
        <v>2</v>
      </c>
      <c r="K37" s="50">
        <v>0</v>
      </c>
      <c r="L37" s="50">
        <v>0</v>
      </c>
      <c r="M37" s="50">
        <v>60</v>
      </c>
      <c r="N37" s="50">
        <v>0</v>
      </c>
      <c r="O37" s="15">
        <f t="shared" si="0"/>
        <v>45</v>
      </c>
      <c r="P37" s="15">
        <f t="shared" si="1"/>
        <v>105</v>
      </c>
    </row>
    <row r="38" spans="2:20" ht="23.1" customHeight="1" x14ac:dyDescent="0.25">
      <c r="B38" s="24" t="s">
        <v>65</v>
      </c>
      <c r="C38" s="50">
        <v>39</v>
      </c>
      <c r="D38" s="50">
        <v>0</v>
      </c>
      <c r="E38" s="50">
        <v>8</v>
      </c>
      <c r="F38" s="50">
        <v>8</v>
      </c>
      <c r="G38" s="50">
        <v>2</v>
      </c>
      <c r="H38" s="50">
        <v>0</v>
      </c>
      <c r="I38" s="50">
        <v>10</v>
      </c>
      <c r="J38" s="50">
        <v>4</v>
      </c>
      <c r="K38" s="50">
        <v>3</v>
      </c>
      <c r="L38" s="50">
        <v>7</v>
      </c>
      <c r="M38" s="50">
        <v>100</v>
      </c>
      <c r="N38" s="50">
        <v>0</v>
      </c>
      <c r="O38" s="15">
        <f t="shared" si="0"/>
        <v>81</v>
      </c>
      <c r="P38" s="15">
        <f t="shared" si="1"/>
        <v>181</v>
      </c>
    </row>
    <row r="39" spans="2:20" ht="23.1" customHeight="1" x14ac:dyDescent="0.25">
      <c r="B39" s="24" t="s">
        <v>66</v>
      </c>
      <c r="C39" s="50">
        <v>50</v>
      </c>
      <c r="D39" s="50">
        <v>1</v>
      </c>
      <c r="E39" s="50">
        <v>2</v>
      </c>
      <c r="F39" s="50">
        <v>8</v>
      </c>
      <c r="G39" s="50">
        <v>2</v>
      </c>
      <c r="H39" s="50">
        <v>0</v>
      </c>
      <c r="I39" s="50">
        <v>10</v>
      </c>
      <c r="J39" s="50">
        <v>6</v>
      </c>
      <c r="K39" s="50">
        <v>2</v>
      </c>
      <c r="L39" s="50">
        <v>4</v>
      </c>
      <c r="M39" s="50">
        <v>85</v>
      </c>
      <c r="N39" s="50">
        <v>0</v>
      </c>
      <c r="O39" s="15">
        <f t="shared" si="0"/>
        <v>85</v>
      </c>
      <c r="P39" s="15">
        <f t="shared" si="1"/>
        <v>170</v>
      </c>
    </row>
    <row r="40" spans="2:20" ht="23.1" customHeight="1" x14ac:dyDescent="0.25">
      <c r="B40" s="24" t="s">
        <v>67</v>
      </c>
      <c r="C40" s="50">
        <v>30</v>
      </c>
      <c r="D40" s="50">
        <v>5</v>
      </c>
      <c r="E40" s="50">
        <v>9</v>
      </c>
      <c r="F40" s="50">
        <v>7</v>
      </c>
      <c r="G40" s="50">
        <v>4</v>
      </c>
      <c r="H40" s="50">
        <v>0</v>
      </c>
      <c r="I40" s="50">
        <v>10</v>
      </c>
      <c r="J40" s="50">
        <v>7</v>
      </c>
      <c r="K40" s="50">
        <v>1</v>
      </c>
      <c r="L40" s="50">
        <v>8</v>
      </c>
      <c r="M40" s="50">
        <v>60</v>
      </c>
      <c r="N40" s="50">
        <v>0</v>
      </c>
      <c r="O40" s="15">
        <f t="shared" si="0"/>
        <v>81</v>
      </c>
      <c r="P40" s="15">
        <f t="shared" si="1"/>
        <v>141</v>
      </c>
    </row>
    <row r="41" spans="2:20" ht="23.1" customHeight="1" x14ac:dyDescent="0.25">
      <c r="B41" s="23" t="s">
        <v>68</v>
      </c>
      <c r="C41" s="50">
        <v>27</v>
      </c>
      <c r="D41" s="50">
        <v>5</v>
      </c>
      <c r="E41" s="50">
        <v>2</v>
      </c>
      <c r="F41" s="50">
        <v>6</v>
      </c>
      <c r="G41" s="50">
        <v>2</v>
      </c>
      <c r="H41" s="50">
        <v>0</v>
      </c>
      <c r="I41" s="50">
        <v>0</v>
      </c>
      <c r="J41" s="50">
        <v>6</v>
      </c>
      <c r="K41" s="50">
        <v>2</v>
      </c>
      <c r="L41" s="50">
        <v>9</v>
      </c>
      <c r="M41" s="50">
        <v>70</v>
      </c>
      <c r="N41" s="50">
        <v>0</v>
      </c>
      <c r="O41" s="15">
        <f t="shared" si="0"/>
        <v>59</v>
      </c>
      <c r="P41" s="15">
        <f t="shared" si="1"/>
        <v>129</v>
      </c>
    </row>
    <row r="42" spans="2:20" ht="23.1" customHeight="1" x14ac:dyDescent="0.25">
      <c r="B42" s="24" t="s">
        <v>69</v>
      </c>
      <c r="C42" s="50">
        <v>31</v>
      </c>
      <c r="D42" s="50">
        <v>0</v>
      </c>
      <c r="E42" s="50">
        <v>4</v>
      </c>
      <c r="F42" s="50">
        <v>8</v>
      </c>
      <c r="G42" s="50">
        <v>2</v>
      </c>
      <c r="H42" s="50">
        <v>0</v>
      </c>
      <c r="I42" s="50">
        <v>9</v>
      </c>
      <c r="J42" s="50">
        <v>5</v>
      </c>
      <c r="K42" s="50">
        <v>0</v>
      </c>
      <c r="L42" s="50">
        <v>8</v>
      </c>
      <c r="M42" s="50">
        <v>55</v>
      </c>
      <c r="N42" s="50">
        <v>0</v>
      </c>
      <c r="O42" s="15">
        <f t="shared" si="0"/>
        <v>67</v>
      </c>
      <c r="P42" s="15">
        <f t="shared" si="1"/>
        <v>122</v>
      </c>
    </row>
    <row r="43" spans="2:20" ht="23.1" customHeight="1" x14ac:dyDescent="0.25">
      <c r="B43" s="23" t="s">
        <v>70</v>
      </c>
      <c r="C43" s="50">
        <v>34</v>
      </c>
      <c r="D43" s="50">
        <v>5</v>
      </c>
      <c r="E43" s="50">
        <v>5</v>
      </c>
      <c r="F43" s="50">
        <v>9</v>
      </c>
      <c r="G43" s="50">
        <v>3</v>
      </c>
      <c r="H43" s="50">
        <v>0</v>
      </c>
      <c r="I43" s="50">
        <v>10</v>
      </c>
      <c r="J43" s="50">
        <v>5</v>
      </c>
      <c r="K43" s="50">
        <v>3</v>
      </c>
      <c r="L43" s="50">
        <v>2</v>
      </c>
      <c r="M43" s="50">
        <v>95</v>
      </c>
      <c r="N43" s="50">
        <v>0</v>
      </c>
      <c r="O43" s="15">
        <f t="shared" si="0"/>
        <v>76</v>
      </c>
      <c r="P43" s="15">
        <f t="shared" si="1"/>
        <v>171</v>
      </c>
    </row>
    <row r="44" spans="2:20" ht="23.1" customHeight="1" x14ac:dyDescent="0.25">
      <c r="B44" s="25" t="s">
        <v>71</v>
      </c>
      <c r="C44" s="50">
        <v>19</v>
      </c>
      <c r="D44" s="50">
        <v>0</v>
      </c>
      <c r="E44" s="50">
        <v>1</v>
      </c>
      <c r="F44" s="50">
        <v>4</v>
      </c>
      <c r="G44" s="50">
        <v>0</v>
      </c>
      <c r="H44" s="50">
        <v>0</v>
      </c>
      <c r="I44" s="50">
        <v>11</v>
      </c>
      <c r="J44" s="50">
        <v>1</v>
      </c>
      <c r="K44" s="50">
        <v>1</v>
      </c>
      <c r="L44" s="50">
        <v>0</v>
      </c>
      <c r="M44" s="50">
        <v>60</v>
      </c>
      <c r="N44" s="50">
        <v>0</v>
      </c>
      <c r="O44" s="15">
        <f t="shared" si="0"/>
        <v>37</v>
      </c>
      <c r="P44" s="15">
        <f t="shared" si="1"/>
        <v>97</v>
      </c>
    </row>
    <row r="45" spans="2:20" ht="23.1" customHeight="1" x14ac:dyDescent="0.25">
      <c r="B45" s="23" t="s">
        <v>72</v>
      </c>
      <c r="C45" s="50">
        <v>40</v>
      </c>
      <c r="D45" s="50">
        <v>3</v>
      </c>
      <c r="E45" s="50">
        <v>6</v>
      </c>
      <c r="F45" s="50">
        <v>13</v>
      </c>
      <c r="G45" s="50">
        <v>2</v>
      </c>
      <c r="H45" s="50">
        <v>0</v>
      </c>
      <c r="I45" s="50">
        <v>23</v>
      </c>
      <c r="J45" s="50">
        <v>4</v>
      </c>
      <c r="K45" s="50">
        <v>0</v>
      </c>
      <c r="L45" s="50">
        <v>7</v>
      </c>
      <c r="M45" s="50">
        <v>40</v>
      </c>
      <c r="N45" s="50">
        <v>0</v>
      </c>
      <c r="O45" s="15">
        <f t="shared" si="0"/>
        <v>98</v>
      </c>
      <c r="P45" s="15">
        <f t="shared" si="1"/>
        <v>138</v>
      </c>
    </row>
    <row r="46" spans="2:20" ht="23.1" customHeight="1" x14ac:dyDescent="0.25">
      <c r="B46" s="24" t="s">
        <v>73</v>
      </c>
      <c r="C46" s="50">
        <v>85</v>
      </c>
      <c r="D46" s="50">
        <v>6</v>
      </c>
      <c r="E46" s="50">
        <v>8</v>
      </c>
      <c r="F46" s="50">
        <v>14</v>
      </c>
      <c r="G46" s="50">
        <v>3</v>
      </c>
      <c r="H46" s="50">
        <v>0</v>
      </c>
      <c r="I46" s="50">
        <v>18</v>
      </c>
      <c r="J46" s="50">
        <v>8</v>
      </c>
      <c r="K46" s="50">
        <v>1</v>
      </c>
      <c r="L46" s="50">
        <v>9</v>
      </c>
      <c r="M46" s="50">
        <v>150</v>
      </c>
      <c r="N46" s="50">
        <v>0</v>
      </c>
      <c r="O46" s="15">
        <f t="shared" si="0"/>
        <v>152</v>
      </c>
      <c r="P46" s="15">
        <f t="shared" si="1"/>
        <v>302</v>
      </c>
      <c r="R46" s="8"/>
      <c r="T46"/>
    </row>
    <row r="47" spans="2:20" ht="23.1" customHeight="1" x14ac:dyDescent="0.25">
      <c r="B47" s="24" t="s">
        <v>74</v>
      </c>
      <c r="C47" s="50">
        <v>60</v>
      </c>
      <c r="D47" s="50">
        <v>11</v>
      </c>
      <c r="E47" s="50">
        <v>7</v>
      </c>
      <c r="F47" s="50">
        <v>15</v>
      </c>
      <c r="G47" s="50">
        <v>2</v>
      </c>
      <c r="H47" s="50">
        <v>0</v>
      </c>
      <c r="I47" s="50">
        <v>15</v>
      </c>
      <c r="J47" s="50">
        <v>3</v>
      </c>
      <c r="K47" s="50">
        <v>2</v>
      </c>
      <c r="L47" s="50">
        <v>5</v>
      </c>
      <c r="M47" s="50">
        <v>80</v>
      </c>
      <c r="N47" s="50">
        <v>0</v>
      </c>
      <c r="O47" s="15">
        <f t="shared" si="0"/>
        <v>120</v>
      </c>
      <c r="P47" s="15">
        <f t="shared" si="1"/>
        <v>200</v>
      </c>
      <c r="R47" s="8"/>
      <c r="T47"/>
    </row>
    <row r="48" spans="2:20" ht="23.1" customHeight="1" x14ac:dyDescent="0.25">
      <c r="B48" s="24" t="s">
        <v>75</v>
      </c>
      <c r="C48" s="50">
        <v>55</v>
      </c>
      <c r="D48" s="50">
        <v>9</v>
      </c>
      <c r="E48" s="50">
        <v>12</v>
      </c>
      <c r="F48" s="50">
        <v>11</v>
      </c>
      <c r="G48" s="50">
        <v>1</v>
      </c>
      <c r="H48" s="50">
        <v>0</v>
      </c>
      <c r="I48" s="50">
        <v>20</v>
      </c>
      <c r="J48" s="50">
        <v>10</v>
      </c>
      <c r="K48" s="50">
        <v>3</v>
      </c>
      <c r="L48" s="50">
        <v>11</v>
      </c>
      <c r="M48" s="50">
        <v>65</v>
      </c>
      <c r="N48" s="50">
        <v>0</v>
      </c>
      <c r="O48" s="15">
        <f t="shared" si="0"/>
        <v>132</v>
      </c>
      <c r="P48" s="15">
        <f t="shared" si="1"/>
        <v>197</v>
      </c>
      <c r="R48" s="8"/>
      <c r="T48"/>
    </row>
    <row r="49" spans="2:20" ht="23.1" customHeight="1" x14ac:dyDescent="0.25">
      <c r="B49" s="23" t="s">
        <v>76</v>
      </c>
      <c r="C49" s="50">
        <v>70</v>
      </c>
      <c r="D49" s="50">
        <v>4</v>
      </c>
      <c r="E49" s="50">
        <v>6</v>
      </c>
      <c r="F49" s="50">
        <v>15</v>
      </c>
      <c r="G49" s="50">
        <v>3</v>
      </c>
      <c r="H49" s="50">
        <v>0</v>
      </c>
      <c r="I49" s="50">
        <v>8</v>
      </c>
      <c r="J49" s="50">
        <v>9</v>
      </c>
      <c r="K49" s="50">
        <v>6</v>
      </c>
      <c r="L49" s="50">
        <v>4</v>
      </c>
      <c r="M49" s="50">
        <v>80</v>
      </c>
      <c r="N49" s="50">
        <v>0</v>
      </c>
      <c r="O49" s="15">
        <f t="shared" si="0"/>
        <v>125</v>
      </c>
      <c r="P49" s="15">
        <f t="shared" si="1"/>
        <v>205</v>
      </c>
      <c r="R49" s="8"/>
      <c r="T49"/>
    </row>
    <row r="50" spans="2:20" ht="23.1" customHeight="1" x14ac:dyDescent="0.25">
      <c r="B50" s="24" t="s">
        <v>77</v>
      </c>
      <c r="C50" s="50">
        <v>28</v>
      </c>
      <c r="D50" s="50">
        <v>0</v>
      </c>
      <c r="E50" s="50">
        <v>3</v>
      </c>
      <c r="F50" s="50">
        <v>3</v>
      </c>
      <c r="G50" s="50">
        <v>0</v>
      </c>
      <c r="H50" s="50">
        <v>0</v>
      </c>
      <c r="I50" s="50">
        <v>2</v>
      </c>
      <c r="J50" s="50">
        <v>1</v>
      </c>
      <c r="K50" s="50">
        <v>2</v>
      </c>
      <c r="L50" s="50">
        <v>3</v>
      </c>
      <c r="M50" s="50">
        <v>40</v>
      </c>
      <c r="N50" s="50">
        <v>0</v>
      </c>
      <c r="O50" s="15">
        <f t="shared" si="0"/>
        <v>42</v>
      </c>
      <c r="P50" s="15">
        <f t="shared" si="1"/>
        <v>82</v>
      </c>
      <c r="R50" s="8"/>
      <c r="T50"/>
    </row>
    <row r="51" spans="2:20" ht="23.1" customHeight="1" x14ac:dyDescent="0.25">
      <c r="B51" s="24" t="s">
        <v>78</v>
      </c>
      <c r="C51" s="50">
        <v>65</v>
      </c>
      <c r="D51" s="50">
        <v>7</v>
      </c>
      <c r="E51" s="50">
        <v>8</v>
      </c>
      <c r="F51" s="50">
        <v>11</v>
      </c>
      <c r="G51" s="50">
        <v>5</v>
      </c>
      <c r="H51" s="50">
        <v>0</v>
      </c>
      <c r="I51" s="50">
        <v>11</v>
      </c>
      <c r="J51" s="50">
        <v>6</v>
      </c>
      <c r="K51" s="50">
        <v>2</v>
      </c>
      <c r="L51" s="50">
        <v>10</v>
      </c>
      <c r="M51" s="50">
        <v>115</v>
      </c>
      <c r="N51" s="50">
        <v>0</v>
      </c>
      <c r="O51" s="15">
        <f t="shared" si="0"/>
        <v>125</v>
      </c>
      <c r="P51" s="15">
        <f t="shared" si="1"/>
        <v>240</v>
      </c>
      <c r="R51" s="8"/>
      <c r="T51"/>
    </row>
    <row r="52" spans="2:20" ht="23.1" customHeight="1" x14ac:dyDescent="0.25">
      <c r="B52" s="24" t="s">
        <v>79</v>
      </c>
      <c r="C52" s="50">
        <v>90</v>
      </c>
      <c r="D52" s="50">
        <v>4</v>
      </c>
      <c r="E52" s="50">
        <v>15</v>
      </c>
      <c r="F52" s="50">
        <v>10</v>
      </c>
      <c r="G52" s="50">
        <v>3</v>
      </c>
      <c r="H52" s="50">
        <v>0</v>
      </c>
      <c r="I52" s="50">
        <v>7</v>
      </c>
      <c r="J52" s="50">
        <v>3</v>
      </c>
      <c r="K52" s="50">
        <v>3</v>
      </c>
      <c r="L52" s="50">
        <v>8</v>
      </c>
      <c r="M52" s="50">
        <v>130</v>
      </c>
      <c r="N52" s="50">
        <v>1</v>
      </c>
      <c r="O52" s="15">
        <f t="shared" si="0"/>
        <v>144</v>
      </c>
      <c r="P52" s="15">
        <f t="shared" si="1"/>
        <v>274</v>
      </c>
      <c r="R52" s="8"/>
      <c r="T52"/>
    </row>
    <row r="53" spans="2:20" ht="23.1" customHeight="1" x14ac:dyDescent="0.25">
      <c r="B53" s="23" t="s">
        <v>80</v>
      </c>
      <c r="C53" s="50">
        <v>95</v>
      </c>
      <c r="D53" s="50">
        <v>4</v>
      </c>
      <c r="E53" s="50">
        <v>16</v>
      </c>
      <c r="F53" s="50">
        <v>13</v>
      </c>
      <c r="G53" s="50">
        <v>4</v>
      </c>
      <c r="H53" s="50">
        <v>0</v>
      </c>
      <c r="I53" s="50">
        <v>3</v>
      </c>
      <c r="J53" s="50">
        <v>2</v>
      </c>
      <c r="K53" s="50">
        <v>0</v>
      </c>
      <c r="L53" s="50">
        <v>5</v>
      </c>
      <c r="M53" s="50">
        <v>90</v>
      </c>
      <c r="N53" s="50">
        <v>0</v>
      </c>
      <c r="O53" s="15">
        <f t="shared" si="0"/>
        <v>142</v>
      </c>
      <c r="P53" s="15">
        <f t="shared" si="1"/>
        <v>232</v>
      </c>
      <c r="R53" s="8"/>
      <c r="T53"/>
    </row>
    <row r="54" spans="2:20" ht="23.1" customHeight="1" x14ac:dyDescent="0.25">
      <c r="B54" s="23" t="s">
        <v>81</v>
      </c>
      <c r="C54" s="50">
        <v>75</v>
      </c>
      <c r="D54" s="50">
        <v>13</v>
      </c>
      <c r="E54" s="50">
        <v>9</v>
      </c>
      <c r="F54" s="50">
        <v>8</v>
      </c>
      <c r="G54" s="50">
        <v>3</v>
      </c>
      <c r="H54" s="50">
        <v>0</v>
      </c>
      <c r="I54" s="50">
        <v>8</v>
      </c>
      <c r="J54" s="50">
        <v>0</v>
      </c>
      <c r="K54" s="50">
        <v>0</v>
      </c>
      <c r="L54" s="50">
        <v>4</v>
      </c>
      <c r="M54" s="50">
        <v>90</v>
      </c>
      <c r="N54" s="50">
        <v>0</v>
      </c>
      <c r="O54" s="15">
        <f t="shared" si="0"/>
        <v>120</v>
      </c>
      <c r="P54" s="15">
        <f t="shared" si="1"/>
        <v>210</v>
      </c>
      <c r="R54" s="8"/>
      <c r="T54"/>
    </row>
    <row r="55" spans="2:20" ht="23.1" customHeight="1" x14ac:dyDescent="0.25">
      <c r="B55" s="23" t="s">
        <v>82</v>
      </c>
      <c r="C55" s="50">
        <v>95</v>
      </c>
      <c r="D55" s="50">
        <v>6</v>
      </c>
      <c r="E55" s="50">
        <v>5</v>
      </c>
      <c r="F55" s="50">
        <v>8</v>
      </c>
      <c r="G55" s="50">
        <v>1</v>
      </c>
      <c r="H55" s="50">
        <v>0</v>
      </c>
      <c r="I55" s="50">
        <v>8</v>
      </c>
      <c r="J55" s="50">
        <v>1</v>
      </c>
      <c r="K55" s="50">
        <v>1</v>
      </c>
      <c r="L55" s="50">
        <v>0</v>
      </c>
      <c r="M55" s="50">
        <v>130</v>
      </c>
      <c r="N55" s="50">
        <v>0</v>
      </c>
      <c r="O55" s="15">
        <f t="shared" si="0"/>
        <v>125</v>
      </c>
      <c r="P55" s="15">
        <f t="shared" si="1"/>
        <v>255</v>
      </c>
      <c r="R55" s="8"/>
      <c r="T55"/>
    </row>
    <row r="56" spans="2:20" ht="23.1" customHeight="1" x14ac:dyDescent="0.25">
      <c r="B56" s="23" t="s">
        <v>83</v>
      </c>
      <c r="C56" s="50">
        <v>55</v>
      </c>
      <c r="D56" s="50">
        <v>8</v>
      </c>
      <c r="E56" s="50">
        <v>25</v>
      </c>
      <c r="F56" s="50">
        <v>20</v>
      </c>
      <c r="G56" s="50">
        <v>2</v>
      </c>
      <c r="H56" s="50">
        <v>0</v>
      </c>
      <c r="I56" s="50">
        <v>7</v>
      </c>
      <c r="J56" s="50">
        <v>2</v>
      </c>
      <c r="K56" s="50">
        <v>5</v>
      </c>
      <c r="L56" s="50">
        <v>0</v>
      </c>
      <c r="M56" s="50">
        <v>155</v>
      </c>
      <c r="N56" s="50">
        <v>0</v>
      </c>
      <c r="O56" s="15">
        <f t="shared" si="0"/>
        <v>124</v>
      </c>
      <c r="P56" s="15">
        <f t="shared" si="1"/>
        <v>279</v>
      </c>
      <c r="R56" s="8"/>
      <c r="T56"/>
    </row>
    <row r="57" spans="2:20" ht="23.1" customHeight="1" x14ac:dyDescent="0.25">
      <c r="B57" s="23" t="s">
        <v>84</v>
      </c>
      <c r="C57" s="50">
        <v>75</v>
      </c>
      <c r="D57" s="50">
        <v>2</v>
      </c>
      <c r="E57" s="50">
        <v>3</v>
      </c>
      <c r="F57" s="50">
        <v>15</v>
      </c>
      <c r="G57" s="50">
        <v>0</v>
      </c>
      <c r="H57" s="50">
        <v>0</v>
      </c>
      <c r="I57" s="50">
        <v>10</v>
      </c>
      <c r="J57" s="50">
        <v>4</v>
      </c>
      <c r="K57" s="50">
        <v>1</v>
      </c>
      <c r="L57" s="50">
        <v>3</v>
      </c>
      <c r="M57" s="50">
        <v>175</v>
      </c>
      <c r="N57" s="50">
        <v>0</v>
      </c>
      <c r="O57" s="15">
        <f t="shared" si="0"/>
        <v>113</v>
      </c>
      <c r="P57" s="15">
        <f t="shared" si="1"/>
        <v>288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2153</v>
      </c>
      <c r="D58" s="16">
        <f t="shared" si="21"/>
        <v>186</v>
      </c>
      <c r="E58" s="16">
        <f t="shared" si="21"/>
        <v>328</v>
      </c>
      <c r="F58" s="16">
        <f t="shared" si="21"/>
        <v>733</v>
      </c>
      <c r="G58" s="16">
        <f t="shared" si="21"/>
        <v>99</v>
      </c>
      <c r="H58" s="16">
        <f t="shared" si="21"/>
        <v>4</v>
      </c>
      <c r="I58" s="16">
        <f t="shared" si="21"/>
        <v>463</v>
      </c>
      <c r="J58" s="16">
        <f t="shared" si="21"/>
        <v>186</v>
      </c>
      <c r="K58" s="16">
        <f t="shared" si="21"/>
        <v>95</v>
      </c>
      <c r="L58" s="16">
        <f t="shared" si="21"/>
        <v>223</v>
      </c>
      <c r="M58" s="16">
        <f t="shared" si="21"/>
        <v>4956</v>
      </c>
      <c r="N58" s="16">
        <f t="shared" si="21"/>
        <v>4</v>
      </c>
      <c r="O58" s="16">
        <f t="shared" si="21"/>
        <v>4474</v>
      </c>
      <c r="P58" s="16">
        <f t="shared" si="21"/>
        <v>9430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0.22831389183457051</v>
      </c>
      <c r="D59" s="43">
        <f t="shared" si="22"/>
        <v>1.9724284199363732E-2</v>
      </c>
      <c r="E59" s="43">
        <f t="shared" si="22"/>
        <v>3.4782608695652174E-2</v>
      </c>
      <c r="F59" s="43">
        <f t="shared" si="22"/>
        <v>7.7730646871686113E-2</v>
      </c>
      <c r="G59" s="43">
        <f t="shared" si="22"/>
        <v>1.0498409331919405E-2</v>
      </c>
      <c r="H59" s="43">
        <f t="shared" si="22"/>
        <v>4.2417815482502649E-4</v>
      </c>
      <c r="I59" s="43">
        <f t="shared" si="22"/>
        <v>4.9098621420996816E-2</v>
      </c>
      <c r="J59" s="43">
        <f t="shared" si="22"/>
        <v>1.9724284199363732E-2</v>
      </c>
      <c r="K59" s="43">
        <f t="shared" si="22"/>
        <v>1.007423117709438E-2</v>
      </c>
      <c r="L59" s="43">
        <f t="shared" si="22"/>
        <v>2.3647932131495228E-2</v>
      </c>
      <c r="M59" s="43">
        <f t="shared" si="22"/>
        <v>0.52555673382820789</v>
      </c>
      <c r="N59" s="43">
        <f t="shared" si="22"/>
        <v>4.2417815482502649E-4</v>
      </c>
      <c r="R59" s="8"/>
      <c r="T59"/>
    </row>
    <row r="60" spans="2:20" ht="23.1" customHeight="1" x14ac:dyDescent="0.25">
      <c r="B60" s="42" t="s">
        <v>94</v>
      </c>
      <c r="C60" s="44">
        <f>C58/$O$58</f>
        <v>0.48122485471613768</v>
      </c>
      <c r="D60" s="44">
        <f t="shared" ref="D60:N60" si="23">D58/$O$58</f>
        <v>4.1573535985695124E-2</v>
      </c>
      <c r="E60" s="44">
        <f t="shared" si="23"/>
        <v>7.3312472060795705E-2</v>
      </c>
      <c r="F60" s="44">
        <f t="shared" si="23"/>
        <v>0.16383549396513186</v>
      </c>
      <c r="G60" s="44">
        <f t="shared" si="23"/>
        <v>2.212784979883773E-2</v>
      </c>
      <c r="H60" s="44">
        <f t="shared" si="23"/>
        <v>8.9405453732677696E-4</v>
      </c>
      <c r="I60" s="44">
        <f t="shared" si="23"/>
        <v>0.10348681269557443</v>
      </c>
      <c r="J60" s="44">
        <f t="shared" si="23"/>
        <v>4.1573535985695124E-2</v>
      </c>
      <c r="K60" s="44">
        <f t="shared" si="23"/>
        <v>2.1233795261510952E-2</v>
      </c>
      <c r="L60" s="44">
        <f t="shared" si="23"/>
        <v>4.9843540455967811E-2</v>
      </c>
      <c r="M60" s="44"/>
      <c r="N60" s="44">
        <f t="shared" si="23"/>
        <v>8.9405453732677696E-4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: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Kireka-Kinawataka'!C3:G3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'30.07 Kinawataka-Kireka'!D5</f>
        <v>30.07.19</v>
      </c>
      <c r="E5" s="3"/>
      <c r="F5" s="41" t="s">
        <v>1</v>
      </c>
      <c r="G5" s="63" t="str">
        <f>'29.07 Kinawataka-Kireka'!G5:H5</f>
        <v>Kireka road</v>
      </c>
      <c r="H5" s="64"/>
      <c r="I5" s="14"/>
      <c r="J5" s="2" t="s">
        <v>5</v>
      </c>
      <c r="K5" s="63" t="s">
        <v>173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Kireka-Kinawataka'!D6:E6</f>
        <v>Kireka</v>
      </c>
      <c r="E6" s="64"/>
      <c r="F6" s="2" t="s">
        <v>2</v>
      </c>
      <c r="G6" s="63" t="str">
        <f>'29.07 Kireka-Kinawataka'!G6:H6</f>
        <v>Kinawataka</v>
      </c>
      <c r="H6" s="64"/>
      <c r="J6" s="2" t="s">
        <v>21</v>
      </c>
      <c r="K6" s="63" t="str">
        <f>'29.07 Kinawataka-Kireka'!K6:L6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51</v>
      </c>
      <c r="D10" s="50">
        <v>23</v>
      </c>
      <c r="E10" s="50">
        <v>10</v>
      </c>
      <c r="F10" s="50">
        <v>18</v>
      </c>
      <c r="G10" s="50">
        <v>1</v>
      </c>
      <c r="H10" s="50">
        <v>0</v>
      </c>
      <c r="I10" s="50">
        <v>1</v>
      </c>
      <c r="J10" s="50">
        <v>3</v>
      </c>
      <c r="K10" s="50">
        <v>1</v>
      </c>
      <c r="L10" s="50">
        <v>0</v>
      </c>
      <c r="M10" s="50">
        <v>112</v>
      </c>
      <c r="N10" s="50">
        <v>0</v>
      </c>
      <c r="O10" s="15">
        <f t="shared" ref="O10:O57" si="0">SUM(C10:L10,N10)</f>
        <v>108</v>
      </c>
      <c r="P10" s="15">
        <f t="shared" ref="P10:P57" si="1">SUM(C10:N10)</f>
        <v>220</v>
      </c>
      <c r="R10" s="1" t="s">
        <v>6</v>
      </c>
      <c r="S10" s="17">
        <f t="shared" ref="S10:AF10" si="2">SUM(C10:C13)</f>
        <v>282</v>
      </c>
      <c r="T10" s="17">
        <f t="shared" si="2"/>
        <v>110</v>
      </c>
      <c r="U10" s="17">
        <f t="shared" si="2"/>
        <v>49</v>
      </c>
      <c r="V10" s="17">
        <f t="shared" si="2"/>
        <v>93</v>
      </c>
      <c r="W10" s="17">
        <f t="shared" si="2"/>
        <v>6</v>
      </c>
      <c r="X10" s="17">
        <f t="shared" si="2"/>
        <v>2</v>
      </c>
      <c r="Y10" s="17">
        <f t="shared" si="2"/>
        <v>8</v>
      </c>
      <c r="Z10" s="17">
        <f t="shared" si="2"/>
        <v>19</v>
      </c>
      <c r="AA10" s="17">
        <f t="shared" si="2"/>
        <v>11</v>
      </c>
      <c r="AB10" s="17">
        <f t="shared" si="2"/>
        <v>3</v>
      </c>
      <c r="AC10" s="17">
        <f t="shared" si="2"/>
        <v>662</v>
      </c>
      <c r="AD10" s="17">
        <f t="shared" si="2"/>
        <v>0</v>
      </c>
      <c r="AE10" s="31">
        <f t="shared" si="2"/>
        <v>583</v>
      </c>
      <c r="AF10" s="31">
        <f t="shared" si="2"/>
        <v>1245</v>
      </c>
    </row>
    <row r="11" spans="2:32" s="6" customFormat="1" ht="23.1" customHeight="1" x14ac:dyDescent="0.25">
      <c r="B11" s="23" t="s">
        <v>38</v>
      </c>
      <c r="C11" s="50">
        <v>80</v>
      </c>
      <c r="D11" s="50">
        <v>17</v>
      </c>
      <c r="E11" s="50">
        <v>13</v>
      </c>
      <c r="F11" s="50">
        <v>27</v>
      </c>
      <c r="G11" s="50">
        <v>0</v>
      </c>
      <c r="H11" s="50">
        <v>0</v>
      </c>
      <c r="I11" s="50">
        <v>1</v>
      </c>
      <c r="J11" s="50">
        <v>6</v>
      </c>
      <c r="K11" s="50">
        <v>5</v>
      </c>
      <c r="L11" s="50">
        <v>0</v>
      </c>
      <c r="M11" s="50">
        <v>181</v>
      </c>
      <c r="N11" s="50">
        <v>0</v>
      </c>
      <c r="O11" s="15">
        <f t="shared" si="0"/>
        <v>149</v>
      </c>
      <c r="P11" s="15">
        <f t="shared" si="1"/>
        <v>330</v>
      </c>
      <c r="R11" s="1" t="s">
        <v>7</v>
      </c>
      <c r="S11" s="17">
        <f t="shared" ref="S11:AF11" si="3">SUM(C14:C17)</f>
        <v>226</v>
      </c>
      <c r="T11" s="17">
        <f t="shared" si="3"/>
        <v>118</v>
      </c>
      <c r="U11" s="17">
        <f t="shared" si="3"/>
        <v>44</v>
      </c>
      <c r="V11" s="17">
        <f t="shared" si="3"/>
        <v>90</v>
      </c>
      <c r="W11" s="17">
        <f t="shared" si="3"/>
        <v>8</v>
      </c>
      <c r="X11" s="17">
        <f t="shared" si="3"/>
        <v>4</v>
      </c>
      <c r="Y11" s="17">
        <f t="shared" si="3"/>
        <v>12</v>
      </c>
      <c r="Z11" s="17">
        <f t="shared" si="3"/>
        <v>22</v>
      </c>
      <c r="AA11" s="17">
        <f t="shared" si="3"/>
        <v>15</v>
      </c>
      <c r="AB11" s="17">
        <f t="shared" si="3"/>
        <v>7</v>
      </c>
      <c r="AC11" s="17">
        <f t="shared" si="3"/>
        <v>499</v>
      </c>
      <c r="AD11" s="17">
        <f t="shared" si="3"/>
        <v>0</v>
      </c>
      <c r="AE11" s="31">
        <f t="shared" si="3"/>
        <v>546</v>
      </c>
      <c r="AF11" s="31">
        <f t="shared" si="3"/>
        <v>1045</v>
      </c>
    </row>
    <row r="12" spans="2:32" ht="23.1" customHeight="1" x14ac:dyDescent="0.25">
      <c r="B12" s="23" t="s">
        <v>39</v>
      </c>
      <c r="C12" s="50">
        <v>80</v>
      </c>
      <c r="D12" s="50">
        <v>38</v>
      </c>
      <c r="E12" s="50">
        <v>15</v>
      </c>
      <c r="F12" s="50">
        <v>29</v>
      </c>
      <c r="G12" s="50">
        <v>3</v>
      </c>
      <c r="H12" s="50">
        <v>0</v>
      </c>
      <c r="I12" s="50">
        <v>2</v>
      </c>
      <c r="J12" s="50">
        <v>5</v>
      </c>
      <c r="K12" s="50">
        <v>2</v>
      </c>
      <c r="L12" s="50">
        <v>1</v>
      </c>
      <c r="M12" s="50">
        <v>184</v>
      </c>
      <c r="N12" s="50">
        <v>0</v>
      </c>
      <c r="O12" s="15">
        <f t="shared" si="0"/>
        <v>175</v>
      </c>
      <c r="P12" s="15">
        <f t="shared" si="1"/>
        <v>359</v>
      </c>
      <c r="R12" s="1" t="s">
        <v>8</v>
      </c>
      <c r="S12" s="17">
        <f t="shared" ref="S12:AF12" si="4">SUM(C18:C21)</f>
        <v>176</v>
      </c>
      <c r="T12" s="17">
        <f t="shared" si="4"/>
        <v>126</v>
      </c>
      <c r="U12" s="17">
        <f t="shared" si="4"/>
        <v>48</v>
      </c>
      <c r="V12" s="17">
        <f t="shared" si="4"/>
        <v>64</v>
      </c>
      <c r="W12" s="17">
        <f t="shared" si="4"/>
        <v>45</v>
      </c>
      <c r="X12" s="17">
        <f t="shared" si="4"/>
        <v>3</v>
      </c>
      <c r="Y12" s="17">
        <f t="shared" si="4"/>
        <v>7</v>
      </c>
      <c r="Z12" s="17">
        <f t="shared" si="4"/>
        <v>33</v>
      </c>
      <c r="AA12" s="17">
        <f t="shared" si="4"/>
        <v>18</v>
      </c>
      <c r="AB12" s="17">
        <f t="shared" si="4"/>
        <v>14</v>
      </c>
      <c r="AC12" s="17">
        <f t="shared" si="4"/>
        <v>535</v>
      </c>
      <c r="AD12" s="17">
        <f t="shared" si="4"/>
        <v>0</v>
      </c>
      <c r="AE12" s="31">
        <f t="shared" si="4"/>
        <v>534</v>
      </c>
      <c r="AF12" s="31">
        <f t="shared" si="4"/>
        <v>1069</v>
      </c>
    </row>
    <row r="13" spans="2:32" ht="23.1" customHeight="1" x14ac:dyDescent="0.25">
      <c r="B13" s="23" t="s">
        <v>40</v>
      </c>
      <c r="C13" s="50">
        <v>71</v>
      </c>
      <c r="D13" s="50">
        <v>32</v>
      </c>
      <c r="E13" s="50">
        <v>11</v>
      </c>
      <c r="F13" s="50">
        <v>19</v>
      </c>
      <c r="G13" s="50">
        <v>2</v>
      </c>
      <c r="H13" s="50">
        <v>2</v>
      </c>
      <c r="I13" s="50">
        <v>4</v>
      </c>
      <c r="J13" s="50">
        <v>5</v>
      </c>
      <c r="K13" s="50">
        <v>3</v>
      </c>
      <c r="L13" s="50">
        <v>2</v>
      </c>
      <c r="M13" s="50">
        <v>185</v>
      </c>
      <c r="N13" s="50">
        <v>0</v>
      </c>
      <c r="O13" s="15">
        <f t="shared" si="0"/>
        <v>151</v>
      </c>
      <c r="P13" s="15">
        <f t="shared" si="1"/>
        <v>336</v>
      </c>
      <c r="R13" s="1" t="s">
        <v>9</v>
      </c>
      <c r="S13" s="17">
        <f t="shared" ref="S13:AF13" si="5">SUM(C22:C25)</f>
        <v>169</v>
      </c>
      <c r="T13" s="17">
        <f t="shared" si="5"/>
        <v>118</v>
      </c>
      <c r="U13" s="17">
        <f t="shared" si="5"/>
        <v>35</v>
      </c>
      <c r="V13" s="17">
        <f t="shared" si="5"/>
        <v>81</v>
      </c>
      <c r="W13" s="17">
        <f t="shared" si="5"/>
        <v>6</v>
      </c>
      <c r="X13" s="17">
        <f t="shared" si="5"/>
        <v>1</v>
      </c>
      <c r="Y13" s="17">
        <f t="shared" si="5"/>
        <v>22</v>
      </c>
      <c r="Z13" s="17">
        <f t="shared" si="5"/>
        <v>47</v>
      </c>
      <c r="AA13" s="17">
        <f t="shared" si="5"/>
        <v>13</v>
      </c>
      <c r="AB13" s="17">
        <f t="shared" si="5"/>
        <v>17</v>
      </c>
      <c r="AC13" s="17">
        <f t="shared" si="5"/>
        <v>425</v>
      </c>
      <c r="AD13" s="17">
        <f t="shared" si="5"/>
        <v>0</v>
      </c>
      <c r="AE13" s="31">
        <f t="shared" si="5"/>
        <v>509</v>
      </c>
      <c r="AF13" s="31">
        <f t="shared" si="5"/>
        <v>934</v>
      </c>
    </row>
    <row r="14" spans="2:32" ht="23.1" customHeight="1" x14ac:dyDescent="0.25">
      <c r="B14" s="23" t="s">
        <v>41</v>
      </c>
      <c r="C14" s="50">
        <v>43</v>
      </c>
      <c r="D14" s="50">
        <v>15</v>
      </c>
      <c r="E14" s="50">
        <v>11</v>
      </c>
      <c r="F14" s="50">
        <v>15</v>
      </c>
      <c r="G14" s="50">
        <v>0</v>
      </c>
      <c r="H14" s="50">
        <v>0</v>
      </c>
      <c r="I14" s="50">
        <v>0</v>
      </c>
      <c r="J14" s="50">
        <v>3</v>
      </c>
      <c r="K14" s="50">
        <v>2</v>
      </c>
      <c r="L14" s="50">
        <v>2</v>
      </c>
      <c r="M14" s="50">
        <v>157</v>
      </c>
      <c r="N14" s="50">
        <v>0</v>
      </c>
      <c r="O14" s="15">
        <f t="shared" si="0"/>
        <v>91</v>
      </c>
      <c r="P14" s="15">
        <f t="shared" si="1"/>
        <v>248</v>
      </c>
      <c r="R14" s="1" t="s">
        <v>10</v>
      </c>
      <c r="S14" s="17">
        <f t="shared" ref="S14:AF14" si="6">SUM(C26:C29)</f>
        <v>164</v>
      </c>
      <c r="T14" s="17">
        <f t="shared" si="6"/>
        <v>110</v>
      </c>
      <c r="U14" s="17">
        <f t="shared" si="6"/>
        <v>34</v>
      </c>
      <c r="V14" s="17">
        <f t="shared" si="6"/>
        <v>68</v>
      </c>
      <c r="W14" s="17">
        <f t="shared" si="6"/>
        <v>1</v>
      </c>
      <c r="X14" s="17">
        <f t="shared" si="6"/>
        <v>0</v>
      </c>
      <c r="Y14" s="17">
        <f t="shared" si="6"/>
        <v>21</v>
      </c>
      <c r="Z14" s="17">
        <f t="shared" si="6"/>
        <v>29</v>
      </c>
      <c r="AA14" s="17">
        <f t="shared" si="6"/>
        <v>20</v>
      </c>
      <c r="AB14" s="17">
        <f t="shared" si="6"/>
        <v>20</v>
      </c>
      <c r="AC14" s="17">
        <f t="shared" si="6"/>
        <v>358</v>
      </c>
      <c r="AD14" s="17">
        <f t="shared" si="6"/>
        <v>0</v>
      </c>
      <c r="AE14" s="31">
        <f t="shared" si="6"/>
        <v>467</v>
      </c>
      <c r="AF14" s="31">
        <f t="shared" si="6"/>
        <v>825</v>
      </c>
    </row>
    <row r="15" spans="2:32" ht="23.1" customHeight="1" x14ac:dyDescent="0.25">
      <c r="B15" s="23" t="s">
        <v>42</v>
      </c>
      <c r="C15" s="50">
        <v>68</v>
      </c>
      <c r="D15" s="50">
        <v>30</v>
      </c>
      <c r="E15" s="50">
        <v>13</v>
      </c>
      <c r="F15" s="50">
        <v>24</v>
      </c>
      <c r="G15" s="50">
        <v>4</v>
      </c>
      <c r="H15" s="50">
        <v>2</v>
      </c>
      <c r="I15" s="50">
        <v>5</v>
      </c>
      <c r="J15" s="50">
        <v>5</v>
      </c>
      <c r="K15" s="50">
        <v>3</v>
      </c>
      <c r="L15" s="50">
        <v>1</v>
      </c>
      <c r="M15" s="50">
        <v>124</v>
      </c>
      <c r="N15" s="50">
        <v>0</v>
      </c>
      <c r="O15" s="15">
        <f t="shared" si="0"/>
        <v>155</v>
      </c>
      <c r="P15" s="15">
        <f t="shared" si="1"/>
        <v>279</v>
      </c>
      <c r="R15" s="1" t="s">
        <v>11</v>
      </c>
      <c r="S15" s="17">
        <f t="shared" ref="S15:AF15" si="7">SUM(C30:C33)</f>
        <v>82</v>
      </c>
      <c r="T15" s="17">
        <f t="shared" si="7"/>
        <v>42</v>
      </c>
      <c r="U15" s="17">
        <f t="shared" si="7"/>
        <v>16</v>
      </c>
      <c r="V15" s="17">
        <f t="shared" si="7"/>
        <v>32</v>
      </c>
      <c r="W15" s="17">
        <f t="shared" si="7"/>
        <v>1</v>
      </c>
      <c r="X15" s="17">
        <f t="shared" si="7"/>
        <v>0</v>
      </c>
      <c r="Y15" s="17">
        <f t="shared" si="7"/>
        <v>17</v>
      </c>
      <c r="Z15" s="17">
        <f t="shared" si="7"/>
        <v>23</v>
      </c>
      <c r="AA15" s="17">
        <f t="shared" si="7"/>
        <v>8</v>
      </c>
      <c r="AB15" s="17">
        <f t="shared" si="7"/>
        <v>6</v>
      </c>
      <c r="AC15" s="17">
        <f t="shared" si="7"/>
        <v>243</v>
      </c>
      <c r="AD15" s="17">
        <f t="shared" si="7"/>
        <v>0</v>
      </c>
      <c r="AE15" s="31">
        <f t="shared" si="7"/>
        <v>227</v>
      </c>
      <c r="AF15" s="31">
        <f t="shared" si="7"/>
        <v>470</v>
      </c>
    </row>
    <row r="16" spans="2:32" ht="23.1" customHeight="1" x14ac:dyDescent="0.25">
      <c r="B16" s="23" t="s">
        <v>43</v>
      </c>
      <c r="C16" s="50">
        <v>56</v>
      </c>
      <c r="D16" s="50">
        <v>31</v>
      </c>
      <c r="E16" s="50">
        <v>9</v>
      </c>
      <c r="F16" s="50">
        <v>24</v>
      </c>
      <c r="G16" s="50">
        <v>2</v>
      </c>
      <c r="H16" s="50">
        <v>1</v>
      </c>
      <c r="I16" s="50">
        <v>3</v>
      </c>
      <c r="J16" s="50">
        <v>10</v>
      </c>
      <c r="K16" s="50">
        <v>7</v>
      </c>
      <c r="L16" s="50">
        <v>2</v>
      </c>
      <c r="M16" s="50">
        <v>98</v>
      </c>
      <c r="N16" s="50">
        <v>0</v>
      </c>
      <c r="O16" s="15">
        <f t="shared" si="0"/>
        <v>145</v>
      </c>
      <c r="P16" s="15">
        <f t="shared" si="1"/>
        <v>243</v>
      </c>
      <c r="R16" s="1" t="s">
        <v>12</v>
      </c>
      <c r="S16" s="17">
        <f t="shared" ref="S16:AF16" si="8">SUM(C34:C37)</f>
        <v>109</v>
      </c>
      <c r="T16" s="17">
        <f t="shared" si="8"/>
        <v>85</v>
      </c>
      <c r="U16" s="17">
        <f t="shared" si="8"/>
        <v>37</v>
      </c>
      <c r="V16" s="17">
        <f t="shared" si="8"/>
        <v>66</v>
      </c>
      <c r="W16" s="17">
        <f t="shared" si="8"/>
        <v>3</v>
      </c>
      <c r="X16" s="17">
        <f t="shared" si="8"/>
        <v>1</v>
      </c>
      <c r="Y16" s="17">
        <f t="shared" si="8"/>
        <v>30</v>
      </c>
      <c r="Z16" s="17">
        <f t="shared" si="8"/>
        <v>36</v>
      </c>
      <c r="AA16" s="17">
        <f t="shared" si="8"/>
        <v>25</v>
      </c>
      <c r="AB16" s="17">
        <f t="shared" si="8"/>
        <v>30</v>
      </c>
      <c r="AC16" s="17">
        <f t="shared" si="8"/>
        <v>304</v>
      </c>
      <c r="AD16" s="17">
        <f t="shared" si="8"/>
        <v>0</v>
      </c>
      <c r="AE16" s="31">
        <f t="shared" si="8"/>
        <v>422</v>
      </c>
      <c r="AF16" s="31">
        <f t="shared" si="8"/>
        <v>726</v>
      </c>
    </row>
    <row r="17" spans="2:32" ht="23.1" customHeight="1" x14ac:dyDescent="0.25">
      <c r="B17" s="23" t="s">
        <v>44</v>
      </c>
      <c r="C17" s="50">
        <v>59</v>
      </c>
      <c r="D17" s="50">
        <v>42</v>
      </c>
      <c r="E17" s="50">
        <v>11</v>
      </c>
      <c r="F17" s="50">
        <v>27</v>
      </c>
      <c r="G17" s="50">
        <v>2</v>
      </c>
      <c r="H17" s="50">
        <v>1</v>
      </c>
      <c r="I17" s="50">
        <v>4</v>
      </c>
      <c r="J17" s="50">
        <v>4</v>
      </c>
      <c r="K17" s="50">
        <v>3</v>
      </c>
      <c r="L17" s="50">
        <v>2</v>
      </c>
      <c r="M17" s="50">
        <v>120</v>
      </c>
      <c r="N17" s="50">
        <v>0</v>
      </c>
      <c r="O17" s="15">
        <f t="shared" si="0"/>
        <v>155</v>
      </c>
      <c r="P17" s="15">
        <f t="shared" si="1"/>
        <v>275</v>
      </c>
      <c r="R17" s="1" t="s">
        <v>13</v>
      </c>
      <c r="S17" s="17">
        <f t="shared" ref="S17:AF17" si="9">SUM(C38:C41)</f>
        <v>126</v>
      </c>
      <c r="T17" s="17">
        <f t="shared" si="9"/>
        <v>78</v>
      </c>
      <c r="U17" s="17">
        <f t="shared" si="9"/>
        <v>31</v>
      </c>
      <c r="V17" s="17">
        <f t="shared" si="9"/>
        <v>58</v>
      </c>
      <c r="W17" s="17">
        <f t="shared" si="9"/>
        <v>2</v>
      </c>
      <c r="X17" s="17">
        <f t="shared" si="9"/>
        <v>0</v>
      </c>
      <c r="Y17" s="17">
        <f t="shared" si="9"/>
        <v>15</v>
      </c>
      <c r="Z17" s="17">
        <f t="shared" si="9"/>
        <v>37</v>
      </c>
      <c r="AA17" s="17">
        <f t="shared" si="9"/>
        <v>9</v>
      </c>
      <c r="AB17" s="17">
        <f t="shared" si="9"/>
        <v>7</v>
      </c>
      <c r="AC17" s="17">
        <f t="shared" si="9"/>
        <v>226</v>
      </c>
      <c r="AD17" s="17">
        <f t="shared" si="9"/>
        <v>0</v>
      </c>
      <c r="AE17" s="31">
        <f t="shared" si="9"/>
        <v>363</v>
      </c>
      <c r="AF17" s="31">
        <f t="shared" si="9"/>
        <v>589</v>
      </c>
    </row>
    <row r="18" spans="2:32" ht="23.1" customHeight="1" x14ac:dyDescent="0.25">
      <c r="B18" s="23" t="s">
        <v>45</v>
      </c>
      <c r="C18" s="50">
        <v>66</v>
      </c>
      <c r="D18" s="50">
        <v>42</v>
      </c>
      <c r="E18" s="50">
        <v>15</v>
      </c>
      <c r="F18" s="50">
        <v>0</v>
      </c>
      <c r="G18" s="50">
        <v>39</v>
      </c>
      <c r="H18" s="50">
        <v>1</v>
      </c>
      <c r="I18" s="50">
        <v>1</v>
      </c>
      <c r="J18" s="50">
        <v>8</v>
      </c>
      <c r="K18" s="50">
        <v>0</v>
      </c>
      <c r="L18" s="50">
        <v>3</v>
      </c>
      <c r="M18" s="50">
        <v>163</v>
      </c>
      <c r="N18" s="50">
        <v>0</v>
      </c>
      <c r="O18" s="15">
        <f t="shared" si="0"/>
        <v>175</v>
      </c>
      <c r="P18" s="15">
        <f t="shared" si="1"/>
        <v>338</v>
      </c>
      <c r="R18" s="1" t="s">
        <v>14</v>
      </c>
      <c r="S18" s="17">
        <f t="shared" ref="S18:AF18" si="10">SUM(C42:C45)</f>
        <v>146</v>
      </c>
      <c r="T18" s="17">
        <f t="shared" si="10"/>
        <v>91</v>
      </c>
      <c r="U18" s="17">
        <f t="shared" si="10"/>
        <v>39</v>
      </c>
      <c r="V18" s="17">
        <f t="shared" si="10"/>
        <v>66</v>
      </c>
      <c r="W18" s="17">
        <f t="shared" si="10"/>
        <v>1</v>
      </c>
      <c r="X18" s="17">
        <f t="shared" si="10"/>
        <v>0</v>
      </c>
      <c r="Y18" s="17">
        <f t="shared" si="10"/>
        <v>26</v>
      </c>
      <c r="Z18" s="17">
        <f t="shared" si="10"/>
        <v>39</v>
      </c>
      <c r="AA18" s="17">
        <f t="shared" si="10"/>
        <v>12</v>
      </c>
      <c r="AB18" s="17">
        <f t="shared" si="10"/>
        <v>19</v>
      </c>
      <c r="AC18" s="17">
        <f t="shared" si="10"/>
        <v>213</v>
      </c>
      <c r="AD18" s="17">
        <f t="shared" si="10"/>
        <v>0</v>
      </c>
      <c r="AE18" s="31">
        <f t="shared" si="10"/>
        <v>439</v>
      </c>
      <c r="AF18" s="31">
        <f t="shared" si="10"/>
        <v>652</v>
      </c>
    </row>
    <row r="19" spans="2:32" ht="23.1" customHeight="1" x14ac:dyDescent="0.25">
      <c r="B19" s="23" t="s">
        <v>46</v>
      </c>
      <c r="C19" s="50">
        <v>30</v>
      </c>
      <c r="D19" s="50">
        <v>27</v>
      </c>
      <c r="E19" s="50">
        <v>11</v>
      </c>
      <c r="F19" s="50">
        <v>23</v>
      </c>
      <c r="G19" s="50">
        <v>3</v>
      </c>
      <c r="H19" s="50">
        <v>0</v>
      </c>
      <c r="I19" s="50">
        <v>3</v>
      </c>
      <c r="J19" s="50">
        <v>9</v>
      </c>
      <c r="K19" s="50">
        <v>6</v>
      </c>
      <c r="L19" s="50">
        <v>3</v>
      </c>
      <c r="M19" s="50">
        <v>124</v>
      </c>
      <c r="N19" s="50">
        <v>0</v>
      </c>
      <c r="O19" s="15">
        <f t="shared" si="0"/>
        <v>115</v>
      </c>
      <c r="P19" s="15">
        <f t="shared" si="1"/>
        <v>239</v>
      </c>
      <c r="R19" s="1" t="s">
        <v>15</v>
      </c>
      <c r="S19" s="17">
        <f t="shared" ref="S19:AF19" si="11">SUM(C46:C49)</f>
        <v>151</v>
      </c>
      <c r="T19" s="17">
        <f t="shared" si="11"/>
        <v>59</v>
      </c>
      <c r="U19" s="17">
        <f t="shared" si="11"/>
        <v>26</v>
      </c>
      <c r="V19" s="17">
        <f t="shared" si="11"/>
        <v>42</v>
      </c>
      <c r="W19" s="17">
        <f t="shared" si="11"/>
        <v>0</v>
      </c>
      <c r="X19" s="17">
        <f t="shared" si="11"/>
        <v>0</v>
      </c>
      <c r="Y19" s="17">
        <f t="shared" si="11"/>
        <v>29</v>
      </c>
      <c r="Z19" s="17">
        <f t="shared" si="11"/>
        <v>21</v>
      </c>
      <c r="AA19" s="17">
        <f t="shared" si="11"/>
        <v>3</v>
      </c>
      <c r="AB19" s="17">
        <f t="shared" si="11"/>
        <v>6</v>
      </c>
      <c r="AC19" s="17">
        <f t="shared" si="11"/>
        <v>213</v>
      </c>
      <c r="AD19" s="17">
        <f t="shared" si="11"/>
        <v>1</v>
      </c>
      <c r="AE19" s="31">
        <f t="shared" si="11"/>
        <v>338</v>
      </c>
      <c r="AF19" s="31">
        <f t="shared" si="11"/>
        <v>551</v>
      </c>
    </row>
    <row r="20" spans="2:32" ht="23.1" customHeight="1" x14ac:dyDescent="0.25">
      <c r="B20" s="23" t="s">
        <v>47</v>
      </c>
      <c r="C20" s="50">
        <v>38</v>
      </c>
      <c r="D20" s="50">
        <v>31</v>
      </c>
      <c r="E20" s="50">
        <v>11</v>
      </c>
      <c r="F20" s="50">
        <v>21</v>
      </c>
      <c r="G20" s="50">
        <v>1</v>
      </c>
      <c r="H20" s="50">
        <v>2</v>
      </c>
      <c r="I20" s="50">
        <v>1</v>
      </c>
      <c r="J20" s="50">
        <v>5</v>
      </c>
      <c r="K20" s="50">
        <v>8</v>
      </c>
      <c r="L20" s="50">
        <v>5</v>
      </c>
      <c r="M20" s="50">
        <v>115</v>
      </c>
      <c r="N20" s="50">
        <v>0</v>
      </c>
      <c r="O20" s="15">
        <f t="shared" si="0"/>
        <v>123</v>
      </c>
      <c r="P20" s="15">
        <f t="shared" si="1"/>
        <v>238</v>
      </c>
      <c r="R20" s="1" t="s">
        <v>16</v>
      </c>
      <c r="S20" s="17">
        <f t="shared" ref="S20:AF20" si="12">SUM(C50:C53)</f>
        <v>130</v>
      </c>
      <c r="T20" s="17">
        <f t="shared" si="12"/>
        <v>82</v>
      </c>
      <c r="U20" s="17">
        <f t="shared" si="12"/>
        <v>29</v>
      </c>
      <c r="V20" s="17">
        <f t="shared" si="12"/>
        <v>83</v>
      </c>
      <c r="W20" s="17">
        <f t="shared" si="12"/>
        <v>11</v>
      </c>
      <c r="X20" s="17">
        <f t="shared" si="12"/>
        <v>1</v>
      </c>
      <c r="Y20" s="17">
        <f t="shared" si="12"/>
        <v>21</v>
      </c>
      <c r="Z20" s="17">
        <f t="shared" si="12"/>
        <v>28</v>
      </c>
      <c r="AA20" s="17">
        <f t="shared" si="12"/>
        <v>4</v>
      </c>
      <c r="AB20" s="17">
        <f t="shared" si="12"/>
        <v>12</v>
      </c>
      <c r="AC20" s="17">
        <f t="shared" si="12"/>
        <v>248</v>
      </c>
      <c r="AD20" s="17">
        <f t="shared" si="12"/>
        <v>0</v>
      </c>
      <c r="AE20" s="31">
        <f t="shared" si="12"/>
        <v>401</v>
      </c>
      <c r="AF20" s="31">
        <f t="shared" si="12"/>
        <v>649</v>
      </c>
    </row>
    <row r="21" spans="2:32" ht="23.1" customHeight="1" x14ac:dyDescent="0.25">
      <c r="B21" s="23" t="s">
        <v>48</v>
      </c>
      <c r="C21" s="50">
        <v>42</v>
      </c>
      <c r="D21" s="50">
        <v>26</v>
      </c>
      <c r="E21" s="50">
        <v>11</v>
      </c>
      <c r="F21" s="50">
        <v>20</v>
      </c>
      <c r="G21" s="50">
        <v>2</v>
      </c>
      <c r="H21" s="50">
        <v>0</v>
      </c>
      <c r="I21" s="50">
        <v>2</v>
      </c>
      <c r="J21" s="50">
        <v>11</v>
      </c>
      <c r="K21" s="50">
        <v>4</v>
      </c>
      <c r="L21" s="50">
        <v>3</v>
      </c>
      <c r="M21" s="50">
        <v>133</v>
      </c>
      <c r="N21" s="50">
        <v>0</v>
      </c>
      <c r="O21" s="15">
        <f t="shared" si="0"/>
        <v>121</v>
      </c>
      <c r="P21" s="15">
        <f t="shared" si="1"/>
        <v>254</v>
      </c>
      <c r="R21" s="36" t="s">
        <v>20</v>
      </c>
      <c r="S21" s="34">
        <f t="shared" ref="S21:AF21" si="13">SUM(C54:C57)</f>
        <v>114</v>
      </c>
      <c r="T21" s="17">
        <f t="shared" si="13"/>
        <v>55</v>
      </c>
      <c r="U21" s="17">
        <f t="shared" si="13"/>
        <v>39</v>
      </c>
      <c r="V21" s="17">
        <f t="shared" si="13"/>
        <v>86</v>
      </c>
      <c r="W21" s="17">
        <f t="shared" si="13"/>
        <v>3</v>
      </c>
      <c r="X21" s="17">
        <f t="shared" si="13"/>
        <v>0</v>
      </c>
      <c r="Y21" s="17">
        <f t="shared" si="13"/>
        <v>28</v>
      </c>
      <c r="Z21" s="17">
        <f t="shared" si="13"/>
        <v>20</v>
      </c>
      <c r="AA21" s="17">
        <f t="shared" si="13"/>
        <v>11</v>
      </c>
      <c r="AB21" s="17">
        <f t="shared" si="13"/>
        <v>6</v>
      </c>
      <c r="AC21" s="17">
        <f t="shared" si="13"/>
        <v>780</v>
      </c>
      <c r="AD21" s="17">
        <f t="shared" si="13"/>
        <v>0</v>
      </c>
      <c r="AE21" s="31">
        <f t="shared" si="13"/>
        <v>362</v>
      </c>
      <c r="AF21" s="31">
        <f t="shared" si="13"/>
        <v>1142</v>
      </c>
    </row>
    <row r="22" spans="2:32" ht="23.1" customHeight="1" x14ac:dyDescent="0.25">
      <c r="B22" s="23" t="s">
        <v>49</v>
      </c>
      <c r="C22" s="50">
        <v>37</v>
      </c>
      <c r="D22" s="50">
        <v>29</v>
      </c>
      <c r="E22" s="50">
        <v>10</v>
      </c>
      <c r="F22" s="50">
        <v>15</v>
      </c>
      <c r="G22" s="50">
        <v>0</v>
      </c>
      <c r="H22" s="50">
        <v>0</v>
      </c>
      <c r="I22" s="50">
        <v>4</v>
      </c>
      <c r="J22" s="50">
        <v>11</v>
      </c>
      <c r="K22" s="50">
        <v>6</v>
      </c>
      <c r="L22" s="50">
        <v>9</v>
      </c>
      <c r="M22" s="50">
        <v>118</v>
      </c>
      <c r="N22" s="50">
        <v>0</v>
      </c>
      <c r="O22" s="15">
        <f t="shared" si="0"/>
        <v>121</v>
      </c>
      <c r="P22" s="15">
        <f t="shared" si="1"/>
        <v>239</v>
      </c>
      <c r="R22" s="38" t="s">
        <v>90</v>
      </c>
      <c r="S22" s="39">
        <f>MAX(S10:S12)</f>
        <v>282</v>
      </c>
      <c r="T22" s="39">
        <f t="shared" ref="T22:AF22" si="14">MAX(T10:T12)</f>
        <v>126</v>
      </c>
      <c r="U22" s="39">
        <f t="shared" si="14"/>
        <v>49</v>
      </c>
      <c r="V22" s="39">
        <f t="shared" si="14"/>
        <v>93</v>
      </c>
      <c r="W22" s="39">
        <f t="shared" si="14"/>
        <v>45</v>
      </c>
      <c r="X22" s="39">
        <f t="shared" si="14"/>
        <v>4</v>
      </c>
      <c r="Y22" s="39">
        <f t="shared" si="14"/>
        <v>12</v>
      </c>
      <c r="Z22" s="39">
        <f t="shared" si="14"/>
        <v>33</v>
      </c>
      <c r="AA22" s="39">
        <f t="shared" si="14"/>
        <v>18</v>
      </c>
      <c r="AB22" s="39">
        <f t="shared" si="14"/>
        <v>14</v>
      </c>
      <c r="AC22" s="39">
        <f t="shared" si="14"/>
        <v>662</v>
      </c>
      <c r="AD22" s="39">
        <f t="shared" si="14"/>
        <v>0</v>
      </c>
      <c r="AE22" s="40">
        <f t="shared" si="14"/>
        <v>583</v>
      </c>
      <c r="AF22" s="40">
        <f t="shared" si="14"/>
        <v>1245</v>
      </c>
    </row>
    <row r="23" spans="2:32" ht="23.1" customHeight="1" x14ac:dyDescent="0.25">
      <c r="B23" s="23" t="s">
        <v>50</v>
      </c>
      <c r="C23" s="50">
        <v>61</v>
      </c>
      <c r="D23" s="50">
        <v>46</v>
      </c>
      <c r="E23" s="50">
        <v>9</v>
      </c>
      <c r="F23" s="50">
        <v>38</v>
      </c>
      <c r="G23" s="50">
        <v>3</v>
      </c>
      <c r="H23" s="50">
        <v>0</v>
      </c>
      <c r="I23" s="50">
        <v>10</v>
      </c>
      <c r="J23" s="50">
        <v>14</v>
      </c>
      <c r="K23" s="50">
        <v>2</v>
      </c>
      <c r="L23" s="50">
        <v>3</v>
      </c>
      <c r="M23" s="50">
        <v>123</v>
      </c>
      <c r="N23" s="50">
        <v>0</v>
      </c>
      <c r="O23" s="15">
        <f t="shared" si="0"/>
        <v>186</v>
      </c>
      <c r="P23" s="15">
        <f t="shared" si="1"/>
        <v>309</v>
      </c>
      <c r="R23" s="38" t="s">
        <v>91</v>
      </c>
      <c r="S23" s="39">
        <f>MAX(S13:S18)</f>
        <v>169</v>
      </c>
      <c r="T23" s="39">
        <f t="shared" ref="T23:AF23" si="15">MAX(T13:T18)</f>
        <v>118</v>
      </c>
      <c r="U23" s="39">
        <f t="shared" si="15"/>
        <v>39</v>
      </c>
      <c r="V23" s="39">
        <f t="shared" si="15"/>
        <v>81</v>
      </c>
      <c r="W23" s="39">
        <f t="shared" si="15"/>
        <v>6</v>
      </c>
      <c r="X23" s="39">
        <f t="shared" si="15"/>
        <v>1</v>
      </c>
      <c r="Y23" s="39">
        <f t="shared" si="15"/>
        <v>30</v>
      </c>
      <c r="Z23" s="39">
        <f t="shared" si="15"/>
        <v>47</v>
      </c>
      <c r="AA23" s="39">
        <f t="shared" si="15"/>
        <v>25</v>
      </c>
      <c r="AB23" s="39">
        <f t="shared" si="15"/>
        <v>30</v>
      </c>
      <c r="AC23" s="39">
        <f t="shared" si="15"/>
        <v>425</v>
      </c>
      <c r="AD23" s="39">
        <f t="shared" si="15"/>
        <v>0</v>
      </c>
      <c r="AE23" s="40">
        <f t="shared" si="15"/>
        <v>509</v>
      </c>
      <c r="AF23" s="40">
        <f t="shared" si="15"/>
        <v>934</v>
      </c>
    </row>
    <row r="24" spans="2:32" ht="23.1" customHeight="1" x14ac:dyDescent="0.25">
      <c r="B24" s="23" t="s">
        <v>51</v>
      </c>
      <c r="C24" s="50">
        <v>42</v>
      </c>
      <c r="D24" s="50">
        <v>25</v>
      </c>
      <c r="E24" s="50">
        <v>10</v>
      </c>
      <c r="F24" s="50">
        <v>15</v>
      </c>
      <c r="G24" s="50">
        <v>3</v>
      </c>
      <c r="H24" s="50">
        <v>0</v>
      </c>
      <c r="I24" s="50">
        <v>5</v>
      </c>
      <c r="J24" s="50">
        <v>16</v>
      </c>
      <c r="K24" s="50">
        <v>5</v>
      </c>
      <c r="L24" s="50">
        <v>3</v>
      </c>
      <c r="M24" s="50">
        <v>94</v>
      </c>
      <c r="N24" s="50">
        <v>0</v>
      </c>
      <c r="O24" s="15">
        <f t="shared" si="0"/>
        <v>124</v>
      </c>
      <c r="P24" s="15">
        <f t="shared" si="1"/>
        <v>218</v>
      </c>
      <c r="R24" s="38" t="s">
        <v>92</v>
      </c>
      <c r="S24" s="39">
        <f>MAX(S19:S21)</f>
        <v>151</v>
      </c>
      <c r="T24" s="39">
        <f t="shared" ref="T24:AF24" si="16">MAX(T19:T21)</f>
        <v>82</v>
      </c>
      <c r="U24" s="39">
        <f t="shared" si="16"/>
        <v>39</v>
      </c>
      <c r="V24" s="39">
        <f t="shared" si="16"/>
        <v>86</v>
      </c>
      <c r="W24" s="39">
        <f t="shared" si="16"/>
        <v>11</v>
      </c>
      <c r="X24" s="39">
        <f t="shared" si="16"/>
        <v>1</v>
      </c>
      <c r="Y24" s="39">
        <f t="shared" si="16"/>
        <v>29</v>
      </c>
      <c r="Z24" s="39">
        <f t="shared" si="16"/>
        <v>28</v>
      </c>
      <c r="AA24" s="39">
        <f t="shared" si="16"/>
        <v>11</v>
      </c>
      <c r="AB24" s="39">
        <f t="shared" si="16"/>
        <v>12</v>
      </c>
      <c r="AC24" s="39">
        <f t="shared" si="16"/>
        <v>780</v>
      </c>
      <c r="AD24" s="39">
        <f t="shared" si="16"/>
        <v>1</v>
      </c>
      <c r="AE24" s="40">
        <f t="shared" si="16"/>
        <v>401</v>
      </c>
      <c r="AF24" s="40">
        <f t="shared" si="16"/>
        <v>1142</v>
      </c>
    </row>
    <row r="25" spans="2:32" ht="23.1" customHeight="1" x14ac:dyDescent="0.25">
      <c r="B25" s="23" t="s">
        <v>52</v>
      </c>
      <c r="C25" s="50">
        <v>29</v>
      </c>
      <c r="D25" s="50">
        <v>18</v>
      </c>
      <c r="E25" s="50">
        <v>6</v>
      </c>
      <c r="F25" s="50">
        <v>13</v>
      </c>
      <c r="G25" s="50">
        <v>0</v>
      </c>
      <c r="H25" s="50">
        <v>1</v>
      </c>
      <c r="I25" s="50">
        <v>3</v>
      </c>
      <c r="J25" s="50">
        <v>6</v>
      </c>
      <c r="K25" s="50">
        <v>0</v>
      </c>
      <c r="L25" s="50">
        <v>2</v>
      </c>
      <c r="M25" s="50">
        <v>90</v>
      </c>
      <c r="N25" s="50">
        <v>0</v>
      </c>
      <c r="O25" s="15">
        <f t="shared" si="0"/>
        <v>78</v>
      </c>
      <c r="P25" s="15">
        <f t="shared" si="1"/>
        <v>168</v>
      </c>
      <c r="R25" s="37" t="s">
        <v>85</v>
      </c>
      <c r="S25" s="35">
        <f t="shared" ref="S25:AF25" si="17">SUM(S10:S12)</f>
        <v>684</v>
      </c>
      <c r="T25" s="16">
        <f t="shared" si="17"/>
        <v>354</v>
      </c>
      <c r="U25" s="16">
        <f t="shared" si="17"/>
        <v>141</v>
      </c>
      <c r="V25" s="16">
        <f t="shared" si="17"/>
        <v>247</v>
      </c>
      <c r="W25" s="16">
        <f t="shared" si="17"/>
        <v>59</v>
      </c>
      <c r="X25" s="16">
        <f t="shared" si="17"/>
        <v>9</v>
      </c>
      <c r="Y25" s="16">
        <f t="shared" si="17"/>
        <v>27</v>
      </c>
      <c r="Z25" s="16">
        <f t="shared" si="17"/>
        <v>74</v>
      </c>
      <c r="AA25" s="16">
        <f t="shared" si="17"/>
        <v>44</v>
      </c>
      <c r="AB25" s="16">
        <f t="shared" si="17"/>
        <v>24</v>
      </c>
      <c r="AC25" s="16">
        <f t="shared" si="17"/>
        <v>1696</v>
      </c>
      <c r="AD25" s="16">
        <f t="shared" si="17"/>
        <v>0</v>
      </c>
      <c r="AE25" s="32">
        <f t="shared" si="17"/>
        <v>1663</v>
      </c>
      <c r="AF25" s="32">
        <f t="shared" si="17"/>
        <v>3359</v>
      </c>
    </row>
    <row r="26" spans="2:32" ht="23.1" customHeight="1" x14ac:dyDescent="0.25">
      <c r="B26" s="23" t="s">
        <v>53</v>
      </c>
      <c r="C26" s="50">
        <v>40</v>
      </c>
      <c r="D26" s="50">
        <v>36</v>
      </c>
      <c r="E26" s="50">
        <v>11</v>
      </c>
      <c r="F26" s="50">
        <v>23</v>
      </c>
      <c r="G26" s="50">
        <v>0</v>
      </c>
      <c r="H26" s="50">
        <v>0</v>
      </c>
      <c r="I26" s="50">
        <v>8</v>
      </c>
      <c r="J26" s="50">
        <v>6</v>
      </c>
      <c r="K26" s="50">
        <v>5</v>
      </c>
      <c r="L26" s="50">
        <v>5</v>
      </c>
      <c r="M26" s="50">
        <v>100</v>
      </c>
      <c r="N26" s="50">
        <v>0</v>
      </c>
      <c r="O26" s="15">
        <f t="shared" si="0"/>
        <v>134</v>
      </c>
      <c r="P26" s="15">
        <f t="shared" si="1"/>
        <v>234</v>
      </c>
      <c r="R26" s="28" t="s">
        <v>86</v>
      </c>
      <c r="S26" s="16">
        <f t="shared" ref="S26:AF26" si="18">SUM(S13:S18)</f>
        <v>796</v>
      </c>
      <c r="T26" s="16">
        <f t="shared" si="18"/>
        <v>524</v>
      </c>
      <c r="U26" s="16">
        <f t="shared" si="18"/>
        <v>192</v>
      </c>
      <c r="V26" s="16">
        <f t="shared" si="18"/>
        <v>371</v>
      </c>
      <c r="W26" s="16">
        <f t="shared" si="18"/>
        <v>14</v>
      </c>
      <c r="X26" s="16">
        <f t="shared" si="18"/>
        <v>2</v>
      </c>
      <c r="Y26" s="16">
        <f t="shared" si="18"/>
        <v>131</v>
      </c>
      <c r="Z26" s="16">
        <f t="shared" si="18"/>
        <v>211</v>
      </c>
      <c r="AA26" s="16">
        <f t="shared" si="18"/>
        <v>87</v>
      </c>
      <c r="AB26" s="16">
        <f t="shared" si="18"/>
        <v>99</v>
      </c>
      <c r="AC26" s="16">
        <f t="shared" si="18"/>
        <v>1769</v>
      </c>
      <c r="AD26" s="16">
        <f t="shared" si="18"/>
        <v>0</v>
      </c>
      <c r="AE26" s="32">
        <f t="shared" si="18"/>
        <v>2427</v>
      </c>
      <c r="AF26" s="32">
        <f t="shared" si="18"/>
        <v>4196</v>
      </c>
    </row>
    <row r="27" spans="2:32" ht="23.1" customHeight="1" x14ac:dyDescent="0.25">
      <c r="B27" s="23" t="s">
        <v>54</v>
      </c>
      <c r="C27" s="50">
        <v>47</v>
      </c>
      <c r="D27" s="50">
        <v>27</v>
      </c>
      <c r="E27" s="50">
        <v>13</v>
      </c>
      <c r="F27" s="50">
        <v>20</v>
      </c>
      <c r="G27" s="50">
        <v>0</v>
      </c>
      <c r="H27" s="50">
        <v>0</v>
      </c>
      <c r="I27" s="50">
        <v>4</v>
      </c>
      <c r="J27" s="50">
        <v>5</v>
      </c>
      <c r="K27" s="50">
        <v>9</v>
      </c>
      <c r="L27" s="50">
        <v>2</v>
      </c>
      <c r="M27" s="50">
        <v>65</v>
      </c>
      <c r="N27" s="50">
        <v>0</v>
      </c>
      <c r="O27" s="15">
        <f t="shared" si="0"/>
        <v>127</v>
      </c>
      <c r="P27" s="15">
        <f t="shared" si="1"/>
        <v>192</v>
      </c>
      <c r="R27" s="29" t="s">
        <v>87</v>
      </c>
      <c r="S27" s="16">
        <f t="shared" ref="S27:AF27" si="19">SUM(S19:S21)</f>
        <v>395</v>
      </c>
      <c r="T27" s="16">
        <f t="shared" si="19"/>
        <v>196</v>
      </c>
      <c r="U27" s="16">
        <f t="shared" si="19"/>
        <v>94</v>
      </c>
      <c r="V27" s="16">
        <f t="shared" si="19"/>
        <v>211</v>
      </c>
      <c r="W27" s="16">
        <f t="shared" si="19"/>
        <v>14</v>
      </c>
      <c r="X27" s="16">
        <f t="shared" si="19"/>
        <v>1</v>
      </c>
      <c r="Y27" s="16">
        <f t="shared" si="19"/>
        <v>78</v>
      </c>
      <c r="Z27" s="16">
        <f t="shared" si="19"/>
        <v>69</v>
      </c>
      <c r="AA27" s="16">
        <f t="shared" si="19"/>
        <v>18</v>
      </c>
      <c r="AB27" s="16">
        <f t="shared" si="19"/>
        <v>24</v>
      </c>
      <c r="AC27" s="16">
        <f t="shared" si="19"/>
        <v>1241</v>
      </c>
      <c r="AD27" s="16">
        <f t="shared" si="19"/>
        <v>1</v>
      </c>
      <c r="AE27" s="32">
        <f t="shared" si="19"/>
        <v>1101</v>
      </c>
      <c r="AF27" s="32">
        <f t="shared" si="19"/>
        <v>2342</v>
      </c>
    </row>
    <row r="28" spans="2:32" ht="23.1" customHeight="1" x14ac:dyDescent="0.25">
      <c r="B28" s="23" t="s">
        <v>55</v>
      </c>
      <c r="C28" s="50">
        <v>42</v>
      </c>
      <c r="D28" s="50">
        <v>15</v>
      </c>
      <c r="E28" s="50">
        <v>5</v>
      </c>
      <c r="F28" s="50">
        <v>12</v>
      </c>
      <c r="G28" s="50">
        <v>0</v>
      </c>
      <c r="H28" s="50">
        <v>0</v>
      </c>
      <c r="I28" s="50">
        <v>3</v>
      </c>
      <c r="J28" s="50">
        <v>10</v>
      </c>
      <c r="K28" s="50">
        <v>4</v>
      </c>
      <c r="L28" s="50">
        <v>4</v>
      </c>
      <c r="M28" s="50">
        <v>105</v>
      </c>
      <c r="N28" s="50">
        <v>0</v>
      </c>
      <c r="O28" s="15">
        <f t="shared" si="0"/>
        <v>95</v>
      </c>
      <c r="P28" s="15">
        <f t="shared" si="1"/>
        <v>200</v>
      </c>
      <c r="R28" s="5" t="s">
        <v>17</v>
      </c>
      <c r="S28" s="16">
        <f t="shared" ref="S28:AF28" si="20">SUM(S10:S21)</f>
        <v>1875</v>
      </c>
      <c r="T28" s="16">
        <f t="shared" si="20"/>
        <v>1074</v>
      </c>
      <c r="U28" s="16">
        <f t="shared" si="20"/>
        <v>427</v>
      </c>
      <c r="V28" s="16">
        <f t="shared" si="20"/>
        <v>829</v>
      </c>
      <c r="W28" s="16">
        <f t="shared" si="20"/>
        <v>87</v>
      </c>
      <c r="X28" s="16">
        <f t="shared" si="20"/>
        <v>12</v>
      </c>
      <c r="Y28" s="16">
        <f t="shared" si="20"/>
        <v>236</v>
      </c>
      <c r="Z28" s="16">
        <f t="shared" si="20"/>
        <v>354</v>
      </c>
      <c r="AA28" s="16">
        <f t="shared" si="20"/>
        <v>149</v>
      </c>
      <c r="AB28" s="16">
        <f t="shared" si="20"/>
        <v>147</v>
      </c>
      <c r="AC28" s="16">
        <f t="shared" si="20"/>
        <v>4706</v>
      </c>
      <c r="AD28" s="16">
        <f t="shared" si="20"/>
        <v>1</v>
      </c>
      <c r="AE28" s="32">
        <f t="shared" si="20"/>
        <v>5191</v>
      </c>
      <c r="AF28" s="32">
        <f t="shared" si="20"/>
        <v>9897</v>
      </c>
    </row>
    <row r="29" spans="2:32" ht="23.1" customHeight="1" x14ac:dyDescent="0.25">
      <c r="B29" s="23" t="s">
        <v>56</v>
      </c>
      <c r="C29" s="50">
        <v>35</v>
      </c>
      <c r="D29" s="50">
        <v>32</v>
      </c>
      <c r="E29" s="50">
        <v>5</v>
      </c>
      <c r="F29" s="50">
        <v>13</v>
      </c>
      <c r="G29" s="50">
        <v>1</v>
      </c>
      <c r="H29" s="50">
        <v>0</v>
      </c>
      <c r="I29" s="50">
        <v>6</v>
      </c>
      <c r="J29" s="50">
        <v>8</v>
      </c>
      <c r="K29" s="50">
        <v>2</v>
      </c>
      <c r="L29" s="50">
        <v>9</v>
      </c>
      <c r="M29" s="50">
        <v>88</v>
      </c>
      <c r="N29" s="50">
        <v>0</v>
      </c>
      <c r="O29" s="15">
        <f t="shared" si="0"/>
        <v>111</v>
      </c>
      <c r="P29" s="15">
        <f t="shared" si="1"/>
        <v>199</v>
      </c>
      <c r="R29"/>
      <c r="S29" s="20"/>
      <c r="T29" s="19"/>
    </row>
    <row r="30" spans="2:32" ht="23.1" customHeight="1" x14ac:dyDescent="0.25">
      <c r="B30" s="23" t="s">
        <v>57</v>
      </c>
      <c r="C30" s="50">
        <v>15</v>
      </c>
      <c r="D30" s="50">
        <v>9</v>
      </c>
      <c r="E30" s="50">
        <v>3</v>
      </c>
      <c r="F30" s="50">
        <v>7</v>
      </c>
      <c r="G30" s="50">
        <v>0</v>
      </c>
      <c r="H30" s="50">
        <v>0</v>
      </c>
      <c r="I30" s="50">
        <v>5</v>
      </c>
      <c r="J30" s="50">
        <v>4</v>
      </c>
      <c r="K30" s="50">
        <v>0</v>
      </c>
      <c r="L30" s="50">
        <v>0</v>
      </c>
      <c r="M30" s="50">
        <v>59</v>
      </c>
      <c r="N30" s="50">
        <v>0</v>
      </c>
      <c r="O30" s="15">
        <f t="shared" si="0"/>
        <v>43</v>
      </c>
      <c r="P30" s="15">
        <f t="shared" si="1"/>
        <v>102</v>
      </c>
    </row>
    <row r="31" spans="2:32" ht="23.1" customHeight="1" x14ac:dyDescent="0.25">
      <c r="B31" s="24" t="s">
        <v>58</v>
      </c>
      <c r="C31" s="50">
        <v>35</v>
      </c>
      <c r="D31" s="50">
        <v>13</v>
      </c>
      <c r="E31" s="50">
        <v>5</v>
      </c>
      <c r="F31" s="50">
        <v>11</v>
      </c>
      <c r="G31" s="50">
        <v>0</v>
      </c>
      <c r="H31" s="50">
        <v>0</v>
      </c>
      <c r="I31" s="50">
        <v>8</v>
      </c>
      <c r="J31" s="50">
        <v>17</v>
      </c>
      <c r="K31" s="50">
        <v>3</v>
      </c>
      <c r="L31" s="50">
        <v>6</v>
      </c>
      <c r="M31" s="50">
        <v>67</v>
      </c>
      <c r="N31" s="50">
        <v>0</v>
      </c>
      <c r="O31" s="15">
        <f t="shared" si="0"/>
        <v>98</v>
      </c>
      <c r="P31" s="15">
        <f t="shared" si="1"/>
        <v>165</v>
      </c>
    </row>
    <row r="32" spans="2:32" ht="23.1" customHeight="1" x14ac:dyDescent="0.25">
      <c r="B32" s="24" t="s">
        <v>59</v>
      </c>
      <c r="C32" s="50">
        <v>19</v>
      </c>
      <c r="D32" s="50">
        <v>11</v>
      </c>
      <c r="E32" s="50">
        <v>4</v>
      </c>
      <c r="F32" s="50">
        <v>4</v>
      </c>
      <c r="G32" s="50">
        <v>1</v>
      </c>
      <c r="H32" s="50">
        <v>0</v>
      </c>
      <c r="I32" s="50">
        <v>3</v>
      </c>
      <c r="J32" s="50">
        <v>2</v>
      </c>
      <c r="K32" s="50">
        <v>1</v>
      </c>
      <c r="L32" s="50">
        <v>0</v>
      </c>
      <c r="M32" s="50">
        <v>57</v>
      </c>
      <c r="N32" s="50">
        <v>0</v>
      </c>
      <c r="O32" s="15">
        <f t="shared" si="0"/>
        <v>45</v>
      </c>
      <c r="P32" s="15">
        <f t="shared" si="1"/>
        <v>102</v>
      </c>
    </row>
    <row r="33" spans="2:20" ht="23.1" customHeight="1" x14ac:dyDescent="0.25">
      <c r="B33" s="23" t="s">
        <v>60</v>
      </c>
      <c r="C33" s="50">
        <v>13</v>
      </c>
      <c r="D33" s="50">
        <v>9</v>
      </c>
      <c r="E33" s="50">
        <v>4</v>
      </c>
      <c r="F33" s="50">
        <v>10</v>
      </c>
      <c r="G33" s="50">
        <v>0</v>
      </c>
      <c r="H33" s="50">
        <v>0</v>
      </c>
      <c r="I33" s="50">
        <v>1</v>
      </c>
      <c r="J33" s="50">
        <v>0</v>
      </c>
      <c r="K33" s="50">
        <v>4</v>
      </c>
      <c r="L33" s="50">
        <v>0</v>
      </c>
      <c r="M33" s="50">
        <v>60</v>
      </c>
      <c r="N33" s="50">
        <v>0</v>
      </c>
      <c r="O33" s="15">
        <f t="shared" si="0"/>
        <v>41</v>
      </c>
      <c r="P33" s="15">
        <f t="shared" si="1"/>
        <v>101</v>
      </c>
    </row>
    <row r="34" spans="2:20" ht="23.1" customHeight="1" x14ac:dyDescent="0.25">
      <c r="B34" s="24" t="s">
        <v>61</v>
      </c>
      <c r="C34" s="50">
        <v>36</v>
      </c>
      <c r="D34" s="50">
        <v>14</v>
      </c>
      <c r="E34" s="50">
        <v>11</v>
      </c>
      <c r="F34" s="50">
        <v>20</v>
      </c>
      <c r="G34" s="50">
        <v>1</v>
      </c>
      <c r="H34" s="50">
        <v>0</v>
      </c>
      <c r="I34" s="50">
        <v>7</v>
      </c>
      <c r="J34" s="50">
        <v>8</v>
      </c>
      <c r="K34" s="50">
        <v>9</v>
      </c>
      <c r="L34" s="50">
        <v>10</v>
      </c>
      <c r="M34" s="50">
        <v>68</v>
      </c>
      <c r="N34" s="50">
        <v>0</v>
      </c>
      <c r="O34" s="15">
        <f t="shared" si="0"/>
        <v>116</v>
      </c>
      <c r="P34" s="15">
        <f t="shared" si="1"/>
        <v>184</v>
      </c>
    </row>
    <row r="35" spans="2:20" ht="23.1" customHeight="1" x14ac:dyDescent="0.25">
      <c r="B35" s="24" t="s">
        <v>62</v>
      </c>
      <c r="C35" s="50">
        <v>17</v>
      </c>
      <c r="D35" s="50">
        <v>19</v>
      </c>
      <c r="E35" s="50">
        <v>4</v>
      </c>
      <c r="F35" s="50">
        <v>11</v>
      </c>
      <c r="G35" s="50">
        <v>0</v>
      </c>
      <c r="H35" s="50">
        <v>0</v>
      </c>
      <c r="I35" s="50">
        <v>4</v>
      </c>
      <c r="J35" s="50">
        <v>6</v>
      </c>
      <c r="K35" s="50">
        <v>3</v>
      </c>
      <c r="L35" s="50">
        <v>6</v>
      </c>
      <c r="M35" s="50">
        <v>79</v>
      </c>
      <c r="N35" s="50">
        <v>0</v>
      </c>
      <c r="O35" s="15">
        <f t="shared" si="0"/>
        <v>70</v>
      </c>
      <c r="P35" s="15">
        <f t="shared" si="1"/>
        <v>149</v>
      </c>
    </row>
    <row r="36" spans="2:20" ht="23.1" customHeight="1" x14ac:dyDescent="0.25">
      <c r="B36" s="24" t="s">
        <v>63</v>
      </c>
      <c r="C36" s="50">
        <v>26</v>
      </c>
      <c r="D36" s="50">
        <v>31</v>
      </c>
      <c r="E36" s="50">
        <v>10</v>
      </c>
      <c r="F36" s="50">
        <v>10</v>
      </c>
      <c r="G36" s="50">
        <v>0</v>
      </c>
      <c r="H36" s="50">
        <v>0</v>
      </c>
      <c r="I36" s="50">
        <v>8</v>
      </c>
      <c r="J36" s="50">
        <v>10</v>
      </c>
      <c r="K36" s="50">
        <v>5</v>
      </c>
      <c r="L36" s="50">
        <v>9</v>
      </c>
      <c r="M36" s="50">
        <v>75</v>
      </c>
      <c r="N36" s="50">
        <v>0</v>
      </c>
      <c r="O36" s="15">
        <f t="shared" si="0"/>
        <v>109</v>
      </c>
      <c r="P36" s="15">
        <f t="shared" si="1"/>
        <v>184</v>
      </c>
    </row>
    <row r="37" spans="2:20" ht="23.1" customHeight="1" x14ac:dyDescent="0.25">
      <c r="B37" s="23" t="s">
        <v>64</v>
      </c>
      <c r="C37" s="50">
        <v>30</v>
      </c>
      <c r="D37" s="50">
        <v>21</v>
      </c>
      <c r="E37" s="50">
        <v>12</v>
      </c>
      <c r="F37" s="50">
        <v>25</v>
      </c>
      <c r="G37" s="50">
        <v>2</v>
      </c>
      <c r="H37" s="50">
        <v>1</v>
      </c>
      <c r="I37" s="50">
        <v>11</v>
      </c>
      <c r="J37" s="50">
        <v>12</v>
      </c>
      <c r="K37" s="50">
        <v>8</v>
      </c>
      <c r="L37" s="50">
        <v>5</v>
      </c>
      <c r="M37" s="50">
        <v>82</v>
      </c>
      <c r="N37" s="50">
        <v>0</v>
      </c>
      <c r="O37" s="15">
        <f t="shared" si="0"/>
        <v>127</v>
      </c>
      <c r="P37" s="15">
        <f t="shared" si="1"/>
        <v>209</v>
      </c>
    </row>
    <row r="38" spans="2:20" ht="23.1" customHeight="1" x14ac:dyDescent="0.25">
      <c r="B38" s="24" t="s">
        <v>65</v>
      </c>
      <c r="C38" s="50">
        <v>38</v>
      </c>
      <c r="D38" s="50">
        <v>10</v>
      </c>
      <c r="E38" s="50">
        <v>4</v>
      </c>
      <c r="F38" s="50">
        <v>10</v>
      </c>
      <c r="G38" s="50">
        <v>0</v>
      </c>
      <c r="H38" s="50">
        <v>0</v>
      </c>
      <c r="I38" s="50">
        <v>4</v>
      </c>
      <c r="J38" s="50">
        <v>6</v>
      </c>
      <c r="K38" s="50">
        <v>1</v>
      </c>
      <c r="L38" s="50">
        <v>1</v>
      </c>
      <c r="M38" s="50">
        <v>50</v>
      </c>
      <c r="N38" s="50">
        <v>0</v>
      </c>
      <c r="O38" s="15">
        <f t="shared" si="0"/>
        <v>74</v>
      </c>
      <c r="P38" s="15">
        <f t="shared" si="1"/>
        <v>124</v>
      </c>
    </row>
    <row r="39" spans="2:20" ht="23.1" customHeight="1" x14ac:dyDescent="0.25">
      <c r="B39" s="24" t="s">
        <v>66</v>
      </c>
      <c r="C39" s="50">
        <v>29</v>
      </c>
      <c r="D39" s="50">
        <v>18</v>
      </c>
      <c r="E39" s="50">
        <v>11</v>
      </c>
      <c r="F39" s="50">
        <v>13</v>
      </c>
      <c r="G39" s="50">
        <v>1</v>
      </c>
      <c r="H39" s="50">
        <v>0</v>
      </c>
      <c r="I39" s="50">
        <v>1</v>
      </c>
      <c r="J39" s="50">
        <v>11</v>
      </c>
      <c r="K39" s="50">
        <v>3</v>
      </c>
      <c r="L39" s="50">
        <v>3</v>
      </c>
      <c r="M39" s="50">
        <v>73</v>
      </c>
      <c r="N39" s="50">
        <v>0</v>
      </c>
      <c r="O39" s="15">
        <f t="shared" si="0"/>
        <v>90</v>
      </c>
      <c r="P39" s="15">
        <f t="shared" si="1"/>
        <v>163</v>
      </c>
    </row>
    <row r="40" spans="2:20" ht="23.1" customHeight="1" x14ac:dyDescent="0.25">
      <c r="B40" s="24" t="s">
        <v>67</v>
      </c>
      <c r="C40" s="50">
        <v>24</v>
      </c>
      <c r="D40" s="50">
        <v>27</v>
      </c>
      <c r="E40" s="50">
        <v>7</v>
      </c>
      <c r="F40" s="50">
        <v>17</v>
      </c>
      <c r="G40" s="50">
        <v>1</v>
      </c>
      <c r="H40" s="50">
        <v>0</v>
      </c>
      <c r="I40" s="50">
        <v>7</v>
      </c>
      <c r="J40" s="50">
        <v>12</v>
      </c>
      <c r="K40" s="50">
        <v>2</v>
      </c>
      <c r="L40" s="50">
        <v>1</v>
      </c>
      <c r="M40" s="50">
        <v>47</v>
      </c>
      <c r="N40" s="50">
        <v>0</v>
      </c>
      <c r="O40" s="15">
        <f t="shared" si="0"/>
        <v>98</v>
      </c>
      <c r="P40" s="15">
        <f t="shared" si="1"/>
        <v>145</v>
      </c>
    </row>
    <row r="41" spans="2:20" ht="23.1" customHeight="1" x14ac:dyDescent="0.25">
      <c r="B41" s="23" t="s">
        <v>68</v>
      </c>
      <c r="C41" s="50">
        <v>35</v>
      </c>
      <c r="D41" s="50">
        <v>23</v>
      </c>
      <c r="E41" s="50">
        <v>9</v>
      </c>
      <c r="F41" s="50">
        <v>18</v>
      </c>
      <c r="G41" s="50">
        <v>0</v>
      </c>
      <c r="H41" s="50">
        <v>0</v>
      </c>
      <c r="I41" s="50">
        <v>3</v>
      </c>
      <c r="J41" s="50">
        <v>8</v>
      </c>
      <c r="K41" s="50">
        <v>3</v>
      </c>
      <c r="L41" s="50">
        <v>2</v>
      </c>
      <c r="M41" s="50">
        <v>56</v>
      </c>
      <c r="N41" s="50">
        <v>0</v>
      </c>
      <c r="O41" s="15">
        <f t="shared" si="0"/>
        <v>101</v>
      </c>
      <c r="P41" s="15">
        <f t="shared" si="1"/>
        <v>157</v>
      </c>
    </row>
    <row r="42" spans="2:20" ht="23.1" customHeight="1" x14ac:dyDescent="0.25">
      <c r="B42" s="24" t="s">
        <v>69</v>
      </c>
      <c r="C42" s="50">
        <v>42</v>
      </c>
      <c r="D42" s="50">
        <v>7</v>
      </c>
      <c r="E42" s="50">
        <v>11</v>
      </c>
      <c r="F42" s="50">
        <v>12</v>
      </c>
      <c r="G42" s="50">
        <v>0</v>
      </c>
      <c r="H42" s="50">
        <v>0</v>
      </c>
      <c r="I42" s="50">
        <v>6</v>
      </c>
      <c r="J42" s="50">
        <v>9</v>
      </c>
      <c r="K42" s="50">
        <v>0</v>
      </c>
      <c r="L42" s="50">
        <v>3</v>
      </c>
      <c r="M42" s="50">
        <v>62</v>
      </c>
      <c r="N42" s="50">
        <v>0</v>
      </c>
      <c r="O42" s="15">
        <f t="shared" si="0"/>
        <v>90</v>
      </c>
      <c r="P42" s="15">
        <f t="shared" si="1"/>
        <v>152</v>
      </c>
    </row>
    <row r="43" spans="2:20" ht="23.1" customHeight="1" x14ac:dyDescent="0.25">
      <c r="B43" s="23" t="s">
        <v>70</v>
      </c>
      <c r="C43" s="50">
        <v>24</v>
      </c>
      <c r="D43" s="50">
        <v>30</v>
      </c>
      <c r="E43" s="50">
        <v>4</v>
      </c>
      <c r="F43" s="50">
        <v>15</v>
      </c>
      <c r="G43" s="50">
        <v>0</v>
      </c>
      <c r="H43" s="50">
        <v>0</v>
      </c>
      <c r="I43" s="50">
        <v>6</v>
      </c>
      <c r="J43" s="50">
        <v>8</v>
      </c>
      <c r="K43" s="50">
        <v>2</v>
      </c>
      <c r="L43" s="50">
        <v>4</v>
      </c>
      <c r="M43" s="50">
        <v>60</v>
      </c>
      <c r="N43" s="50">
        <v>0</v>
      </c>
      <c r="O43" s="15">
        <f t="shared" si="0"/>
        <v>93</v>
      </c>
      <c r="P43" s="15">
        <f t="shared" si="1"/>
        <v>153</v>
      </c>
    </row>
    <row r="44" spans="2:20" ht="23.1" customHeight="1" x14ac:dyDescent="0.25">
      <c r="B44" s="25" t="s">
        <v>71</v>
      </c>
      <c r="C44" s="50">
        <v>36</v>
      </c>
      <c r="D44" s="50">
        <v>20</v>
      </c>
      <c r="E44" s="50">
        <v>10</v>
      </c>
      <c r="F44" s="50">
        <v>20</v>
      </c>
      <c r="G44" s="50">
        <v>0</v>
      </c>
      <c r="H44" s="50">
        <v>0</v>
      </c>
      <c r="I44" s="50">
        <v>5</v>
      </c>
      <c r="J44" s="50">
        <v>5</v>
      </c>
      <c r="K44" s="50">
        <v>5</v>
      </c>
      <c r="L44" s="50">
        <v>7</v>
      </c>
      <c r="M44" s="50">
        <v>41</v>
      </c>
      <c r="N44" s="50">
        <v>0</v>
      </c>
      <c r="O44" s="15">
        <f t="shared" si="0"/>
        <v>108</v>
      </c>
      <c r="P44" s="15">
        <f t="shared" si="1"/>
        <v>149</v>
      </c>
    </row>
    <row r="45" spans="2:20" ht="23.1" customHeight="1" x14ac:dyDescent="0.25">
      <c r="B45" s="23" t="s">
        <v>72</v>
      </c>
      <c r="C45" s="50">
        <v>44</v>
      </c>
      <c r="D45" s="50">
        <v>34</v>
      </c>
      <c r="E45" s="50">
        <v>14</v>
      </c>
      <c r="F45" s="50">
        <v>19</v>
      </c>
      <c r="G45" s="50">
        <v>1</v>
      </c>
      <c r="H45" s="50">
        <v>0</v>
      </c>
      <c r="I45" s="50">
        <v>9</v>
      </c>
      <c r="J45" s="50">
        <v>17</v>
      </c>
      <c r="K45" s="50">
        <v>5</v>
      </c>
      <c r="L45" s="50">
        <v>5</v>
      </c>
      <c r="M45" s="50">
        <v>50</v>
      </c>
      <c r="N45" s="50">
        <v>0</v>
      </c>
      <c r="O45" s="15">
        <f t="shared" si="0"/>
        <v>148</v>
      </c>
      <c r="P45" s="15">
        <f t="shared" si="1"/>
        <v>198</v>
      </c>
    </row>
    <row r="46" spans="2:20" ht="23.1" customHeight="1" x14ac:dyDescent="0.25">
      <c r="B46" s="24" t="s">
        <v>73</v>
      </c>
      <c r="C46" s="50">
        <v>10</v>
      </c>
      <c r="D46" s="50">
        <v>6</v>
      </c>
      <c r="E46" s="50">
        <v>4</v>
      </c>
      <c r="F46" s="50">
        <v>4</v>
      </c>
      <c r="G46" s="50">
        <v>0</v>
      </c>
      <c r="H46" s="50">
        <v>0</v>
      </c>
      <c r="I46" s="50">
        <v>4</v>
      </c>
      <c r="J46" s="50">
        <v>2</v>
      </c>
      <c r="K46" s="50">
        <v>0</v>
      </c>
      <c r="L46" s="50">
        <v>1</v>
      </c>
      <c r="M46" s="50">
        <v>20</v>
      </c>
      <c r="N46" s="50">
        <v>0</v>
      </c>
      <c r="O46" s="15">
        <f t="shared" si="0"/>
        <v>31</v>
      </c>
      <c r="P46" s="15">
        <f t="shared" si="1"/>
        <v>51</v>
      </c>
      <c r="R46" s="8"/>
      <c r="T46"/>
    </row>
    <row r="47" spans="2:20" ht="23.1" customHeight="1" x14ac:dyDescent="0.25">
      <c r="B47" s="24" t="s">
        <v>74</v>
      </c>
      <c r="C47" s="50">
        <v>29</v>
      </c>
      <c r="D47" s="50">
        <v>15</v>
      </c>
      <c r="E47" s="50">
        <v>9</v>
      </c>
      <c r="F47" s="50">
        <v>13</v>
      </c>
      <c r="G47" s="50">
        <v>0</v>
      </c>
      <c r="H47" s="50">
        <v>0</v>
      </c>
      <c r="I47" s="50">
        <v>9</v>
      </c>
      <c r="J47" s="50">
        <v>3</v>
      </c>
      <c r="K47" s="50">
        <v>1</v>
      </c>
      <c r="L47" s="50">
        <v>1</v>
      </c>
      <c r="M47" s="50">
        <v>50</v>
      </c>
      <c r="N47" s="50">
        <v>1</v>
      </c>
      <c r="O47" s="15">
        <f t="shared" si="0"/>
        <v>81</v>
      </c>
      <c r="P47" s="15">
        <f t="shared" si="1"/>
        <v>131</v>
      </c>
      <c r="R47" s="8"/>
      <c r="T47"/>
    </row>
    <row r="48" spans="2:20" ht="23.1" customHeight="1" x14ac:dyDescent="0.25">
      <c r="B48" s="24" t="s">
        <v>75</v>
      </c>
      <c r="C48" s="50">
        <v>30</v>
      </c>
      <c r="D48" s="50">
        <v>16</v>
      </c>
      <c r="E48" s="50">
        <v>5</v>
      </c>
      <c r="F48" s="50">
        <v>1</v>
      </c>
      <c r="G48" s="50">
        <v>0</v>
      </c>
      <c r="H48" s="50">
        <v>0</v>
      </c>
      <c r="I48" s="50">
        <v>6</v>
      </c>
      <c r="J48" s="50">
        <v>7</v>
      </c>
      <c r="K48" s="50">
        <v>2</v>
      </c>
      <c r="L48" s="50">
        <v>3</v>
      </c>
      <c r="M48" s="50">
        <v>57</v>
      </c>
      <c r="N48" s="50">
        <v>0</v>
      </c>
      <c r="O48" s="15">
        <f t="shared" si="0"/>
        <v>70</v>
      </c>
      <c r="P48" s="15">
        <f t="shared" si="1"/>
        <v>127</v>
      </c>
      <c r="R48" s="8"/>
      <c r="T48"/>
    </row>
    <row r="49" spans="2:20" ht="23.1" customHeight="1" x14ac:dyDescent="0.25">
      <c r="B49" s="23" t="s">
        <v>76</v>
      </c>
      <c r="C49" s="50">
        <v>82</v>
      </c>
      <c r="D49" s="50">
        <v>22</v>
      </c>
      <c r="E49" s="50">
        <v>8</v>
      </c>
      <c r="F49" s="50">
        <v>24</v>
      </c>
      <c r="G49" s="50">
        <v>0</v>
      </c>
      <c r="H49" s="50">
        <v>0</v>
      </c>
      <c r="I49" s="50">
        <v>10</v>
      </c>
      <c r="J49" s="50">
        <v>9</v>
      </c>
      <c r="K49" s="50">
        <v>0</v>
      </c>
      <c r="L49" s="50">
        <v>1</v>
      </c>
      <c r="M49" s="50">
        <v>86</v>
      </c>
      <c r="N49" s="50">
        <v>0</v>
      </c>
      <c r="O49" s="15">
        <f t="shared" si="0"/>
        <v>156</v>
      </c>
      <c r="P49" s="15">
        <f t="shared" si="1"/>
        <v>242</v>
      </c>
      <c r="R49" s="8"/>
      <c r="T49"/>
    </row>
    <row r="50" spans="2:20" ht="23.1" customHeight="1" x14ac:dyDescent="0.25">
      <c r="B50" s="24" t="s">
        <v>77</v>
      </c>
      <c r="C50" s="50">
        <v>31</v>
      </c>
      <c r="D50" s="50">
        <v>21</v>
      </c>
      <c r="E50" s="50">
        <v>6</v>
      </c>
      <c r="F50" s="50">
        <v>16</v>
      </c>
      <c r="G50" s="50">
        <v>3</v>
      </c>
      <c r="H50" s="50">
        <v>1</v>
      </c>
      <c r="I50" s="50">
        <v>6</v>
      </c>
      <c r="J50" s="50">
        <v>7</v>
      </c>
      <c r="K50" s="50">
        <v>1</v>
      </c>
      <c r="L50" s="50">
        <v>4</v>
      </c>
      <c r="M50" s="50">
        <v>57</v>
      </c>
      <c r="N50" s="50">
        <v>0</v>
      </c>
      <c r="O50" s="15">
        <f t="shared" si="0"/>
        <v>96</v>
      </c>
      <c r="P50" s="15">
        <f t="shared" si="1"/>
        <v>153</v>
      </c>
      <c r="R50" s="8"/>
      <c r="T50"/>
    </row>
    <row r="51" spans="2:20" ht="23.1" customHeight="1" x14ac:dyDescent="0.25">
      <c r="B51" s="24" t="s">
        <v>78</v>
      </c>
      <c r="C51" s="50">
        <v>25</v>
      </c>
      <c r="D51" s="50">
        <v>20</v>
      </c>
      <c r="E51" s="50">
        <v>2</v>
      </c>
      <c r="F51" s="50">
        <v>16</v>
      </c>
      <c r="G51" s="50">
        <v>3</v>
      </c>
      <c r="H51" s="50">
        <v>0</v>
      </c>
      <c r="I51" s="50">
        <v>3</v>
      </c>
      <c r="J51" s="50">
        <v>5</v>
      </c>
      <c r="K51" s="50">
        <v>1</v>
      </c>
      <c r="L51" s="50">
        <v>4</v>
      </c>
      <c r="M51" s="50">
        <v>41</v>
      </c>
      <c r="N51" s="50">
        <v>0</v>
      </c>
      <c r="O51" s="15">
        <f t="shared" si="0"/>
        <v>79</v>
      </c>
      <c r="P51" s="15">
        <f t="shared" si="1"/>
        <v>120</v>
      </c>
      <c r="R51" s="8"/>
      <c r="T51"/>
    </row>
    <row r="52" spans="2:20" ht="23.1" customHeight="1" x14ac:dyDescent="0.25">
      <c r="B52" s="24" t="s">
        <v>79</v>
      </c>
      <c r="C52" s="50">
        <v>35</v>
      </c>
      <c r="D52" s="50">
        <v>14</v>
      </c>
      <c r="E52" s="50">
        <v>10</v>
      </c>
      <c r="F52" s="50">
        <v>25</v>
      </c>
      <c r="G52" s="50">
        <v>3</v>
      </c>
      <c r="H52" s="50">
        <v>0</v>
      </c>
      <c r="I52" s="50">
        <v>2</v>
      </c>
      <c r="J52" s="50">
        <v>6</v>
      </c>
      <c r="K52" s="50">
        <v>1</v>
      </c>
      <c r="L52" s="50">
        <v>0</v>
      </c>
      <c r="M52" s="50">
        <v>68</v>
      </c>
      <c r="N52" s="50">
        <v>0</v>
      </c>
      <c r="O52" s="15">
        <f t="shared" si="0"/>
        <v>96</v>
      </c>
      <c r="P52" s="15">
        <f t="shared" si="1"/>
        <v>164</v>
      </c>
      <c r="R52" s="8"/>
      <c r="T52"/>
    </row>
    <row r="53" spans="2:20" ht="23.1" customHeight="1" x14ac:dyDescent="0.25">
      <c r="B53" s="23" t="s">
        <v>80</v>
      </c>
      <c r="C53" s="50">
        <v>39</v>
      </c>
      <c r="D53" s="50">
        <v>27</v>
      </c>
      <c r="E53" s="50">
        <v>11</v>
      </c>
      <c r="F53" s="50">
        <v>26</v>
      </c>
      <c r="G53" s="50">
        <v>2</v>
      </c>
      <c r="H53" s="50">
        <v>0</v>
      </c>
      <c r="I53" s="50">
        <v>10</v>
      </c>
      <c r="J53" s="50">
        <v>10</v>
      </c>
      <c r="K53" s="50">
        <v>1</v>
      </c>
      <c r="L53" s="50">
        <v>4</v>
      </c>
      <c r="M53" s="50">
        <v>82</v>
      </c>
      <c r="N53" s="50">
        <v>0</v>
      </c>
      <c r="O53" s="15">
        <f t="shared" si="0"/>
        <v>130</v>
      </c>
      <c r="P53" s="15">
        <f t="shared" si="1"/>
        <v>212</v>
      </c>
      <c r="R53" s="8"/>
      <c r="T53"/>
    </row>
    <row r="54" spans="2:20" ht="23.1" customHeight="1" x14ac:dyDescent="0.25">
      <c r="B54" s="23" t="s">
        <v>81</v>
      </c>
      <c r="C54" s="50">
        <v>31</v>
      </c>
      <c r="D54" s="50">
        <v>15</v>
      </c>
      <c r="E54" s="50">
        <v>13</v>
      </c>
      <c r="F54" s="50">
        <v>22</v>
      </c>
      <c r="G54" s="50">
        <v>1</v>
      </c>
      <c r="H54" s="50">
        <v>0</v>
      </c>
      <c r="I54" s="50">
        <v>11</v>
      </c>
      <c r="J54" s="50">
        <v>3</v>
      </c>
      <c r="K54" s="50">
        <v>2</v>
      </c>
      <c r="L54" s="50">
        <v>1</v>
      </c>
      <c r="M54" s="50">
        <v>206</v>
      </c>
      <c r="N54" s="50">
        <v>0</v>
      </c>
      <c r="O54" s="15">
        <f t="shared" si="0"/>
        <v>99</v>
      </c>
      <c r="P54" s="15">
        <f t="shared" si="1"/>
        <v>305</v>
      </c>
      <c r="R54" s="8"/>
      <c r="T54"/>
    </row>
    <row r="55" spans="2:20" ht="23.1" customHeight="1" x14ac:dyDescent="0.25">
      <c r="B55" s="23" t="s">
        <v>82</v>
      </c>
      <c r="C55" s="50">
        <v>20</v>
      </c>
      <c r="D55" s="50">
        <v>18</v>
      </c>
      <c r="E55" s="50">
        <v>14</v>
      </c>
      <c r="F55" s="50">
        <v>15</v>
      </c>
      <c r="G55" s="50">
        <v>1</v>
      </c>
      <c r="H55" s="50">
        <v>0</v>
      </c>
      <c r="I55" s="50">
        <v>5</v>
      </c>
      <c r="J55" s="50">
        <v>5</v>
      </c>
      <c r="K55" s="50">
        <v>4</v>
      </c>
      <c r="L55" s="50">
        <v>1</v>
      </c>
      <c r="M55" s="50">
        <v>199</v>
      </c>
      <c r="N55" s="50">
        <v>0</v>
      </c>
      <c r="O55" s="15">
        <f t="shared" si="0"/>
        <v>83</v>
      </c>
      <c r="P55" s="15">
        <f t="shared" si="1"/>
        <v>282</v>
      </c>
      <c r="R55" s="8"/>
      <c r="T55"/>
    </row>
    <row r="56" spans="2:20" ht="23.1" customHeight="1" x14ac:dyDescent="0.25">
      <c r="B56" s="23" t="s">
        <v>83</v>
      </c>
      <c r="C56" s="50">
        <v>28</v>
      </c>
      <c r="D56" s="50">
        <v>10</v>
      </c>
      <c r="E56" s="50">
        <v>5</v>
      </c>
      <c r="F56" s="50">
        <v>17</v>
      </c>
      <c r="G56" s="50">
        <v>0</v>
      </c>
      <c r="H56" s="50">
        <v>0</v>
      </c>
      <c r="I56" s="50">
        <v>5</v>
      </c>
      <c r="J56" s="50">
        <v>7</v>
      </c>
      <c r="K56" s="50">
        <v>2</v>
      </c>
      <c r="L56" s="50">
        <v>0</v>
      </c>
      <c r="M56" s="50">
        <v>220</v>
      </c>
      <c r="N56" s="50">
        <v>0</v>
      </c>
      <c r="O56" s="15">
        <f t="shared" si="0"/>
        <v>74</v>
      </c>
      <c r="P56" s="15">
        <f t="shared" si="1"/>
        <v>294</v>
      </c>
      <c r="R56" s="8"/>
      <c r="T56"/>
    </row>
    <row r="57" spans="2:20" ht="23.1" customHeight="1" x14ac:dyDescent="0.25">
      <c r="B57" s="23" t="s">
        <v>84</v>
      </c>
      <c r="C57" s="50">
        <v>35</v>
      </c>
      <c r="D57" s="50">
        <v>12</v>
      </c>
      <c r="E57" s="50">
        <v>7</v>
      </c>
      <c r="F57" s="50">
        <v>32</v>
      </c>
      <c r="G57" s="50">
        <v>1</v>
      </c>
      <c r="H57" s="50">
        <v>0</v>
      </c>
      <c r="I57" s="50">
        <v>7</v>
      </c>
      <c r="J57" s="50">
        <v>5</v>
      </c>
      <c r="K57" s="50">
        <v>3</v>
      </c>
      <c r="L57" s="50">
        <v>4</v>
      </c>
      <c r="M57" s="50">
        <v>155</v>
      </c>
      <c r="N57" s="50">
        <v>0</v>
      </c>
      <c r="O57" s="15">
        <f t="shared" si="0"/>
        <v>106</v>
      </c>
      <c r="P57" s="15">
        <f t="shared" si="1"/>
        <v>261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1875</v>
      </c>
      <c r="D58" s="16">
        <f t="shared" si="21"/>
        <v>1074</v>
      </c>
      <c r="E58" s="16">
        <f t="shared" si="21"/>
        <v>427</v>
      </c>
      <c r="F58" s="16">
        <f t="shared" si="21"/>
        <v>829</v>
      </c>
      <c r="G58" s="16">
        <f t="shared" si="21"/>
        <v>87</v>
      </c>
      <c r="H58" s="16">
        <f t="shared" si="21"/>
        <v>12</v>
      </c>
      <c r="I58" s="16">
        <f t="shared" si="21"/>
        <v>236</v>
      </c>
      <c r="J58" s="16">
        <f t="shared" si="21"/>
        <v>354</v>
      </c>
      <c r="K58" s="16">
        <f t="shared" si="21"/>
        <v>149</v>
      </c>
      <c r="L58" s="16">
        <f t="shared" si="21"/>
        <v>147</v>
      </c>
      <c r="M58" s="16">
        <f t="shared" si="21"/>
        <v>4706</v>
      </c>
      <c r="N58" s="16">
        <f t="shared" si="21"/>
        <v>1</v>
      </c>
      <c r="O58" s="16">
        <f t="shared" si="21"/>
        <v>5191</v>
      </c>
      <c r="P58" s="16">
        <f t="shared" si="21"/>
        <v>9897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0.18945134889360413</v>
      </c>
      <c r="D59" s="43">
        <f t="shared" si="22"/>
        <v>0.10851773264625644</v>
      </c>
      <c r="E59" s="43">
        <f t="shared" si="22"/>
        <v>4.314438718803678E-2</v>
      </c>
      <c r="F59" s="43">
        <f t="shared" si="22"/>
        <v>8.3762756390825505E-2</v>
      </c>
      <c r="G59" s="43">
        <f t="shared" si="22"/>
        <v>8.7905425886632312E-3</v>
      </c>
      <c r="H59" s="43">
        <f t="shared" si="22"/>
        <v>1.2124886329190664E-3</v>
      </c>
      <c r="I59" s="43">
        <f t="shared" si="22"/>
        <v>2.3845609780741638E-2</v>
      </c>
      <c r="J59" s="43">
        <f t="shared" si="22"/>
        <v>3.5768414671112456E-2</v>
      </c>
      <c r="K59" s="43">
        <f t="shared" si="22"/>
        <v>1.5055067192078407E-2</v>
      </c>
      <c r="L59" s="43">
        <f t="shared" si="22"/>
        <v>1.4852985753258564E-2</v>
      </c>
      <c r="M59" s="43">
        <f t="shared" si="22"/>
        <v>0.47549762554309388</v>
      </c>
      <c r="N59" s="43">
        <f t="shared" si="22"/>
        <v>1.010407194099222E-4</v>
      </c>
      <c r="R59" s="8"/>
      <c r="T59"/>
    </row>
    <row r="60" spans="2:20" ht="23.1" customHeight="1" x14ac:dyDescent="0.25">
      <c r="B60" s="42" t="s">
        <v>94</v>
      </c>
      <c r="C60" s="44">
        <f>C58/$O$58</f>
        <v>0.36120208052398384</v>
      </c>
      <c r="D60" s="44">
        <f t="shared" ref="D60:N60" si="23">D58/$O$58</f>
        <v>0.20689655172413793</v>
      </c>
      <c r="E60" s="44">
        <f t="shared" si="23"/>
        <v>8.2257753804661909E-2</v>
      </c>
      <c r="F60" s="44">
        <f t="shared" si="23"/>
        <v>0.15969947986900404</v>
      </c>
      <c r="G60" s="44">
        <f t="shared" si="23"/>
        <v>1.6759776536312849E-2</v>
      </c>
      <c r="H60" s="44">
        <f t="shared" si="23"/>
        <v>2.3116933153534964E-3</v>
      </c>
      <c r="I60" s="44">
        <f t="shared" si="23"/>
        <v>4.5463301868618765E-2</v>
      </c>
      <c r="J60" s="44">
        <f t="shared" si="23"/>
        <v>6.8194952802928144E-2</v>
      </c>
      <c r="K60" s="44">
        <f t="shared" si="23"/>
        <v>2.8703525332305913E-2</v>
      </c>
      <c r="L60" s="44">
        <f t="shared" si="23"/>
        <v>2.831824311308033E-2</v>
      </c>
      <c r="M60" s="44"/>
      <c r="N60" s="44">
        <f t="shared" si="23"/>
        <v>1.9264110961279138E-4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: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Kinawataka-Kireka'!C3:G3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176</v>
      </c>
      <c r="E5" s="3"/>
      <c r="F5" s="41" t="s">
        <v>1</v>
      </c>
      <c r="G5" s="63" t="str">
        <f>'29.07 Kinawataka-Kireka'!G5:H5</f>
        <v>Kireka road</v>
      </c>
      <c r="H5" s="64"/>
      <c r="I5" s="14"/>
      <c r="J5" s="2" t="s">
        <v>5</v>
      </c>
      <c r="K5" s="63" t="str">
        <f>'29.07 Kinawataka-Kireka'!K5:L5</f>
        <v>Omeje Brian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Kinawataka-Kireka'!D6:E6</f>
        <v>Kinawataka</v>
      </c>
      <c r="E6" s="64"/>
      <c r="F6" s="2" t="s">
        <v>2</v>
      </c>
      <c r="G6" s="63" t="str">
        <f>'29.07 Kinawataka-Kireka'!G6:H6</f>
        <v xml:space="preserve">Kireka </v>
      </c>
      <c r="H6" s="64"/>
      <c r="J6" s="2" t="s">
        <v>21</v>
      </c>
      <c r="K6" s="63" t="str">
        <f>'29.07 Kinawataka-Kireka'!K6:L6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26</v>
      </c>
      <c r="D10" s="50">
        <v>3</v>
      </c>
      <c r="E10" s="50">
        <v>3</v>
      </c>
      <c r="F10" s="50">
        <v>27</v>
      </c>
      <c r="G10" s="50">
        <v>3</v>
      </c>
      <c r="H10" s="50">
        <v>1</v>
      </c>
      <c r="I10" s="50">
        <v>6</v>
      </c>
      <c r="J10" s="50">
        <v>1</v>
      </c>
      <c r="K10" s="50">
        <v>0</v>
      </c>
      <c r="L10" s="50">
        <v>2</v>
      </c>
      <c r="M10" s="50">
        <v>100</v>
      </c>
      <c r="N10" s="50">
        <v>0</v>
      </c>
      <c r="O10" s="15">
        <f t="shared" ref="O10:O57" si="0">SUM(C10:L10,N10)</f>
        <v>72</v>
      </c>
      <c r="P10" s="15">
        <f t="shared" ref="P10:P57" si="1">SUM(C10:N10)</f>
        <v>172</v>
      </c>
      <c r="R10" s="1" t="s">
        <v>6</v>
      </c>
      <c r="S10" s="17">
        <f t="shared" ref="S10:AF10" si="2">SUM(C10:C13)</f>
        <v>132</v>
      </c>
      <c r="T10" s="17">
        <f t="shared" si="2"/>
        <v>23</v>
      </c>
      <c r="U10" s="17">
        <f t="shared" si="2"/>
        <v>23</v>
      </c>
      <c r="V10" s="17">
        <f t="shared" si="2"/>
        <v>101</v>
      </c>
      <c r="W10" s="17">
        <f t="shared" si="2"/>
        <v>11</v>
      </c>
      <c r="X10" s="17">
        <f t="shared" si="2"/>
        <v>2</v>
      </c>
      <c r="Y10" s="17">
        <f t="shared" si="2"/>
        <v>16</v>
      </c>
      <c r="Z10" s="17">
        <f t="shared" si="2"/>
        <v>8</v>
      </c>
      <c r="AA10" s="17">
        <f t="shared" si="2"/>
        <v>5</v>
      </c>
      <c r="AB10" s="17">
        <f t="shared" si="2"/>
        <v>5</v>
      </c>
      <c r="AC10" s="17">
        <f t="shared" si="2"/>
        <v>335</v>
      </c>
      <c r="AD10" s="17">
        <f t="shared" si="2"/>
        <v>0</v>
      </c>
      <c r="AE10" s="31">
        <f t="shared" si="2"/>
        <v>326</v>
      </c>
      <c r="AF10" s="31">
        <f t="shared" si="2"/>
        <v>661</v>
      </c>
    </row>
    <row r="11" spans="2:32" s="6" customFormat="1" ht="23.1" customHeight="1" x14ac:dyDescent="0.25">
      <c r="B11" s="23" t="s">
        <v>38</v>
      </c>
      <c r="C11" s="50">
        <v>39</v>
      </c>
      <c r="D11" s="50">
        <v>7</v>
      </c>
      <c r="E11" s="50">
        <v>9</v>
      </c>
      <c r="F11" s="50">
        <v>26</v>
      </c>
      <c r="G11" s="50">
        <v>3</v>
      </c>
      <c r="H11" s="50">
        <v>0</v>
      </c>
      <c r="I11" s="50">
        <v>7</v>
      </c>
      <c r="J11" s="50">
        <v>3</v>
      </c>
      <c r="K11" s="50">
        <v>1</v>
      </c>
      <c r="L11" s="50">
        <v>0</v>
      </c>
      <c r="M11" s="50">
        <v>0</v>
      </c>
      <c r="N11" s="50">
        <v>0</v>
      </c>
      <c r="O11" s="15">
        <f t="shared" si="0"/>
        <v>95</v>
      </c>
      <c r="P11" s="15">
        <f t="shared" si="1"/>
        <v>95</v>
      </c>
      <c r="R11" s="1" t="s">
        <v>7</v>
      </c>
      <c r="S11" s="17">
        <f t="shared" ref="S11:AF11" si="3">SUM(C14:C17)</f>
        <v>111</v>
      </c>
      <c r="T11" s="17">
        <f t="shared" si="3"/>
        <v>20</v>
      </c>
      <c r="U11" s="17">
        <f t="shared" si="3"/>
        <v>18</v>
      </c>
      <c r="V11" s="17">
        <f t="shared" si="3"/>
        <v>81</v>
      </c>
      <c r="W11" s="17">
        <f t="shared" si="3"/>
        <v>16</v>
      </c>
      <c r="X11" s="17">
        <f t="shared" si="3"/>
        <v>0</v>
      </c>
      <c r="Y11" s="17">
        <f t="shared" si="3"/>
        <v>22</v>
      </c>
      <c r="Z11" s="17">
        <f t="shared" si="3"/>
        <v>7</v>
      </c>
      <c r="AA11" s="17">
        <f t="shared" si="3"/>
        <v>5</v>
      </c>
      <c r="AB11" s="17">
        <f t="shared" si="3"/>
        <v>3</v>
      </c>
      <c r="AC11" s="17">
        <f t="shared" si="3"/>
        <v>710</v>
      </c>
      <c r="AD11" s="17">
        <f t="shared" si="3"/>
        <v>0</v>
      </c>
      <c r="AE11" s="31">
        <f t="shared" si="3"/>
        <v>283</v>
      </c>
      <c r="AF11" s="31">
        <f t="shared" si="3"/>
        <v>993</v>
      </c>
    </row>
    <row r="12" spans="2:32" ht="23.1" customHeight="1" x14ac:dyDescent="0.25">
      <c r="B12" s="23" t="s">
        <v>39</v>
      </c>
      <c r="C12" s="50">
        <v>30</v>
      </c>
      <c r="D12" s="50">
        <v>8</v>
      </c>
      <c r="E12" s="50">
        <v>6</v>
      </c>
      <c r="F12" s="50">
        <v>18</v>
      </c>
      <c r="G12" s="50">
        <v>3</v>
      </c>
      <c r="H12" s="50">
        <v>1</v>
      </c>
      <c r="I12" s="50">
        <v>2</v>
      </c>
      <c r="J12" s="50">
        <v>3</v>
      </c>
      <c r="K12" s="50">
        <v>1</v>
      </c>
      <c r="L12" s="50">
        <v>2</v>
      </c>
      <c r="M12" s="50">
        <v>90</v>
      </c>
      <c r="N12" s="50">
        <v>0</v>
      </c>
      <c r="O12" s="15">
        <f t="shared" si="0"/>
        <v>74</v>
      </c>
      <c r="P12" s="15">
        <f t="shared" si="1"/>
        <v>164</v>
      </c>
      <c r="R12" s="1" t="s">
        <v>8</v>
      </c>
      <c r="S12" s="17">
        <f t="shared" ref="S12:AF12" si="4">SUM(C18:C21)</f>
        <v>137</v>
      </c>
      <c r="T12" s="17">
        <f t="shared" si="4"/>
        <v>14</v>
      </c>
      <c r="U12" s="17">
        <f t="shared" si="4"/>
        <v>19</v>
      </c>
      <c r="V12" s="17">
        <f t="shared" si="4"/>
        <v>77</v>
      </c>
      <c r="W12" s="17">
        <f t="shared" si="4"/>
        <v>5</v>
      </c>
      <c r="X12" s="17">
        <f t="shared" si="4"/>
        <v>0</v>
      </c>
      <c r="Y12" s="17">
        <f t="shared" si="4"/>
        <v>20</v>
      </c>
      <c r="Z12" s="17">
        <f t="shared" si="4"/>
        <v>18</v>
      </c>
      <c r="AA12" s="17">
        <f t="shared" si="4"/>
        <v>7</v>
      </c>
      <c r="AB12" s="17">
        <f t="shared" si="4"/>
        <v>4</v>
      </c>
      <c r="AC12" s="17">
        <f t="shared" si="4"/>
        <v>505</v>
      </c>
      <c r="AD12" s="17">
        <f t="shared" si="4"/>
        <v>0</v>
      </c>
      <c r="AE12" s="31">
        <f t="shared" si="4"/>
        <v>301</v>
      </c>
      <c r="AF12" s="31">
        <f t="shared" si="4"/>
        <v>806</v>
      </c>
    </row>
    <row r="13" spans="2:32" ht="23.1" customHeight="1" x14ac:dyDescent="0.25">
      <c r="B13" s="23" t="s">
        <v>40</v>
      </c>
      <c r="C13" s="50">
        <v>37</v>
      </c>
      <c r="D13" s="50">
        <v>5</v>
      </c>
      <c r="E13" s="50">
        <v>5</v>
      </c>
      <c r="F13" s="50">
        <v>30</v>
      </c>
      <c r="G13" s="50">
        <v>2</v>
      </c>
      <c r="H13" s="50">
        <v>0</v>
      </c>
      <c r="I13" s="50">
        <v>1</v>
      </c>
      <c r="J13" s="50">
        <v>1</v>
      </c>
      <c r="K13" s="50">
        <v>3</v>
      </c>
      <c r="L13" s="50">
        <v>1</v>
      </c>
      <c r="M13" s="50">
        <v>145</v>
      </c>
      <c r="N13" s="50">
        <v>0</v>
      </c>
      <c r="O13" s="15">
        <f t="shared" si="0"/>
        <v>85</v>
      </c>
      <c r="P13" s="15">
        <f t="shared" si="1"/>
        <v>230</v>
      </c>
      <c r="R13" s="1" t="s">
        <v>9</v>
      </c>
      <c r="S13" s="17">
        <f t="shared" ref="S13:AF13" si="5">SUM(C22:C25)</f>
        <v>157</v>
      </c>
      <c r="T13" s="17">
        <f t="shared" si="5"/>
        <v>13</v>
      </c>
      <c r="U13" s="17">
        <f t="shared" si="5"/>
        <v>24</v>
      </c>
      <c r="V13" s="17">
        <f t="shared" si="5"/>
        <v>64</v>
      </c>
      <c r="W13" s="17">
        <f t="shared" si="5"/>
        <v>4</v>
      </c>
      <c r="X13" s="17">
        <f t="shared" si="5"/>
        <v>0</v>
      </c>
      <c r="Y13" s="17">
        <f t="shared" si="5"/>
        <v>37</v>
      </c>
      <c r="Z13" s="17">
        <f t="shared" si="5"/>
        <v>14</v>
      </c>
      <c r="AA13" s="17">
        <f t="shared" si="5"/>
        <v>10</v>
      </c>
      <c r="AB13" s="17">
        <f t="shared" si="5"/>
        <v>48</v>
      </c>
      <c r="AC13" s="17">
        <f t="shared" si="5"/>
        <v>455</v>
      </c>
      <c r="AD13" s="17">
        <f t="shared" si="5"/>
        <v>0</v>
      </c>
      <c r="AE13" s="31">
        <f t="shared" si="5"/>
        <v>371</v>
      </c>
      <c r="AF13" s="31">
        <f t="shared" si="5"/>
        <v>826</v>
      </c>
    </row>
    <row r="14" spans="2:32" ht="23.1" customHeight="1" x14ac:dyDescent="0.25">
      <c r="B14" s="23" t="s">
        <v>41</v>
      </c>
      <c r="C14" s="50">
        <v>34</v>
      </c>
      <c r="D14" s="50">
        <v>4</v>
      </c>
      <c r="E14" s="50">
        <v>4</v>
      </c>
      <c r="F14" s="50">
        <v>22</v>
      </c>
      <c r="G14" s="50">
        <v>5</v>
      </c>
      <c r="H14" s="50">
        <v>0</v>
      </c>
      <c r="I14" s="50">
        <v>3</v>
      </c>
      <c r="J14" s="50">
        <v>5</v>
      </c>
      <c r="K14" s="50">
        <v>2</v>
      </c>
      <c r="L14" s="50">
        <v>1</v>
      </c>
      <c r="M14" s="50">
        <v>150</v>
      </c>
      <c r="N14" s="50">
        <v>0</v>
      </c>
      <c r="O14" s="15">
        <f t="shared" si="0"/>
        <v>80</v>
      </c>
      <c r="P14" s="15">
        <f t="shared" si="1"/>
        <v>230</v>
      </c>
      <c r="R14" s="1" t="s">
        <v>10</v>
      </c>
      <c r="S14" s="17">
        <f t="shared" ref="S14:AF14" si="6">SUM(C26:C29)</f>
        <v>170</v>
      </c>
      <c r="T14" s="17">
        <f t="shared" si="6"/>
        <v>21</v>
      </c>
      <c r="U14" s="17">
        <f t="shared" si="6"/>
        <v>18</v>
      </c>
      <c r="V14" s="17">
        <f t="shared" si="6"/>
        <v>56</v>
      </c>
      <c r="W14" s="17">
        <f t="shared" si="6"/>
        <v>4</v>
      </c>
      <c r="X14" s="17">
        <f t="shared" si="6"/>
        <v>0</v>
      </c>
      <c r="Y14" s="17">
        <f t="shared" si="6"/>
        <v>47</v>
      </c>
      <c r="Z14" s="17">
        <f t="shared" si="6"/>
        <v>19</v>
      </c>
      <c r="AA14" s="17">
        <f t="shared" si="6"/>
        <v>9</v>
      </c>
      <c r="AB14" s="17">
        <f t="shared" si="6"/>
        <v>19</v>
      </c>
      <c r="AC14" s="17">
        <f t="shared" si="6"/>
        <v>500</v>
      </c>
      <c r="AD14" s="17">
        <f t="shared" si="6"/>
        <v>1</v>
      </c>
      <c r="AE14" s="31">
        <f t="shared" si="6"/>
        <v>364</v>
      </c>
      <c r="AF14" s="31">
        <f t="shared" si="6"/>
        <v>864</v>
      </c>
    </row>
    <row r="15" spans="2:32" ht="23.1" customHeight="1" x14ac:dyDescent="0.25">
      <c r="B15" s="23" t="s">
        <v>42</v>
      </c>
      <c r="C15" s="50">
        <v>30</v>
      </c>
      <c r="D15" s="50">
        <v>6</v>
      </c>
      <c r="E15" s="50">
        <v>7</v>
      </c>
      <c r="F15" s="50">
        <v>24</v>
      </c>
      <c r="G15" s="50">
        <v>3</v>
      </c>
      <c r="H15" s="50">
        <v>0</v>
      </c>
      <c r="I15" s="50">
        <v>10</v>
      </c>
      <c r="J15" s="50">
        <v>1</v>
      </c>
      <c r="K15" s="50">
        <v>1</v>
      </c>
      <c r="L15" s="50">
        <v>1</v>
      </c>
      <c r="M15" s="50">
        <v>215</v>
      </c>
      <c r="N15" s="50">
        <v>0</v>
      </c>
      <c r="O15" s="15">
        <f t="shared" si="0"/>
        <v>83</v>
      </c>
      <c r="P15" s="15">
        <f t="shared" si="1"/>
        <v>298</v>
      </c>
      <c r="R15" s="1" t="s">
        <v>11</v>
      </c>
      <c r="S15" s="17">
        <f t="shared" ref="S15:AF15" si="7">SUM(C30:C33)</f>
        <v>139</v>
      </c>
      <c r="T15" s="17">
        <f t="shared" si="7"/>
        <v>18</v>
      </c>
      <c r="U15" s="17">
        <f t="shared" si="7"/>
        <v>28</v>
      </c>
      <c r="V15" s="17">
        <f t="shared" si="7"/>
        <v>44</v>
      </c>
      <c r="W15" s="17">
        <f t="shared" si="7"/>
        <v>9</v>
      </c>
      <c r="X15" s="17">
        <f t="shared" si="7"/>
        <v>2</v>
      </c>
      <c r="Y15" s="17">
        <f t="shared" si="7"/>
        <v>29</v>
      </c>
      <c r="Z15" s="17">
        <f t="shared" si="7"/>
        <v>15</v>
      </c>
      <c r="AA15" s="17">
        <f t="shared" si="7"/>
        <v>11</v>
      </c>
      <c r="AB15" s="17">
        <f t="shared" si="7"/>
        <v>24</v>
      </c>
      <c r="AC15" s="17">
        <f t="shared" si="7"/>
        <v>346</v>
      </c>
      <c r="AD15" s="17">
        <f t="shared" si="7"/>
        <v>0</v>
      </c>
      <c r="AE15" s="31">
        <f t="shared" si="7"/>
        <v>319</v>
      </c>
      <c r="AF15" s="31">
        <f t="shared" si="7"/>
        <v>665</v>
      </c>
    </row>
    <row r="16" spans="2:32" ht="23.1" customHeight="1" x14ac:dyDescent="0.25">
      <c r="B16" s="23" t="s">
        <v>43</v>
      </c>
      <c r="C16" s="50">
        <v>16</v>
      </c>
      <c r="D16" s="50">
        <v>3</v>
      </c>
      <c r="E16" s="50">
        <v>3</v>
      </c>
      <c r="F16" s="50">
        <v>23</v>
      </c>
      <c r="G16" s="50">
        <v>4</v>
      </c>
      <c r="H16" s="50">
        <v>0</v>
      </c>
      <c r="I16" s="50">
        <v>6</v>
      </c>
      <c r="J16" s="50">
        <v>1</v>
      </c>
      <c r="K16" s="50">
        <v>0</v>
      </c>
      <c r="L16" s="50">
        <v>1</v>
      </c>
      <c r="M16" s="50">
        <v>180</v>
      </c>
      <c r="N16" s="50">
        <v>0</v>
      </c>
      <c r="O16" s="15">
        <f t="shared" si="0"/>
        <v>57</v>
      </c>
      <c r="P16" s="15">
        <f t="shared" si="1"/>
        <v>237</v>
      </c>
      <c r="R16" s="1" t="s">
        <v>12</v>
      </c>
      <c r="S16" s="17">
        <f t="shared" ref="S16:AF16" si="8">SUM(C34:C37)</f>
        <v>215</v>
      </c>
      <c r="T16" s="17">
        <f t="shared" si="8"/>
        <v>14</v>
      </c>
      <c r="U16" s="17">
        <f t="shared" si="8"/>
        <v>28</v>
      </c>
      <c r="V16" s="17">
        <f t="shared" si="8"/>
        <v>39</v>
      </c>
      <c r="W16" s="17">
        <f t="shared" si="8"/>
        <v>10</v>
      </c>
      <c r="X16" s="17">
        <f t="shared" si="8"/>
        <v>1</v>
      </c>
      <c r="Y16" s="17">
        <f t="shared" si="8"/>
        <v>43</v>
      </c>
      <c r="Z16" s="17">
        <f t="shared" si="8"/>
        <v>25</v>
      </c>
      <c r="AA16" s="17">
        <f t="shared" si="8"/>
        <v>20</v>
      </c>
      <c r="AB16" s="17">
        <f t="shared" si="8"/>
        <v>28</v>
      </c>
      <c r="AC16" s="17">
        <f t="shared" si="8"/>
        <v>350</v>
      </c>
      <c r="AD16" s="17">
        <f t="shared" si="8"/>
        <v>0</v>
      </c>
      <c r="AE16" s="31">
        <f t="shared" si="8"/>
        <v>423</v>
      </c>
      <c r="AF16" s="31">
        <f t="shared" si="8"/>
        <v>773</v>
      </c>
    </row>
    <row r="17" spans="2:32" ht="23.1" customHeight="1" x14ac:dyDescent="0.25">
      <c r="B17" s="23" t="s">
        <v>44</v>
      </c>
      <c r="C17" s="50">
        <v>31</v>
      </c>
      <c r="D17" s="50">
        <v>7</v>
      </c>
      <c r="E17" s="50">
        <v>4</v>
      </c>
      <c r="F17" s="50">
        <v>12</v>
      </c>
      <c r="G17" s="50">
        <v>4</v>
      </c>
      <c r="H17" s="50">
        <v>0</v>
      </c>
      <c r="I17" s="50">
        <v>3</v>
      </c>
      <c r="J17" s="50">
        <v>0</v>
      </c>
      <c r="K17" s="50">
        <v>2</v>
      </c>
      <c r="L17" s="50">
        <v>0</v>
      </c>
      <c r="M17" s="50">
        <v>165</v>
      </c>
      <c r="N17" s="50">
        <v>0</v>
      </c>
      <c r="O17" s="15">
        <f t="shared" si="0"/>
        <v>63</v>
      </c>
      <c r="P17" s="15">
        <f t="shared" si="1"/>
        <v>228</v>
      </c>
      <c r="R17" s="1" t="s">
        <v>13</v>
      </c>
      <c r="S17" s="17">
        <f t="shared" ref="S17:AF17" si="9">SUM(C38:C41)</f>
        <v>228</v>
      </c>
      <c r="T17" s="17">
        <f t="shared" si="9"/>
        <v>14</v>
      </c>
      <c r="U17" s="17">
        <f t="shared" si="9"/>
        <v>28</v>
      </c>
      <c r="V17" s="17">
        <f t="shared" si="9"/>
        <v>38</v>
      </c>
      <c r="W17" s="17">
        <f t="shared" si="9"/>
        <v>8</v>
      </c>
      <c r="X17" s="17">
        <f t="shared" si="9"/>
        <v>0</v>
      </c>
      <c r="Y17" s="17">
        <f t="shared" si="9"/>
        <v>26</v>
      </c>
      <c r="Z17" s="17">
        <f t="shared" si="9"/>
        <v>17</v>
      </c>
      <c r="AA17" s="17">
        <f t="shared" si="9"/>
        <v>6</v>
      </c>
      <c r="AB17" s="17">
        <f t="shared" si="9"/>
        <v>31</v>
      </c>
      <c r="AC17" s="17">
        <f t="shared" si="9"/>
        <v>350</v>
      </c>
      <c r="AD17" s="17">
        <f t="shared" si="9"/>
        <v>0</v>
      </c>
      <c r="AE17" s="31">
        <f t="shared" si="9"/>
        <v>396</v>
      </c>
      <c r="AF17" s="31">
        <f t="shared" si="9"/>
        <v>746</v>
      </c>
    </row>
    <row r="18" spans="2:32" ht="23.1" customHeight="1" x14ac:dyDescent="0.25">
      <c r="B18" s="23" t="s">
        <v>45</v>
      </c>
      <c r="C18" s="50">
        <v>50</v>
      </c>
      <c r="D18" s="50">
        <v>5</v>
      </c>
      <c r="E18" s="50">
        <v>8</v>
      </c>
      <c r="F18" s="50">
        <v>35</v>
      </c>
      <c r="G18" s="50">
        <v>1</v>
      </c>
      <c r="H18" s="50">
        <v>0</v>
      </c>
      <c r="I18" s="50">
        <v>7</v>
      </c>
      <c r="J18" s="50">
        <v>8</v>
      </c>
      <c r="K18" s="50">
        <v>1</v>
      </c>
      <c r="L18" s="50">
        <v>2</v>
      </c>
      <c r="M18" s="50">
        <v>180</v>
      </c>
      <c r="N18" s="50">
        <v>0</v>
      </c>
      <c r="O18" s="15">
        <f t="shared" si="0"/>
        <v>117</v>
      </c>
      <c r="P18" s="15">
        <f t="shared" si="1"/>
        <v>297</v>
      </c>
      <c r="R18" s="1" t="s">
        <v>14</v>
      </c>
      <c r="S18" s="17">
        <f t="shared" ref="S18:AF18" si="10">SUM(C42:C45)</f>
        <v>317</v>
      </c>
      <c r="T18" s="17">
        <f t="shared" si="10"/>
        <v>42</v>
      </c>
      <c r="U18" s="17">
        <f t="shared" si="10"/>
        <v>54</v>
      </c>
      <c r="V18" s="17">
        <f t="shared" si="10"/>
        <v>68</v>
      </c>
      <c r="W18" s="17">
        <f t="shared" si="10"/>
        <v>7</v>
      </c>
      <c r="X18" s="17">
        <f t="shared" si="10"/>
        <v>0</v>
      </c>
      <c r="Y18" s="17">
        <f t="shared" si="10"/>
        <v>43</v>
      </c>
      <c r="Z18" s="17">
        <f t="shared" si="10"/>
        <v>25</v>
      </c>
      <c r="AA18" s="17">
        <f t="shared" si="10"/>
        <v>11</v>
      </c>
      <c r="AB18" s="17">
        <f t="shared" si="10"/>
        <v>25</v>
      </c>
      <c r="AC18" s="17">
        <f t="shared" si="10"/>
        <v>410</v>
      </c>
      <c r="AD18" s="17">
        <f t="shared" si="10"/>
        <v>0</v>
      </c>
      <c r="AE18" s="31">
        <f t="shared" si="10"/>
        <v>592</v>
      </c>
      <c r="AF18" s="31">
        <f t="shared" si="10"/>
        <v>1002</v>
      </c>
    </row>
    <row r="19" spans="2:32" ht="23.1" customHeight="1" x14ac:dyDescent="0.25">
      <c r="B19" s="23" t="s">
        <v>46</v>
      </c>
      <c r="C19" s="50">
        <v>45</v>
      </c>
      <c r="D19" s="50">
        <v>4</v>
      </c>
      <c r="E19" s="50">
        <v>8</v>
      </c>
      <c r="F19" s="50">
        <v>21</v>
      </c>
      <c r="G19" s="50">
        <v>0</v>
      </c>
      <c r="H19" s="50">
        <v>0</v>
      </c>
      <c r="I19" s="50">
        <v>8</v>
      </c>
      <c r="J19" s="50">
        <v>5</v>
      </c>
      <c r="K19" s="50">
        <v>3</v>
      </c>
      <c r="L19" s="50">
        <v>2</v>
      </c>
      <c r="M19" s="50">
        <v>100</v>
      </c>
      <c r="N19" s="50">
        <v>0</v>
      </c>
      <c r="O19" s="15">
        <f t="shared" si="0"/>
        <v>96</v>
      </c>
      <c r="P19" s="15">
        <f t="shared" si="1"/>
        <v>196</v>
      </c>
      <c r="R19" s="1" t="s">
        <v>15</v>
      </c>
      <c r="S19" s="17">
        <f t="shared" ref="S19:AF19" si="11">SUM(C46:C49)</f>
        <v>317</v>
      </c>
      <c r="T19" s="17">
        <f t="shared" si="11"/>
        <v>42</v>
      </c>
      <c r="U19" s="17">
        <f t="shared" si="11"/>
        <v>54</v>
      </c>
      <c r="V19" s="17">
        <f t="shared" si="11"/>
        <v>68</v>
      </c>
      <c r="W19" s="17">
        <f t="shared" si="11"/>
        <v>7</v>
      </c>
      <c r="X19" s="17">
        <f t="shared" si="11"/>
        <v>0</v>
      </c>
      <c r="Y19" s="17">
        <f t="shared" si="11"/>
        <v>43</v>
      </c>
      <c r="Z19" s="17">
        <f t="shared" si="11"/>
        <v>25</v>
      </c>
      <c r="AA19" s="17">
        <f t="shared" si="11"/>
        <v>11</v>
      </c>
      <c r="AB19" s="17">
        <f t="shared" si="11"/>
        <v>25</v>
      </c>
      <c r="AC19" s="17">
        <f t="shared" si="11"/>
        <v>410</v>
      </c>
      <c r="AD19" s="17">
        <f t="shared" si="11"/>
        <v>0</v>
      </c>
      <c r="AE19" s="31">
        <f t="shared" si="11"/>
        <v>592</v>
      </c>
      <c r="AF19" s="31">
        <f t="shared" si="11"/>
        <v>1002</v>
      </c>
    </row>
    <row r="20" spans="2:32" ht="23.1" customHeight="1" x14ac:dyDescent="0.25">
      <c r="B20" s="23" t="s">
        <v>47</v>
      </c>
      <c r="C20" s="50">
        <v>30</v>
      </c>
      <c r="D20" s="50">
        <v>2</v>
      </c>
      <c r="E20" s="50">
        <v>0</v>
      </c>
      <c r="F20" s="50">
        <v>12</v>
      </c>
      <c r="G20" s="50">
        <v>0</v>
      </c>
      <c r="H20" s="50">
        <v>0</v>
      </c>
      <c r="I20" s="50">
        <v>3</v>
      </c>
      <c r="J20" s="50">
        <v>2</v>
      </c>
      <c r="K20" s="50">
        <v>0</v>
      </c>
      <c r="L20" s="50">
        <v>0</v>
      </c>
      <c r="M20" s="50">
        <v>105</v>
      </c>
      <c r="N20" s="50">
        <v>0</v>
      </c>
      <c r="O20" s="15">
        <f t="shared" si="0"/>
        <v>49</v>
      </c>
      <c r="P20" s="15">
        <f t="shared" si="1"/>
        <v>154</v>
      </c>
      <c r="R20" s="1" t="s">
        <v>16</v>
      </c>
      <c r="S20" s="17">
        <f t="shared" ref="S20:AF20" si="12">SUM(C50:C53)</f>
        <v>310</v>
      </c>
      <c r="T20" s="17">
        <f t="shared" si="12"/>
        <v>32</v>
      </c>
      <c r="U20" s="17">
        <f t="shared" si="12"/>
        <v>48</v>
      </c>
      <c r="V20" s="17">
        <f t="shared" si="12"/>
        <v>48</v>
      </c>
      <c r="W20" s="17">
        <f t="shared" si="12"/>
        <v>10</v>
      </c>
      <c r="X20" s="17">
        <f t="shared" si="12"/>
        <v>7</v>
      </c>
      <c r="Y20" s="17">
        <f t="shared" si="12"/>
        <v>27</v>
      </c>
      <c r="Z20" s="17">
        <f t="shared" si="12"/>
        <v>10</v>
      </c>
      <c r="AA20" s="17">
        <f t="shared" si="12"/>
        <v>7</v>
      </c>
      <c r="AB20" s="17">
        <f t="shared" si="12"/>
        <v>18</v>
      </c>
      <c r="AC20" s="17">
        <f t="shared" si="12"/>
        <v>435</v>
      </c>
      <c r="AD20" s="17">
        <f t="shared" si="12"/>
        <v>0</v>
      </c>
      <c r="AE20" s="31">
        <f t="shared" si="12"/>
        <v>517</v>
      </c>
      <c r="AF20" s="31">
        <f t="shared" si="12"/>
        <v>952</v>
      </c>
    </row>
    <row r="21" spans="2:32" ht="23.1" customHeight="1" x14ac:dyDescent="0.25">
      <c r="B21" s="23" t="s">
        <v>48</v>
      </c>
      <c r="C21" s="50">
        <v>12</v>
      </c>
      <c r="D21" s="50">
        <v>3</v>
      </c>
      <c r="E21" s="50">
        <v>3</v>
      </c>
      <c r="F21" s="50">
        <v>9</v>
      </c>
      <c r="G21" s="50">
        <v>4</v>
      </c>
      <c r="H21" s="50">
        <v>0</v>
      </c>
      <c r="I21" s="50">
        <v>2</v>
      </c>
      <c r="J21" s="50">
        <v>3</v>
      </c>
      <c r="K21" s="50">
        <v>3</v>
      </c>
      <c r="L21" s="50">
        <v>0</v>
      </c>
      <c r="M21" s="50">
        <v>120</v>
      </c>
      <c r="N21" s="50">
        <v>0</v>
      </c>
      <c r="O21" s="15">
        <f t="shared" si="0"/>
        <v>39</v>
      </c>
      <c r="P21" s="15">
        <f t="shared" si="1"/>
        <v>159</v>
      </c>
      <c r="R21" s="36" t="s">
        <v>20</v>
      </c>
      <c r="S21" s="34">
        <f t="shared" ref="S21:AF21" si="13">SUM(C54:C57)</f>
        <v>290</v>
      </c>
      <c r="T21" s="17">
        <f t="shared" si="13"/>
        <v>19</v>
      </c>
      <c r="U21" s="17">
        <f t="shared" si="13"/>
        <v>30</v>
      </c>
      <c r="V21" s="17">
        <f t="shared" si="13"/>
        <v>65</v>
      </c>
      <c r="W21" s="17">
        <f t="shared" si="13"/>
        <v>12</v>
      </c>
      <c r="X21" s="17">
        <f t="shared" si="13"/>
        <v>1</v>
      </c>
      <c r="Y21" s="17">
        <f t="shared" si="13"/>
        <v>28</v>
      </c>
      <c r="Z21" s="17">
        <f t="shared" si="13"/>
        <v>15</v>
      </c>
      <c r="AA21" s="17">
        <f t="shared" si="13"/>
        <v>2</v>
      </c>
      <c r="AB21" s="17">
        <f t="shared" si="13"/>
        <v>19</v>
      </c>
      <c r="AC21" s="17">
        <f t="shared" si="13"/>
        <v>505</v>
      </c>
      <c r="AD21" s="17">
        <f t="shared" si="13"/>
        <v>0</v>
      </c>
      <c r="AE21" s="31">
        <f t="shared" si="13"/>
        <v>481</v>
      </c>
      <c r="AF21" s="31">
        <f t="shared" si="13"/>
        <v>986</v>
      </c>
    </row>
    <row r="22" spans="2:32" ht="23.1" customHeight="1" x14ac:dyDescent="0.25">
      <c r="B22" s="23" t="s">
        <v>49</v>
      </c>
      <c r="C22" s="50">
        <v>25</v>
      </c>
      <c r="D22" s="50">
        <v>2</v>
      </c>
      <c r="E22" s="50">
        <v>4</v>
      </c>
      <c r="F22" s="50">
        <v>7</v>
      </c>
      <c r="G22" s="50">
        <v>1</v>
      </c>
      <c r="H22" s="50">
        <v>0</v>
      </c>
      <c r="I22" s="50">
        <v>12</v>
      </c>
      <c r="J22" s="50">
        <v>2</v>
      </c>
      <c r="K22" s="50">
        <v>3</v>
      </c>
      <c r="L22" s="50">
        <v>3</v>
      </c>
      <c r="M22" s="50">
        <v>75</v>
      </c>
      <c r="N22" s="50">
        <v>0</v>
      </c>
      <c r="O22" s="15">
        <f t="shared" si="0"/>
        <v>59</v>
      </c>
      <c r="P22" s="15">
        <f t="shared" si="1"/>
        <v>134</v>
      </c>
      <c r="R22" s="38" t="s">
        <v>90</v>
      </c>
      <c r="S22" s="39">
        <f>MAX(S10:S12)</f>
        <v>137</v>
      </c>
      <c r="T22" s="39">
        <f t="shared" ref="T22:AF22" si="14">MAX(T10:T12)</f>
        <v>23</v>
      </c>
      <c r="U22" s="39">
        <f t="shared" si="14"/>
        <v>23</v>
      </c>
      <c r="V22" s="39">
        <f t="shared" si="14"/>
        <v>101</v>
      </c>
      <c r="W22" s="39">
        <f t="shared" si="14"/>
        <v>16</v>
      </c>
      <c r="X22" s="39">
        <f t="shared" si="14"/>
        <v>2</v>
      </c>
      <c r="Y22" s="39">
        <f t="shared" si="14"/>
        <v>22</v>
      </c>
      <c r="Z22" s="39">
        <f t="shared" si="14"/>
        <v>18</v>
      </c>
      <c r="AA22" s="39">
        <f t="shared" si="14"/>
        <v>7</v>
      </c>
      <c r="AB22" s="39">
        <f t="shared" si="14"/>
        <v>5</v>
      </c>
      <c r="AC22" s="39">
        <f t="shared" si="14"/>
        <v>710</v>
      </c>
      <c r="AD22" s="39">
        <f t="shared" si="14"/>
        <v>0</v>
      </c>
      <c r="AE22" s="40">
        <f t="shared" si="14"/>
        <v>326</v>
      </c>
      <c r="AF22" s="40">
        <f t="shared" si="14"/>
        <v>993</v>
      </c>
    </row>
    <row r="23" spans="2:32" ht="23.1" customHeight="1" x14ac:dyDescent="0.25">
      <c r="B23" s="23" t="s">
        <v>50</v>
      </c>
      <c r="C23" s="50">
        <v>50</v>
      </c>
      <c r="D23" s="50">
        <v>3</v>
      </c>
      <c r="E23" s="50">
        <v>6</v>
      </c>
      <c r="F23" s="50">
        <v>19</v>
      </c>
      <c r="G23" s="50">
        <v>0</v>
      </c>
      <c r="H23" s="50">
        <v>0</v>
      </c>
      <c r="I23" s="50">
        <v>8</v>
      </c>
      <c r="J23" s="50">
        <v>3</v>
      </c>
      <c r="K23" s="50">
        <v>1</v>
      </c>
      <c r="L23" s="50">
        <v>3</v>
      </c>
      <c r="M23" s="50">
        <v>110</v>
      </c>
      <c r="N23" s="50">
        <v>0</v>
      </c>
      <c r="O23" s="15">
        <f t="shared" si="0"/>
        <v>93</v>
      </c>
      <c r="P23" s="15">
        <f t="shared" si="1"/>
        <v>203</v>
      </c>
      <c r="R23" s="38" t="s">
        <v>91</v>
      </c>
      <c r="S23" s="39">
        <f>MAX(S13:S18)</f>
        <v>317</v>
      </c>
      <c r="T23" s="39">
        <f t="shared" ref="T23:AF23" si="15">MAX(T13:T18)</f>
        <v>42</v>
      </c>
      <c r="U23" s="39">
        <f t="shared" si="15"/>
        <v>54</v>
      </c>
      <c r="V23" s="39">
        <f t="shared" si="15"/>
        <v>68</v>
      </c>
      <c r="W23" s="39">
        <f t="shared" si="15"/>
        <v>10</v>
      </c>
      <c r="X23" s="39">
        <f t="shared" si="15"/>
        <v>2</v>
      </c>
      <c r="Y23" s="39">
        <f t="shared" si="15"/>
        <v>47</v>
      </c>
      <c r="Z23" s="39">
        <f t="shared" si="15"/>
        <v>25</v>
      </c>
      <c r="AA23" s="39">
        <f t="shared" si="15"/>
        <v>20</v>
      </c>
      <c r="AB23" s="39">
        <f t="shared" si="15"/>
        <v>48</v>
      </c>
      <c r="AC23" s="39">
        <f t="shared" si="15"/>
        <v>500</v>
      </c>
      <c r="AD23" s="39">
        <f t="shared" si="15"/>
        <v>1</v>
      </c>
      <c r="AE23" s="40">
        <f t="shared" si="15"/>
        <v>592</v>
      </c>
      <c r="AF23" s="40">
        <f t="shared" si="15"/>
        <v>1002</v>
      </c>
    </row>
    <row r="24" spans="2:32" ht="23.1" customHeight="1" x14ac:dyDescent="0.25">
      <c r="B24" s="23" t="s">
        <v>51</v>
      </c>
      <c r="C24" s="50">
        <v>56</v>
      </c>
      <c r="D24" s="50">
        <v>6</v>
      </c>
      <c r="E24" s="50">
        <v>10</v>
      </c>
      <c r="F24" s="50">
        <v>18</v>
      </c>
      <c r="G24" s="50">
        <v>1</v>
      </c>
      <c r="H24" s="50">
        <v>0</v>
      </c>
      <c r="I24" s="50">
        <v>6</v>
      </c>
      <c r="J24" s="50">
        <v>5</v>
      </c>
      <c r="K24" s="50">
        <v>5</v>
      </c>
      <c r="L24" s="50">
        <v>36</v>
      </c>
      <c r="M24" s="50">
        <v>155</v>
      </c>
      <c r="N24" s="50">
        <v>0</v>
      </c>
      <c r="O24" s="15">
        <f t="shared" si="0"/>
        <v>143</v>
      </c>
      <c r="P24" s="15">
        <f t="shared" si="1"/>
        <v>298</v>
      </c>
      <c r="R24" s="38" t="s">
        <v>92</v>
      </c>
      <c r="S24" s="39">
        <f>MAX(S19:S21)</f>
        <v>317</v>
      </c>
      <c r="T24" s="39">
        <f t="shared" ref="T24:AF24" si="16">MAX(T19:T21)</f>
        <v>42</v>
      </c>
      <c r="U24" s="39">
        <f t="shared" si="16"/>
        <v>54</v>
      </c>
      <c r="V24" s="39">
        <f t="shared" si="16"/>
        <v>68</v>
      </c>
      <c r="W24" s="39">
        <f t="shared" si="16"/>
        <v>12</v>
      </c>
      <c r="X24" s="39">
        <f t="shared" si="16"/>
        <v>7</v>
      </c>
      <c r="Y24" s="39">
        <f t="shared" si="16"/>
        <v>43</v>
      </c>
      <c r="Z24" s="39">
        <f t="shared" si="16"/>
        <v>25</v>
      </c>
      <c r="AA24" s="39">
        <f t="shared" si="16"/>
        <v>11</v>
      </c>
      <c r="AB24" s="39">
        <f t="shared" si="16"/>
        <v>25</v>
      </c>
      <c r="AC24" s="39">
        <f t="shared" si="16"/>
        <v>505</v>
      </c>
      <c r="AD24" s="39">
        <f t="shared" si="16"/>
        <v>0</v>
      </c>
      <c r="AE24" s="40">
        <f t="shared" si="16"/>
        <v>592</v>
      </c>
      <c r="AF24" s="40">
        <f t="shared" si="16"/>
        <v>1002</v>
      </c>
    </row>
    <row r="25" spans="2:32" ht="23.1" customHeight="1" x14ac:dyDescent="0.25">
      <c r="B25" s="23" t="s">
        <v>52</v>
      </c>
      <c r="C25" s="50">
        <v>26</v>
      </c>
      <c r="D25" s="50">
        <v>2</v>
      </c>
      <c r="E25" s="50">
        <v>4</v>
      </c>
      <c r="F25" s="50">
        <v>20</v>
      </c>
      <c r="G25" s="50">
        <v>2</v>
      </c>
      <c r="H25" s="50">
        <v>0</v>
      </c>
      <c r="I25" s="50">
        <v>11</v>
      </c>
      <c r="J25" s="50">
        <v>4</v>
      </c>
      <c r="K25" s="50">
        <v>1</v>
      </c>
      <c r="L25" s="50">
        <v>6</v>
      </c>
      <c r="M25" s="50">
        <v>115</v>
      </c>
      <c r="N25" s="50">
        <v>0</v>
      </c>
      <c r="O25" s="15">
        <f t="shared" si="0"/>
        <v>76</v>
      </c>
      <c r="P25" s="15">
        <f t="shared" si="1"/>
        <v>191</v>
      </c>
      <c r="R25" s="37" t="s">
        <v>85</v>
      </c>
      <c r="S25" s="35">
        <f t="shared" ref="S25:AF25" si="17">SUM(S10:S12)</f>
        <v>380</v>
      </c>
      <c r="T25" s="16">
        <f t="shared" si="17"/>
        <v>57</v>
      </c>
      <c r="U25" s="16">
        <f t="shared" si="17"/>
        <v>60</v>
      </c>
      <c r="V25" s="16">
        <f t="shared" si="17"/>
        <v>259</v>
      </c>
      <c r="W25" s="16">
        <f t="shared" si="17"/>
        <v>32</v>
      </c>
      <c r="X25" s="16">
        <f t="shared" si="17"/>
        <v>2</v>
      </c>
      <c r="Y25" s="16">
        <f t="shared" si="17"/>
        <v>58</v>
      </c>
      <c r="Z25" s="16">
        <f t="shared" si="17"/>
        <v>33</v>
      </c>
      <c r="AA25" s="16">
        <f t="shared" si="17"/>
        <v>17</v>
      </c>
      <c r="AB25" s="16">
        <f t="shared" si="17"/>
        <v>12</v>
      </c>
      <c r="AC25" s="16">
        <f t="shared" si="17"/>
        <v>1550</v>
      </c>
      <c r="AD25" s="16">
        <f t="shared" si="17"/>
        <v>0</v>
      </c>
      <c r="AE25" s="32">
        <f t="shared" si="17"/>
        <v>910</v>
      </c>
      <c r="AF25" s="32">
        <f t="shared" si="17"/>
        <v>2460</v>
      </c>
    </row>
    <row r="26" spans="2:32" ht="23.1" customHeight="1" x14ac:dyDescent="0.25">
      <c r="B26" s="23" t="s">
        <v>53</v>
      </c>
      <c r="C26" s="50">
        <v>30</v>
      </c>
      <c r="D26" s="50">
        <v>7</v>
      </c>
      <c r="E26" s="50">
        <v>6</v>
      </c>
      <c r="F26" s="50">
        <v>17</v>
      </c>
      <c r="G26" s="50">
        <v>3</v>
      </c>
      <c r="H26" s="50">
        <v>0</v>
      </c>
      <c r="I26" s="50">
        <v>8</v>
      </c>
      <c r="J26" s="50">
        <v>2</v>
      </c>
      <c r="K26" s="50">
        <v>5</v>
      </c>
      <c r="L26" s="50">
        <v>7</v>
      </c>
      <c r="M26" s="50">
        <v>115</v>
      </c>
      <c r="N26" s="50">
        <v>0</v>
      </c>
      <c r="O26" s="15">
        <f t="shared" si="0"/>
        <v>85</v>
      </c>
      <c r="P26" s="15">
        <f t="shared" si="1"/>
        <v>200</v>
      </c>
      <c r="R26" s="28" t="s">
        <v>86</v>
      </c>
      <c r="S26" s="16">
        <f t="shared" ref="S26:AF26" si="18">SUM(S13:S18)</f>
        <v>1226</v>
      </c>
      <c r="T26" s="16">
        <f t="shared" si="18"/>
        <v>122</v>
      </c>
      <c r="U26" s="16">
        <f t="shared" si="18"/>
        <v>180</v>
      </c>
      <c r="V26" s="16">
        <f t="shared" si="18"/>
        <v>309</v>
      </c>
      <c r="W26" s="16">
        <f t="shared" si="18"/>
        <v>42</v>
      </c>
      <c r="X26" s="16">
        <f t="shared" si="18"/>
        <v>3</v>
      </c>
      <c r="Y26" s="16">
        <f t="shared" si="18"/>
        <v>225</v>
      </c>
      <c r="Z26" s="16">
        <f t="shared" si="18"/>
        <v>115</v>
      </c>
      <c r="AA26" s="16">
        <f t="shared" si="18"/>
        <v>67</v>
      </c>
      <c r="AB26" s="16">
        <f t="shared" si="18"/>
        <v>175</v>
      </c>
      <c r="AC26" s="16">
        <f t="shared" si="18"/>
        <v>2411</v>
      </c>
      <c r="AD26" s="16">
        <f t="shared" si="18"/>
        <v>1</v>
      </c>
      <c r="AE26" s="32">
        <f t="shared" si="18"/>
        <v>2465</v>
      </c>
      <c r="AF26" s="32">
        <f t="shared" si="18"/>
        <v>4876</v>
      </c>
    </row>
    <row r="27" spans="2:32" ht="23.1" customHeight="1" x14ac:dyDescent="0.25">
      <c r="B27" s="23" t="s">
        <v>54</v>
      </c>
      <c r="C27" s="50">
        <v>33</v>
      </c>
      <c r="D27" s="50">
        <v>6</v>
      </c>
      <c r="E27" s="50">
        <v>7</v>
      </c>
      <c r="F27" s="50">
        <v>15</v>
      </c>
      <c r="G27" s="50">
        <v>0</v>
      </c>
      <c r="H27" s="50">
        <v>0</v>
      </c>
      <c r="I27" s="50">
        <v>10</v>
      </c>
      <c r="J27" s="50">
        <v>4</v>
      </c>
      <c r="K27" s="50">
        <v>2</v>
      </c>
      <c r="L27" s="50">
        <v>4</v>
      </c>
      <c r="M27" s="50">
        <v>130</v>
      </c>
      <c r="N27" s="50">
        <v>0</v>
      </c>
      <c r="O27" s="15">
        <f t="shared" si="0"/>
        <v>81</v>
      </c>
      <c r="P27" s="15">
        <f t="shared" si="1"/>
        <v>211</v>
      </c>
      <c r="R27" s="29" t="s">
        <v>87</v>
      </c>
      <c r="S27" s="16">
        <f t="shared" ref="S27:AF27" si="19">SUM(S19:S21)</f>
        <v>917</v>
      </c>
      <c r="T27" s="16">
        <f t="shared" si="19"/>
        <v>93</v>
      </c>
      <c r="U27" s="16">
        <f t="shared" si="19"/>
        <v>132</v>
      </c>
      <c r="V27" s="16">
        <f t="shared" si="19"/>
        <v>181</v>
      </c>
      <c r="W27" s="16">
        <f t="shared" si="19"/>
        <v>29</v>
      </c>
      <c r="X27" s="16">
        <f t="shared" si="19"/>
        <v>8</v>
      </c>
      <c r="Y27" s="16">
        <f t="shared" si="19"/>
        <v>98</v>
      </c>
      <c r="Z27" s="16">
        <f t="shared" si="19"/>
        <v>50</v>
      </c>
      <c r="AA27" s="16">
        <f t="shared" si="19"/>
        <v>20</v>
      </c>
      <c r="AB27" s="16">
        <f t="shared" si="19"/>
        <v>62</v>
      </c>
      <c r="AC27" s="16">
        <f t="shared" si="19"/>
        <v>1350</v>
      </c>
      <c r="AD27" s="16">
        <f t="shared" si="19"/>
        <v>0</v>
      </c>
      <c r="AE27" s="32">
        <f t="shared" si="19"/>
        <v>1590</v>
      </c>
      <c r="AF27" s="32">
        <f t="shared" si="19"/>
        <v>2940</v>
      </c>
    </row>
    <row r="28" spans="2:32" ht="23.1" customHeight="1" x14ac:dyDescent="0.25">
      <c r="B28" s="23" t="s">
        <v>55</v>
      </c>
      <c r="C28" s="50">
        <v>37</v>
      </c>
      <c r="D28" s="50">
        <v>4</v>
      </c>
      <c r="E28" s="50">
        <v>2</v>
      </c>
      <c r="F28" s="50">
        <v>10</v>
      </c>
      <c r="G28" s="50">
        <v>0</v>
      </c>
      <c r="H28" s="50">
        <v>0</v>
      </c>
      <c r="I28" s="50">
        <v>17</v>
      </c>
      <c r="J28" s="50">
        <v>4</v>
      </c>
      <c r="K28" s="50">
        <v>1</v>
      </c>
      <c r="L28" s="50">
        <v>2</v>
      </c>
      <c r="M28" s="50">
        <v>135</v>
      </c>
      <c r="N28" s="50">
        <v>1</v>
      </c>
      <c r="O28" s="15">
        <f t="shared" si="0"/>
        <v>78</v>
      </c>
      <c r="P28" s="15">
        <f t="shared" si="1"/>
        <v>213</v>
      </c>
      <c r="R28" s="5" t="s">
        <v>17</v>
      </c>
      <c r="S28" s="16">
        <f t="shared" ref="S28:AF28" si="20">SUM(S10:S21)</f>
        <v>2523</v>
      </c>
      <c r="T28" s="16">
        <f t="shared" si="20"/>
        <v>272</v>
      </c>
      <c r="U28" s="16">
        <f t="shared" si="20"/>
        <v>372</v>
      </c>
      <c r="V28" s="16">
        <f t="shared" si="20"/>
        <v>749</v>
      </c>
      <c r="W28" s="16">
        <f t="shared" si="20"/>
        <v>103</v>
      </c>
      <c r="X28" s="16">
        <f t="shared" si="20"/>
        <v>13</v>
      </c>
      <c r="Y28" s="16">
        <f t="shared" si="20"/>
        <v>381</v>
      </c>
      <c r="Z28" s="16">
        <f t="shared" si="20"/>
        <v>198</v>
      </c>
      <c r="AA28" s="16">
        <f t="shared" si="20"/>
        <v>104</v>
      </c>
      <c r="AB28" s="16">
        <f t="shared" si="20"/>
        <v>249</v>
      </c>
      <c r="AC28" s="16">
        <f t="shared" si="20"/>
        <v>5311</v>
      </c>
      <c r="AD28" s="16">
        <f t="shared" si="20"/>
        <v>1</v>
      </c>
      <c r="AE28" s="32">
        <f t="shared" si="20"/>
        <v>4965</v>
      </c>
      <c r="AF28" s="32">
        <f t="shared" si="20"/>
        <v>10276</v>
      </c>
    </row>
    <row r="29" spans="2:32" ht="23.1" customHeight="1" x14ac:dyDescent="0.25">
      <c r="B29" s="23" t="s">
        <v>56</v>
      </c>
      <c r="C29" s="50">
        <v>70</v>
      </c>
      <c r="D29" s="50">
        <v>4</v>
      </c>
      <c r="E29" s="50">
        <v>3</v>
      </c>
      <c r="F29" s="50">
        <v>14</v>
      </c>
      <c r="G29" s="50">
        <v>1</v>
      </c>
      <c r="H29" s="50">
        <v>0</v>
      </c>
      <c r="I29" s="50">
        <v>12</v>
      </c>
      <c r="J29" s="50">
        <v>9</v>
      </c>
      <c r="K29" s="50">
        <v>1</v>
      </c>
      <c r="L29" s="50">
        <v>6</v>
      </c>
      <c r="M29" s="50">
        <v>120</v>
      </c>
      <c r="N29" s="50">
        <v>0</v>
      </c>
      <c r="O29" s="15">
        <f t="shared" si="0"/>
        <v>120</v>
      </c>
      <c r="P29" s="15">
        <f t="shared" si="1"/>
        <v>240</v>
      </c>
      <c r="R29"/>
      <c r="S29" s="20"/>
      <c r="T29" s="19"/>
    </row>
    <row r="30" spans="2:32" ht="23.1" customHeight="1" x14ac:dyDescent="0.25">
      <c r="B30" s="23" t="s">
        <v>57</v>
      </c>
      <c r="C30" s="50">
        <v>55</v>
      </c>
      <c r="D30" s="50">
        <v>7</v>
      </c>
      <c r="E30" s="50">
        <v>7</v>
      </c>
      <c r="F30" s="50">
        <v>20</v>
      </c>
      <c r="G30" s="50">
        <v>3</v>
      </c>
      <c r="H30" s="50">
        <v>1</v>
      </c>
      <c r="I30" s="50">
        <v>9</v>
      </c>
      <c r="J30" s="50">
        <v>5</v>
      </c>
      <c r="K30" s="50">
        <v>3</v>
      </c>
      <c r="L30" s="50">
        <v>8</v>
      </c>
      <c r="M30" s="50">
        <v>110</v>
      </c>
      <c r="N30" s="50">
        <v>0</v>
      </c>
      <c r="O30" s="15">
        <f t="shared" si="0"/>
        <v>118</v>
      </c>
      <c r="P30" s="15">
        <f t="shared" si="1"/>
        <v>228</v>
      </c>
    </row>
    <row r="31" spans="2:32" ht="23.1" customHeight="1" x14ac:dyDescent="0.25">
      <c r="B31" s="24" t="s">
        <v>58</v>
      </c>
      <c r="C31" s="50">
        <v>25</v>
      </c>
      <c r="D31" s="50">
        <v>4</v>
      </c>
      <c r="E31" s="50">
        <v>8</v>
      </c>
      <c r="F31" s="50">
        <v>11</v>
      </c>
      <c r="G31" s="50">
        <v>1</v>
      </c>
      <c r="H31" s="50">
        <v>0</v>
      </c>
      <c r="I31" s="50">
        <v>8</v>
      </c>
      <c r="J31" s="50">
        <v>2</v>
      </c>
      <c r="K31" s="50">
        <v>1</v>
      </c>
      <c r="L31" s="50">
        <v>3</v>
      </c>
      <c r="M31" s="50">
        <v>101</v>
      </c>
      <c r="N31" s="50">
        <v>0</v>
      </c>
      <c r="O31" s="15">
        <f t="shared" si="0"/>
        <v>63</v>
      </c>
      <c r="P31" s="15">
        <f t="shared" si="1"/>
        <v>164</v>
      </c>
    </row>
    <row r="32" spans="2:32" ht="23.1" customHeight="1" x14ac:dyDescent="0.25">
      <c r="B32" s="24" t="s">
        <v>59</v>
      </c>
      <c r="C32" s="50">
        <v>38</v>
      </c>
      <c r="D32" s="50">
        <v>3</v>
      </c>
      <c r="E32" s="50">
        <v>10</v>
      </c>
      <c r="F32" s="50">
        <v>10</v>
      </c>
      <c r="G32" s="50">
        <v>1</v>
      </c>
      <c r="H32" s="50">
        <v>0</v>
      </c>
      <c r="I32" s="50">
        <v>9</v>
      </c>
      <c r="J32" s="50">
        <v>3</v>
      </c>
      <c r="K32" s="50">
        <v>2</v>
      </c>
      <c r="L32" s="50">
        <v>4</v>
      </c>
      <c r="M32" s="50">
        <v>65</v>
      </c>
      <c r="N32" s="50">
        <v>0</v>
      </c>
      <c r="O32" s="15">
        <f t="shared" si="0"/>
        <v>80</v>
      </c>
      <c r="P32" s="15">
        <f t="shared" si="1"/>
        <v>145</v>
      </c>
    </row>
    <row r="33" spans="2:20" ht="23.1" customHeight="1" x14ac:dyDescent="0.25">
      <c r="B33" s="23" t="s">
        <v>60</v>
      </c>
      <c r="C33" s="50">
        <v>21</v>
      </c>
      <c r="D33" s="50">
        <v>4</v>
      </c>
      <c r="E33" s="50">
        <v>3</v>
      </c>
      <c r="F33" s="50">
        <v>3</v>
      </c>
      <c r="G33" s="50">
        <v>4</v>
      </c>
      <c r="H33" s="50">
        <v>1</v>
      </c>
      <c r="I33" s="50">
        <v>3</v>
      </c>
      <c r="J33" s="50">
        <v>5</v>
      </c>
      <c r="K33" s="50">
        <v>5</v>
      </c>
      <c r="L33" s="50">
        <v>9</v>
      </c>
      <c r="M33" s="50">
        <v>70</v>
      </c>
      <c r="N33" s="50">
        <v>0</v>
      </c>
      <c r="O33" s="15">
        <f t="shared" si="0"/>
        <v>58</v>
      </c>
      <c r="P33" s="15">
        <f t="shared" si="1"/>
        <v>128</v>
      </c>
    </row>
    <row r="34" spans="2:20" ht="23.1" customHeight="1" x14ac:dyDescent="0.25">
      <c r="B34" s="24" t="s">
        <v>61</v>
      </c>
      <c r="C34" s="50">
        <v>36</v>
      </c>
      <c r="D34" s="50">
        <v>0</v>
      </c>
      <c r="E34" s="50">
        <v>0</v>
      </c>
      <c r="F34" s="50">
        <v>1</v>
      </c>
      <c r="G34" s="50">
        <v>1</v>
      </c>
      <c r="H34" s="50">
        <v>0</v>
      </c>
      <c r="I34" s="50">
        <v>3</v>
      </c>
      <c r="J34" s="50">
        <v>2</v>
      </c>
      <c r="K34" s="50">
        <v>3</v>
      </c>
      <c r="L34" s="50">
        <v>6</v>
      </c>
      <c r="M34" s="50">
        <v>25</v>
      </c>
      <c r="N34" s="50">
        <v>0</v>
      </c>
      <c r="O34" s="15">
        <f t="shared" si="0"/>
        <v>52</v>
      </c>
      <c r="P34" s="15">
        <f t="shared" si="1"/>
        <v>77</v>
      </c>
    </row>
    <row r="35" spans="2:20" ht="23.1" customHeight="1" x14ac:dyDescent="0.25">
      <c r="B35" s="24" t="s">
        <v>62</v>
      </c>
      <c r="C35" s="50">
        <v>48</v>
      </c>
      <c r="D35" s="50">
        <v>3</v>
      </c>
      <c r="E35" s="50">
        <v>7</v>
      </c>
      <c r="F35" s="50">
        <v>10</v>
      </c>
      <c r="G35" s="50">
        <v>2</v>
      </c>
      <c r="H35" s="50">
        <v>0</v>
      </c>
      <c r="I35" s="50">
        <v>8</v>
      </c>
      <c r="J35" s="50">
        <v>8</v>
      </c>
      <c r="K35" s="50">
        <v>5</v>
      </c>
      <c r="L35" s="50">
        <v>1</v>
      </c>
      <c r="M35" s="50">
        <v>100</v>
      </c>
      <c r="N35" s="50">
        <v>0</v>
      </c>
      <c r="O35" s="15">
        <f t="shared" si="0"/>
        <v>92</v>
      </c>
      <c r="P35" s="15">
        <f t="shared" si="1"/>
        <v>192</v>
      </c>
    </row>
    <row r="36" spans="2:20" ht="23.1" customHeight="1" x14ac:dyDescent="0.25">
      <c r="B36" s="24" t="s">
        <v>63</v>
      </c>
      <c r="C36" s="50">
        <v>76</v>
      </c>
      <c r="D36" s="50">
        <v>5</v>
      </c>
      <c r="E36" s="50">
        <v>11</v>
      </c>
      <c r="F36" s="50">
        <v>15</v>
      </c>
      <c r="G36" s="50">
        <v>4</v>
      </c>
      <c r="H36" s="50">
        <v>1</v>
      </c>
      <c r="I36" s="50">
        <v>26</v>
      </c>
      <c r="J36" s="50">
        <v>10</v>
      </c>
      <c r="K36" s="50">
        <v>9</v>
      </c>
      <c r="L36" s="50">
        <v>8</v>
      </c>
      <c r="M36" s="50">
        <v>135</v>
      </c>
      <c r="N36" s="50">
        <v>0</v>
      </c>
      <c r="O36" s="15">
        <f t="shared" si="0"/>
        <v>165</v>
      </c>
      <c r="P36" s="15">
        <f t="shared" si="1"/>
        <v>300</v>
      </c>
    </row>
    <row r="37" spans="2:20" ht="23.1" customHeight="1" x14ac:dyDescent="0.25">
      <c r="B37" s="23" t="s">
        <v>64</v>
      </c>
      <c r="C37" s="50">
        <v>55</v>
      </c>
      <c r="D37" s="50">
        <v>6</v>
      </c>
      <c r="E37" s="50">
        <v>10</v>
      </c>
      <c r="F37" s="50">
        <v>13</v>
      </c>
      <c r="G37" s="50">
        <v>3</v>
      </c>
      <c r="H37" s="50">
        <v>0</v>
      </c>
      <c r="I37" s="50">
        <v>6</v>
      </c>
      <c r="J37" s="50">
        <v>5</v>
      </c>
      <c r="K37" s="50">
        <v>3</v>
      </c>
      <c r="L37" s="50">
        <v>13</v>
      </c>
      <c r="M37" s="50">
        <v>90</v>
      </c>
      <c r="N37" s="50">
        <v>0</v>
      </c>
      <c r="O37" s="15">
        <f t="shared" si="0"/>
        <v>114</v>
      </c>
      <c r="P37" s="15">
        <f t="shared" si="1"/>
        <v>204</v>
      </c>
    </row>
    <row r="38" spans="2:20" ht="23.1" customHeight="1" x14ac:dyDescent="0.25">
      <c r="B38" s="24" t="s">
        <v>65</v>
      </c>
      <c r="C38" s="50">
        <v>40</v>
      </c>
      <c r="D38" s="50">
        <v>4</v>
      </c>
      <c r="E38" s="50">
        <v>2</v>
      </c>
      <c r="F38" s="50">
        <v>15</v>
      </c>
      <c r="G38" s="50">
        <v>1</v>
      </c>
      <c r="H38" s="50">
        <v>0</v>
      </c>
      <c r="I38" s="50">
        <v>4</v>
      </c>
      <c r="J38" s="50">
        <v>3</v>
      </c>
      <c r="K38" s="50">
        <v>3</v>
      </c>
      <c r="L38" s="50">
        <v>8</v>
      </c>
      <c r="M38" s="50">
        <v>90</v>
      </c>
      <c r="N38" s="50">
        <v>0</v>
      </c>
      <c r="O38" s="15">
        <f t="shared" si="0"/>
        <v>80</v>
      </c>
      <c r="P38" s="15">
        <f t="shared" si="1"/>
        <v>170</v>
      </c>
    </row>
    <row r="39" spans="2:20" ht="23.1" customHeight="1" x14ac:dyDescent="0.25">
      <c r="B39" s="24" t="s">
        <v>66</v>
      </c>
      <c r="C39" s="50">
        <v>53</v>
      </c>
      <c r="D39" s="50">
        <v>3</v>
      </c>
      <c r="E39" s="50">
        <v>4</v>
      </c>
      <c r="F39" s="50">
        <v>10</v>
      </c>
      <c r="G39" s="50">
        <v>0</v>
      </c>
      <c r="H39" s="50">
        <v>0</v>
      </c>
      <c r="I39" s="50">
        <v>9</v>
      </c>
      <c r="J39" s="50">
        <v>6</v>
      </c>
      <c r="K39" s="50">
        <v>0</v>
      </c>
      <c r="L39" s="50">
        <v>12</v>
      </c>
      <c r="M39" s="50">
        <v>85</v>
      </c>
      <c r="N39" s="50">
        <v>0</v>
      </c>
      <c r="O39" s="15">
        <f t="shared" si="0"/>
        <v>97</v>
      </c>
      <c r="P39" s="15">
        <f t="shared" si="1"/>
        <v>182</v>
      </c>
    </row>
    <row r="40" spans="2:20" ht="23.1" customHeight="1" x14ac:dyDescent="0.25">
      <c r="B40" s="24" t="s">
        <v>67</v>
      </c>
      <c r="C40" s="50">
        <v>60</v>
      </c>
      <c r="D40" s="50">
        <v>5</v>
      </c>
      <c r="E40" s="50">
        <v>16</v>
      </c>
      <c r="F40" s="50">
        <v>11</v>
      </c>
      <c r="G40" s="50">
        <v>3</v>
      </c>
      <c r="H40" s="50">
        <v>0</v>
      </c>
      <c r="I40" s="50">
        <v>7</v>
      </c>
      <c r="J40" s="50">
        <v>5</v>
      </c>
      <c r="K40" s="50">
        <v>3</v>
      </c>
      <c r="L40" s="50">
        <v>9</v>
      </c>
      <c r="M40" s="50">
        <v>95</v>
      </c>
      <c r="N40" s="50">
        <v>0</v>
      </c>
      <c r="O40" s="15">
        <f t="shared" si="0"/>
        <v>119</v>
      </c>
      <c r="P40" s="15">
        <f t="shared" si="1"/>
        <v>214</v>
      </c>
    </row>
    <row r="41" spans="2:20" ht="23.1" customHeight="1" x14ac:dyDescent="0.25">
      <c r="B41" s="23" t="s">
        <v>68</v>
      </c>
      <c r="C41" s="50">
        <v>75</v>
      </c>
      <c r="D41" s="50">
        <v>2</v>
      </c>
      <c r="E41" s="50">
        <v>6</v>
      </c>
      <c r="F41" s="50">
        <v>2</v>
      </c>
      <c r="G41" s="50">
        <v>4</v>
      </c>
      <c r="H41" s="50">
        <v>0</v>
      </c>
      <c r="I41" s="50">
        <v>6</v>
      </c>
      <c r="J41" s="50">
        <v>3</v>
      </c>
      <c r="K41" s="50">
        <v>0</v>
      </c>
      <c r="L41" s="50">
        <v>2</v>
      </c>
      <c r="M41" s="50">
        <v>80</v>
      </c>
      <c r="N41" s="50">
        <v>0</v>
      </c>
      <c r="O41" s="15">
        <f t="shared" si="0"/>
        <v>100</v>
      </c>
      <c r="P41" s="15">
        <f t="shared" si="1"/>
        <v>180</v>
      </c>
    </row>
    <row r="42" spans="2:20" ht="23.1" customHeight="1" x14ac:dyDescent="0.25">
      <c r="B42" s="24" t="s">
        <v>69</v>
      </c>
      <c r="C42" s="50">
        <v>75</v>
      </c>
      <c r="D42" s="50">
        <v>15</v>
      </c>
      <c r="E42" s="50">
        <v>15</v>
      </c>
      <c r="F42" s="50">
        <v>17</v>
      </c>
      <c r="G42" s="50">
        <v>3</v>
      </c>
      <c r="H42" s="50">
        <v>0</v>
      </c>
      <c r="I42" s="50">
        <v>13</v>
      </c>
      <c r="J42" s="50">
        <v>10</v>
      </c>
      <c r="K42" s="50">
        <v>2</v>
      </c>
      <c r="L42" s="50">
        <v>7</v>
      </c>
      <c r="M42" s="50">
        <v>135</v>
      </c>
      <c r="N42" s="50">
        <v>0</v>
      </c>
      <c r="O42" s="15">
        <f t="shared" si="0"/>
        <v>157</v>
      </c>
      <c r="P42" s="15">
        <f t="shared" si="1"/>
        <v>292</v>
      </c>
    </row>
    <row r="43" spans="2:20" ht="23.1" customHeight="1" x14ac:dyDescent="0.25">
      <c r="B43" s="23" t="s">
        <v>70</v>
      </c>
      <c r="C43" s="50">
        <v>66</v>
      </c>
      <c r="D43" s="50">
        <v>3</v>
      </c>
      <c r="E43" s="50">
        <v>9</v>
      </c>
      <c r="F43" s="50">
        <v>13</v>
      </c>
      <c r="G43" s="50">
        <v>2</v>
      </c>
      <c r="H43" s="50">
        <v>0</v>
      </c>
      <c r="I43" s="50">
        <v>10</v>
      </c>
      <c r="J43" s="50">
        <v>6</v>
      </c>
      <c r="K43" s="50">
        <v>5</v>
      </c>
      <c r="L43" s="50">
        <v>5</v>
      </c>
      <c r="M43" s="50">
        <v>110</v>
      </c>
      <c r="N43" s="50">
        <v>0</v>
      </c>
      <c r="O43" s="15">
        <f t="shared" si="0"/>
        <v>119</v>
      </c>
      <c r="P43" s="15">
        <f t="shared" si="1"/>
        <v>229</v>
      </c>
    </row>
    <row r="44" spans="2:20" ht="23.1" customHeight="1" x14ac:dyDescent="0.25">
      <c r="B44" s="25" t="s">
        <v>71</v>
      </c>
      <c r="C44" s="50">
        <v>76</v>
      </c>
      <c r="D44" s="50">
        <v>16</v>
      </c>
      <c r="E44" s="50">
        <v>17</v>
      </c>
      <c r="F44" s="50">
        <v>27</v>
      </c>
      <c r="G44" s="50">
        <v>1</v>
      </c>
      <c r="H44" s="50">
        <v>0</v>
      </c>
      <c r="I44" s="50">
        <v>8</v>
      </c>
      <c r="J44" s="50">
        <v>5</v>
      </c>
      <c r="K44" s="50">
        <v>1</v>
      </c>
      <c r="L44" s="50">
        <v>5</v>
      </c>
      <c r="M44" s="50">
        <v>115</v>
      </c>
      <c r="N44" s="50">
        <v>0</v>
      </c>
      <c r="O44" s="15">
        <f t="shared" si="0"/>
        <v>156</v>
      </c>
      <c r="P44" s="15">
        <f t="shared" si="1"/>
        <v>271</v>
      </c>
    </row>
    <row r="45" spans="2:20" ht="23.1" customHeight="1" x14ac:dyDescent="0.25">
      <c r="B45" s="23" t="s">
        <v>72</v>
      </c>
      <c r="C45" s="50">
        <v>100</v>
      </c>
      <c r="D45" s="50">
        <v>8</v>
      </c>
      <c r="E45" s="50">
        <v>13</v>
      </c>
      <c r="F45" s="50">
        <v>11</v>
      </c>
      <c r="G45" s="50">
        <v>1</v>
      </c>
      <c r="H45" s="50">
        <v>0</v>
      </c>
      <c r="I45" s="50">
        <v>12</v>
      </c>
      <c r="J45" s="50">
        <v>4</v>
      </c>
      <c r="K45" s="50">
        <v>3</v>
      </c>
      <c r="L45" s="50">
        <v>8</v>
      </c>
      <c r="M45" s="50">
        <v>50</v>
      </c>
      <c r="N45" s="50">
        <v>0</v>
      </c>
      <c r="O45" s="15">
        <f t="shared" si="0"/>
        <v>160</v>
      </c>
      <c r="P45" s="15">
        <f t="shared" si="1"/>
        <v>210</v>
      </c>
    </row>
    <row r="46" spans="2:20" ht="23.1" customHeight="1" x14ac:dyDescent="0.25">
      <c r="B46" s="24" t="s">
        <v>73</v>
      </c>
      <c r="C46" s="50">
        <v>75</v>
      </c>
      <c r="D46" s="50">
        <v>15</v>
      </c>
      <c r="E46" s="50">
        <v>15</v>
      </c>
      <c r="F46" s="50">
        <v>17</v>
      </c>
      <c r="G46" s="50">
        <v>3</v>
      </c>
      <c r="H46" s="50">
        <v>0</v>
      </c>
      <c r="I46" s="50">
        <v>13</v>
      </c>
      <c r="J46" s="50">
        <v>10</v>
      </c>
      <c r="K46" s="50">
        <v>2</v>
      </c>
      <c r="L46" s="50">
        <v>7</v>
      </c>
      <c r="M46" s="50">
        <v>135</v>
      </c>
      <c r="N46" s="50">
        <v>0</v>
      </c>
      <c r="O46" s="15">
        <f t="shared" si="0"/>
        <v>157</v>
      </c>
      <c r="P46" s="15">
        <f t="shared" si="1"/>
        <v>292</v>
      </c>
      <c r="R46" s="8"/>
      <c r="T46"/>
    </row>
    <row r="47" spans="2:20" ht="23.1" customHeight="1" x14ac:dyDescent="0.25">
      <c r="B47" s="24" t="s">
        <v>74</v>
      </c>
      <c r="C47" s="50">
        <v>66</v>
      </c>
      <c r="D47" s="50">
        <v>3</v>
      </c>
      <c r="E47" s="50">
        <v>9</v>
      </c>
      <c r="F47" s="50">
        <v>13</v>
      </c>
      <c r="G47" s="50">
        <v>2</v>
      </c>
      <c r="H47" s="50">
        <v>0</v>
      </c>
      <c r="I47" s="50">
        <v>10</v>
      </c>
      <c r="J47" s="50">
        <v>6</v>
      </c>
      <c r="K47" s="50">
        <v>5</v>
      </c>
      <c r="L47" s="50">
        <v>5</v>
      </c>
      <c r="M47" s="50">
        <v>110</v>
      </c>
      <c r="N47" s="50">
        <v>0</v>
      </c>
      <c r="O47" s="15">
        <f t="shared" si="0"/>
        <v>119</v>
      </c>
      <c r="P47" s="15">
        <f t="shared" si="1"/>
        <v>229</v>
      </c>
      <c r="R47" s="8"/>
      <c r="T47"/>
    </row>
    <row r="48" spans="2:20" ht="23.1" customHeight="1" x14ac:dyDescent="0.25">
      <c r="B48" s="24" t="s">
        <v>75</v>
      </c>
      <c r="C48" s="50">
        <v>76</v>
      </c>
      <c r="D48" s="50">
        <v>16</v>
      </c>
      <c r="E48" s="50">
        <v>17</v>
      </c>
      <c r="F48" s="50">
        <v>27</v>
      </c>
      <c r="G48" s="50">
        <v>1</v>
      </c>
      <c r="H48" s="50">
        <v>0</v>
      </c>
      <c r="I48" s="50">
        <v>8</v>
      </c>
      <c r="J48" s="50">
        <v>5</v>
      </c>
      <c r="K48" s="50">
        <v>1</v>
      </c>
      <c r="L48" s="50">
        <v>5</v>
      </c>
      <c r="M48" s="50">
        <v>115</v>
      </c>
      <c r="N48" s="50">
        <v>0</v>
      </c>
      <c r="O48" s="15">
        <f t="shared" si="0"/>
        <v>156</v>
      </c>
      <c r="P48" s="15">
        <f t="shared" si="1"/>
        <v>271</v>
      </c>
      <c r="R48" s="8"/>
      <c r="T48"/>
    </row>
    <row r="49" spans="2:20" ht="23.1" customHeight="1" x14ac:dyDescent="0.25">
      <c r="B49" s="23" t="s">
        <v>76</v>
      </c>
      <c r="C49" s="50">
        <v>100</v>
      </c>
      <c r="D49" s="50">
        <v>8</v>
      </c>
      <c r="E49" s="50">
        <v>13</v>
      </c>
      <c r="F49" s="50">
        <v>11</v>
      </c>
      <c r="G49" s="50">
        <v>1</v>
      </c>
      <c r="H49" s="50">
        <v>0</v>
      </c>
      <c r="I49" s="50">
        <v>12</v>
      </c>
      <c r="J49" s="50">
        <v>4</v>
      </c>
      <c r="K49" s="50">
        <v>3</v>
      </c>
      <c r="L49" s="50">
        <v>8</v>
      </c>
      <c r="M49" s="50">
        <v>50</v>
      </c>
      <c r="N49" s="50">
        <v>0</v>
      </c>
      <c r="O49" s="15">
        <f t="shared" si="0"/>
        <v>160</v>
      </c>
      <c r="P49" s="15">
        <f t="shared" si="1"/>
        <v>210</v>
      </c>
      <c r="R49" s="8"/>
      <c r="T49"/>
    </row>
    <row r="50" spans="2:20" ht="23.1" customHeight="1" x14ac:dyDescent="0.25">
      <c r="B50" s="24" t="s">
        <v>77</v>
      </c>
      <c r="C50" s="50">
        <v>81</v>
      </c>
      <c r="D50" s="50">
        <v>8</v>
      </c>
      <c r="E50" s="50">
        <v>13</v>
      </c>
      <c r="F50" s="50">
        <v>25</v>
      </c>
      <c r="G50" s="50">
        <v>5</v>
      </c>
      <c r="H50" s="50">
        <v>0</v>
      </c>
      <c r="I50" s="50">
        <v>9</v>
      </c>
      <c r="J50" s="50">
        <v>3</v>
      </c>
      <c r="K50" s="50">
        <v>2</v>
      </c>
      <c r="L50" s="50">
        <v>4</v>
      </c>
      <c r="M50" s="50">
        <v>105</v>
      </c>
      <c r="N50" s="50">
        <v>0</v>
      </c>
      <c r="O50" s="15">
        <f t="shared" si="0"/>
        <v>150</v>
      </c>
      <c r="P50" s="15">
        <f t="shared" si="1"/>
        <v>255</v>
      </c>
      <c r="R50" s="8"/>
      <c r="T50"/>
    </row>
    <row r="51" spans="2:20" ht="23.1" customHeight="1" x14ac:dyDescent="0.25">
      <c r="B51" s="24" t="s">
        <v>78</v>
      </c>
      <c r="C51" s="50">
        <v>74</v>
      </c>
      <c r="D51" s="50">
        <v>5</v>
      </c>
      <c r="E51" s="50">
        <v>10</v>
      </c>
      <c r="F51" s="50">
        <v>10</v>
      </c>
      <c r="G51" s="50">
        <v>5</v>
      </c>
      <c r="H51" s="50">
        <v>0</v>
      </c>
      <c r="I51" s="50">
        <v>8</v>
      </c>
      <c r="J51" s="50">
        <v>2</v>
      </c>
      <c r="K51" s="50">
        <v>1</v>
      </c>
      <c r="L51" s="50">
        <v>7</v>
      </c>
      <c r="M51" s="50">
        <v>110</v>
      </c>
      <c r="N51" s="50">
        <v>0</v>
      </c>
      <c r="O51" s="15">
        <f t="shared" si="0"/>
        <v>122</v>
      </c>
      <c r="P51" s="15">
        <f t="shared" si="1"/>
        <v>232</v>
      </c>
      <c r="R51" s="8"/>
      <c r="T51"/>
    </row>
    <row r="52" spans="2:20" ht="23.1" customHeight="1" x14ac:dyDescent="0.25">
      <c r="B52" s="24" t="s">
        <v>79</v>
      </c>
      <c r="C52" s="50">
        <v>90</v>
      </c>
      <c r="D52" s="50">
        <v>13</v>
      </c>
      <c r="E52" s="50">
        <v>14</v>
      </c>
      <c r="F52" s="50">
        <v>3</v>
      </c>
      <c r="G52" s="50">
        <v>0</v>
      </c>
      <c r="H52" s="50">
        <v>7</v>
      </c>
      <c r="I52" s="50">
        <v>5</v>
      </c>
      <c r="J52" s="50">
        <v>4</v>
      </c>
      <c r="K52" s="50">
        <v>4</v>
      </c>
      <c r="L52" s="50">
        <v>4</v>
      </c>
      <c r="M52" s="50">
        <v>105</v>
      </c>
      <c r="N52" s="50">
        <v>0</v>
      </c>
      <c r="O52" s="15">
        <f t="shared" si="0"/>
        <v>144</v>
      </c>
      <c r="P52" s="15">
        <f t="shared" si="1"/>
        <v>249</v>
      </c>
      <c r="R52" s="8"/>
      <c r="T52"/>
    </row>
    <row r="53" spans="2:20" ht="23.1" customHeight="1" x14ac:dyDescent="0.25">
      <c r="B53" s="23" t="s">
        <v>80</v>
      </c>
      <c r="C53" s="50">
        <v>65</v>
      </c>
      <c r="D53" s="50">
        <v>6</v>
      </c>
      <c r="E53" s="50">
        <v>11</v>
      </c>
      <c r="F53" s="50">
        <v>10</v>
      </c>
      <c r="G53" s="50">
        <v>0</v>
      </c>
      <c r="H53" s="50">
        <v>0</v>
      </c>
      <c r="I53" s="50">
        <v>5</v>
      </c>
      <c r="J53" s="50">
        <v>1</v>
      </c>
      <c r="K53" s="50">
        <v>0</v>
      </c>
      <c r="L53" s="50">
        <v>3</v>
      </c>
      <c r="M53" s="50">
        <v>115</v>
      </c>
      <c r="N53" s="50">
        <v>0</v>
      </c>
      <c r="O53" s="15">
        <f t="shared" si="0"/>
        <v>101</v>
      </c>
      <c r="P53" s="15">
        <f t="shared" si="1"/>
        <v>216</v>
      </c>
      <c r="R53" s="8"/>
      <c r="T53"/>
    </row>
    <row r="54" spans="2:20" ht="23.1" customHeight="1" x14ac:dyDescent="0.25">
      <c r="B54" s="23" t="s">
        <v>81</v>
      </c>
      <c r="C54" s="50">
        <v>75</v>
      </c>
      <c r="D54" s="50">
        <v>8</v>
      </c>
      <c r="E54" s="50">
        <v>8</v>
      </c>
      <c r="F54" s="50">
        <v>13</v>
      </c>
      <c r="G54" s="50">
        <v>3</v>
      </c>
      <c r="H54" s="50">
        <v>1</v>
      </c>
      <c r="I54" s="50">
        <v>7</v>
      </c>
      <c r="J54" s="50">
        <v>5</v>
      </c>
      <c r="K54" s="50">
        <v>0</v>
      </c>
      <c r="L54" s="50">
        <v>4</v>
      </c>
      <c r="M54" s="50">
        <v>125</v>
      </c>
      <c r="N54" s="50">
        <v>0</v>
      </c>
      <c r="O54" s="15">
        <f t="shared" si="0"/>
        <v>124</v>
      </c>
      <c r="P54" s="15">
        <f t="shared" si="1"/>
        <v>249</v>
      </c>
      <c r="R54" s="8"/>
      <c r="T54"/>
    </row>
    <row r="55" spans="2:20" ht="23.1" customHeight="1" x14ac:dyDescent="0.25">
      <c r="B55" s="23" t="s">
        <v>82</v>
      </c>
      <c r="C55" s="50">
        <v>70</v>
      </c>
      <c r="D55" s="50">
        <v>6</v>
      </c>
      <c r="E55" s="50">
        <v>8</v>
      </c>
      <c r="F55" s="50">
        <v>15</v>
      </c>
      <c r="G55" s="50">
        <v>0</v>
      </c>
      <c r="H55" s="50">
        <v>0</v>
      </c>
      <c r="I55" s="50">
        <v>3</v>
      </c>
      <c r="J55" s="50">
        <v>3</v>
      </c>
      <c r="K55" s="50">
        <v>0</v>
      </c>
      <c r="L55" s="50">
        <v>5</v>
      </c>
      <c r="M55" s="50">
        <v>120</v>
      </c>
      <c r="N55" s="50">
        <v>0</v>
      </c>
      <c r="O55" s="15">
        <f t="shared" si="0"/>
        <v>110</v>
      </c>
      <c r="P55" s="15">
        <f t="shared" si="1"/>
        <v>230</v>
      </c>
      <c r="R55" s="8"/>
      <c r="T55"/>
    </row>
    <row r="56" spans="2:20" ht="23.1" customHeight="1" x14ac:dyDescent="0.25">
      <c r="B56" s="23" t="s">
        <v>83</v>
      </c>
      <c r="C56" s="50">
        <v>90</v>
      </c>
      <c r="D56" s="50">
        <v>3</v>
      </c>
      <c r="E56" s="50">
        <v>10</v>
      </c>
      <c r="F56" s="50">
        <v>22</v>
      </c>
      <c r="G56" s="50">
        <v>5</v>
      </c>
      <c r="H56" s="50">
        <v>0</v>
      </c>
      <c r="I56" s="50">
        <v>7</v>
      </c>
      <c r="J56" s="50">
        <v>7</v>
      </c>
      <c r="K56" s="50">
        <v>2</v>
      </c>
      <c r="L56" s="50">
        <v>5</v>
      </c>
      <c r="M56" s="50">
        <v>150</v>
      </c>
      <c r="N56" s="50">
        <v>0</v>
      </c>
      <c r="O56" s="15">
        <f t="shared" si="0"/>
        <v>151</v>
      </c>
      <c r="P56" s="15">
        <f t="shared" si="1"/>
        <v>301</v>
      </c>
      <c r="R56" s="8"/>
      <c r="T56"/>
    </row>
    <row r="57" spans="2:20" ht="23.1" customHeight="1" x14ac:dyDescent="0.25">
      <c r="B57" s="23" t="s">
        <v>84</v>
      </c>
      <c r="C57" s="50">
        <v>55</v>
      </c>
      <c r="D57" s="50">
        <v>2</v>
      </c>
      <c r="E57" s="50">
        <v>4</v>
      </c>
      <c r="F57" s="50">
        <v>15</v>
      </c>
      <c r="G57" s="50">
        <v>4</v>
      </c>
      <c r="H57" s="50">
        <v>0</v>
      </c>
      <c r="I57" s="50">
        <v>11</v>
      </c>
      <c r="J57" s="50">
        <v>0</v>
      </c>
      <c r="K57" s="50">
        <v>0</v>
      </c>
      <c r="L57" s="50">
        <v>5</v>
      </c>
      <c r="M57" s="50">
        <v>110</v>
      </c>
      <c r="N57" s="50">
        <v>0</v>
      </c>
      <c r="O57" s="15">
        <f t="shared" si="0"/>
        <v>96</v>
      </c>
      <c r="P57" s="15">
        <f t="shared" si="1"/>
        <v>206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2523</v>
      </c>
      <c r="D58" s="16">
        <f t="shared" si="21"/>
        <v>272</v>
      </c>
      <c r="E58" s="16">
        <f t="shared" si="21"/>
        <v>372</v>
      </c>
      <c r="F58" s="16">
        <f t="shared" si="21"/>
        <v>749</v>
      </c>
      <c r="G58" s="16">
        <f t="shared" si="21"/>
        <v>103</v>
      </c>
      <c r="H58" s="16">
        <f t="shared" si="21"/>
        <v>13</v>
      </c>
      <c r="I58" s="16">
        <f t="shared" si="21"/>
        <v>381</v>
      </c>
      <c r="J58" s="16">
        <f t="shared" si="21"/>
        <v>198</v>
      </c>
      <c r="K58" s="16">
        <f t="shared" si="21"/>
        <v>104</v>
      </c>
      <c r="L58" s="16">
        <f t="shared" si="21"/>
        <v>249</v>
      </c>
      <c r="M58" s="16">
        <f t="shared" si="21"/>
        <v>5311</v>
      </c>
      <c r="N58" s="16">
        <f t="shared" si="21"/>
        <v>1</v>
      </c>
      <c r="O58" s="16">
        <f t="shared" si="21"/>
        <v>4965</v>
      </c>
      <c r="P58" s="16">
        <f t="shared" si="21"/>
        <v>10276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0.24552355001946283</v>
      </c>
      <c r="D59" s="43">
        <f t="shared" si="22"/>
        <v>2.6469443363176332E-2</v>
      </c>
      <c r="E59" s="43">
        <f t="shared" si="22"/>
        <v>3.62008563643441E-2</v>
      </c>
      <c r="F59" s="43">
        <f t="shared" si="22"/>
        <v>7.2888283378746588E-2</v>
      </c>
      <c r="G59" s="43">
        <f t="shared" si="22"/>
        <v>1.0023355391202802E-2</v>
      </c>
      <c r="H59" s="43">
        <f t="shared" si="22"/>
        <v>1.26508369015181E-3</v>
      </c>
      <c r="I59" s="43">
        <f t="shared" si="22"/>
        <v>3.7076683534449199E-2</v>
      </c>
      <c r="J59" s="43">
        <f t="shared" si="22"/>
        <v>1.9268197742312185E-2</v>
      </c>
      <c r="K59" s="43">
        <f t="shared" si="22"/>
        <v>1.012066952121448E-2</v>
      </c>
      <c r="L59" s="43">
        <f t="shared" si="22"/>
        <v>2.4231218372907745E-2</v>
      </c>
      <c r="M59" s="43">
        <f t="shared" si="22"/>
        <v>0.51683534449202029</v>
      </c>
      <c r="N59" s="43">
        <f t="shared" si="22"/>
        <v>9.731413001167769E-5</v>
      </c>
      <c r="R59" s="8"/>
      <c r="T59"/>
    </row>
    <row r="60" spans="2:20" ht="23.1" customHeight="1" x14ac:dyDescent="0.25">
      <c r="B60" s="42" t="s">
        <v>94</v>
      </c>
      <c r="C60" s="44">
        <f>C58/$O$58</f>
        <v>0.50815709969788525</v>
      </c>
      <c r="D60" s="44">
        <f t="shared" ref="D60:N60" si="23">D58/$O$58</f>
        <v>5.4783484390735146E-2</v>
      </c>
      <c r="E60" s="44">
        <f t="shared" si="23"/>
        <v>7.4924471299093659E-2</v>
      </c>
      <c r="F60" s="44">
        <f t="shared" si="23"/>
        <v>0.15085599194360524</v>
      </c>
      <c r="G60" s="44">
        <f t="shared" si="23"/>
        <v>2.0745216515609264E-2</v>
      </c>
      <c r="H60" s="44">
        <f t="shared" si="23"/>
        <v>2.6183282980866062E-3</v>
      </c>
      <c r="I60" s="44">
        <f t="shared" si="23"/>
        <v>7.6737160120845915E-2</v>
      </c>
      <c r="J60" s="44">
        <f t="shared" si="23"/>
        <v>3.9879154078549847E-2</v>
      </c>
      <c r="K60" s="44">
        <f t="shared" si="23"/>
        <v>2.094662638469285E-2</v>
      </c>
      <c r="L60" s="44">
        <f t="shared" si="23"/>
        <v>5.0151057401812686E-2</v>
      </c>
      <c r="M60" s="44"/>
      <c r="N60" s="44">
        <f t="shared" si="23"/>
        <v>2.014098690835851E-4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: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Kireka-Kinawataka'!C3:G3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'31.07 Kinawataka-Kireka'!D5</f>
        <v>31.08.19</v>
      </c>
      <c r="E5" s="3"/>
      <c r="F5" s="41" t="s">
        <v>1</v>
      </c>
      <c r="G5" s="63" t="str">
        <f>'29.07 Kinawataka-Kireka'!G5:H5</f>
        <v>Kireka road</v>
      </c>
      <c r="H5" s="64"/>
      <c r="I5" s="14"/>
      <c r="J5" s="2" t="s">
        <v>5</v>
      </c>
      <c r="K5" s="63" t="s">
        <v>173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Kireka-Kinawataka'!D6:E6</f>
        <v>Kireka</v>
      </c>
      <c r="E6" s="64"/>
      <c r="F6" s="2" t="s">
        <v>2</v>
      </c>
      <c r="G6" s="63" t="str">
        <f>'29.07 Kireka-Kinawataka'!G6:H6</f>
        <v>Kinawataka</v>
      </c>
      <c r="H6" s="64"/>
      <c r="J6" s="2" t="s">
        <v>21</v>
      </c>
      <c r="K6" s="63" t="str">
        <f>'29.07 Kinawataka-Kireka'!K6:L6</f>
        <v>Steven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60</v>
      </c>
      <c r="D10" s="50">
        <v>41</v>
      </c>
      <c r="E10" s="50">
        <v>6</v>
      </c>
      <c r="F10" s="50">
        <v>20</v>
      </c>
      <c r="G10" s="50">
        <v>1</v>
      </c>
      <c r="H10" s="50">
        <v>0</v>
      </c>
      <c r="I10" s="50">
        <v>1</v>
      </c>
      <c r="J10" s="50">
        <v>1</v>
      </c>
      <c r="K10" s="50">
        <v>0</v>
      </c>
      <c r="L10" s="50">
        <v>1</v>
      </c>
      <c r="M10" s="50">
        <v>115</v>
      </c>
      <c r="N10" s="50">
        <v>0</v>
      </c>
      <c r="O10" s="15">
        <f t="shared" ref="O10:O57" si="0">SUM(C10:L10,N10)</f>
        <v>131</v>
      </c>
      <c r="P10" s="15">
        <f t="shared" ref="P10:P57" si="1">SUM(C10:N10)</f>
        <v>246</v>
      </c>
      <c r="R10" s="1" t="s">
        <v>6</v>
      </c>
      <c r="S10" s="17">
        <f t="shared" ref="S10:AF10" si="2">SUM(C10:C13)</f>
        <v>269</v>
      </c>
      <c r="T10" s="17">
        <f t="shared" si="2"/>
        <v>189</v>
      </c>
      <c r="U10" s="17">
        <f t="shared" si="2"/>
        <v>33</v>
      </c>
      <c r="V10" s="17">
        <f t="shared" si="2"/>
        <v>95</v>
      </c>
      <c r="W10" s="17">
        <f t="shared" si="2"/>
        <v>8</v>
      </c>
      <c r="X10" s="17">
        <f t="shared" si="2"/>
        <v>0</v>
      </c>
      <c r="Y10" s="17">
        <f t="shared" si="2"/>
        <v>7</v>
      </c>
      <c r="Z10" s="17">
        <f t="shared" si="2"/>
        <v>15</v>
      </c>
      <c r="AA10" s="17">
        <f t="shared" si="2"/>
        <v>3</v>
      </c>
      <c r="AB10" s="17">
        <f t="shared" si="2"/>
        <v>7</v>
      </c>
      <c r="AC10" s="17">
        <f t="shared" si="2"/>
        <v>663</v>
      </c>
      <c r="AD10" s="17">
        <f t="shared" si="2"/>
        <v>0</v>
      </c>
      <c r="AE10" s="31">
        <f t="shared" si="2"/>
        <v>626</v>
      </c>
      <c r="AF10" s="31">
        <f t="shared" si="2"/>
        <v>1289</v>
      </c>
    </row>
    <row r="11" spans="2:32" s="6" customFormat="1" ht="23.1" customHeight="1" x14ac:dyDescent="0.25">
      <c r="B11" s="23" t="s">
        <v>38</v>
      </c>
      <c r="C11" s="50">
        <v>61</v>
      </c>
      <c r="D11" s="50">
        <v>49</v>
      </c>
      <c r="E11" s="50">
        <v>11</v>
      </c>
      <c r="F11" s="50">
        <v>28</v>
      </c>
      <c r="G11" s="50">
        <v>4</v>
      </c>
      <c r="H11" s="50">
        <v>0</v>
      </c>
      <c r="I11" s="50">
        <v>1</v>
      </c>
      <c r="J11" s="50">
        <v>5</v>
      </c>
      <c r="K11" s="50">
        <v>2</v>
      </c>
      <c r="L11" s="50">
        <v>1</v>
      </c>
      <c r="M11" s="50">
        <v>200</v>
      </c>
      <c r="N11" s="50">
        <v>0</v>
      </c>
      <c r="O11" s="15">
        <f t="shared" si="0"/>
        <v>162</v>
      </c>
      <c r="P11" s="15">
        <f t="shared" si="1"/>
        <v>362</v>
      </c>
      <c r="R11" s="1" t="s">
        <v>7</v>
      </c>
      <c r="S11" s="17">
        <f t="shared" ref="S11:AF11" si="3">SUM(C14:C17)</f>
        <v>268</v>
      </c>
      <c r="T11" s="17">
        <f t="shared" si="3"/>
        <v>175</v>
      </c>
      <c r="U11" s="17">
        <f t="shared" si="3"/>
        <v>44</v>
      </c>
      <c r="V11" s="17">
        <f t="shared" si="3"/>
        <v>108</v>
      </c>
      <c r="W11" s="17">
        <f t="shared" si="3"/>
        <v>6</v>
      </c>
      <c r="X11" s="17">
        <f t="shared" si="3"/>
        <v>6</v>
      </c>
      <c r="Y11" s="17">
        <f t="shared" si="3"/>
        <v>24</v>
      </c>
      <c r="Z11" s="17">
        <f t="shared" si="3"/>
        <v>27</v>
      </c>
      <c r="AA11" s="17">
        <f t="shared" si="3"/>
        <v>5</v>
      </c>
      <c r="AB11" s="17">
        <f t="shared" si="3"/>
        <v>10</v>
      </c>
      <c r="AC11" s="17">
        <f t="shared" si="3"/>
        <v>618</v>
      </c>
      <c r="AD11" s="17">
        <f t="shared" si="3"/>
        <v>0</v>
      </c>
      <c r="AE11" s="31">
        <f t="shared" si="3"/>
        <v>673</v>
      </c>
      <c r="AF11" s="31">
        <f t="shared" si="3"/>
        <v>1291</v>
      </c>
    </row>
    <row r="12" spans="2:32" ht="23.1" customHeight="1" x14ac:dyDescent="0.25">
      <c r="B12" s="23" t="s">
        <v>39</v>
      </c>
      <c r="C12" s="50">
        <v>61</v>
      </c>
      <c r="D12" s="50">
        <v>50</v>
      </c>
      <c r="E12" s="50">
        <v>10</v>
      </c>
      <c r="F12" s="50">
        <v>25</v>
      </c>
      <c r="G12" s="50">
        <v>1</v>
      </c>
      <c r="H12" s="50">
        <v>0</v>
      </c>
      <c r="I12" s="50">
        <v>2</v>
      </c>
      <c r="J12" s="50">
        <v>3</v>
      </c>
      <c r="K12" s="50">
        <v>0</v>
      </c>
      <c r="L12" s="50">
        <v>2</v>
      </c>
      <c r="M12" s="50">
        <v>159</v>
      </c>
      <c r="N12" s="50">
        <v>0</v>
      </c>
      <c r="O12" s="15">
        <f t="shared" si="0"/>
        <v>154</v>
      </c>
      <c r="P12" s="15">
        <f t="shared" si="1"/>
        <v>313</v>
      </c>
      <c r="R12" s="1" t="s">
        <v>8</v>
      </c>
      <c r="S12" s="17">
        <f t="shared" ref="S12:AF12" si="4">SUM(C18:C21)</f>
        <v>181</v>
      </c>
      <c r="T12" s="17">
        <f t="shared" si="4"/>
        <v>121</v>
      </c>
      <c r="U12" s="17">
        <f t="shared" si="4"/>
        <v>33</v>
      </c>
      <c r="V12" s="17">
        <f t="shared" si="4"/>
        <v>103</v>
      </c>
      <c r="W12" s="17">
        <f t="shared" si="4"/>
        <v>4</v>
      </c>
      <c r="X12" s="17">
        <f t="shared" si="4"/>
        <v>4</v>
      </c>
      <c r="Y12" s="17">
        <f t="shared" si="4"/>
        <v>20</v>
      </c>
      <c r="Z12" s="17">
        <f t="shared" si="4"/>
        <v>28</v>
      </c>
      <c r="AA12" s="17">
        <f t="shared" si="4"/>
        <v>12</v>
      </c>
      <c r="AB12" s="17">
        <f t="shared" si="4"/>
        <v>17</v>
      </c>
      <c r="AC12" s="17">
        <f t="shared" si="4"/>
        <v>813</v>
      </c>
      <c r="AD12" s="17">
        <f t="shared" si="4"/>
        <v>0</v>
      </c>
      <c r="AE12" s="31">
        <f t="shared" si="4"/>
        <v>523</v>
      </c>
      <c r="AF12" s="31">
        <f t="shared" si="4"/>
        <v>1336</v>
      </c>
    </row>
    <row r="13" spans="2:32" ht="23.1" customHeight="1" x14ac:dyDescent="0.25">
      <c r="B13" s="23" t="s">
        <v>40</v>
      </c>
      <c r="C13" s="50">
        <v>87</v>
      </c>
      <c r="D13" s="50">
        <v>49</v>
      </c>
      <c r="E13" s="50">
        <v>6</v>
      </c>
      <c r="F13" s="50">
        <v>22</v>
      </c>
      <c r="G13" s="50">
        <v>2</v>
      </c>
      <c r="H13" s="50">
        <v>0</v>
      </c>
      <c r="I13" s="50">
        <v>3</v>
      </c>
      <c r="J13" s="50">
        <v>6</v>
      </c>
      <c r="K13" s="50">
        <v>1</v>
      </c>
      <c r="L13" s="50">
        <v>3</v>
      </c>
      <c r="M13" s="50">
        <v>189</v>
      </c>
      <c r="N13" s="50">
        <v>0</v>
      </c>
      <c r="O13" s="15">
        <f t="shared" si="0"/>
        <v>179</v>
      </c>
      <c r="P13" s="15">
        <f t="shared" si="1"/>
        <v>368</v>
      </c>
      <c r="R13" s="1" t="s">
        <v>9</v>
      </c>
      <c r="S13" s="17">
        <f t="shared" ref="S13:AF13" si="5">SUM(C22:C25)</f>
        <v>159</v>
      </c>
      <c r="T13" s="17">
        <f t="shared" si="5"/>
        <v>124</v>
      </c>
      <c r="U13" s="17">
        <f t="shared" si="5"/>
        <v>30</v>
      </c>
      <c r="V13" s="17">
        <f t="shared" si="5"/>
        <v>115</v>
      </c>
      <c r="W13" s="17">
        <f t="shared" si="5"/>
        <v>8</v>
      </c>
      <c r="X13" s="17">
        <f t="shared" si="5"/>
        <v>4</v>
      </c>
      <c r="Y13" s="17">
        <f t="shared" si="5"/>
        <v>30</v>
      </c>
      <c r="Z13" s="17">
        <f t="shared" si="5"/>
        <v>38</v>
      </c>
      <c r="AA13" s="17">
        <f t="shared" si="5"/>
        <v>10</v>
      </c>
      <c r="AB13" s="17">
        <f t="shared" si="5"/>
        <v>19</v>
      </c>
      <c r="AC13" s="17">
        <f t="shared" si="5"/>
        <v>629</v>
      </c>
      <c r="AD13" s="17">
        <f t="shared" si="5"/>
        <v>0</v>
      </c>
      <c r="AE13" s="31">
        <f t="shared" si="5"/>
        <v>537</v>
      </c>
      <c r="AF13" s="31">
        <f t="shared" si="5"/>
        <v>1166</v>
      </c>
    </row>
    <row r="14" spans="2:32" ht="23.1" customHeight="1" x14ac:dyDescent="0.25">
      <c r="B14" s="23" t="s">
        <v>41</v>
      </c>
      <c r="C14" s="50">
        <v>68</v>
      </c>
      <c r="D14" s="50">
        <v>38</v>
      </c>
      <c r="E14" s="50">
        <v>6</v>
      </c>
      <c r="F14" s="50">
        <v>23</v>
      </c>
      <c r="G14" s="50">
        <v>0</v>
      </c>
      <c r="H14" s="50">
        <v>1</v>
      </c>
      <c r="I14" s="50">
        <v>3</v>
      </c>
      <c r="J14" s="50">
        <v>6</v>
      </c>
      <c r="K14" s="50">
        <v>2</v>
      </c>
      <c r="L14" s="50">
        <v>1</v>
      </c>
      <c r="M14" s="50">
        <v>199</v>
      </c>
      <c r="N14" s="50">
        <v>0</v>
      </c>
      <c r="O14" s="15">
        <f t="shared" si="0"/>
        <v>148</v>
      </c>
      <c r="P14" s="15">
        <f t="shared" si="1"/>
        <v>347</v>
      </c>
      <c r="R14" s="1" t="s">
        <v>10</v>
      </c>
      <c r="S14" s="17">
        <f t="shared" ref="S14:AF14" si="6">SUM(C26:C29)</f>
        <v>111</v>
      </c>
      <c r="T14" s="17">
        <f t="shared" si="6"/>
        <v>65</v>
      </c>
      <c r="U14" s="17">
        <f t="shared" si="6"/>
        <v>28</v>
      </c>
      <c r="V14" s="17">
        <f t="shared" si="6"/>
        <v>57</v>
      </c>
      <c r="W14" s="17">
        <f t="shared" si="6"/>
        <v>7</v>
      </c>
      <c r="X14" s="17">
        <f t="shared" si="6"/>
        <v>0</v>
      </c>
      <c r="Y14" s="17">
        <f t="shared" si="6"/>
        <v>26</v>
      </c>
      <c r="Z14" s="17">
        <f t="shared" si="6"/>
        <v>34</v>
      </c>
      <c r="AA14" s="17">
        <f t="shared" si="6"/>
        <v>15</v>
      </c>
      <c r="AB14" s="17">
        <f t="shared" si="6"/>
        <v>21</v>
      </c>
      <c r="AC14" s="17">
        <f t="shared" si="6"/>
        <v>259</v>
      </c>
      <c r="AD14" s="17">
        <f t="shared" si="6"/>
        <v>0</v>
      </c>
      <c r="AE14" s="31">
        <f t="shared" si="6"/>
        <v>364</v>
      </c>
      <c r="AF14" s="31">
        <f t="shared" si="6"/>
        <v>623</v>
      </c>
    </row>
    <row r="15" spans="2:32" ht="23.1" customHeight="1" x14ac:dyDescent="0.25">
      <c r="B15" s="23" t="s">
        <v>42</v>
      </c>
      <c r="C15" s="50">
        <v>70</v>
      </c>
      <c r="D15" s="50">
        <v>41</v>
      </c>
      <c r="E15" s="50">
        <v>12</v>
      </c>
      <c r="F15" s="50">
        <v>23</v>
      </c>
      <c r="G15" s="50">
        <v>2</v>
      </c>
      <c r="H15" s="50">
        <v>1</v>
      </c>
      <c r="I15" s="50">
        <v>9</v>
      </c>
      <c r="J15" s="50">
        <v>5</v>
      </c>
      <c r="K15" s="50">
        <v>1</v>
      </c>
      <c r="L15" s="50">
        <v>4</v>
      </c>
      <c r="M15" s="50">
        <v>200</v>
      </c>
      <c r="N15" s="50">
        <v>0</v>
      </c>
      <c r="O15" s="15">
        <f t="shared" si="0"/>
        <v>168</v>
      </c>
      <c r="P15" s="15">
        <f t="shared" si="1"/>
        <v>368</v>
      </c>
      <c r="R15" s="1" t="s">
        <v>11</v>
      </c>
      <c r="S15" s="17">
        <f t="shared" ref="S15:AF15" si="7">SUM(C30:C33)</f>
        <v>150</v>
      </c>
      <c r="T15" s="17">
        <f t="shared" si="7"/>
        <v>84</v>
      </c>
      <c r="U15" s="17">
        <f t="shared" si="7"/>
        <v>31</v>
      </c>
      <c r="V15" s="17">
        <f t="shared" si="7"/>
        <v>53</v>
      </c>
      <c r="W15" s="17">
        <f t="shared" si="7"/>
        <v>8</v>
      </c>
      <c r="X15" s="17">
        <f t="shared" si="7"/>
        <v>0</v>
      </c>
      <c r="Y15" s="17">
        <f t="shared" si="7"/>
        <v>33</v>
      </c>
      <c r="Z15" s="17">
        <f t="shared" si="7"/>
        <v>42</v>
      </c>
      <c r="AA15" s="17">
        <f t="shared" si="7"/>
        <v>22</v>
      </c>
      <c r="AB15" s="17">
        <f t="shared" si="7"/>
        <v>19</v>
      </c>
      <c r="AC15" s="17">
        <f t="shared" si="7"/>
        <v>213</v>
      </c>
      <c r="AD15" s="17">
        <f t="shared" si="7"/>
        <v>1</v>
      </c>
      <c r="AE15" s="31">
        <f t="shared" si="7"/>
        <v>443</v>
      </c>
      <c r="AF15" s="31">
        <f t="shared" si="7"/>
        <v>656</v>
      </c>
    </row>
    <row r="16" spans="2:32" ht="23.1" customHeight="1" x14ac:dyDescent="0.25">
      <c r="B16" s="23" t="s">
        <v>43</v>
      </c>
      <c r="C16" s="50">
        <v>56</v>
      </c>
      <c r="D16" s="50">
        <v>42</v>
      </c>
      <c r="E16" s="50">
        <v>10</v>
      </c>
      <c r="F16" s="50">
        <v>26</v>
      </c>
      <c r="G16" s="50">
        <v>1</v>
      </c>
      <c r="H16" s="50">
        <v>2</v>
      </c>
      <c r="I16" s="50">
        <v>4</v>
      </c>
      <c r="J16" s="50">
        <v>3</v>
      </c>
      <c r="K16" s="50">
        <v>0</v>
      </c>
      <c r="L16" s="50">
        <v>4</v>
      </c>
      <c r="M16" s="50">
        <v>119</v>
      </c>
      <c r="N16" s="50">
        <v>0</v>
      </c>
      <c r="O16" s="15">
        <f t="shared" si="0"/>
        <v>148</v>
      </c>
      <c r="P16" s="15">
        <f t="shared" si="1"/>
        <v>267</v>
      </c>
      <c r="R16" s="1" t="s">
        <v>12</v>
      </c>
      <c r="S16" s="17">
        <f t="shared" ref="S16:AF16" si="8">SUM(C34:C37)</f>
        <v>112</v>
      </c>
      <c r="T16" s="17">
        <f t="shared" si="8"/>
        <v>65</v>
      </c>
      <c r="U16" s="17">
        <f t="shared" si="8"/>
        <v>33</v>
      </c>
      <c r="V16" s="17">
        <f t="shared" si="8"/>
        <v>59</v>
      </c>
      <c r="W16" s="17">
        <f t="shared" si="8"/>
        <v>3</v>
      </c>
      <c r="X16" s="17">
        <f t="shared" si="8"/>
        <v>0</v>
      </c>
      <c r="Y16" s="17">
        <f t="shared" si="8"/>
        <v>32</v>
      </c>
      <c r="Z16" s="17">
        <f t="shared" si="8"/>
        <v>36</v>
      </c>
      <c r="AA16" s="17">
        <f t="shared" si="8"/>
        <v>11</v>
      </c>
      <c r="AB16" s="17">
        <f t="shared" si="8"/>
        <v>12</v>
      </c>
      <c r="AC16" s="17">
        <f t="shared" si="8"/>
        <v>274</v>
      </c>
      <c r="AD16" s="17">
        <f t="shared" si="8"/>
        <v>1</v>
      </c>
      <c r="AE16" s="31">
        <f t="shared" si="8"/>
        <v>364</v>
      </c>
      <c r="AF16" s="31">
        <f t="shared" si="8"/>
        <v>638</v>
      </c>
    </row>
    <row r="17" spans="2:32" ht="23.1" customHeight="1" x14ac:dyDescent="0.25">
      <c r="B17" s="23" t="s">
        <v>44</v>
      </c>
      <c r="C17" s="50">
        <v>74</v>
      </c>
      <c r="D17" s="50">
        <v>54</v>
      </c>
      <c r="E17" s="50">
        <v>16</v>
      </c>
      <c r="F17" s="50">
        <v>36</v>
      </c>
      <c r="G17" s="50">
        <v>3</v>
      </c>
      <c r="H17" s="50">
        <v>2</v>
      </c>
      <c r="I17" s="50">
        <v>8</v>
      </c>
      <c r="J17" s="50">
        <v>13</v>
      </c>
      <c r="K17" s="50">
        <v>2</v>
      </c>
      <c r="L17" s="50">
        <v>1</v>
      </c>
      <c r="M17" s="50">
        <v>100</v>
      </c>
      <c r="N17" s="50">
        <v>0</v>
      </c>
      <c r="O17" s="15">
        <f t="shared" si="0"/>
        <v>209</v>
      </c>
      <c r="P17" s="15">
        <f t="shared" si="1"/>
        <v>309</v>
      </c>
      <c r="R17" s="1" t="s">
        <v>13</v>
      </c>
      <c r="S17" s="17">
        <f t="shared" ref="S17:AF17" si="9">SUM(C38:C41)</f>
        <v>128</v>
      </c>
      <c r="T17" s="17">
        <f t="shared" si="9"/>
        <v>68</v>
      </c>
      <c r="U17" s="17">
        <f t="shared" si="9"/>
        <v>44</v>
      </c>
      <c r="V17" s="17">
        <f t="shared" si="9"/>
        <v>70</v>
      </c>
      <c r="W17" s="17">
        <f t="shared" si="9"/>
        <v>1</v>
      </c>
      <c r="X17" s="17">
        <f t="shared" si="9"/>
        <v>2</v>
      </c>
      <c r="Y17" s="17">
        <f t="shared" si="9"/>
        <v>16</v>
      </c>
      <c r="Z17" s="17">
        <f t="shared" si="9"/>
        <v>30</v>
      </c>
      <c r="AA17" s="17">
        <f t="shared" si="9"/>
        <v>10</v>
      </c>
      <c r="AB17" s="17">
        <f t="shared" si="9"/>
        <v>15</v>
      </c>
      <c r="AC17" s="17">
        <f t="shared" si="9"/>
        <v>362</v>
      </c>
      <c r="AD17" s="17">
        <f t="shared" si="9"/>
        <v>0</v>
      </c>
      <c r="AE17" s="31">
        <f t="shared" si="9"/>
        <v>384</v>
      </c>
      <c r="AF17" s="31">
        <f t="shared" si="9"/>
        <v>746</v>
      </c>
    </row>
    <row r="18" spans="2:32" ht="23.1" customHeight="1" x14ac:dyDescent="0.25">
      <c r="B18" s="23" t="s">
        <v>45</v>
      </c>
      <c r="C18" s="50">
        <v>37</v>
      </c>
      <c r="D18" s="50">
        <v>44</v>
      </c>
      <c r="E18" s="50">
        <v>12</v>
      </c>
      <c r="F18" s="50">
        <v>26</v>
      </c>
      <c r="G18" s="50">
        <v>1</v>
      </c>
      <c r="H18" s="50">
        <v>1</v>
      </c>
      <c r="I18" s="50">
        <v>6</v>
      </c>
      <c r="J18" s="50">
        <v>13</v>
      </c>
      <c r="K18" s="50">
        <v>0</v>
      </c>
      <c r="L18" s="50">
        <v>2</v>
      </c>
      <c r="M18" s="50">
        <v>170</v>
      </c>
      <c r="N18" s="50">
        <v>0</v>
      </c>
      <c r="O18" s="15">
        <f t="shared" si="0"/>
        <v>142</v>
      </c>
      <c r="P18" s="15">
        <f t="shared" si="1"/>
        <v>312</v>
      </c>
      <c r="R18" s="1" t="s">
        <v>14</v>
      </c>
      <c r="S18" s="17">
        <f t="shared" ref="S18:AF18" si="10">SUM(C42:C45)</f>
        <v>115</v>
      </c>
      <c r="T18" s="17">
        <f t="shared" si="10"/>
        <v>75</v>
      </c>
      <c r="U18" s="17">
        <f t="shared" si="10"/>
        <v>25</v>
      </c>
      <c r="V18" s="17">
        <f t="shared" si="10"/>
        <v>58</v>
      </c>
      <c r="W18" s="17">
        <f t="shared" si="10"/>
        <v>0</v>
      </c>
      <c r="X18" s="17">
        <f t="shared" si="10"/>
        <v>1</v>
      </c>
      <c r="Y18" s="17">
        <f t="shared" si="10"/>
        <v>15</v>
      </c>
      <c r="Z18" s="17">
        <f t="shared" si="10"/>
        <v>47</v>
      </c>
      <c r="AA18" s="17">
        <f t="shared" si="10"/>
        <v>5</v>
      </c>
      <c r="AB18" s="17">
        <f t="shared" si="10"/>
        <v>11</v>
      </c>
      <c r="AC18" s="17">
        <f t="shared" si="10"/>
        <v>225</v>
      </c>
      <c r="AD18" s="17">
        <f t="shared" si="10"/>
        <v>1</v>
      </c>
      <c r="AE18" s="31">
        <f t="shared" si="10"/>
        <v>353</v>
      </c>
      <c r="AF18" s="31">
        <f t="shared" si="10"/>
        <v>578</v>
      </c>
    </row>
    <row r="19" spans="2:32" ht="23.1" customHeight="1" x14ac:dyDescent="0.25">
      <c r="B19" s="23" t="s">
        <v>46</v>
      </c>
      <c r="C19" s="50">
        <v>52</v>
      </c>
      <c r="D19" s="50">
        <v>22</v>
      </c>
      <c r="E19" s="50">
        <v>4</v>
      </c>
      <c r="F19" s="50">
        <v>24</v>
      </c>
      <c r="G19" s="50">
        <v>0</v>
      </c>
      <c r="H19" s="50">
        <v>3</v>
      </c>
      <c r="I19" s="50">
        <v>4</v>
      </c>
      <c r="J19" s="50">
        <v>7</v>
      </c>
      <c r="K19" s="50">
        <v>3</v>
      </c>
      <c r="L19" s="50">
        <v>4</v>
      </c>
      <c r="M19" s="50">
        <v>155</v>
      </c>
      <c r="N19" s="50">
        <v>0</v>
      </c>
      <c r="O19" s="15">
        <f t="shared" si="0"/>
        <v>123</v>
      </c>
      <c r="P19" s="15">
        <f t="shared" si="1"/>
        <v>278</v>
      </c>
      <c r="R19" s="1" t="s">
        <v>15</v>
      </c>
      <c r="S19" s="17">
        <f t="shared" ref="S19:AF19" si="11">SUM(C46:C49)</f>
        <v>126</v>
      </c>
      <c r="T19" s="17">
        <f t="shared" si="11"/>
        <v>75</v>
      </c>
      <c r="U19" s="17">
        <f t="shared" si="11"/>
        <v>38</v>
      </c>
      <c r="V19" s="17">
        <f t="shared" si="11"/>
        <v>79</v>
      </c>
      <c r="W19" s="17">
        <f t="shared" si="11"/>
        <v>6</v>
      </c>
      <c r="X19" s="17">
        <f t="shared" si="11"/>
        <v>0</v>
      </c>
      <c r="Y19" s="17">
        <f t="shared" si="11"/>
        <v>19</v>
      </c>
      <c r="Z19" s="17">
        <f t="shared" si="11"/>
        <v>42</v>
      </c>
      <c r="AA19" s="17">
        <f t="shared" si="11"/>
        <v>14</v>
      </c>
      <c r="AB19" s="17">
        <f t="shared" si="11"/>
        <v>11</v>
      </c>
      <c r="AC19" s="17">
        <f t="shared" si="11"/>
        <v>261</v>
      </c>
      <c r="AD19" s="17">
        <f t="shared" si="11"/>
        <v>0</v>
      </c>
      <c r="AE19" s="31">
        <f t="shared" si="11"/>
        <v>410</v>
      </c>
      <c r="AF19" s="31">
        <f t="shared" si="11"/>
        <v>671</v>
      </c>
    </row>
    <row r="20" spans="2:32" ht="23.1" customHeight="1" x14ac:dyDescent="0.25">
      <c r="B20" s="23" t="s">
        <v>47</v>
      </c>
      <c r="C20" s="50">
        <v>42</v>
      </c>
      <c r="D20" s="50">
        <v>33</v>
      </c>
      <c r="E20" s="50">
        <v>9</v>
      </c>
      <c r="F20" s="50">
        <v>25</v>
      </c>
      <c r="G20" s="50">
        <v>0</v>
      </c>
      <c r="H20" s="50">
        <v>0</v>
      </c>
      <c r="I20" s="50">
        <v>6</v>
      </c>
      <c r="J20" s="50">
        <v>5</v>
      </c>
      <c r="K20" s="50">
        <v>2</v>
      </c>
      <c r="L20" s="50">
        <v>4</v>
      </c>
      <c r="M20" s="50">
        <v>259</v>
      </c>
      <c r="N20" s="50">
        <v>0</v>
      </c>
      <c r="O20" s="15">
        <f t="shared" si="0"/>
        <v>126</v>
      </c>
      <c r="P20" s="15">
        <f t="shared" si="1"/>
        <v>385</v>
      </c>
      <c r="R20" s="1" t="s">
        <v>16</v>
      </c>
      <c r="S20" s="17">
        <f t="shared" ref="S20:AF20" si="12">SUM(C50:C53)</f>
        <v>137</v>
      </c>
      <c r="T20" s="17">
        <f t="shared" si="12"/>
        <v>74</v>
      </c>
      <c r="U20" s="17">
        <f t="shared" si="12"/>
        <v>39</v>
      </c>
      <c r="V20" s="17">
        <f t="shared" si="12"/>
        <v>76</v>
      </c>
      <c r="W20" s="17">
        <f t="shared" si="12"/>
        <v>3</v>
      </c>
      <c r="X20" s="17">
        <f t="shared" si="12"/>
        <v>1</v>
      </c>
      <c r="Y20" s="17">
        <f t="shared" si="12"/>
        <v>25</v>
      </c>
      <c r="Z20" s="17">
        <f t="shared" si="12"/>
        <v>43</v>
      </c>
      <c r="AA20" s="17">
        <f t="shared" si="12"/>
        <v>13</v>
      </c>
      <c r="AB20" s="17">
        <f t="shared" si="12"/>
        <v>6</v>
      </c>
      <c r="AC20" s="17">
        <f t="shared" si="12"/>
        <v>398</v>
      </c>
      <c r="AD20" s="17">
        <f t="shared" si="12"/>
        <v>0</v>
      </c>
      <c r="AE20" s="31">
        <f t="shared" si="12"/>
        <v>417</v>
      </c>
      <c r="AF20" s="31">
        <f t="shared" si="12"/>
        <v>815</v>
      </c>
    </row>
    <row r="21" spans="2:32" ht="23.1" customHeight="1" x14ac:dyDescent="0.25">
      <c r="B21" s="23" t="s">
        <v>48</v>
      </c>
      <c r="C21" s="50">
        <v>50</v>
      </c>
      <c r="D21" s="50">
        <v>22</v>
      </c>
      <c r="E21" s="50">
        <v>8</v>
      </c>
      <c r="F21" s="50">
        <v>28</v>
      </c>
      <c r="G21" s="50">
        <v>3</v>
      </c>
      <c r="H21" s="50">
        <v>0</v>
      </c>
      <c r="I21" s="50">
        <v>4</v>
      </c>
      <c r="J21" s="50">
        <v>3</v>
      </c>
      <c r="K21" s="50">
        <v>7</v>
      </c>
      <c r="L21" s="50">
        <v>7</v>
      </c>
      <c r="M21" s="50">
        <v>229</v>
      </c>
      <c r="N21" s="50">
        <v>0</v>
      </c>
      <c r="O21" s="15">
        <f t="shared" si="0"/>
        <v>132</v>
      </c>
      <c r="P21" s="15">
        <f t="shared" si="1"/>
        <v>361</v>
      </c>
      <c r="R21" s="36" t="s">
        <v>20</v>
      </c>
      <c r="S21" s="34">
        <f t="shared" ref="S21:AF21" si="13">SUM(C54:C57)</f>
        <v>72</v>
      </c>
      <c r="T21" s="17">
        <f t="shared" si="13"/>
        <v>116</v>
      </c>
      <c r="U21" s="17">
        <f t="shared" si="13"/>
        <v>29</v>
      </c>
      <c r="V21" s="17">
        <f t="shared" si="13"/>
        <v>70</v>
      </c>
      <c r="W21" s="17">
        <f t="shared" si="13"/>
        <v>6</v>
      </c>
      <c r="X21" s="17">
        <f t="shared" si="13"/>
        <v>1</v>
      </c>
      <c r="Y21" s="17">
        <f t="shared" si="13"/>
        <v>21</v>
      </c>
      <c r="Z21" s="17">
        <f t="shared" si="13"/>
        <v>25</v>
      </c>
      <c r="AA21" s="17">
        <f t="shared" si="13"/>
        <v>7</v>
      </c>
      <c r="AB21" s="17">
        <f t="shared" si="13"/>
        <v>10</v>
      </c>
      <c r="AC21" s="17">
        <f t="shared" si="13"/>
        <v>544</v>
      </c>
      <c r="AD21" s="17">
        <f t="shared" si="13"/>
        <v>0</v>
      </c>
      <c r="AE21" s="31">
        <f t="shared" si="13"/>
        <v>357</v>
      </c>
      <c r="AF21" s="31">
        <f t="shared" si="13"/>
        <v>901</v>
      </c>
    </row>
    <row r="22" spans="2:32" ht="23.1" customHeight="1" x14ac:dyDescent="0.25">
      <c r="B22" s="23" t="s">
        <v>49</v>
      </c>
      <c r="C22" s="50">
        <v>37</v>
      </c>
      <c r="D22" s="50">
        <v>40</v>
      </c>
      <c r="E22" s="50">
        <v>5</v>
      </c>
      <c r="F22" s="50">
        <v>30</v>
      </c>
      <c r="G22" s="50">
        <v>1</v>
      </c>
      <c r="H22" s="50">
        <v>1</v>
      </c>
      <c r="I22" s="50">
        <v>7</v>
      </c>
      <c r="J22" s="50">
        <v>18</v>
      </c>
      <c r="K22" s="50">
        <v>2</v>
      </c>
      <c r="L22" s="50">
        <v>2</v>
      </c>
      <c r="M22" s="50">
        <v>135</v>
      </c>
      <c r="N22" s="50">
        <v>0</v>
      </c>
      <c r="O22" s="15">
        <f t="shared" si="0"/>
        <v>143</v>
      </c>
      <c r="P22" s="15">
        <f t="shared" si="1"/>
        <v>278</v>
      </c>
      <c r="R22" s="38" t="s">
        <v>90</v>
      </c>
      <c r="S22" s="39">
        <f>MAX(S10:S12)</f>
        <v>269</v>
      </c>
      <c r="T22" s="39">
        <f t="shared" ref="T22:AF22" si="14">MAX(T10:T12)</f>
        <v>189</v>
      </c>
      <c r="U22" s="39">
        <f t="shared" si="14"/>
        <v>44</v>
      </c>
      <c r="V22" s="39">
        <f t="shared" si="14"/>
        <v>108</v>
      </c>
      <c r="W22" s="39">
        <f t="shared" si="14"/>
        <v>8</v>
      </c>
      <c r="X22" s="39">
        <f t="shared" si="14"/>
        <v>6</v>
      </c>
      <c r="Y22" s="39">
        <f t="shared" si="14"/>
        <v>24</v>
      </c>
      <c r="Z22" s="39">
        <f t="shared" si="14"/>
        <v>28</v>
      </c>
      <c r="AA22" s="39">
        <f t="shared" si="14"/>
        <v>12</v>
      </c>
      <c r="AB22" s="39">
        <f t="shared" si="14"/>
        <v>17</v>
      </c>
      <c r="AC22" s="39">
        <f t="shared" si="14"/>
        <v>813</v>
      </c>
      <c r="AD22" s="39">
        <f t="shared" si="14"/>
        <v>0</v>
      </c>
      <c r="AE22" s="40">
        <f t="shared" si="14"/>
        <v>673</v>
      </c>
      <c r="AF22" s="40">
        <f t="shared" si="14"/>
        <v>1336</v>
      </c>
    </row>
    <row r="23" spans="2:32" ht="23.1" customHeight="1" x14ac:dyDescent="0.25">
      <c r="B23" s="23" t="s">
        <v>50</v>
      </c>
      <c r="C23" s="50">
        <v>37</v>
      </c>
      <c r="D23" s="50">
        <v>35</v>
      </c>
      <c r="E23" s="50">
        <v>11</v>
      </c>
      <c r="F23" s="50">
        <v>27</v>
      </c>
      <c r="G23" s="50">
        <v>0</v>
      </c>
      <c r="H23" s="50">
        <v>1</v>
      </c>
      <c r="I23" s="50">
        <v>5</v>
      </c>
      <c r="J23" s="50">
        <v>7</v>
      </c>
      <c r="K23" s="50">
        <v>3</v>
      </c>
      <c r="L23" s="50">
        <v>10</v>
      </c>
      <c r="M23" s="50">
        <v>159</v>
      </c>
      <c r="N23" s="50">
        <v>0</v>
      </c>
      <c r="O23" s="15">
        <f t="shared" si="0"/>
        <v>136</v>
      </c>
      <c r="P23" s="15">
        <f t="shared" si="1"/>
        <v>295</v>
      </c>
      <c r="R23" s="38" t="s">
        <v>91</v>
      </c>
      <c r="S23" s="39">
        <f>MAX(S13:S18)</f>
        <v>159</v>
      </c>
      <c r="T23" s="39">
        <f t="shared" ref="T23:AF23" si="15">MAX(T13:T18)</f>
        <v>124</v>
      </c>
      <c r="U23" s="39">
        <f t="shared" si="15"/>
        <v>44</v>
      </c>
      <c r="V23" s="39">
        <f t="shared" si="15"/>
        <v>115</v>
      </c>
      <c r="W23" s="39">
        <f t="shared" si="15"/>
        <v>8</v>
      </c>
      <c r="X23" s="39">
        <f t="shared" si="15"/>
        <v>4</v>
      </c>
      <c r="Y23" s="39">
        <f t="shared" si="15"/>
        <v>33</v>
      </c>
      <c r="Z23" s="39">
        <f t="shared" si="15"/>
        <v>47</v>
      </c>
      <c r="AA23" s="39">
        <f t="shared" si="15"/>
        <v>22</v>
      </c>
      <c r="AB23" s="39">
        <f t="shared" si="15"/>
        <v>21</v>
      </c>
      <c r="AC23" s="39">
        <f t="shared" si="15"/>
        <v>629</v>
      </c>
      <c r="AD23" s="39">
        <f t="shared" si="15"/>
        <v>1</v>
      </c>
      <c r="AE23" s="40">
        <f t="shared" si="15"/>
        <v>537</v>
      </c>
      <c r="AF23" s="40">
        <f t="shared" si="15"/>
        <v>1166</v>
      </c>
    </row>
    <row r="24" spans="2:32" ht="23.1" customHeight="1" x14ac:dyDescent="0.25">
      <c r="B24" s="23" t="s">
        <v>51</v>
      </c>
      <c r="C24" s="50">
        <v>40</v>
      </c>
      <c r="D24" s="50">
        <v>23</v>
      </c>
      <c r="E24" s="50">
        <v>7</v>
      </c>
      <c r="F24" s="50">
        <v>34</v>
      </c>
      <c r="G24" s="50">
        <v>6</v>
      </c>
      <c r="H24" s="50">
        <v>1</v>
      </c>
      <c r="I24" s="50">
        <v>6</v>
      </c>
      <c r="J24" s="50">
        <v>9</v>
      </c>
      <c r="K24" s="50">
        <v>1</v>
      </c>
      <c r="L24" s="50">
        <v>3</v>
      </c>
      <c r="M24" s="50">
        <v>153</v>
      </c>
      <c r="N24" s="50">
        <v>0</v>
      </c>
      <c r="O24" s="15">
        <f t="shared" si="0"/>
        <v>130</v>
      </c>
      <c r="P24" s="15">
        <f t="shared" si="1"/>
        <v>283</v>
      </c>
      <c r="R24" s="38" t="s">
        <v>92</v>
      </c>
      <c r="S24" s="39">
        <f>MAX(S19:S21)</f>
        <v>137</v>
      </c>
      <c r="T24" s="39">
        <f t="shared" ref="T24:AF24" si="16">MAX(T19:T21)</f>
        <v>116</v>
      </c>
      <c r="U24" s="39">
        <f t="shared" si="16"/>
        <v>39</v>
      </c>
      <c r="V24" s="39">
        <f t="shared" si="16"/>
        <v>79</v>
      </c>
      <c r="W24" s="39">
        <f t="shared" si="16"/>
        <v>6</v>
      </c>
      <c r="X24" s="39">
        <f t="shared" si="16"/>
        <v>1</v>
      </c>
      <c r="Y24" s="39">
        <f t="shared" si="16"/>
        <v>25</v>
      </c>
      <c r="Z24" s="39">
        <f t="shared" si="16"/>
        <v>43</v>
      </c>
      <c r="AA24" s="39">
        <f t="shared" si="16"/>
        <v>14</v>
      </c>
      <c r="AB24" s="39">
        <f t="shared" si="16"/>
        <v>11</v>
      </c>
      <c r="AC24" s="39">
        <f t="shared" si="16"/>
        <v>544</v>
      </c>
      <c r="AD24" s="39">
        <f t="shared" si="16"/>
        <v>0</v>
      </c>
      <c r="AE24" s="40">
        <f t="shared" si="16"/>
        <v>417</v>
      </c>
      <c r="AF24" s="40">
        <f t="shared" si="16"/>
        <v>901</v>
      </c>
    </row>
    <row r="25" spans="2:32" ht="23.1" customHeight="1" x14ac:dyDescent="0.25">
      <c r="B25" s="23" t="s">
        <v>52</v>
      </c>
      <c r="C25" s="50">
        <v>45</v>
      </c>
      <c r="D25" s="50">
        <v>26</v>
      </c>
      <c r="E25" s="50">
        <v>7</v>
      </c>
      <c r="F25" s="50">
        <v>24</v>
      </c>
      <c r="G25" s="50">
        <v>1</v>
      </c>
      <c r="H25" s="50">
        <v>1</v>
      </c>
      <c r="I25" s="50">
        <v>12</v>
      </c>
      <c r="J25" s="50">
        <v>4</v>
      </c>
      <c r="K25" s="50">
        <v>4</v>
      </c>
      <c r="L25" s="50">
        <v>4</v>
      </c>
      <c r="M25" s="50">
        <v>182</v>
      </c>
      <c r="N25" s="50">
        <v>0</v>
      </c>
      <c r="O25" s="15">
        <f t="shared" si="0"/>
        <v>128</v>
      </c>
      <c r="P25" s="15">
        <f t="shared" si="1"/>
        <v>310</v>
      </c>
      <c r="R25" s="37" t="s">
        <v>85</v>
      </c>
      <c r="S25" s="35">
        <f t="shared" ref="S25:AF25" si="17">SUM(S10:S12)</f>
        <v>718</v>
      </c>
      <c r="T25" s="16">
        <f t="shared" si="17"/>
        <v>485</v>
      </c>
      <c r="U25" s="16">
        <f t="shared" si="17"/>
        <v>110</v>
      </c>
      <c r="V25" s="16">
        <f t="shared" si="17"/>
        <v>306</v>
      </c>
      <c r="W25" s="16">
        <f t="shared" si="17"/>
        <v>18</v>
      </c>
      <c r="X25" s="16">
        <f t="shared" si="17"/>
        <v>10</v>
      </c>
      <c r="Y25" s="16">
        <f t="shared" si="17"/>
        <v>51</v>
      </c>
      <c r="Z25" s="16">
        <f t="shared" si="17"/>
        <v>70</v>
      </c>
      <c r="AA25" s="16">
        <f t="shared" si="17"/>
        <v>20</v>
      </c>
      <c r="AB25" s="16">
        <f t="shared" si="17"/>
        <v>34</v>
      </c>
      <c r="AC25" s="16">
        <f t="shared" si="17"/>
        <v>2094</v>
      </c>
      <c r="AD25" s="16">
        <f t="shared" si="17"/>
        <v>0</v>
      </c>
      <c r="AE25" s="32">
        <f t="shared" si="17"/>
        <v>1822</v>
      </c>
      <c r="AF25" s="32">
        <f t="shared" si="17"/>
        <v>3916</v>
      </c>
    </row>
    <row r="26" spans="2:32" ht="23.1" customHeight="1" x14ac:dyDescent="0.25">
      <c r="B26" s="23" t="s">
        <v>53</v>
      </c>
      <c r="C26" s="50">
        <v>26</v>
      </c>
      <c r="D26" s="50">
        <v>13</v>
      </c>
      <c r="E26" s="50">
        <v>7</v>
      </c>
      <c r="F26" s="50">
        <v>10</v>
      </c>
      <c r="G26" s="50">
        <v>1</v>
      </c>
      <c r="H26" s="50">
        <v>0</v>
      </c>
      <c r="I26" s="50">
        <v>5</v>
      </c>
      <c r="J26" s="50">
        <v>12</v>
      </c>
      <c r="K26" s="50">
        <v>4</v>
      </c>
      <c r="L26" s="50">
        <v>5</v>
      </c>
      <c r="M26" s="50">
        <v>50</v>
      </c>
      <c r="N26" s="50">
        <v>0</v>
      </c>
      <c r="O26" s="15">
        <f t="shared" si="0"/>
        <v>83</v>
      </c>
      <c r="P26" s="15">
        <f t="shared" si="1"/>
        <v>133</v>
      </c>
      <c r="R26" s="28" t="s">
        <v>86</v>
      </c>
      <c r="S26" s="16">
        <f t="shared" ref="S26:AF26" si="18">SUM(S13:S18)</f>
        <v>775</v>
      </c>
      <c r="T26" s="16">
        <f t="shared" si="18"/>
        <v>481</v>
      </c>
      <c r="U26" s="16">
        <f t="shared" si="18"/>
        <v>191</v>
      </c>
      <c r="V26" s="16">
        <f t="shared" si="18"/>
        <v>412</v>
      </c>
      <c r="W26" s="16">
        <f t="shared" si="18"/>
        <v>27</v>
      </c>
      <c r="X26" s="16">
        <f t="shared" si="18"/>
        <v>7</v>
      </c>
      <c r="Y26" s="16">
        <f t="shared" si="18"/>
        <v>152</v>
      </c>
      <c r="Z26" s="16">
        <f t="shared" si="18"/>
        <v>227</v>
      </c>
      <c r="AA26" s="16">
        <f t="shared" si="18"/>
        <v>73</v>
      </c>
      <c r="AB26" s="16">
        <f t="shared" si="18"/>
        <v>97</v>
      </c>
      <c r="AC26" s="16">
        <f t="shared" si="18"/>
        <v>1962</v>
      </c>
      <c r="AD26" s="16">
        <f t="shared" si="18"/>
        <v>3</v>
      </c>
      <c r="AE26" s="32">
        <f t="shared" si="18"/>
        <v>2445</v>
      </c>
      <c r="AF26" s="32">
        <f t="shared" si="18"/>
        <v>4407</v>
      </c>
    </row>
    <row r="27" spans="2:32" ht="23.1" customHeight="1" x14ac:dyDescent="0.25">
      <c r="B27" s="23" t="s">
        <v>54</v>
      </c>
      <c r="C27" s="50">
        <v>33</v>
      </c>
      <c r="D27" s="50">
        <v>23</v>
      </c>
      <c r="E27" s="50">
        <v>10</v>
      </c>
      <c r="F27" s="50">
        <v>17</v>
      </c>
      <c r="G27" s="50">
        <v>1</v>
      </c>
      <c r="H27" s="50">
        <v>0</v>
      </c>
      <c r="I27" s="50">
        <v>7</v>
      </c>
      <c r="J27" s="50">
        <v>10</v>
      </c>
      <c r="K27" s="50">
        <v>5</v>
      </c>
      <c r="L27" s="50">
        <v>6</v>
      </c>
      <c r="M27" s="50">
        <v>65</v>
      </c>
      <c r="N27" s="50">
        <v>0</v>
      </c>
      <c r="O27" s="15">
        <f t="shared" si="0"/>
        <v>112</v>
      </c>
      <c r="P27" s="15">
        <f t="shared" si="1"/>
        <v>177</v>
      </c>
      <c r="R27" s="29" t="s">
        <v>87</v>
      </c>
      <c r="S27" s="16">
        <f t="shared" ref="S27:AF27" si="19">SUM(S19:S21)</f>
        <v>335</v>
      </c>
      <c r="T27" s="16">
        <f t="shared" si="19"/>
        <v>265</v>
      </c>
      <c r="U27" s="16">
        <f t="shared" si="19"/>
        <v>106</v>
      </c>
      <c r="V27" s="16">
        <f t="shared" si="19"/>
        <v>225</v>
      </c>
      <c r="W27" s="16">
        <f t="shared" si="19"/>
        <v>15</v>
      </c>
      <c r="X27" s="16">
        <f t="shared" si="19"/>
        <v>2</v>
      </c>
      <c r="Y27" s="16">
        <f t="shared" si="19"/>
        <v>65</v>
      </c>
      <c r="Z27" s="16">
        <f t="shared" si="19"/>
        <v>110</v>
      </c>
      <c r="AA27" s="16">
        <f t="shared" si="19"/>
        <v>34</v>
      </c>
      <c r="AB27" s="16">
        <f t="shared" si="19"/>
        <v>27</v>
      </c>
      <c r="AC27" s="16">
        <f t="shared" si="19"/>
        <v>1203</v>
      </c>
      <c r="AD27" s="16">
        <f t="shared" si="19"/>
        <v>0</v>
      </c>
      <c r="AE27" s="32">
        <f t="shared" si="19"/>
        <v>1184</v>
      </c>
      <c r="AF27" s="32">
        <f t="shared" si="19"/>
        <v>2387</v>
      </c>
    </row>
    <row r="28" spans="2:32" ht="23.1" customHeight="1" x14ac:dyDescent="0.25">
      <c r="B28" s="23" t="s">
        <v>55</v>
      </c>
      <c r="C28" s="50">
        <v>16</v>
      </c>
      <c r="D28" s="50">
        <v>9</v>
      </c>
      <c r="E28" s="50">
        <v>3</v>
      </c>
      <c r="F28" s="50">
        <v>10</v>
      </c>
      <c r="G28" s="50">
        <v>0</v>
      </c>
      <c r="H28" s="50">
        <v>0</v>
      </c>
      <c r="I28" s="50">
        <v>6</v>
      </c>
      <c r="J28" s="50">
        <v>4</v>
      </c>
      <c r="K28" s="50">
        <v>4</v>
      </c>
      <c r="L28" s="50">
        <v>4</v>
      </c>
      <c r="M28" s="50">
        <v>69</v>
      </c>
      <c r="N28" s="50">
        <v>0</v>
      </c>
      <c r="O28" s="15">
        <f t="shared" si="0"/>
        <v>56</v>
      </c>
      <c r="P28" s="15">
        <f t="shared" si="1"/>
        <v>125</v>
      </c>
      <c r="R28" s="5" t="s">
        <v>17</v>
      </c>
      <c r="S28" s="16">
        <f t="shared" ref="S28:AF28" si="20">SUM(S10:S21)</f>
        <v>1828</v>
      </c>
      <c r="T28" s="16">
        <f t="shared" si="20"/>
        <v>1231</v>
      </c>
      <c r="U28" s="16">
        <f t="shared" si="20"/>
        <v>407</v>
      </c>
      <c r="V28" s="16">
        <f t="shared" si="20"/>
        <v>943</v>
      </c>
      <c r="W28" s="16">
        <f t="shared" si="20"/>
        <v>60</v>
      </c>
      <c r="X28" s="16">
        <f t="shared" si="20"/>
        <v>19</v>
      </c>
      <c r="Y28" s="16">
        <f t="shared" si="20"/>
        <v>268</v>
      </c>
      <c r="Z28" s="16">
        <f t="shared" si="20"/>
        <v>407</v>
      </c>
      <c r="AA28" s="16">
        <f t="shared" si="20"/>
        <v>127</v>
      </c>
      <c r="AB28" s="16">
        <f t="shared" si="20"/>
        <v>158</v>
      </c>
      <c r="AC28" s="16">
        <f t="shared" si="20"/>
        <v>5259</v>
      </c>
      <c r="AD28" s="16">
        <f t="shared" si="20"/>
        <v>3</v>
      </c>
      <c r="AE28" s="32">
        <f t="shared" si="20"/>
        <v>5451</v>
      </c>
      <c r="AF28" s="32">
        <f t="shared" si="20"/>
        <v>10710</v>
      </c>
    </row>
    <row r="29" spans="2:32" ht="23.1" customHeight="1" x14ac:dyDescent="0.25">
      <c r="B29" s="23" t="s">
        <v>56</v>
      </c>
      <c r="C29" s="50">
        <v>36</v>
      </c>
      <c r="D29" s="50">
        <v>20</v>
      </c>
      <c r="E29" s="50">
        <v>8</v>
      </c>
      <c r="F29" s="50">
        <v>20</v>
      </c>
      <c r="G29" s="50">
        <v>5</v>
      </c>
      <c r="H29" s="50">
        <v>0</v>
      </c>
      <c r="I29" s="50">
        <v>8</v>
      </c>
      <c r="J29" s="50">
        <v>8</v>
      </c>
      <c r="K29" s="50">
        <v>2</v>
      </c>
      <c r="L29" s="50">
        <v>6</v>
      </c>
      <c r="M29" s="50">
        <v>75</v>
      </c>
      <c r="N29" s="50">
        <v>0</v>
      </c>
      <c r="O29" s="15">
        <f t="shared" si="0"/>
        <v>113</v>
      </c>
      <c r="P29" s="15">
        <f t="shared" si="1"/>
        <v>188</v>
      </c>
      <c r="R29"/>
      <c r="S29" s="20"/>
      <c r="T29" s="19"/>
    </row>
    <row r="30" spans="2:32" ht="23.1" customHeight="1" x14ac:dyDescent="0.25">
      <c r="B30" s="23" t="s">
        <v>57</v>
      </c>
      <c r="C30" s="50">
        <v>49</v>
      </c>
      <c r="D30" s="50">
        <v>26</v>
      </c>
      <c r="E30" s="50">
        <v>8</v>
      </c>
      <c r="F30" s="50">
        <v>9</v>
      </c>
      <c r="G30" s="50">
        <v>0</v>
      </c>
      <c r="H30" s="50">
        <v>0</v>
      </c>
      <c r="I30" s="50">
        <v>10</v>
      </c>
      <c r="J30" s="50">
        <v>14</v>
      </c>
      <c r="K30" s="50">
        <v>3</v>
      </c>
      <c r="L30" s="50">
        <v>4</v>
      </c>
      <c r="M30" s="50">
        <v>63</v>
      </c>
      <c r="N30" s="50">
        <v>0</v>
      </c>
      <c r="O30" s="15">
        <f t="shared" si="0"/>
        <v>123</v>
      </c>
      <c r="P30" s="15">
        <f t="shared" si="1"/>
        <v>186</v>
      </c>
    </row>
    <row r="31" spans="2:32" ht="23.1" customHeight="1" x14ac:dyDescent="0.25">
      <c r="B31" s="24" t="s">
        <v>58</v>
      </c>
      <c r="C31" s="50">
        <v>40</v>
      </c>
      <c r="D31" s="50">
        <v>26</v>
      </c>
      <c r="E31" s="50">
        <v>7</v>
      </c>
      <c r="F31" s="50">
        <v>11</v>
      </c>
      <c r="G31" s="50">
        <v>4</v>
      </c>
      <c r="H31" s="50">
        <v>0</v>
      </c>
      <c r="I31" s="50">
        <v>5</v>
      </c>
      <c r="J31" s="50">
        <v>13</v>
      </c>
      <c r="K31" s="50">
        <v>9</v>
      </c>
      <c r="L31" s="50">
        <v>5</v>
      </c>
      <c r="M31" s="50">
        <v>58</v>
      </c>
      <c r="N31" s="50">
        <v>1</v>
      </c>
      <c r="O31" s="15">
        <f t="shared" si="0"/>
        <v>121</v>
      </c>
      <c r="P31" s="15">
        <f t="shared" si="1"/>
        <v>179</v>
      </c>
    </row>
    <row r="32" spans="2:32" ht="23.1" customHeight="1" x14ac:dyDescent="0.25">
      <c r="B32" s="24" t="s">
        <v>59</v>
      </c>
      <c r="C32" s="50">
        <v>38</v>
      </c>
      <c r="D32" s="50">
        <v>21</v>
      </c>
      <c r="E32" s="50">
        <v>12</v>
      </c>
      <c r="F32" s="50">
        <v>23</v>
      </c>
      <c r="G32" s="50">
        <v>1</v>
      </c>
      <c r="H32" s="50">
        <v>0</v>
      </c>
      <c r="I32" s="50">
        <v>8</v>
      </c>
      <c r="J32" s="50">
        <v>11</v>
      </c>
      <c r="K32" s="50">
        <v>7</v>
      </c>
      <c r="L32" s="50">
        <v>8</v>
      </c>
      <c r="M32" s="50">
        <v>65</v>
      </c>
      <c r="N32" s="50">
        <v>0</v>
      </c>
      <c r="O32" s="15">
        <f t="shared" si="0"/>
        <v>129</v>
      </c>
      <c r="P32" s="15">
        <f t="shared" si="1"/>
        <v>194</v>
      </c>
    </row>
    <row r="33" spans="2:20" ht="23.1" customHeight="1" x14ac:dyDescent="0.25">
      <c r="B33" s="23" t="s">
        <v>60</v>
      </c>
      <c r="C33" s="50">
        <v>23</v>
      </c>
      <c r="D33" s="50">
        <v>11</v>
      </c>
      <c r="E33" s="50">
        <v>4</v>
      </c>
      <c r="F33" s="50">
        <v>10</v>
      </c>
      <c r="G33" s="50">
        <v>3</v>
      </c>
      <c r="H33" s="50">
        <v>0</v>
      </c>
      <c r="I33" s="50">
        <v>10</v>
      </c>
      <c r="J33" s="50">
        <v>4</v>
      </c>
      <c r="K33" s="50">
        <v>3</v>
      </c>
      <c r="L33" s="50">
        <v>2</v>
      </c>
      <c r="M33" s="50">
        <v>27</v>
      </c>
      <c r="N33" s="50">
        <v>0</v>
      </c>
      <c r="O33" s="15">
        <f t="shared" si="0"/>
        <v>70</v>
      </c>
      <c r="P33" s="15">
        <f t="shared" si="1"/>
        <v>97</v>
      </c>
    </row>
    <row r="34" spans="2:20" ht="23.1" customHeight="1" x14ac:dyDescent="0.25">
      <c r="B34" s="24" t="s">
        <v>61</v>
      </c>
      <c r="C34" s="50">
        <v>20</v>
      </c>
      <c r="D34" s="50">
        <v>15</v>
      </c>
      <c r="E34" s="50">
        <v>12</v>
      </c>
      <c r="F34" s="50">
        <v>12</v>
      </c>
      <c r="G34" s="50">
        <v>1</v>
      </c>
      <c r="H34" s="50">
        <v>0</v>
      </c>
      <c r="I34" s="50">
        <v>11</v>
      </c>
      <c r="J34" s="50">
        <v>7</v>
      </c>
      <c r="K34" s="50">
        <v>4</v>
      </c>
      <c r="L34" s="50">
        <v>0</v>
      </c>
      <c r="M34" s="50">
        <v>84</v>
      </c>
      <c r="N34" s="50">
        <v>0</v>
      </c>
      <c r="O34" s="15">
        <f t="shared" si="0"/>
        <v>82</v>
      </c>
      <c r="P34" s="15">
        <f t="shared" si="1"/>
        <v>166</v>
      </c>
    </row>
    <row r="35" spans="2:20" ht="23.1" customHeight="1" x14ac:dyDescent="0.25">
      <c r="B35" s="24" t="s">
        <v>62</v>
      </c>
      <c r="C35" s="50">
        <v>32</v>
      </c>
      <c r="D35" s="50">
        <v>12</v>
      </c>
      <c r="E35" s="50">
        <v>6</v>
      </c>
      <c r="F35" s="50">
        <v>20</v>
      </c>
      <c r="G35" s="50">
        <v>1</v>
      </c>
      <c r="H35" s="50">
        <v>0</v>
      </c>
      <c r="I35" s="50">
        <v>6</v>
      </c>
      <c r="J35" s="50">
        <v>8</v>
      </c>
      <c r="K35" s="50">
        <v>1</v>
      </c>
      <c r="L35" s="50">
        <v>3</v>
      </c>
      <c r="M35" s="50">
        <v>81</v>
      </c>
      <c r="N35" s="50">
        <v>0</v>
      </c>
      <c r="O35" s="15">
        <f t="shared" si="0"/>
        <v>89</v>
      </c>
      <c r="P35" s="15">
        <f t="shared" si="1"/>
        <v>170</v>
      </c>
    </row>
    <row r="36" spans="2:20" ht="23.1" customHeight="1" x14ac:dyDescent="0.25">
      <c r="B36" s="24" t="s">
        <v>63</v>
      </c>
      <c r="C36" s="50">
        <v>38</v>
      </c>
      <c r="D36" s="50">
        <v>20</v>
      </c>
      <c r="E36" s="50">
        <v>6</v>
      </c>
      <c r="F36" s="50">
        <v>14</v>
      </c>
      <c r="G36" s="50">
        <v>0</v>
      </c>
      <c r="H36" s="50">
        <v>0</v>
      </c>
      <c r="I36" s="50">
        <v>5</v>
      </c>
      <c r="J36" s="50">
        <v>13</v>
      </c>
      <c r="K36" s="50">
        <v>3</v>
      </c>
      <c r="L36" s="50">
        <v>5</v>
      </c>
      <c r="M36" s="50">
        <v>64</v>
      </c>
      <c r="N36" s="50">
        <v>1</v>
      </c>
      <c r="O36" s="15">
        <f t="shared" si="0"/>
        <v>105</v>
      </c>
      <c r="P36" s="15">
        <f t="shared" si="1"/>
        <v>169</v>
      </c>
    </row>
    <row r="37" spans="2:20" ht="23.1" customHeight="1" x14ac:dyDescent="0.25">
      <c r="B37" s="23" t="s">
        <v>64</v>
      </c>
      <c r="C37" s="50">
        <v>22</v>
      </c>
      <c r="D37" s="50">
        <v>18</v>
      </c>
      <c r="E37" s="50">
        <v>9</v>
      </c>
      <c r="F37" s="50">
        <v>13</v>
      </c>
      <c r="G37" s="50">
        <v>1</v>
      </c>
      <c r="H37" s="50">
        <v>0</v>
      </c>
      <c r="I37" s="50">
        <v>10</v>
      </c>
      <c r="J37" s="50">
        <v>8</v>
      </c>
      <c r="K37" s="50">
        <v>3</v>
      </c>
      <c r="L37" s="50">
        <v>4</v>
      </c>
      <c r="M37" s="50">
        <v>45</v>
      </c>
      <c r="N37" s="50">
        <v>0</v>
      </c>
      <c r="O37" s="15">
        <f t="shared" si="0"/>
        <v>88</v>
      </c>
      <c r="P37" s="15">
        <f t="shared" si="1"/>
        <v>133</v>
      </c>
    </row>
    <row r="38" spans="2:20" ht="23.1" customHeight="1" x14ac:dyDescent="0.25">
      <c r="B38" s="24" t="s">
        <v>65</v>
      </c>
      <c r="C38" s="50">
        <v>30</v>
      </c>
      <c r="D38" s="50">
        <v>17</v>
      </c>
      <c r="E38" s="50">
        <v>8</v>
      </c>
      <c r="F38" s="50">
        <v>16</v>
      </c>
      <c r="G38" s="50">
        <v>0</v>
      </c>
      <c r="H38" s="50">
        <v>1</v>
      </c>
      <c r="I38" s="50">
        <v>6</v>
      </c>
      <c r="J38" s="50">
        <v>5</v>
      </c>
      <c r="K38" s="50">
        <v>4</v>
      </c>
      <c r="L38" s="50">
        <v>0</v>
      </c>
      <c r="M38" s="50">
        <v>165</v>
      </c>
      <c r="N38" s="50">
        <v>0</v>
      </c>
      <c r="O38" s="15">
        <f t="shared" si="0"/>
        <v>87</v>
      </c>
      <c r="P38" s="15">
        <f t="shared" si="1"/>
        <v>252</v>
      </c>
    </row>
    <row r="39" spans="2:20" ht="23.1" customHeight="1" x14ac:dyDescent="0.25">
      <c r="B39" s="24" t="s">
        <v>66</v>
      </c>
      <c r="C39" s="50">
        <v>33</v>
      </c>
      <c r="D39" s="50">
        <v>12</v>
      </c>
      <c r="E39" s="50">
        <v>14</v>
      </c>
      <c r="F39" s="50">
        <v>18</v>
      </c>
      <c r="G39" s="50">
        <v>1</v>
      </c>
      <c r="H39" s="50">
        <v>1</v>
      </c>
      <c r="I39" s="50">
        <v>3</v>
      </c>
      <c r="J39" s="50">
        <v>8</v>
      </c>
      <c r="K39" s="50">
        <v>0</v>
      </c>
      <c r="L39" s="50">
        <v>6</v>
      </c>
      <c r="M39" s="50">
        <v>65</v>
      </c>
      <c r="N39" s="50">
        <v>0</v>
      </c>
      <c r="O39" s="15">
        <f t="shared" si="0"/>
        <v>96</v>
      </c>
      <c r="P39" s="15">
        <f t="shared" si="1"/>
        <v>161</v>
      </c>
    </row>
    <row r="40" spans="2:20" ht="23.1" customHeight="1" x14ac:dyDescent="0.25">
      <c r="B40" s="24" t="s">
        <v>67</v>
      </c>
      <c r="C40" s="50">
        <v>24</v>
      </c>
      <c r="D40" s="50">
        <v>23</v>
      </c>
      <c r="E40" s="50">
        <v>14</v>
      </c>
      <c r="F40" s="50">
        <v>19</v>
      </c>
      <c r="G40" s="50">
        <v>0</v>
      </c>
      <c r="H40" s="50">
        <v>0</v>
      </c>
      <c r="I40" s="50">
        <v>6</v>
      </c>
      <c r="J40" s="50">
        <v>10</v>
      </c>
      <c r="K40" s="50">
        <v>4</v>
      </c>
      <c r="L40" s="50">
        <v>2</v>
      </c>
      <c r="M40" s="50">
        <v>52</v>
      </c>
      <c r="N40" s="50">
        <v>0</v>
      </c>
      <c r="O40" s="15">
        <f t="shared" si="0"/>
        <v>102</v>
      </c>
      <c r="P40" s="15">
        <f t="shared" si="1"/>
        <v>154</v>
      </c>
    </row>
    <row r="41" spans="2:20" ht="23.1" customHeight="1" x14ac:dyDescent="0.25">
      <c r="B41" s="23" t="s">
        <v>68</v>
      </c>
      <c r="C41" s="50">
        <v>41</v>
      </c>
      <c r="D41" s="50">
        <v>16</v>
      </c>
      <c r="E41" s="50">
        <v>8</v>
      </c>
      <c r="F41" s="50">
        <v>17</v>
      </c>
      <c r="G41" s="50">
        <v>0</v>
      </c>
      <c r="H41" s="50">
        <v>0</v>
      </c>
      <c r="I41" s="50">
        <v>1</v>
      </c>
      <c r="J41" s="50">
        <v>7</v>
      </c>
      <c r="K41" s="50">
        <v>2</v>
      </c>
      <c r="L41" s="50">
        <v>7</v>
      </c>
      <c r="M41" s="50">
        <v>80</v>
      </c>
      <c r="N41" s="50">
        <v>0</v>
      </c>
      <c r="O41" s="15">
        <f t="shared" si="0"/>
        <v>99</v>
      </c>
      <c r="P41" s="15">
        <f t="shared" si="1"/>
        <v>179</v>
      </c>
    </row>
    <row r="42" spans="2:20" ht="23.1" customHeight="1" x14ac:dyDescent="0.25">
      <c r="B42" s="24" t="s">
        <v>69</v>
      </c>
      <c r="C42" s="50">
        <v>10</v>
      </c>
      <c r="D42" s="50">
        <v>6</v>
      </c>
      <c r="E42" s="50">
        <v>6</v>
      </c>
      <c r="F42" s="50">
        <v>11</v>
      </c>
      <c r="G42" s="50">
        <v>0</v>
      </c>
      <c r="H42" s="50">
        <v>0</v>
      </c>
      <c r="I42" s="50">
        <v>2</v>
      </c>
      <c r="J42" s="50">
        <v>9</v>
      </c>
      <c r="K42" s="50">
        <v>0</v>
      </c>
      <c r="L42" s="50">
        <v>2</v>
      </c>
      <c r="M42" s="50">
        <v>45</v>
      </c>
      <c r="N42" s="50">
        <v>0</v>
      </c>
      <c r="O42" s="15">
        <f t="shared" si="0"/>
        <v>46</v>
      </c>
      <c r="P42" s="15">
        <f t="shared" si="1"/>
        <v>91</v>
      </c>
    </row>
    <row r="43" spans="2:20" ht="23.1" customHeight="1" x14ac:dyDescent="0.25">
      <c r="B43" s="23" t="s">
        <v>70</v>
      </c>
      <c r="C43" s="50">
        <v>42</v>
      </c>
      <c r="D43" s="50">
        <v>35</v>
      </c>
      <c r="E43" s="50">
        <v>5</v>
      </c>
      <c r="F43" s="50">
        <v>18</v>
      </c>
      <c r="G43" s="50">
        <v>0</v>
      </c>
      <c r="H43" s="50">
        <v>0</v>
      </c>
      <c r="I43" s="50">
        <v>6</v>
      </c>
      <c r="J43" s="50">
        <v>10</v>
      </c>
      <c r="K43" s="50">
        <v>3</v>
      </c>
      <c r="L43" s="50">
        <v>5</v>
      </c>
      <c r="M43" s="50">
        <v>45</v>
      </c>
      <c r="N43" s="50">
        <v>0</v>
      </c>
      <c r="O43" s="15">
        <f t="shared" si="0"/>
        <v>124</v>
      </c>
      <c r="P43" s="15">
        <f t="shared" si="1"/>
        <v>169</v>
      </c>
    </row>
    <row r="44" spans="2:20" ht="23.1" customHeight="1" x14ac:dyDescent="0.25">
      <c r="B44" s="25" t="s">
        <v>71</v>
      </c>
      <c r="C44" s="50">
        <v>44</v>
      </c>
      <c r="D44" s="50">
        <v>16</v>
      </c>
      <c r="E44" s="50">
        <v>6</v>
      </c>
      <c r="F44" s="50">
        <v>19</v>
      </c>
      <c r="G44" s="50">
        <v>0</v>
      </c>
      <c r="H44" s="50">
        <v>0</v>
      </c>
      <c r="I44" s="50">
        <v>7</v>
      </c>
      <c r="J44" s="50">
        <v>13</v>
      </c>
      <c r="K44" s="50">
        <v>0</v>
      </c>
      <c r="L44" s="50">
        <v>3</v>
      </c>
      <c r="M44" s="50">
        <v>75</v>
      </c>
      <c r="N44" s="50">
        <v>0</v>
      </c>
      <c r="O44" s="15">
        <f t="shared" si="0"/>
        <v>108</v>
      </c>
      <c r="P44" s="15">
        <f t="shared" si="1"/>
        <v>183</v>
      </c>
    </row>
    <row r="45" spans="2:20" ht="23.1" customHeight="1" x14ac:dyDescent="0.25">
      <c r="B45" s="23" t="s">
        <v>72</v>
      </c>
      <c r="C45" s="50">
        <v>19</v>
      </c>
      <c r="D45" s="50">
        <v>18</v>
      </c>
      <c r="E45" s="50">
        <v>8</v>
      </c>
      <c r="F45" s="50">
        <v>10</v>
      </c>
      <c r="G45" s="50">
        <v>0</v>
      </c>
      <c r="H45" s="50">
        <v>1</v>
      </c>
      <c r="I45" s="50">
        <v>0</v>
      </c>
      <c r="J45" s="50">
        <v>15</v>
      </c>
      <c r="K45" s="50">
        <v>2</v>
      </c>
      <c r="L45" s="50">
        <v>1</v>
      </c>
      <c r="M45" s="50">
        <v>60</v>
      </c>
      <c r="N45" s="50">
        <v>1</v>
      </c>
      <c r="O45" s="15">
        <f t="shared" si="0"/>
        <v>75</v>
      </c>
      <c r="P45" s="15">
        <f t="shared" si="1"/>
        <v>135</v>
      </c>
    </row>
    <row r="46" spans="2:20" ht="23.1" customHeight="1" x14ac:dyDescent="0.25">
      <c r="B46" s="24" t="s">
        <v>73</v>
      </c>
      <c r="C46" s="50">
        <v>36</v>
      </c>
      <c r="D46" s="50">
        <v>15</v>
      </c>
      <c r="E46" s="50">
        <v>12</v>
      </c>
      <c r="F46" s="50">
        <v>15</v>
      </c>
      <c r="G46" s="50">
        <v>0</v>
      </c>
      <c r="H46" s="50">
        <v>0</v>
      </c>
      <c r="I46" s="50">
        <v>4</v>
      </c>
      <c r="J46" s="50">
        <v>9</v>
      </c>
      <c r="K46" s="50">
        <v>2</v>
      </c>
      <c r="L46" s="50">
        <v>5</v>
      </c>
      <c r="M46" s="50">
        <v>79</v>
      </c>
      <c r="N46" s="50">
        <v>0</v>
      </c>
      <c r="O46" s="15">
        <f t="shared" si="0"/>
        <v>98</v>
      </c>
      <c r="P46" s="15">
        <f t="shared" si="1"/>
        <v>177</v>
      </c>
      <c r="R46" s="8"/>
      <c r="T46"/>
    </row>
    <row r="47" spans="2:20" ht="23.1" customHeight="1" x14ac:dyDescent="0.25">
      <c r="B47" s="24" t="s">
        <v>74</v>
      </c>
      <c r="C47" s="50">
        <v>21</v>
      </c>
      <c r="D47" s="50">
        <v>17</v>
      </c>
      <c r="E47" s="50">
        <v>9</v>
      </c>
      <c r="F47" s="50">
        <v>20</v>
      </c>
      <c r="G47" s="50">
        <v>0</v>
      </c>
      <c r="H47" s="50">
        <v>0</v>
      </c>
      <c r="I47" s="50">
        <v>2</v>
      </c>
      <c r="J47" s="50">
        <v>13</v>
      </c>
      <c r="K47" s="50">
        <v>5</v>
      </c>
      <c r="L47" s="50">
        <v>1</v>
      </c>
      <c r="M47" s="50">
        <v>76</v>
      </c>
      <c r="N47" s="50">
        <v>0</v>
      </c>
      <c r="O47" s="15">
        <f t="shared" si="0"/>
        <v>88</v>
      </c>
      <c r="P47" s="15">
        <f t="shared" si="1"/>
        <v>164</v>
      </c>
      <c r="R47" s="8"/>
      <c r="T47"/>
    </row>
    <row r="48" spans="2:20" ht="23.1" customHeight="1" x14ac:dyDescent="0.25">
      <c r="B48" s="24" t="s">
        <v>75</v>
      </c>
      <c r="C48" s="50">
        <v>34</v>
      </c>
      <c r="D48" s="50">
        <v>20</v>
      </c>
      <c r="E48" s="50">
        <v>7</v>
      </c>
      <c r="F48" s="50">
        <v>20</v>
      </c>
      <c r="G48" s="50">
        <v>4</v>
      </c>
      <c r="H48" s="50">
        <v>0</v>
      </c>
      <c r="I48" s="50">
        <v>8</v>
      </c>
      <c r="J48" s="50">
        <v>11</v>
      </c>
      <c r="K48" s="50">
        <v>3</v>
      </c>
      <c r="L48" s="50">
        <v>2</v>
      </c>
      <c r="M48" s="50">
        <v>53</v>
      </c>
      <c r="N48" s="50">
        <v>0</v>
      </c>
      <c r="O48" s="15">
        <f t="shared" si="0"/>
        <v>109</v>
      </c>
      <c r="P48" s="15">
        <f t="shared" si="1"/>
        <v>162</v>
      </c>
      <c r="R48" s="8"/>
      <c r="T48"/>
    </row>
    <row r="49" spans="2:20" ht="23.1" customHeight="1" x14ac:dyDescent="0.25">
      <c r="B49" s="23" t="s">
        <v>76</v>
      </c>
      <c r="C49" s="50">
        <v>35</v>
      </c>
      <c r="D49" s="50">
        <v>23</v>
      </c>
      <c r="E49" s="50">
        <v>10</v>
      </c>
      <c r="F49" s="50">
        <v>24</v>
      </c>
      <c r="G49" s="50">
        <v>2</v>
      </c>
      <c r="H49" s="50">
        <v>0</v>
      </c>
      <c r="I49" s="50">
        <v>5</v>
      </c>
      <c r="J49" s="50">
        <v>9</v>
      </c>
      <c r="K49" s="50">
        <v>4</v>
      </c>
      <c r="L49" s="50">
        <v>3</v>
      </c>
      <c r="M49" s="50">
        <v>53</v>
      </c>
      <c r="N49" s="50">
        <v>0</v>
      </c>
      <c r="O49" s="15">
        <f t="shared" si="0"/>
        <v>115</v>
      </c>
      <c r="P49" s="15">
        <f t="shared" si="1"/>
        <v>168</v>
      </c>
      <c r="R49" s="8"/>
      <c r="T49"/>
    </row>
    <row r="50" spans="2:20" ht="23.1" customHeight="1" x14ac:dyDescent="0.25">
      <c r="B50" s="24" t="s">
        <v>77</v>
      </c>
      <c r="C50" s="50">
        <v>30</v>
      </c>
      <c r="D50" s="50">
        <v>14</v>
      </c>
      <c r="E50" s="50">
        <v>6</v>
      </c>
      <c r="F50" s="50">
        <v>13</v>
      </c>
      <c r="G50" s="50">
        <v>2</v>
      </c>
      <c r="H50" s="50">
        <v>0</v>
      </c>
      <c r="I50" s="50">
        <v>9</v>
      </c>
      <c r="J50" s="50">
        <v>9</v>
      </c>
      <c r="K50" s="50">
        <v>5</v>
      </c>
      <c r="L50" s="50">
        <v>2</v>
      </c>
      <c r="M50" s="50">
        <v>116</v>
      </c>
      <c r="N50" s="50">
        <v>0</v>
      </c>
      <c r="O50" s="15">
        <f t="shared" si="0"/>
        <v>90</v>
      </c>
      <c r="P50" s="15">
        <f t="shared" si="1"/>
        <v>206</v>
      </c>
      <c r="R50" s="8"/>
      <c r="T50"/>
    </row>
    <row r="51" spans="2:20" ht="23.1" customHeight="1" x14ac:dyDescent="0.25">
      <c r="B51" s="24" t="s">
        <v>78</v>
      </c>
      <c r="C51" s="50">
        <v>43</v>
      </c>
      <c r="D51" s="50">
        <v>10</v>
      </c>
      <c r="E51" s="50">
        <v>9</v>
      </c>
      <c r="F51" s="50">
        <v>21</v>
      </c>
      <c r="G51" s="50">
        <v>1</v>
      </c>
      <c r="H51" s="50">
        <v>0</v>
      </c>
      <c r="I51" s="50">
        <v>5</v>
      </c>
      <c r="J51" s="50">
        <v>14</v>
      </c>
      <c r="K51" s="50">
        <v>6</v>
      </c>
      <c r="L51" s="50">
        <v>2</v>
      </c>
      <c r="M51" s="50">
        <v>89</v>
      </c>
      <c r="N51" s="50">
        <v>0</v>
      </c>
      <c r="O51" s="15">
        <f t="shared" si="0"/>
        <v>111</v>
      </c>
      <c r="P51" s="15">
        <f t="shared" si="1"/>
        <v>200</v>
      </c>
      <c r="R51" s="8"/>
      <c r="T51"/>
    </row>
    <row r="52" spans="2:20" ht="23.1" customHeight="1" x14ac:dyDescent="0.25">
      <c r="B52" s="24" t="s">
        <v>79</v>
      </c>
      <c r="C52" s="50">
        <v>37</v>
      </c>
      <c r="D52" s="50">
        <v>20</v>
      </c>
      <c r="E52" s="50">
        <v>16</v>
      </c>
      <c r="F52" s="50">
        <v>27</v>
      </c>
      <c r="G52" s="50">
        <v>0</v>
      </c>
      <c r="H52" s="50">
        <v>1</v>
      </c>
      <c r="I52" s="50">
        <v>5</v>
      </c>
      <c r="J52" s="50">
        <v>7</v>
      </c>
      <c r="K52" s="50">
        <v>0</v>
      </c>
      <c r="L52" s="50">
        <v>2</v>
      </c>
      <c r="M52" s="50">
        <v>123</v>
      </c>
      <c r="N52" s="50">
        <v>0</v>
      </c>
      <c r="O52" s="15">
        <f t="shared" si="0"/>
        <v>115</v>
      </c>
      <c r="P52" s="15">
        <f t="shared" si="1"/>
        <v>238</v>
      </c>
      <c r="R52" s="8"/>
      <c r="T52"/>
    </row>
    <row r="53" spans="2:20" ht="23.1" customHeight="1" x14ac:dyDescent="0.25">
      <c r="B53" s="23" t="s">
        <v>80</v>
      </c>
      <c r="C53" s="50">
        <v>27</v>
      </c>
      <c r="D53" s="50">
        <v>30</v>
      </c>
      <c r="E53" s="50">
        <v>8</v>
      </c>
      <c r="F53" s="50">
        <v>15</v>
      </c>
      <c r="G53" s="50">
        <v>0</v>
      </c>
      <c r="H53" s="50">
        <v>0</v>
      </c>
      <c r="I53" s="50">
        <v>6</v>
      </c>
      <c r="J53" s="50">
        <v>13</v>
      </c>
      <c r="K53" s="50">
        <v>2</v>
      </c>
      <c r="L53" s="50">
        <v>0</v>
      </c>
      <c r="M53" s="50">
        <v>70</v>
      </c>
      <c r="N53" s="50">
        <v>0</v>
      </c>
      <c r="O53" s="15">
        <f t="shared" si="0"/>
        <v>101</v>
      </c>
      <c r="P53" s="15">
        <f t="shared" si="1"/>
        <v>171</v>
      </c>
      <c r="R53" s="8"/>
      <c r="T53"/>
    </row>
    <row r="54" spans="2:20" ht="23.1" customHeight="1" x14ac:dyDescent="0.25">
      <c r="B54" s="23" t="s">
        <v>81</v>
      </c>
      <c r="C54" s="50">
        <v>23</v>
      </c>
      <c r="D54" s="50">
        <v>23</v>
      </c>
      <c r="E54" s="50">
        <v>7</v>
      </c>
      <c r="F54" s="50">
        <v>21</v>
      </c>
      <c r="G54" s="50">
        <v>2</v>
      </c>
      <c r="H54" s="50">
        <v>0</v>
      </c>
      <c r="I54" s="50">
        <v>2</v>
      </c>
      <c r="J54" s="50">
        <v>8</v>
      </c>
      <c r="K54" s="50">
        <v>1</v>
      </c>
      <c r="L54" s="50">
        <v>1</v>
      </c>
      <c r="M54" s="50">
        <v>149</v>
      </c>
      <c r="N54" s="50">
        <v>0</v>
      </c>
      <c r="O54" s="15">
        <f t="shared" si="0"/>
        <v>88</v>
      </c>
      <c r="P54" s="15">
        <f t="shared" si="1"/>
        <v>237</v>
      </c>
      <c r="R54" s="8"/>
      <c r="T54"/>
    </row>
    <row r="55" spans="2:20" ht="23.1" customHeight="1" x14ac:dyDescent="0.25">
      <c r="B55" s="23" t="s">
        <v>82</v>
      </c>
      <c r="C55" s="50">
        <v>13</v>
      </c>
      <c r="D55" s="50">
        <v>22</v>
      </c>
      <c r="E55" s="50">
        <v>6</v>
      </c>
      <c r="F55" s="50">
        <v>19</v>
      </c>
      <c r="G55" s="50">
        <v>1</v>
      </c>
      <c r="H55" s="50">
        <v>1</v>
      </c>
      <c r="I55" s="50">
        <v>4</v>
      </c>
      <c r="J55" s="50">
        <v>8</v>
      </c>
      <c r="K55" s="50">
        <v>3</v>
      </c>
      <c r="L55" s="50">
        <v>4</v>
      </c>
      <c r="M55" s="50">
        <v>110</v>
      </c>
      <c r="N55" s="50">
        <v>0</v>
      </c>
      <c r="O55" s="15">
        <f t="shared" si="0"/>
        <v>81</v>
      </c>
      <c r="P55" s="15">
        <f t="shared" si="1"/>
        <v>191</v>
      </c>
      <c r="R55" s="8"/>
      <c r="T55"/>
    </row>
    <row r="56" spans="2:20" ht="23.1" customHeight="1" x14ac:dyDescent="0.25">
      <c r="B56" s="23" t="s">
        <v>83</v>
      </c>
      <c r="C56" s="50">
        <v>19</v>
      </c>
      <c r="D56" s="50">
        <v>17</v>
      </c>
      <c r="E56" s="50">
        <v>9</v>
      </c>
      <c r="F56" s="50">
        <v>17</v>
      </c>
      <c r="G56" s="50">
        <v>2</v>
      </c>
      <c r="H56" s="50">
        <v>0</v>
      </c>
      <c r="I56" s="50">
        <v>10</v>
      </c>
      <c r="J56" s="50">
        <v>6</v>
      </c>
      <c r="K56" s="50">
        <v>1</v>
      </c>
      <c r="L56" s="50">
        <v>4</v>
      </c>
      <c r="M56" s="50">
        <v>147</v>
      </c>
      <c r="N56" s="50">
        <v>0</v>
      </c>
      <c r="O56" s="15">
        <f t="shared" si="0"/>
        <v>85</v>
      </c>
      <c r="P56" s="15">
        <f t="shared" si="1"/>
        <v>232</v>
      </c>
      <c r="R56" s="8"/>
      <c r="T56"/>
    </row>
    <row r="57" spans="2:20" ht="23.1" customHeight="1" x14ac:dyDescent="0.25">
      <c r="B57" s="23" t="s">
        <v>84</v>
      </c>
      <c r="C57" s="50">
        <v>17</v>
      </c>
      <c r="D57" s="50">
        <v>54</v>
      </c>
      <c r="E57" s="50">
        <v>7</v>
      </c>
      <c r="F57" s="50">
        <v>13</v>
      </c>
      <c r="G57" s="50">
        <v>1</v>
      </c>
      <c r="H57" s="50">
        <v>0</v>
      </c>
      <c r="I57" s="50">
        <v>5</v>
      </c>
      <c r="J57" s="50">
        <v>3</v>
      </c>
      <c r="K57" s="50">
        <v>2</v>
      </c>
      <c r="L57" s="50">
        <v>1</v>
      </c>
      <c r="M57" s="50">
        <v>138</v>
      </c>
      <c r="N57" s="50">
        <v>0</v>
      </c>
      <c r="O57" s="15">
        <f t="shared" si="0"/>
        <v>103</v>
      </c>
      <c r="P57" s="15">
        <f t="shared" si="1"/>
        <v>241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1828</v>
      </c>
      <c r="D58" s="16">
        <f t="shared" si="21"/>
        <v>1231</v>
      </c>
      <c r="E58" s="16">
        <f t="shared" si="21"/>
        <v>407</v>
      </c>
      <c r="F58" s="16">
        <f t="shared" si="21"/>
        <v>943</v>
      </c>
      <c r="G58" s="16">
        <f t="shared" si="21"/>
        <v>60</v>
      </c>
      <c r="H58" s="16">
        <f t="shared" si="21"/>
        <v>19</v>
      </c>
      <c r="I58" s="16">
        <f t="shared" si="21"/>
        <v>268</v>
      </c>
      <c r="J58" s="16">
        <f t="shared" si="21"/>
        <v>407</v>
      </c>
      <c r="K58" s="16">
        <f t="shared" si="21"/>
        <v>127</v>
      </c>
      <c r="L58" s="16">
        <f t="shared" si="21"/>
        <v>158</v>
      </c>
      <c r="M58" s="16">
        <f t="shared" si="21"/>
        <v>5259</v>
      </c>
      <c r="N58" s="16">
        <f t="shared" si="21"/>
        <v>3</v>
      </c>
      <c r="O58" s="16">
        <f t="shared" si="21"/>
        <v>5451</v>
      </c>
      <c r="P58" s="16">
        <f t="shared" si="21"/>
        <v>10710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0.17068160597572363</v>
      </c>
      <c r="D59" s="43">
        <f t="shared" si="22"/>
        <v>0.11493930905695611</v>
      </c>
      <c r="E59" s="43">
        <f t="shared" si="22"/>
        <v>3.8001867413632116E-2</v>
      </c>
      <c r="F59" s="43">
        <f t="shared" si="22"/>
        <v>8.8048552754435114E-2</v>
      </c>
      <c r="G59" s="43">
        <f t="shared" si="22"/>
        <v>5.6022408963585435E-3</v>
      </c>
      <c r="H59" s="43">
        <f t="shared" si="22"/>
        <v>1.7740429505135387E-3</v>
      </c>
      <c r="I59" s="43">
        <f t="shared" si="22"/>
        <v>2.5023342670401495E-2</v>
      </c>
      <c r="J59" s="43">
        <f t="shared" si="22"/>
        <v>3.8001867413632116E-2</v>
      </c>
      <c r="K59" s="43">
        <f t="shared" si="22"/>
        <v>1.1858076563958916E-2</v>
      </c>
      <c r="L59" s="43">
        <f t="shared" si="22"/>
        <v>1.4752567693744164E-2</v>
      </c>
      <c r="M59" s="43">
        <f t="shared" si="22"/>
        <v>0.49103641456582631</v>
      </c>
      <c r="N59" s="43">
        <f t="shared" si="22"/>
        <v>2.8011204481792715E-4</v>
      </c>
      <c r="R59" s="8"/>
      <c r="T59"/>
    </row>
    <row r="60" spans="2:20" ht="23.1" customHeight="1" x14ac:dyDescent="0.25">
      <c r="B60" s="42" t="s">
        <v>94</v>
      </c>
      <c r="C60" s="44">
        <f>C58/$O$58</f>
        <v>0.33535131168592919</v>
      </c>
      <c r="D60" s="44">
        <f t="shared" ref="D60:N60" si="23">D58/$O$58</f>
        <v>0.22583012291322693</v>
      </c>
      <c r="E60" s="44">
        <f t="shared" si="23"/>
        <v>7.4665199046046599E-2</v>
      </c>
      <c r="F60" s="44">
        <f t="shared" si="23"/>
        <v>0.1729957805907173</v>
      </c>
      <c r="G60" s="44">
        <f t="shared" si="23"/>
        <v>1.100715465052284E-2</v>
      </c>
      <c r="H60" s="44">
        <f t="shared" si="23"/>
        <v>3.4855989726655661E-3</v>
      </c>
      <c r="I60" s="44">
        <f t="shared" si="23"/>
        <v>4.9165290772335349E-2</v>
      </c>
      <c r="J60" s="44">
        <f t="shared" si="23"/>
        <v>7.4665199046046599E-2</v>
      </c>
      <c r="K60" s="44">
        <f t="shared" si="23"/>
        <v>2.3298477343606679E-2</v>
      </c>
      <c r="L60" s="44">
        <f t="shared" si="23"/>
        <v>2.8985507246376812E-2</v>
      </c>
      <c r="M60" s="44"/>
      <c r="N60" s="44">
        <f t="shared" si="23"/>
        <v>5.5035773252614197E-4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5" zoomScale="60" workbookViewId="0">
      <selection activeCell="C10" sqref="C10: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Kinawataka-Kireka'!C3:G3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3" t="str">
        <f>'02.08 Kireka-Kinawataka'!G5:H5</f>
        <v>Kireka road</v>
      </c>
      <c r="H5" s="64"/>
      <c r="I5" s="14"/>
      <c r="J5" s="2" t="s">
        <v>5</v>
      </c>
      <c r="K5" s="63" t="str">
        <f>'02.08 Kireka-Kinawataka'!K5:L5</f>
        <v>Mirembe Keren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Kinawataka-Kireka'!D6:E6</f>
        <v>Kinawataka</v>
      </c>
      <c r="E6" s="64"/>
      <c r="F6" s="2" t="s">
        <v>2</v>
      </c>
      <c r="G6" s="63" t="str">
        <f>'29.07 Kinawataka-Kireka'!G6:H6</f>
        <v xml:space="preserve">Kireka </v>
      </c>
      <c r="H6" s="64"/>
      <c r="J6" s="2" t="s">
        <v>21</v>
      </c>
      <c r="K6" s="63" t="str">
        <f>'02.08 Kireka-Kinawataka'!K6:L6</f>
        <v>Batrice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20</v>
      </c>
      <c r="D10" s="50">
        <v>0</v>
      </c>
      <c r="E10" s="50">
        <v>3</v>
      </c>
      <c r="F10" s="50">
        <v>15</v>
      </c>
      <c r="G10" s="50">
        <v>3</v>
      </c>
      <c r="H10" s="50">
        <v>1</v>
      </c>
      <c r="I10" s="50">
        <v>1</v>
      </c>
      <c r="J10" s="50">
        <v>0</v>
      </c>
      <c r="K10" s="50">
        <v>2</v>
      </c>
      <c r="L10" s="50">
        <v>0</v>
      </c>
      <c r="M10" s="50">
        <v>30</v>
      </c>
      <c r="N10" s="50">
        <v>0</v>
      </c>
      <c r="O10" s="15">
        <f t="shared" ref="O10:O57" si="0">SUM(C10:L10,N10)</f>
        <v>45</v>
      </c>
      <c r="P10" s="15">
        <f t="shared" ref="P10:P57" si="1">SUM(C10:N10)</f>
        <v>75</v>
      </c>
      <c r="R10" s="1" t="s">
        <v>6</v>
      </c>
      <c r="S10" s="17">
        <f t="shared" ref="S10:AF10" si="2">SUM(C10:C13)</f>
        <v>123</v>
      </c>
      <c r="T10" s="17">
        <f t="shared" si="2"/>
        <v>10</v>
      </c>
      <c r="U10" s="17">
        <f t="shared" si="2"/>
        <v>20</v>
      </c>
      <c r="V10" s="17">
        <f t="shared" si="2"/>
        <v>60</v>
      </c>
      <c r="W10" s="17">
        <f t="shared" si="2"/>
        <v>8</v>
      </c>
      <c r="X10" s="17">
        <f t="shared" si="2"/>
        <v>2</v>
      </c>
      <c r="Y10" s="17">
        <f t="shared" si="2"/>
        <v>13</v>
      </c>
      <c r="Z10" s="17">
        <f t="shared" si="2"/>
        <v>4</v>
      </c>
      <c r="AA10" s="17">
        <f t="shared" si="2"/>
        <v>4</v>
      </c>
      <c r="AB10" s="17">
        <f t="shared" si="2"/>
        <v>3</v>
      </c>
      <c r="AC10" s="17">
        <f t="shared" si="2"/>
        <v>325</v>
      </c>
      <c r="AD10" s="17">
        <f t="shared" si="2"/>
        <v>0</v>
      </c>
      <c r="AE10" s="31">
        <f t="shared" si="2"/>
        <v>247</v>
      </c>
      <c r="AF10" s="31">
        <f t="shared" si="2"/>
        <v>572</v>
      </c>
    </row>
    <row r="11" spans="2:32" s="6" customFormat="1" ht="23.1" customHeight="1" x14ac:dyDescent="0.25">
      <c r="B11" s="45" t="s">
        <v>38</v>
      </c>
      <c r="C11" s="50">
        <v>18</v>
      </c>
      <c r="D11" s="50">
        <v>0</v>
      </c>
      <c r="E11" s="50">
        <v>5</v>
      </c>
      <c r="F11" s="50">
        <v>14</v>
      </c>
      <c r="G11" s="50">
        <v>2</v>
      </c>
      <c r="H11" s="50">
        <v>0</v>
      </c>
      <c r="I11" s="50">
        <v>6</v>
      </c>
      <c r="J11" s="50">
        <v>2</v>
      </c>
      <c r="K11" s="50">
        <v>1</v>
      </c>
      <c r="L11" s="50">
        <v>2</v>
      </c>
      <c r="M11" s="50">
        <v>80</v>
      </c>
      <c r="N11" s="50">
        <v>0</v>
      </c>
      <c r="O11" s="15">
        <f t="shared" si="0"/>
        <v>50</v>
      </c>
      <c r="P11" s="15">
        <f t="shared" si="1"/>
        <v>130</v>
      </c>
      <c r="R11" s="1" t="s">
        <v>7</v>
      </c>
      <c r="S11" s="17">
        <f t="shared" ref="S11:AF11" si="3">SUM(C14:C17)</f>
        <v>125</v>
      </c>
      <c r="T11" s="17">
        <f t="shared" si="3"/>
        <v>24</v>
      </c>
      <c r="U11" s="17">
        <f t="shared" si="3"/>
        <v>18</v>
      </c>
      <c r="V11" s="17">
        <f t="shared" si="3"/>
        <v>61</v>
      </c>
      <c r="W11" s="17">
        <f t="shared" si="3"/>
        <v>7</v>
      </c>
      <c r="X11" s="17">
        <f t="shared" si="3"/>
        <v>0</v>
      </c>
      <c r="Y11" s="17">
        <f t="shared" si="3"/>
        <v>21</v>
      </c>
      <c r="Z11" s="17">
        <f t="shared" si="3"/>
        <v>2</v>
      </c>
      <c r="AA11" s="17">
        <f t="shared" si="3"/>
        <v>8</v>
      </c>
      <c r="AB11" s="17">
        <f t="shared" si="3"/>
        <v>14</v>
      </c>
      <c r="AC11" s="17">
        <f t="shared" si="3"/>
        <v>655</v>
      </c>
      <c r="AD11" s="17">
        <f t="shared" si="3"/>
        <v>0</v>
      </c>
      <c r="AE11" s="31">
        <f t="shared" si="3"/>
        <v>280</v>
      </c>
      <c r="AF11" s="31">
        <f t="shared" si="3"/>
        <v>935</v>
      </c>
    </row>
    <row r="12" spans="2:32" ht="23.1" customHeight="1" x14ac:dyDescent="0.25">
      <c r="B12" s="45" t="s">
        <v>39</v>
      </c>
      <c r="C12" s="50">
        <v>40</v>
      </c>
      <c r="D12" s="50">
        <v>5</v>
      </c>
      <c r="E12" s="50">
        <v>8</v>
      </c>
      <c r="F12" s="50">
        <v>15</v>
      </c>
      <c r="G12" s="50">
        <v>1</v>
      </c>
      <c r="H12" s="50">
        <v>1</v>
      </c>
      <c r="I12" s="50">
        <v>2</v>
      </c>
      <c r="J12" s="50">
        <v>1</v>
      </c>
      <c r="K12" s="50">
        <v>0</v>
      </c>
      <c r="L12" s="50">
        <v>1</v>
      </c>
      <c r="M12" s="50">
        <v>60</v>
      </c>
      <c r="N12" s="50">
        <v>0</v>
      </c>
      <c r="O12" s="15">
        <f t="shared" si="0"/>
        <v>74</v>
      </c>
      <c r="P12" s="15">
        <f t="shared" si="1"/>
        <v>134</v>
      </c>
      <c r="R12" s="1" t="s">
        <v>8</v>
      </c>
      <c r="S12" s="17">
        <f t="shared" ref="S12:AF12" si="4">SUM(C18:C21)</f>
        <v>135</v>
      </c>
      <c r="T12" s="17">
        <f t="shared" si="4"/>
        <v>16</v>
      </c>
      <c r="U12" s="17">
        <f t="shared" si="4"/>
        <v>15</v>
      </c>
      <c r="V12" s="17">
        <f t="shared" si="4"/>
        <v>83</v>
      </c>
      <c r="W12" s="17">
        <f t="shared" si="4"/>
        <v>15</v>
      </c>
      <c r="X12" s="17">
        <f t="shared" si="4"/>
        <v>1</v>
      </c>
      <c r="Y12" s="17">
        <f t="shared" si="4"/>
        <v>20</v>
      </c>
      <c r="Z12" s="17">
        <f t="shared" si="4"/>
        <v>9</v>
      </c>
      <c r="AA12" s="17">
        <f t="shared" si="4"/>
        <v>10</v>
      </c>
      <c r="AB12" s="17">
        <f t="shared" si="4"/>
        <v>11</v>
      </c>
      <c r="AC12" s="17">
        <f t="shared" si="4"/>
        <v>650</v>
      </c>
      <c r="AD12" s="17">
        <f t="shared" si="4"/>
        <v>0</v>
      </c>
      <c r="AE12" s="31">
        <f t="shared" si="4"/>
        <v>315</v>
      </c>
      <c r="AF12" s="31">
        <f t="shared" si="4"/>
        <v>965</v>
      </c>
    </row>
    <row r="13" spans="2:32" ht="23.1" customHeight="1" x14ac:dyDescent="0.25">
      <c r="B13" s="45" t="s">
        <v>40</v>
      </c>
      <c r="C13" s="50">
        <v>45</v>
      </c>
      <c r="D13" s="50">
        <v>5</v>
      </c>
      <c r="E13" s="50">
        <v>4</v>
      </c>
      <c r="F13" s="50">
        <v>16</v>
      </c>
      <c r="G13" s="50">
        <v>2</v>
      </c>
      <c r="H13" s="50">
        <v>0</v>
      </c>
      <c r="I13" s="50">
        <v>4</v>
      </c>
      <c r="J13" s="50">
        <v>1</v>
      </c>
      <c r="K13" s="50">
        <v>1</v>
      </c>
      <c r="L13" s="50">
        <v>0</v>
      </c>
      <c r="M13" s="50">
        <v>155</v>
      </c>
      <c r="N13" s="50">
        <v>0</v>
      </c>
      <c r="O13" s="15">
        <f t="shared" si="0"/>
        <v>78</v>
      </c>
      <c r="P13" s="15">
        <f t="shared" si="1"/>
        <v>233</v>
      </c>
      <c r="R13" s="1" t="s">
        <v>9</v>
      </c>
      <c r="S13" s="17">
        <f t="shared" ref="S13:AF13" si="5">SUM(C22:C25)</f>
        <v>109</v>
      </c>
      <c r="T13" s="17">
        <f t="shared" si="5"/>
        <v>26</v>
      </c>
      <c r="U13" s="17">
        <f t="shared" si="5"/>
        <v>13</v>
      </c>
      <c r="V13" s="17">
        <f t="shared" si="5"/>
        <v>56</v>
      </c>
      <c r="W13" s="17">
        <f t="shared" si="5"/>
        <v>4</v>
      </c>
      <c r="X13" s="17">
        <f t="shared" si="5"/>
        <v>0</v>
      </c>
      <c r="Y13" s="17">
        <f t="shared" si="5"/>
        <v>15</v>
      </c>
      <c r="Z13" s="17">
        <f t="shared" si="5"/>
        <v>12</v>
      </c>
      <c r="AA13" s="17">
        <f t="shared" si="5"/>
        <v>7</v>
      </c>
      <c r="AB13" s="17">
        <f t="shared" si="5"/>
        <v>14</v>
      </c>
      <c r="AC13" s="17">
        <f t="shared" si="5"/>
        <v>470</v>
      </c>
      <c r="AD13" s="17">
        <f t="shared" si="5"/>
        <v>0</v>
      </c>
      <c r="AE13" s="31">
        <f t="shared" si="5"/>
        <v>256</v>
      </c>
      <c r="AF13" s="31">
        <f t="shared" si="5"/>
        <v>726</v>
      </c>
    </row>
    <row r="14" spans="2:32" ht="23.1" customHeight="1" x14ac:dyDescent="0.25">
      <c r="B14" s="45" t="s">
        <v>41</v>
      </c>
      <c r="C14" s="50">
        <v>43</v>
      </c>
      <c r="D14" s="50">
        <v>0</v>
      </c>
      <c r="E14" s="50">
        <v>7</v>
      </c>
      <c r="F14" s="50">
        <v>10</v>
      </c>
      <c r="G14" s="50">
        <v>0</v>
      </c>
      <c r="H14" s="50">
        <v>0</v>
      </c>
      <c r="I14" s="50">
        <v>7</v>
      </c>
      <c r="J14" s="50">
        <v>0</v>
      </c>
      <c r="K14" s="50">
        <v>3</v>
      </c>
      <c r="L14" s="50">
        <v>4</v>
      </c>
      <c r="M14" s="50">
        <v>100</v>
      </c>
      <c r="N14" s="50">
        <v>0</v>
      </c>
      <c r="O14" s="15">
        <f t="shared" si="0"/>
        <v>74</v>
      </c>
      <c r="P14" s="15">
        <f t="shared" si="1"/>
        <v>174</v>
      </c>
      <c r="R14" s="1" t="s">
        <v>10</v>
      </c>
      <c r="S14" s="17">
        <f t="shared" ref="S14:AF14" si="6">SUM(C26:C29)</f>
        <v>174</v>
      </c>
      <c r="T14" s="17">
        <f t="shared" si="6"/>
        <v>11</v>
      </c>
      <c r="U14" s="17">
        <f t="shared" si="6"/>
        <v>32</v>
      </c>
      <c r="V14" s="17">
        <f t="shared" si="6"/>
        <v>72</v>
      </c>
      <c r="W14" s="17">
        <f t="shared" si="6"/>
        <v>10</v>
      </c>
      <c r="X14" s="17">
        <f t="shared" si="6"/>
        <v>0</v>
      </c>
      <c r="Y14" s="17">
        <f t="shared" si="6"/>
        <v>37</v>
      </c>
      <c r="Z14" s="17">
        <f t="shared" si="6"/>
        <v>26</v>
      </c>
      <c r="AA14" s="17">
        <f t="shared" si="6"/>
        <v>14</v>
      </c>
      <c r="AB14" s="17">
        <f t="shared" si="6"/>
        <v>17</v>
      </c>
      <c r="AC14" s="17">
        <f t="shared" si="6"/>
        <v>353</v>
      </c>
      <c r="AD14" s="17">
        <f t="shared" si="6"/>
        <v>0</v>
      </c>
      <c r="AE14" s="31">
        <f t="shared" si="6"/>
        <v>393</v>
      </c>
      <c r="AF14" s="31">
        <f t="shared" si="6"/>
        <v>746</v>
      </c>
    </row>
    <row r="15" spans="2:32" ht="23.1" customHeight="1" x14ac:dyDescent="0.25">
      <c r="B15" s="45" t="s">
        <v>42</v>
      </c>
      <c r="C15" s="50">
        <v>31</v>
      </c>
      <c r="D15" s="50">
        <v>12</v>
      </c>
      <c r="E15" s="50">
        <v>3</v>
      </c>
      <c r="F15" s="50">
        <v>24</v>
      </c>
      <c r="G15" s="50">
        <v>2</v>
      </c>
      <c r="H15" s="50">
        <v>0</v>
      </c>
      <c r="I15" s="50">
        <v>4</v>
      </c>
      <c r="J15" s="50">
        <v>1</v>
      </c>
      <c r="K15" s="50">
        <v>2</v>
      </c>
      <c r="L15" s="50">
        <v>1</v>
      </c>
      <c r="M15" s="50">
        <v>190</v>
      </c>
      <c r="N15" s="50">
        <v>0</v>
      </c>
      <c r="O15" s="15">
        <f t="shared" si="0"/>
        <v>80</v>
      </c>
      <c r="P15" s="15">
        <f t="shared" si="1"/>
        <v>270</v>
      </c>
      <c r="R15" s="1" t="s">
        <v>11</v>
      </c>
      <c r="S15" s="17">
        <f t="shared" ref="S15:AF15" si="7">SUM(C30:C33)</f>
        <v>248</v>
      </c>
      <c r="T15" s="17">
        <f t="shared" si="7"/>
        <v>16</v>
      </c>
      <c r="U15" s="17">
        <f t="shared" si="7"/>
        <v>29</v>
      </c>
      <c r="V15" s="17">
        <f t="shared" si="7"/>
        <v>59</v>
      </c>
      <c r="W15" s="17">
        <f t="shared" si="7"/>
        <v>7</v>
      </c>
      <c r="X15" s="17">
        <f t="shared" si="7"/>
        <v>1</v>
      </c>
      <c r="Y15" s="17">
        <f t="shared" si="7"/>
        <v>40</v>
      </c>
      <c r="Z15" s="17">
        <f t="shared" si="7"/>
        <v>21</v>
      </c>
      <c r="AA15" s="17">
        <f t="shared" si="7"/>
        <v>14</v>
      </c>
      <c r="AB15" s="17">
        <f t="shared" si="7"/>
        <v>21</v>
      </c>
      <c r="AC15" s="17">
        <f t="shared" si="7"/>
        <v>571</v>
      </c>
      <c r="AD15" s="17">
        <f t="shared" si="7"/>
        <v>0</v>
      </c>
      <c r="AE15" s="31">
        <f t="shared" si="7"/>
        <v>456</v>
      </c>
      <c r="AF15" s="31">
        <f t="shared" si="7"/>
        <v>1027</v>
      </c>
    </row>
    <row r="16" spans="2:32" ht="23.1" customHeight="1" x14ac:dyDescent="0.25">
      <c r="B16" s="45" t="s">
        <v>43</v>
      </c>
      <c r="C16" s="50">
        <v>16</v>
      </c>
      <c r="D16" s="50">
        <v>6</v>
      </c>
      <c r="E16" s="50">
        <v>5</v>
      </c>
      <c r="F16" s="50">
        <v>11</v>
      </c>
      <c r="G16" s="50">
        <v>2</v>
      </c>
      <c r="H16" s="50">
        <v>0</v>
      </c>
      <c r="I16" s="50">
        <v>5</v>
      </c>
      <c r="J16" s="50">
        <v>0</v>
      </c>
      <c r="K16" s="50">
        <v>1</v>
      </c>
      <c r="L16" s="50">
        <v>6</v>
      </c>
      <c r="M16" s="50">
        <v>150</v>
      </c>
      <c r="N16" s="50">
        <v>0</v>
      </c>
      <c r="O16" s="15">
        <f t="shared" si="0"/>
        <v>52</v>
      </c>
      <c r="P16" s="15">
        <f t="shared" si="1"/>
        <v>202</v>
      </c>
      <c r="R16" s="1" t="s">
        <v>12</v>
      </c>
      <c r="S16" s="17">
        <f t="shared" ref="S16:AF16" si="8">SUM(C34:C37)</f>
        <v>118</v>
      </c>
      <c r="T16" s="17">
        <f t="shared" si="8"/>
        <v>13</v>
      </c>
      <c r="U16" s="17">
        <f t="shared" si="8"/>
        <v>30</v>
      </c>
      <c r="V16" s="17">
        <f t="shared" si="8"/>
        <v>24</v>
      </c>
      <c r="W16" s="17">
        <f t="shared" si="8"/>
        <v>9</v>
      </c>
      <c r="X16" s="17">
        <f t="shared" si="8"/>
        <v>3</v>
      </c>
      <c r="Y16" s="17">
        <f t="shared" si="8"/>
        <v>32</v>
      </c>
      <c r="Z16" s="17">
        <f t="shared" si="8"/>
        <v>20</v>
      </c>
      <c r="AA16" s="17">
        <f t="shared" si="8"/>
        <v>11</v>
      </c>
      <c r="AB16" s="17">
        <f t="shared" si="8"/>
        <v>13</v>
      </c>
      <c r="AC16" s="17">
        <f t="shared" si="8"/>
        <v>299</v>
      </c>
      <c r="AD16" s="17">
        <f t="shared" si="8"/>
        <v>1</v>
      </c>
      <c r="AE16" s="31">
        <f t="shared" si="8"/>
        <v>274</v>
      </c>
      <c r="AF16" s="31">
        <f t="shared" si="8"/>
        <v>573</v>
      </c>
    </row>
    <row r="17" spans="2:32" ht="23.1" customHeight="1" x14ac:dyDescent="0.25">
      <c r="B17" s="45" t="s">
        <v>44</v>
      </c>
      <c r="C17" s="50">
        <v>35</v>
      </c>
      <c r="D17" s="50">
        <v>6</v>
      </c>
      <c r="E17" s="50">
        <v>3</v>
      </c>
      <c r="F17" s="50">
        <v>16</v>
      </c>
      <c r="G17" s="50">
        <v>3</v>
      </c>
      <c r="H17" s="50">
        <v>0</v>
      </c>
      <c r="I17" s="50">
        <v>5</v>
      </c>
      <c r="J17" s="50">
        <v>1</v>
      </c>
      <c r="K17" s="50">
        <v>2</v>
      </c>
      <c r="L17" s="50">
        <v>3</v>
      </c>
      <c r="M17" s="50">
        <v>215</v>
      </c>
      <c r="N17" s="50">
        <v>0</v>
      </c>
      <c r="O17" s="15">
        <f t="shared" si="0"/>
        <v>74</v>
      </c>
      <c r="P17" s="15">
        <f t="shared" si="1"/>
        <v>289</v>
      </c>
      <c r="R17" s="1" t="s">
        <v>13</v>
      </c>
      <c r="S17" s="17">
        <f t="shared" ref="S17:AF17" si="9">SUM(C38:C41)</f>
        <v>230</v>
      </c>
      <c r="T17" s="17">
        <f t="shared" si="9"/>
        <v>8</v>
      </c>
      <c r="U17" s="17">
        <f t="shared" si="9"/>
        <v>36</v>
      </c>
      <c r="V17" s="17">
        <f t="shared" si="9"/>
        <v>44</v>
      </c>
      <c r="W17" s="17">
        <f t="shared" si="9"/>
        <v>5</v>
      </c>
      <c r="X17" s="17">
        <f t="shared" si="9"/>
        <v>1</v>
      </c>
      <c r="Y17" s="17">
        <f t="shared" si="9"/>
        <v>17</v>
      </c>
      <c r="Z17" s="17">
        <f t="shared" si="9"/>
        <v>13</v>
      </c>
      <c r="AA17" s="17">
        <f t="shared" si="9"/>
        <v>9</v>
      </c>
      <c r="AB17" s="17">
        <f t="shared" si="9"/>
        <v>13</v>
      </c>
      <c r="AC17" s="17">
        <f t="shared" si="9"/>
        <v>335</v>
      </c>
      <c r="AD17" s="17">
        <f t="shared" si="9"/>
        <v>0</v>
      </c>
      <c r="AE17" s="31">
        <f t="shared" si="9"/>
        <v>376</v>
      </c>
      <c r="AF17" s="31">
        <f t="shared" si="9"/>
        <v>711</v>
      </c>
    </row>
    <row r="18" spans="2:32" ht="23.1" customHeight="1" x14ac:dyDescent="0.25">
      <c r="B18" s="45" t="s">
        <v>45</v>
      </c>
      <c r="C18" s="50">
        <v>30</v>
      </c>
      <c r="D18" s="50">
        <v>7</v>
      </c>
      <c r="E18" s="50">
        <v>7</v>
      </c>
      <c r="F18" s="50">
        <v>25</v>
      </c>
      <c r="G18" s="50">
        <v>4</v>
      </c>
      <c r="H18" s="50">
        <v>0</v>
      </c>
      <c r="I18" s="50">
        <v>5</v>
      </c>
      <c r="J18" s="50">
        <v>0</v>
      </c>
      <c r="K18" s="50">
        <v>1</v>
      </c>
      <c r="L18" s="50">
        <v>2</v>
      </c>
      <c r="M18" s="50">
        <v>220</v>
      </c>
      <c r="N18" s="50">
        <v>0</v>
      </c>
      <c r="O18" s="15">
        <f t="shared" si="0"/>
        <v>81</v>
      </c>
      <c r="P18" s="15">
        <f t="shared" si="1"/>
        <v>301</v>
      </c>
      <c r="R18" s="1" t="s">
        <v>14</v>
      </c>
      <c r="S18" s="17">
        <f t="shared" ref="S18:AF18" si="10">SUM(C42:C45)</f>
        <v>176</v>
      </c>
      <c r="T18" s="17">
        <f t="shared" si="10"/>
        <v>20</v>
      </c>
      <c r="U18" s="17">
        <f t="shared" si="10"/>
        <v>37</v>
      </c>
      <c r="V18" s="17">
        <f t="shared" si="10"/>
        <v>30</v>
      </c>
      <c r="W18" s="17">
        <f t="shared" si="10"/>
        <v>5</v>
      </c>
      <c r="X18" s="17">
        <f t="shared" si="10"/>
        <v>0</v>
      </c>
      <c r="Y18" s="17">
        <f t="shared" si="10"/>
        <v>18</v>
      </c>
      <c r="Z18" s="17">
        <f t="shared" si="10"/>
        <v>12</v>
      </c>
      <c r="AA18" s="17">
        <f t="shared" si="10"/>
        <v>8</v>
      </c>
      <c r="AB18" s="17">
        <f t="shared" si="10"/>
        <v>21</v>
      </c>
      <c r="AC18" s="17">
        <f t="shared" si="10"/>
        <v>445</v>
      </c>
      <c r="AD18" s="17">
        <f t="shared" si="10"/>
        <v>0</v>
      </c>
      <c r="AE18" s="31">
        <f t="shared" si="10"/>
        <v>327</v>
      </c>
      <c r="AF18" s="31">
        <f t="shared" si="10"/>
        <v>772</v>
      </c>
    </row>
    <row r="19" spans="2:32" ht="23.1" customHeight="1" x14ac:dyDescent="0.25">
      <c r="B19" s="45" t="s">
        <v>46</v>
      </c>
      <c r="C19" s="50">
        <v>41</v>
      </c>
      <c r="D19" s="50">
        <v>0</v>
      </c>
      <c r="E19" s="50">
        <v>0</v>
      </c>
      <c r="F19" s="50">
        <v>25</v>
      </c>
      <c r="G19" s="50">
        <v>4</v>
      </c>
      <c r="H19" s="50">
        <v>0</v>
      </c>
      <c r="I19" s="50">
        <v>3</v>
      </c>
      <c r="J19" s="50">
        <v>1</v>
      </c>
      <c r="K19" s="50">
        <v>1</v>
      </c>
      <c r="L19" s="50">
        <v>3</v>
      </c>
      <c r="M19" s="50">
        <v>210</v>
      </c>
      <c r="N19" s="50">
        <v>0</v>
      </c>
      <c r="O19" s="15">
        <f t="shared" si="0"/>
        <v>78</v>
      </c>
      <c r="P19" s="15">
        <f t="shared" si="1"/>
        <v>288</v>
      </c>
      <c r="R19" s="1" t="s">
        <v>15</v>
      </c>
      <c r="S19" s="17">
        <f t="shared" ref="S19:AF19" si="11">SUM(C46:C49)</f>
        <v>259</v>
      </c>
      <c r="T19" s="17">
        <f t="shared" si="11"/>
        <v>18</v>
      </c>
      <c r="U19" s="17">
        <f t="shared" si="11"/>
        <v>22</v>
      </c>
      <c r="V19" s="17">
        <f t="shared" si="11"/>
        <v>31</v>
      </c>
      <c r="W19" s="17">
        <f t="shared" si="11"/>
        <v>7</v>
      </c>
      <c r="X19" s="17">
        <f t="shared" si="11"/>
        <v>0</v>
      </c>
      <c r="Y19" s="17">
        <f t="shared" si="11"/>
        <v>17</v>
      </c>
      <c r="Z19" s="17">
        <f t="shared" si="11"/>
        <v>20</v>
      </c>
      <c r="AA19" s="17">
        <f t="shared" si="11"/>
        <v>11</v>
      </c>
      <c r="AB19" s="17">
        <f t="shared" si="11"/>
        <v>15</v>
      </c>
      <c r="AC19" s="17">
        <f t="shared" si="11"/>
        <v>365</v>
      </c>
      <c r="AD19" s="17">
        <f t="shared" si="11"/>
        <v>0</v>
      </c>
      <c r="AE19" s="31">
        <f t="shared" si="11"/>
        <v>400</v>
      </c>
      <c r="AF19" s="31">
        <f t="shared" si="11"/>
        <v>765</v>
      </c>
    </row>
    <row r="20" spans="2:32" ht="23.1" customHeight="1" x14ac:dyDescent="0.25">
      <c r="B20" s="45" t="s">
        <v>47</v>
      </c>
      <c r="C20" s="50">
        <v>20</v>
      </c>
      <c r="D20" s="50">
        <v>4</v>
      </c>
      <c r="E20" s="50">
        <v>1</v>
      </c>
      <c r="F20" s="50">
        <v>21</v>
      </c>
      <c r="G20" s="50">
        <v>1</v>
      </c>
      <c r="H20" s="50">
        <v>1</v>
      </c>
      <c r="I20" s="50">
        <v>9</v>
      </c>
      <c r="J20" s="50">
        <v>6</v>
      </c>
      <c r="K20" s="50">
        <v>5</v>
      </c>
      <c r="L20" s="50">
        <v>4</v>
      </c>
      <c r="M20" s="50">
        <v>120</v>
      </c>
      <c r="N20" s="50">
        <v>0</v>
      </c>
      <c r="O20" s="15">
        <f t="shared" si="0"/>
        <v>72</v>
      </c>
      <c r="P20" s="15">
        <f t="shared" si="1"/>
        <v>192</v>
      </c>
      <c r="R20" s="1" t="s">
        <v>16</v>
      </c>
      <c r="S20" s="17">
        <f t="shared" ref="S20:AF20" si="12">SUM(C50:C53)</f>
        <v>370</v>
      </c>
      <c r="T20" s="17">
        <f t="shared" si="12"/>
        <v>54</v>
      </c>
      <c r="U20" s="17">
        <f t="shared" si="12"/>
        <v>64</v>
      </c>
      <c r="V20" s="17">
        <f t="shared" si="12"/>
        <v>50</v>
      </c>
      <c r="W20" s="17">
        <f t="shared" si="12"/>
        <v>16</v>
      </c>
      <c r="X20" s="17">
        <f t="shared" si="12"/>
        <v>0</v>
      </c>
      <c r="Y20" s="17">
        <f t="shared" si="12"/>
        <v>6</v>
      </c>
      <c r="Z20" s="17">
        <f t="shared" si="12"/>
        <v>17</v>
      </c>
      <c r="AA20" s="17">
        <f t="shared" si="12"/>
        <v>8</v>
      </c>
      <c r="AB20" s="17">
        <f t="shared" si="12"/>
        <v>13</v>
      </c>
      <c r="AC20" s="17">
        <f t="shared" si="12"/>
        <v>470</v>
      </c>
      <c r="AD20" s="17">
        <f t="shared" si="12"/>
        <v>0</v>
      </c>
      <c r="AE20" s="31">
        <f t="shared" si="12"/>
        <v>598</v>
      </c>
      <c r="AF20" s="31">
        <f t="shared" si="12"/>
        <v>1068</v>
      </c>
    </row>
    <row r="21" spans="2:32" ht="23.1" customHeight="1" x14ac:dyDescent="0.25">
      <c r="B21" s="45" t="s">
        <v>48</v>
      </c>
      <c r="C21" s="50">
        <v>44</v>
      </c>
      <c r="D21" s="50">
        <v>5</v>
      </c>
      <c r="E21" s="50">
        <v>7</v>
      </c>
      <c r="F21" s="50">
        <v>12</v>
      </c>
      <c r="G21" s="50">
        <v>6</v>
      </c>
      <c r="H21" s="50">
        <v>0</v>
      </c>
      <c r="I21" s="50">
        <v>3</v>
      </c>
      <c r="J21" s="50">
        <v>2</v>
      </c>
      <c r="K21" s="50">
        <v>3</v>
      </c>
      <c r="L21" s="50">
        <v>2</v>
      </c>
      <c r="M21" s="50">
        <v>100</v>
      </c>
      <c r="N21" s="50">
        <v>0</v>
      </c>
      <c r="O21" s="15">
        <f t="shared" si="0"/>
        <v>84</v>
      </c>
      <c r="P21" s="15">
        <f t="shared" si="1"/>
        <v>184</v>
      </c>
      <c r="R21" s="36" t="s">
        <v>20</v>
      </c>
      <c r="S21" s="34">
        <f t="shared" ref="S21:AF21" si="13">SUM(C54:C57)</f>
        <v>268</v>
      </c>
      <c r="T21" s="17">
        <f t="shared" si="13"/>
        <v>7</v>
      </c>
      <c r="U21" s="17">
        <f t="shared" si="13"/>
        <v>25</v>
      </c>
      <c r="V21" s="17">
        <f t="shared" si="13"/>
        <v>63</v>
      </c>
      <c r="W21" s="17">
        <f t="shared" si="13"/>
        <v>10</v>
      </c>
      <c r="X21" s="17">
        <f t="shared" si="13"/>
        <v>1</v>
      </c>
      <c r="Y21" s="17">
        <f t="shared" si="13"/>
        <v>17</v>
      </c>
      <c r="Z21" s="17">
        <f t="shared" si="13"/>
        <v>11</v>
      </c>
      <c r="AA21" s="17">
        <f t="shared" si="13"/>
        <v>13</v>
      </c>
      <c r="AB21" s="17">
        <f t="shared" si="13"/>
        <v>16</v>
      </c>
      <c r="AC21" s="17">
        <f t="shared" si="13"/>
        <v>325</v>
      </c>
      <c r="AD21" s="17">
        <f t="shared" si="13"/>
        <v>0</v>
      </c>
      <c r="AE21" s="31">
        <f t="shared" si="13"/>
        <v>431</v>
      </c>
      <c r="AF21" s="31">
        <f t="shared" si="13"/>
        <v>756</v>
      </c>
    </row>
    <row r="22" spans="2:32" ht="23.1" customHeight="1" x14ac:dyDescent="0.25">
      <c r="B22" s="45" t="s">
        <v>49</v>
      </c>
      <c r="C22" s="50">
        <v>35</v>
      </c>
      <c r="D22" s="50">
        <v>14</v>
      </c>
      <c r="E22" s="50">
        <v>7</v>
      </c>
      <c r="F22" s="50">
        <v>25</v>
      </c>
      <c r="G22" s="50">
        <v>3</v>
      </c>
      <c r="H22" s="50">
        <v>0</v>
      </c>
      <c r="I22" s="50">
        <v>8</v>
      </c>
      <c r="J22" s="50">
        <v>7</v>
      </c>
      <c r="K22" s="50">
        <v>1</v>
      </c>
      <c r="L22" s="50">
        <v>6</v>
      </c>
      <c r="M22" s="50">
        <v>130</v>
      </c>
      <c r="N22" s="50">
        <v>0</v>
      </c>
      <c r="O22" s="15">
        <f t="shared" si="0"/>
        <v>106</v>
      </c>
      <c r="P22" s="15">
        <f t="shared" si="1"/>
        <v>236</v>
      </c>
      <c r="R22" s="36" t="s">
        <v>146</v>
      </c>
      <c r="S22" s="34">
        <f>SUM(C58:C61)</f>
        <v>305</v>
      </c>
      <c r="T22" s="34">
        <f t="shared" ref="T22:AF22" si="14">SUM(D58:D61)</f>
        <v>33</v>
      </c>
      <c r="U22" s="34">
        <f t="shared" si="14"/>
        <v>37</v>
      </c>
      <c r="V22" s="34">
        <f t="shared" si="14"/>
        <v>65</v>
      </c>
      <c r="W22" s="34">
        <f t="shared" si="14"/>
        <v>24</v>
      </c>
      <c r="X22" s="34">
        <f t="shared" si="14"/>
        <v>0</v>
      </c>
      <c r="Y22" s="34">
        <f t="shared" si="14"/>
        <v>16</v>
      </c>
      <c r="Z22" s="34">
        <f t="shared" si="14"/>
        <v>20</v>
      </c>
      <c r="AA22" s="34">
        <f t="shared" si="14"/>
        <v>7</v>
      </c>
      <c r="AB22" s="34">
        <f t="shared" si="14"/>
        <v>13</v>
      </c>
      <c r="AC22" s="34">
        <f t="shared" si="14"/>
        <v>471</v>
      </c>
      <c r="AD22" s="34">
        <f t="shared" si="14"/>
        <v>0</v>
      </c>
      <c r="AE22" s="31">
        <f t="shared" si="14"/>
        <v>520</v>
      </c>
      <c r="AF22" s="31">
        <f t="shared" si="14"/>
        <v>991</v>
      </c>
    </row>
    <row r="23" spans="2:32" ht="23.1" customHeight="1" x14ac:dyDescent="0.25">
      <c r="B23" s="45" t="s">
        <v>50</v>
      </c>
      <c r="C23" s="50">
        <v>17</v>
      </c>
      <c r="D23" s="50">
        <v>3</v>
      </c>
      <c r="E23" s="50">
        <v>1</v>
      </c>
      <c r="F23" s="50">
        <v>8</v>
      </c>
      <c r="G23" s="50">
        <v>1</v>
      </c>
      <c r="H23" s="50">
        <v>0</v>
      </c>
      <c r="I23" s="50">
        <v>0</v>
      </c>
      <c r="J23" s="50">
        <v>2</v>
      </c>
      <c r="K23" s="50">
        <v>0</v>
      </c>
      <c r="L23" s="50">
        <v>3</v>
      </c>
      <c r="M23" s="50">
        <v>70</v>
      </c>
      <c r="N23" s="50">
        <v>0</v>
      </c>
      <c r="O23" s="15">
        <f t="shared" si="0"/>
        <v>35</v>
      </c>
      <c r="P23" s="15">
        <f t="shared" si="1"/>
        <v>105</v>
      </c>
      <c r="R23" s="36" t="s">
        <v>147</v>
      </c>
      <c r="S23" s="34">
        <f>SUM(C62:C65)</f>
        <v>355</v>
      </c>
      <c r="T23" s="34">
        <f t="shared" ref="T23:AF23" si="15">SUM(D62:D65)</f>
        <v>32</v>
      </c>
      <c r="U23" s="34">
        <f t="shared" si="15"/>
        <v>23</v>
      </c>
      <c r="V23" s="34">
        <f t="shared" si="15"/>
        <v>41</v>
      </c>
      <c r="W23" s="34">
        <f t="shared" si="15"/>
        <v>20</v>
      </c>
      <c r="X23" s="34">
        <f t="shared" si="15"/>
        <v>1</v>
      </c>
      <c r="Y23" s="34">
        <f t="shared" si="15"/>
        <v>10</v>
      </c>
      <c r="Z23" s="34">
        <f t="shared" si="15"/>
        <v>10</v>
      </c>
      <c r="AA23" s="34">
        <f t="shared" si="15"/>
        <v>3</v>
      </c>
      <c r="AB23" s="34">
        <f t="shared" si="15"/>
        <v>6</v>
      </c>
      <c r="AC23" s="34">
        <f t="shared" si="15"/>
        <v>685</v>
      </c>
      <c r="AD23" s="34">
        <f t="shared" si="15"/>
        <v>0</v>
      </c>
      <c r="AE23" s="31">
        <f t="shared" si="15"/>
        <v>501</v>
      </c>
      <c r="AF23" s="31">
        <f t="shared" si="15"/>
        <v>1186</v>
      </c>
    </row>
    <row r="24" spans="2:32" ht="23.1" customHeight="1" x14ac:dyDescent="0.25">
      <c r="B24" s="45" t="s">
        <v>51</v>
      </c>
      <c r="C24" s="50">
        <v>41</v>
      </c>
      <c r="D24" s="50">
        <v>5</v>
      </c>
      <c r="E24" s="50">
        <v>5</v>
      </c>
      <c r="F24" s="50">
        <v>8</v>
      </c>
      <c r="G24" s="50">
        <v>0</v>
      </c>
      <c r="H24" s="50">
        <v>0</v>
      </c>
      <c r="I24" s="50">
        <v>2</v>
      </c>
      <c r="J24" s="50">
        <v>3</v>
      </c>
      <c r="K24" s="50">
        <v>1</v>
      </c>
      <c r="L24" s="50">
        <v>0</v>
      </c>
      <c r="M24" s="50">
        <v>140</v>
      </c>
      <c r="N24" s="50">
        <v>0</v>
      </c>
      <c r="O24" s="15">
        <f t="shared" si="0"/>
        <v>65</v>
      </c>
      <c r="P24" s="15">
        <f t="shared" si="1"/>
        <v>205</v>
      </c>
      <c r="R24" s="36" t="s">
        <v>148</v>
      </c>
      <c r="S24" s="34">
        <f>SUM(C66:C69)</f>
        <v>291</v>
      </c>
      <c r="T24" s="34">
        <f t="shared" ref="T24:AF24" si="16">SUM(D66:D69)</f>
        <v>35</v>
      </c>
      <c r="U24" s="34">
        <f t="shared" si="16"/>
        <v>35</v>
      </c>
      <c r="V24" s="34">
        <f t="shared" si="16"/>
        <v>55</v>
      </c>
      <c r="W24" s="34">
        <f t="shared" si="16"/>
        <v>14</v>
      </c>
      <c r="X24" s="34">
        <f t="shared" si="16"/>
        <v>0</v>
      </c>
      <c r="Y24" s="34">
        <f t="shared" si="16"/>
        <v>12</v>
      </c>
      <c r="Z24" s="34">
        <f t="shared" si="16"/>
        <v>11</v>
      </c>
      <c r="AA24" s="34">
        <f t="shared" si="16"/>
        <v>2</v>
      </c>
      <c r="AB24" s="34">
        <f t="shared" si="16"/>
        <v>8</v>
      </c>
      <c r="AC24" s="34">
        <f t="shared" si="16"/>
        <v>510</v>
      </c>
      <c r="AD24" s="34">
        <f t="shared" si="16"/>
        <v>0</v>
      </c>
      <c r="AE24" s="31">
        <f t="shared" si="16"/>
        <v>463</v>
      </c>
      <c r="AF24" s="31">
        <f t="shared" si="16"/>
        <v>973</v>
      </c>
    </row>
    <row r="25" spans="2:32" ht="23.1" customHeight="1" x14ac:dyDescent="0.25">
      <c r="B25" s="45" t="s">
        <v>52</v>
      </c>
      <c r="C25" s="50">
        <v>16</v>
      </c>
      <c r="D25" s="50">
        <v>4</v>
      </c>
      <c r="E25" s="50">
        <v>0</v>
      </c>
      <c r="F25" s="50">
        <v>15</v>
      </c>
      <c r="G25" s="50">
        <v>0</v>
      </c>
      <c r="H25" s="50">
        <v>0</v>
      </c>
      <c r="I25" s="50">
        <v>5</v>
      </c>
      <c r="J25" s="50">
        <v>0</v>
      </c>
      <c r="K25" s="50">
        <v>5</v>
      </c>
      <c r="L25" s="50">
        <v>5</v>
      </c>
      <c r="M25" s="50">
        <v>130</v>
      </c>
      <c r="N25" s="50">
        <v>0</v>
      </c>
      <c r="O25" s="15">
        <f t="shared" si="0"/>
        <v>50</v>
      </c>
      <c r="P25" s="15">
        <f t="shared" si="1"/>
        <v>180</v>
      </c>
      <c r="R25" s="36" t="s">
        <v>149</v>
      </c>
      <c r="S25" s="34">
        <f>SUM(C70:C73)</f>
        <v>257</v>
      </c>
      <c r="T25" s="34">
        <f t="shared" ref="T25:AF25" si="17">SUM(D70:D73)</f>
        <v>12</v>
      </c>
      <c r="U25" s="34">
        <f t="shared" si="17"/>
        <v>16</v>
      </c>
      <c r="V25" s="34">
        <f t="shared" si="17"/>
        <v>34</v>
      </c>
      <c r="W25" s="34">
        <f t="shared" si="17"/>
        <v>9</v>
      </c>
      <c r="X25" s="34">
        <f t="shared" si="17"/>
        <v>1</v>
      </c>
      <c r="Y25" s="34">
        <f t="shared" si="17"/>
        <v>1</v>
      </c>
      <c r="Z25" s="34">
        <f t="shared" si="17"/>
        <v>6</v>
      </c>
      <c r="AA25" s="34">
        <f t="shared" si="17"/>
        <v>5</v>
      </c>
      <c r="AB25" s="34">
        <f t="shared" si="17"/>
        <v>2</v>
      </c>
      <c r="AC25" s="34">
        <f t="shared" si="17"/>
        <v>435</v>
      </c>
      <c r="AD25" s="34">
        <f t="shared" si="17"/>
        <v>0</v>
      </c>
      <c r="AE25" s="31">
        <f t="shared" si="17"/>
        <v>343</v>
      </c>
      <c r="AF25" s="31">
        <f t="shared" si="17"/>
        <v>778</v>
      </c>
    </row>
    <row r="26" spans="2:32" ht="23.1" customHeight="1" x14ac:dyDescent="0.25">
      <c r="B26" s="45" t="s">
        <v>53</v>
      </c>
      <c r="C26" s="50">
        <v>26</v>
      </c>
      <c r="D26" s="50">
        <v>0</v>
      </c>
      <c r="E26" s="50">
        <v>6</v>
      </c>
      <c r="F26" s="50">
        <v>11</v>
      </c>
      <c r="G26" s="50">
        <v>4</v>
      </c>
      <c r="H26" s="50">
        <v>0</v>
      </c>
      <c r="I26" s="50">
        <v>10</v>
      </c>
      <c r="J26" s="50">
        <v>7</v>
      </c>
      <c r="K26" s="50">
        <v>4</v>
      </c>
      <c r="L26" s="50">
        <v>1</v>
      </c>
      <c r="M26" s="50">
        <v>115</v>
      </c>
      <c r="N26" s="50">
        <v>0</v>
      </c>
      <c r="O26" s="15">
        <f t="shared" si="0"/>
        <v>69</v>
      </c>
      <c r="P26" s="15">
        <f t="shared" si="1"/>
        <v>184</v>
      </c>
      <c r="R26" s="36" t="s">
        <v>150</v>
      </c>
      <c r="S26" s="34">
        <f>SUM(C74:C77)</f>
        <v>131</v>
      </c>
      <c r="T26" s="34">
        <f t="shared" ref="T26:AF26" si="18">SUM(D74:D77)</f>
        <v>12</v>
      </c>
      <c r="U26" s="34">
        <f t="shared" si="18"/>
        <v>8</v>
      </c>
      <c r="V26" s="34">
        <f t="shared" si="18"/>
        <v>21</v>
      </c>
      <c r="W26" s="34">
        <f t="shared" si="18"/>
        <v>2</v>
      </c>
      <c r="X26" s="34">
        <f t="shared" si="18"/>
        <v>0</v>
      </c>
      <c r="Y26" s="34">
        <f t="shared" si="18"/>
        <v>1</v>
      </c>
      <c r="Z26" s="34">
        <f t="shared" si="18"/>
        <v>9</v>
      </c>
      <c r="AA26" s="34">
        <f t="shared" si="18"/>
        <v>2</v>
      </c>
      <c r="AB26" s="34">
        <f t="shared" si="18"/>
        <v>0</v>
      </c>
      <c r="AC26" s="34">
        <f t="shared" si="18"/>
        <v>293</v>
      </c>
      <c r="AD26" s="34">
        <f t="shared" si="18"/>
        <v>0</v>
      </c>
      <c r="AE26" s="31">
        <f t="shared" si="18"/>
        <v>186</v>
      </c>
      <c r="AF26" s="31">
        <f t="shared" si="18"/>
        <v>479</v>
      </c>
    </row>
    <row r="27" spans="2:32" ht="23.1" customHeight="1" x14ac:dyDescent="0.25">
      <c r="B27" s="45" t="s">
        <v>54</v>
      </c>
      <c r="C27" s="50">
        <v>24</v>
      </c>
      <c r="D27" s="50">
        <v>2</v>
      </c>
      <c r="E27" s="50">
        <v>10</v>
      </c>
      <c r="F27" s="50">
        <v>20</v>
      </c>
      <c r="G27" s="50">
        <v>1</v>
      </c>
      <c r="H27" s="50">
        <v>0</v>
      </c>
      <c r="I27" s="50">
        <v>7</v>
      </c>
      <c r="J27" s="50">
        <v>8</v>
      </c>
      <c r="K27" s="50">
        <v>2</v>
      </c>
      <c r="L27" s="50">
        <v>7</v>
      </c>
      <c r="M27" s="50">
        <v>50</v>
      </c>
      <c r="N27" s="50">
        <v>0</v>
      </c>
      <c r="O27" s="15">
        <f t="shared" si="0"/>
        <v>81</v>
      </c>
      <c r="P27" s="15">
        <f t="shared" si="1"/>
        <v>131</v>
      </c>
      <c r="R27" s="36" t="s">
        <v>151</v>
      </c>
      <c r="S27" s="34">
        <f>SUM(C78:C81)</f>
        <v>38</v>
      </c>
      <c r="T27" s="34">
        <f t="shared" ref="T27:AF27" si="19">SUM(D78:D81)</f>
        <v>3</v>
      </c>
      <c r="U27" s="34">
        <f t="shared" si="19"/>
        <v>3</v>
      </c>
      <c r="V27" s="34">
        <f t="shared" si="19"/>
        <v>9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</v>
      </c>
      <c r="AA27" s="34">
        <f t="shared" si="19"/>
        <v>0</v>
      </c>
      <c r="AB27" s="34">
        <f t="shared" si="19"/>
        <v>1</v>
      </c>
      <c r="AC27" s="34">
        <f t="shared" si="19"/>
        <v>63</v>
      </c>
      <c r="AD27" s="34">
        <f t="shared" si="19"/>
        <v>0</v>
      </c>
      <c r="AE27" s="31">
        <f t="shared" si="19"/>
        <v>55</v>
      </c>
      <c r="AF27" s="31">
        <f t="shared" si="19"/>
        <v>118</v>
      </c>
    </row>
    <row r="28" spans="2:32" ht="23.1" customHeight="1" x14ac:dyDescent="0.25">
      <c r="B28" s="45" t="s">
        <v>55</v>
      </c>
      <c r="C28" s="50">
        <v>77</v>
      </c>
      <c r="D28" s="50">
        <v>5</v>
      </c>
      <c r="E28" s="50">
        <v>3</v>
      </c>
      <c r="F28" s="50">
        <v>20</v>
      </c>
      <c r="G28" s="50">
        <v>3</v>
      </c>
      <c r="H28" s="50">
        <v>0</v>
      </c>
      <c r="I28" s="50">
        <v>11</v>
      </c>
      <c r="J28" s="50">
        <v>1</v>
      </c>
      <c r="K28" s="50">
        <v>4</v>
      </c>
      <c r="L28" s="50">
        <v>4</v>
      </c>
      <c r="M28" s="50">
        <v>108</v>
      </c>
      <c r="N28" s="50">
        <v>0</v>
      </c>
      <c r="O28" s="15">
        <f t="shared" si="0"/>
        <v>128</v>
      </c>
      <c r="P28" s="15">
        <f t="shared" si="1"/>
        <v>236</v>
      </c>
      <c r="R28" s="36" t="s">
        <v>152</v>
      </c>
      <c r="S28" s="34">
        <f>SUM(C82:C85)</f>
        <v>30</v>
      </c>
      <c r="T28" s="34">
        <f t="shared" ref="T28:AF28" si="20">SUM(D82:D85)</f>
        <v>2</v>
      </c>
      <c r="U28" s="34">
        <f t="shared" si="20"/>
        <v>2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1</v>
      </c>
      <c r="AC28" s="34">
        <f t="shared" si="20"/>
        <v>46</v>
      </c>
      <c r="AD28" s="34">
        <f t="shared" si="20"/>
        <v>0</v>
      </c>
      <c r="AE28" s="31">
        <f t="shared" si="20"/>
        <v>36</v>
      </c>
      <c r="AF28" s="31">
        <f t="shared" si="20"/>
        <v>82</v>
      </c>
    </row>
    <row r="29" spans="2:32" ht="23.1" customHeight="1" x14ac:dyDescent="0.25">
      <c r="B29" s="45" t="s">
        <v>56</v>
      </c>
      <c r="C29" s="50">
        <v>47</v>
      </c>
      <c r="D29" s="50">
        <v>4</v>
      </c>
      <c r="E29" s="50">
        <v>13</v>
      </c>
      <c r="F29" s="50">
        <v>21</v>
      </c>
      <c r="G29" s="50">
        <v>2</v>
      </c>
      <c r="H29" s="50">
        <v>0</v>
      </c>
      <c r="I29" s="50">
        <v>9</v>
      </c>
      <c r="J29" s="50">
        <v>10</v>
      </c>
      <c r="K29" s="50">
        <v>4</v>
      </c>
      <c r="L29" s="50">
        <v>5</v>
      </c>
      <c r="M29" s="50">
        <v>80</v>
      </c>
      <c r="N29" s="50">
        <v>0</v>
      </c>
      <c r="O29" s="15">
        <f t="shared" si="0"/>
        <v>115</v>
      </c>
      <c r="P29" s="15">
        <f t="shared" si="1"/>
        <v>195</v>
      </c>
      <c r="R29" s="36" t="s">
        <v>153</v>
      </c>
      <c r="S29" s="34">
        <f>SUM(C86:C89)</f>
        <v>14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8</v>
      </c>
      <c r="AC29" s="34">
        <f t="shared" si="21"/>
        <v>22</v>
      </c>
      <c r="AD29" s="34">
        <f t="shared" si="21"/>
        <v>0</v>
      </c>
      <c r="AE29" s="31">
        <f t="shared" si="21"/>
        <v>22</v>
      </c>
      <c r="AF29" s="31">
        <f t="shared" si="21"/>
        <v>44</v>
      </c>
    </row>
    <row r="30" spans="2:32" ht="23.1" customHeight="1" x14ac:dyDescent="0.25">
      <c r="B30" s="45" t="s">
        <v>57</v>
      </c>
      <c r="C30" s="50">
        <v>53</v>
      </c>
      <c r="D30" s="50">
        <v>5</v>
      </c>
      <c r="E30" s="50">
        <v>4</v>
      </c>
      <c r="F30" s="50">
        <v>16</v>
      </c>
      <c r="G30" s="50">
        <v>1</v>
      </c>
      <c r="H30" s="50">
        <v>0</v>
      </c>
      <c r="I30" s="50">
        <v>15</v>
      </c>
      <c r="J30" s="50">
        <v>6</v>
      </c>
      <c r="K30" s="50">
        <v>2</v>
      </c>
      <c r="L30" s="50">
        <v>2</v>
      </c>
      <c r="M30" s="50">
        <v>136</v>
      </c>
      <c r="N30" s="50">
        <v>0</v>
      </c>
      <c r="O30" s="15">
        <f t="shared" si="0"/>
        <v>104</v>
      </c>
      <c r="P30" s="15">
        <f t="shared" si="1"/>
        <v>240</v>
      </c>
      <c r="R30" s="36" t="s">
        <v>154</v>
      </c>
      <c r="S30" s="34">
        <f>SUM(C90:C93)</f>
        <v>7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20</v>
      </c>
      <c r="AD30" s="34">
        <f t="shared" si="22"/>
        <v>0</v>
      </c>
      <c r="AE30" s="31">
        <f t="shared" si="22"/>
        <v>7</v>
      </c>
      <c r="AF30" s="31">
        <f t="shared" si="22"/>
        <v>27</v>
      </c>
    </row>
    <row r="31" spans="2:32" ht="23.1" customHeight="1" x14ac:dyDescent="0.25">
      <c r="B31" s="46" t="s">
        <v>58</v>
      </c>
      <c r="C31" s="50">
        <v>55</v>
      </c>
      <c r="D31" s="50">
        <v>6</v>
      </c>
      <c r="E31" s="50">
        <v>12</v>
      </c>
      <c r="F31" s="50">
        <v>16</v>
      </c>
      <c r="G31" s="50">
        <v>1</v>
      </c>
      <c r="H31" s="50">
        <v>0</v>
      </c>
      <c r="I31" s="50">
        <v>4</v>
      </c>
      <c r="J31" s="50">
        <v>7</v>
      </c>
      <c r="K31" s="50">
        <v>5</v>
      </c>
      <c r="L31" s="50">
        <v>6</v>
      </c>
      <c r="M31" s="50">
        <v>135</v>
      </c>
      <c r="N31" s="50">
        <v>0</v>
      </c>
      <c r="O31" s="15">
        <f t="shared" si="0"/>
        <v>112</v>
      </c>
      <c r="P31" s="15">
        <f t="shared" si="1"/>
        <v>247</v>
      </c>
      <c r="R31" s="36" t="s">
        <v>155</v>
      </c>
      <c r="S31" s="34">
        <f>SUM(C94:C97)</f>
        <v>9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7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1</v>
      </c>
      <c r="AA31" s="34">
        <f t="shared" si="23"/>
        <v>1</v>
      </c>
      <c r="AB31" s="34">
        <f t="shared" si="23"/>
        <v>0</v>
      </c>
      <c r="AC31" s="34">
        <f t="shared" si="23"/>
        <v>31</v>
      </c>
      <c r="AD31" s="34">
        <f t="shared" si="23"/>
        <v>0</v>
      </c>
      <c r="AE31" s="31">
        <f t="shared" si="23"/>
        <v>19</v>
      </c>
      <c r="AF31" s="31">
        <f t="shared" si="23"/>
        <v>50</v>
      </c>
    </row>
    <row r="32" spans="2:32" ht="23.1" customHeight="1" x14ac:dyDescent="0.25">
      <c r="B32" s="46" t="s">
        <v>59</v>
      </c>
      <c r="C32" s="50">
        <v>65</v>
      </c>
      <c r="D32" s="50">
        <v>4</v>
      </c>
      <c r="E32" s="50">
        <v>7</v>
      </c>
      <c r="F32" s="50">
        <v>7</v>
      </c>
      <c r="G32" s="50">
        <v>3</v>
      </c>
      <c r="H32" s="50">
        <v>1</v>
      </c>
      <c r="I32" s="50">
        <v>12</v>
      </c>
      <c r="J32" s="50">
        <v>6</v>
      </c>
      <c r="K32" s="50">
        <v>6</v>
      </c>
      <c r="L32" s="50">
        <v>4</v>
      </c>
      <c r="M32" s="50">
        <v>160</v>
      </c>
      <c r="N32" s="50">
        <v>0</v>
      </c>
      <c r="O32" s="15">
        <f t="shared" si="0"/>
        <v>115</v>
      </c>
      <c r="P32" s="15">
        <f t="shared" si="1"/>
        <v>275</v>
      </c>
      <c r="R32" s="33" t="s">
        <v>156</v>
      </c>
      <c r="S32" s="34">
        <f>SUM(C98:C101)</f>
        <v>25</v>
      </c>
      <c r="T32" s="34">
        <f t="shared" ref="T32:AF32" si="24">SUM(D98:D101)</f>
        <v>3</v>
      </c>
      <c r="U32" s="34">
        <f t="shared" si="24"/>
        <v>5</v>
      </c>
      <c r="V32" s="34">
        <f t="shared" si="24"/>
        <v>17</v>
      </c>
      <c r="W32" s="34">
        <f t="shared" si="24"/>
        <v>7</v>
      </c>
      <c r="X32" s="34">
        <f t="shared" si="24"/>
        <v>0</v>
      </c>
      <c r="Y32" s="34">
        <f t="shared" si="24"/>
        <v>1</v>
      </c>
      <c r="Z32" s="34">
        <f t="shared" si="24"/>
        <v>3</v>
      </c>
      <c r="AA32" s="34">
        <f t="shared" si="24"/>
        <v>1</v>
      </c>
      <c r="AB32" s="34">
        <f t="shared" si="24"/>
        <v>4</v>
      </c>
      <c r="AC32" s="34">
        <f t="shared" si="24"/>
        <v>68</v>
      </c>
      <c r="AD32" s="34">
        <f t="shared" si="24"/>
        <v>0</v>
      </c>
      <c r="AE32" s="31">
        <f t="shared" si="24"/>
        <v>66</v>
      </c>
      <c r="AF32" s="31">
        <f t="shared" si="24"/>
        <v>134</v>
      </c>
    </row>
    <row r="33" spans="2:32" ht="23.1" customHeight="1" x14ac:dyDescent="0.25">
      <c r="B33" s="45" t="s">
        <v>60</v>
      </c>
      <c r="C33" s="50">
        <v>75</v>
      </c>
      <c r="D33" s="50">
        <v>1</v>
      </c>
      <c r="E33" s="50">
        <v>6</v>
      </c>
      <c r="F33" s="50">
        <v>20</v>
      </c>
      <c r="G33" s="50">
        <v>2</v>
      </c>
      <c r="H33" s="50">
        <v>0</v>
      </c>
      <c r="I33" s="50">
        <v>9</v>
      </c>
      <c r="J33" s="50">
        <v>2</v>
      </c>
      <c r="K33" s="50">
        <v>1</v>
      </c>
      <c r="L33" s="50">
        <v>9</v>
      </c>
      <c r="M33" s="50">
        <v>140</v>
      </c>
      <c r="N33" s="50">
        <v>0</v>
      </c>
      <c r="O33" s="15">
        <f t="shared" si="0"/>
        <v>125</v>
      </c>
      <c r="P33" s="15">
        <f t="shared" si="1"/>
        <v>265</v>
      </c>
      <c r="R33" s="33" t="s">
        <v>157</v>
      </c>
      <c r="S33" s="34">
        <f>SUM(C102:C105)</f>
        <v>80</v>
      </c>
      <c r="T33" s="34">
        <f t="shared" ref="T33:AF33" si="25">SUM(D102:D105)</f>
        <v>12</v>
      </c>
      <c r="U33" s="34">
        <f t="shared" si="25"/>
        <v>20</v>
      </c>
      <c r="V33" s="34">
        <f t="shared" si="25"/>
        <v>43</v>
      </c>
      <c r="W33" s="34">
        <f t="shared" si="25"/>
        <v>5</v>
      </c>
      <c r="X33" s="34">
        <f t="shared" si="25"/>
        <v>0</v>
      </c>
      <c r="Y33" s="34">
        <f t="shared" si="25"/>
        <v>5</v>
      </c>
      <c r="Z33" s="34">
        <f t="shared" si="25"/>
        <v>16</v>
      </c>
      <c r="AA33" s="34">
        <f t="shared" si="25"/>
        <v>2</v>
      </c>
      <c r="AB33" s="34">
        <f t="shared" si="25"/>
        <v>3</v>
      </c>
      <c r="AC33" s="34">
        <f t="shared" si="25"/>
        <v>195</v>
      </c>
      <c r="AD33" s="34">
        <f t="shared" si="25"/>
        <v>0</v>
      </c>
      <c r="AE33" s="31">
        <f t="shared" si="25"/>
        <v>186</v>
      </c>
      <c r="AF33" s="31">
        <f t="shared" si="25"/>
        <v>381</v>
      </c>
    </row>
    <row r="34" spans="2:32" ht="23.1" customHeight="1" x14ac:dyDescent="0.25">
      <c r="B34" s="46" t="s">
        <v>61</v>
      </c>
      <c r="C34" s="50">
        <v>45</v>
      </c>
      <c r="D34" s="50">
        <v>3</v>
      </c>
      <c r="E34" s="50">
        <v>8</v>
      </c>
      <c r="F34" s="50">
        <v>7</v>
      </c>
      <c r="G34" s="50">
        <v>1</v>
      </c>
      <c r="H34" s="50">
        <v>0</v>
      </c>
      <c r="I34" s="50">
        <v>6</v>
      </c>
      <c r="J34" s="50">
        <v>3</v>
      </c>
      <c r="K34" s="50">
        <v>3</v>
      </c>
      <c r="L34" s="50">
        <v>2</v>
      </c>
      <c r="M34" s="50">
        <v>60</v>
      </c>
      <c r="N34" s="50">
        <v>0</v>
      </c>
      <c r="O34" s="15">
        <f t="shared" si="0"/>
        <v>78</v>
      </c>
      <c r="P34" s="15">
        <f t="shared" si="1"/>
        <v>138</v>
      </c>
      <c r="R34" s="38" t="s">
        <v>90</v>
      </c>
      <c r="S34" s="39">
        <f t="shared" ref="S34:AF34" si="26">MAX(S10:S12)</f>
        <v>135</v>
      </c>
      <c r="T34" s="39">
        <f t="shared" si="26"/>
        <v>24</v>
      </c>
      <c r="U34" s="39">
        <f t="shared" si="26"/>
        <v>20</v>
      </c>
      <c r="V34" s="39">
        <f t="shared" si="26"/>
        <v>83</v>
      </c>
      <c r="W34" s="39">
        <f t="shared" si="26"/>
        <v>15</v>
      </c>
      <c r="X34" s="39">
        <f t="shared" si="26"/>
        <v>2</v>
      </c>
      <c r="Y34" s="39">
        <f t="shared" si="26"/>
        <v>21</v>
      </c>
      <c r="Z34" s="39">
        <f t="shared" si="26"/>
        <v>9</v>
      </c>
      <c r="AA34" s="39">
        <f t="shared" si="26"/>
        <v>10</v>
      </c>
      <c r="AB34" s="39">
        <f t="shared" si="26"/>
        <v>14</v>
      </c>
      <c r="AC34" s="39">
        <f t="shared" si="26"/>
        <v>655</v>
      </c>
      <c r="AD34" s="39">
        <f t="shared" si="26"/>
        <v>0</v>
      </c>
      <c r="AE34" s="40">
        <f t="shared" si="26"/>
        <v>315</v>
      </c>
      <c r="AF34" s="40">
        <f t="shared" si="26"/>
        <v>965</v>
      </c>
    </row>
    <row r="35" spans="2:32" ht="23.1" customHeight="1" x14ac:dyDescent="0.25">
      <c r="B35" s="46" t="s">
        <v>62</v>
      </c>
      <c r="C35" s="50">
        <v>8</v>
      </c>
      <c r="D35" s="50">
        <v>4</v>
      </c>
      <c r="E35" s="50">
        <v>13</v>
      </c>
      <c r="F35" s="50">
        <v>5</v>
      </c>
      <c r="G35" s="50">
        <v>3</v>
      </c>
      <c r="H35" s="50">
        <v>1</v>
      </c>
      <c r="I35" s="50">
        <v>6</v>
      </c>
      <c r="J35" s="50">
        <v>5</v>
      </c>
      <c r="K35" s="50">
        <v>3</v>
      </c>
      <c r="L35" s="50">
        <v>6</v>
      </c>
      <c r="M35" s="50">
        <v>95</v>
      </c>
      <c r="N35" s="50">
        <v>0</v>
      </c>
      <c r="O35" s="15">
        <f t="shared" si="0"/>
        <v>54</v>
      </c>
      <c r="P35" s="15">
        <f t="shared" si="1"/>
        <v>149</v>
      </c>
      <c r="R35" s="38" t="s">
        <v>91</v>
      </c>
      <c r="S35" s="39">
        <f t="shared" ref="S35:AF35" si="27">MAX(S13:S18)</f>
        <v>248</v>
      </c>
      <c r="T35" s="39">
        <f t="shared" si="27"/>
        <v>26</v>
      </c>
      <c r="U35" s="39">
        <f t="shared" si="27"/>
        <v>37</v>
      </c>
      <c r="V35" s="39">
        <f t="shared" si="27"/>
        <v>72</v>
      </c>
      <c r="W35" s="39">
        <f t="shared" si="27"/>
        <v>10</v>
      </c>
      <c r="X35" s="39">
        <f t="shared" si="27"/>
        <v>3</v>
      </c>
      <c r="Y35" s="39">
        <f t="shared" si="27"/>
        <v>40</v>
      </c>
      <c r="Z35" s="39">
        <f t="shared" si="27"/>
        <v>26</v>
      </c>
      <c r="AA35" s="39">
        <f t="shared" si="27"/>
        <v>14</v>
      </c>
      <c r="AB35" s="39">
        <f t="shared" si="27"/>
        <v>21</v>
      </c>
      <c r="AC35" s="39">
        <f t="shared" si="27"/>
        <v>571</v>
      </c>
      <c r="AD35" s="39">
        <f t="shared" si="27"/>
        <v>1</v>
      </c>
      <c r="AE35" s="40">
        <f t="shared" si="27"/>
        <v>456</v>
      </c>
      <c r="AF35" s="40">
        <f t="shared" si="27"/>
        <v>1027</v>
      </c>
    </row>
    <row r="36" spans="2:32" ht="23.1" customHeight="1" x14ac:dyDescent="0.25">
      <c r="B36" s="46" t="s">
        <v>63</v>
      </c>
      <c r="C36" s="50">
        <v>34</v>
      </c>
      <c r="D36" s="50">
        <v>2</v>
      </c>
      <c r="E36" s="50">
        <v>4</v>
      </c>
      <c r="F36" s="50">
        <v>4</v>
      </c>
      <c r="G36" s="50">
        <v>2</v>
      </c>
      <c r="H36" s="50">
        <v>0</v>
      </c>
      <c r="I36" s="50">
        <v>5</v>
      </c>
      <c r="J36" s="50">
        <v>5</v>
      </c>
      <c r="K36" s="50">
        <v>2</v>
      </c>
      <c r="L36" s="50">
        <v>2</v>
      </c>
      <c r="M36" s="50">
        <v>69</v>
      </c>
      <c r="N36" s="50">
        <v>0</v>
      </c>
      <c r="O36" s="15">
        <f t="shared" si="0"/>
        <v>60</v>
      </c>
      <c r="P36" s="15">
        <f t="shared" si="1"/>
        <v>129</v>
      </c>
      <c r="R36" s="38" t="s">
        <v>92</v>
      </c>
      <c r="S36" s="39">
        <f t="shared" ref="S36:AF36" si="28">MAX(S19:S21)</f>
        <v>370</v>
      </c>
      <c r="T36" s="39">
        <f t="shared" si="28"/>
        <v>54</v>
      </c>
      <c r="U36" s="39">
        <f t="shared" si="28"/>
        <v>64</v>
      </c>
      <c r="V36" s="39">
        <f t="shared" si="28"/>
        <v>63</v>
      </c>
      <c r="W36" s="39">
        <f t="shared" si="28"/>
        <v>16</v>
      </c>
      <c r="X36" s="39">
        <f t="shared" si="28"/>
        <v>1</v>
      </c>
      <c r="Y36" s="39">
        <f t="shared" si="28"/>
        <v>17</v>
      </c>
      <c r="Z36" s="39">
        <f t="shared" si="28"/>
        <v>20</v>
      </c>
      <c r="AA36" s="39">
        <f t="shared" si="28"/>
        <v>13</v>
      </c>
      <c r="AB36" s="39">
        <f t="shared" si="28"/>
        <v>16</v>
      </c>
      <c r="AC36" s="39">
        <f t="shared" si="28"/>
        <v>470</v>
      </c>
      <c r="AD36" s="39">
        <f t="shared" si="28"/>
        <v>0</v>
      </c>
      <c r="AE36" s="40">
        <f t="shared" si="28"/>
        <v>598</v>
      </c>
      <c r="AF36" s="40">
        <f t="shared" si="28"/>
        <v>1068</v>
      </c>
    </row>
    <row r="37" spans="2:32" ht="23.1" customHeight="1" x14ac:dyDescent="0.25">
      <c r="B37" s="45" t="s">
        <v>64</v>
      </c>
      <c r="C37" s="50">
        <v>31</v>
      </c>
      <c r="D37" s="50">
        <v>4</v>
      </c>
      <c r="E37" s="50">
        <v>5</v>
      </c>
      <c r="F37" s="50">
        <v>8</v>
      </c>
      <c r="G37" s="50">
        <v>3</v>
      </c>
      <c r="H37" s="50">
        <v>2</v>
      </c>
      <c r="I37" s="50">
        <v>15</v>
      </c>
      <c r="J37" s="50">
        <v>7</v>
      </c>
      <c r="K37" s="50">
        <v>3</v>
      </c>
      <c r="L37" s="50">
        <v>3</v>
      </c>
      <c r="M37" s="50">
        <v>75</v>
      </c>
      <c r="N37" s="50">
        <v>1</v>
      </c>
      <c r="O37" s="15">
        <f t="shared" si="0"/>
        <v>82</v>
      </c>
      <c r="P37" s="15">
        <f t="shared" si="1"/>
        <v>157</v>
      </c>
      <c r="R37" s="37" t="s">
        <v>85</v>
      </c>
      <c r="S37" s="35">
        <f t="shared" ref="S37:AF37" si="29">SUM(S10:S12)</f>
        <v>383</v>
      </c>
      <c r="T37" s="16">
        <f t="shared" si="29"/>
        <v>50</v>
      </c>
      <c r="U37" s="16">
        <f t="shared" si="29"/>
        <v>53</v>
      </c>
      <c r="V37" s="16">
        <f t="shared" si="29"/>
        <v>204</v>
      </c>
      <c r="W37" s="16">
        <f t="shared" si="29"/>
        <v>30</v>
      </c>
      <c r="X37" s="16">
        <f t="shared" si="29"/>
        <v>3</v>
      </c>
      <c r="Y37" s="16">
        <f t="shared" si="29"/>
        <v>54</v>
      </c>
      <c r="Z37" s="16">
        <f t="shared" si="29"/>
        <v>15</v>
      </c>
      <c r="AA37" s="16">
        <f t="shared" si="29"/>
        <v>22</v>
      </c>
      <c r="AB37" s="16">
        <f t="shared" si="29"/>
        <v>28</v>
      </c>
      <c r="AC37" s="16">
        <f t="shared" si="29"/>
        <v>1630</v>
      </c>
      <c r="AD37" s="16">
        <f t="shared" si="29"/>
        <v>0</v>
      </c>
      <c r="AE37" s="32">
        <f t="shared" si="29"/>
        <v>842</v>
      </c>
      <c r="AF37" s="32">
        <f t="shared" si="29"/>
        <v>2472</v>
      </c>
    </row>
    <row r="38" spans="2:32" ht="23.1" customHeight="1" x14ac:dyDescent="0.25">
      <c r="B38" s="46" t="s">
        <v>65</v>
      </c>
      <c r="C38" s="50">
        <v>70</v>
      </c>
      <c r="D38" s="50">
        <v>2</v>
      </c>
      <c r="E38" s="50">
        <v>10</v>
      </c>
      <c r="F38" s="50">
        <v>4</v>
      </c>
      <c r="G38" s="50">
        <v>3</v>
      </c>
      <c r="H38" s="50">
        <v>0</v>
      </c>
      <c r="I38" s="50">
        <v>3</v>
      </c>
      <c r="J38" s="50">
        <v>1</v>
      </c>
      <c r="K38" s="50">
        <v>3</v>
      </c>
      <c r="L38" s="50">
        <v>2</v>
      </c>
      <c r="M38" s="50">
        <v>95</v>
      </c>
      <c r="N38" s="50">
        <v>0</v>
      </c>
      <c r="O38" s="15">
        <f t="shared" si="0"/>
        <v>98</v>
      </c>
      <c r="P38" s="15">
        <f t="shared" si="1"/>
        <v>193</v>
      </c>
      <c r="R38" s="28" t="s">
        <v>86</v>
      </c>
      <c r="S38" s="16">
        <f t="shared" ref="S38:AF38" si="30">SUM(S13:S18)</f>
        <v>1055</v>
      </c>
      <c r="T38" s="16">
        <f t="shared" si="30"/>
        <v>94</v>
      </c>
      <c r="U38" s="16">
        <f t="shared" si="30"/>
        <v>177</v>
      </c>
      <c r="V38" s="16">
        <f t="shared" si="30"/>
        <v>285</v>
      </c>
      <c r="W38" s="16">
        <f t="shared" si="30"/>
        <v>40</v>
      </c>
      <c r="X38" s="16">
        <f t="shared" si="30"/>
        <v>5</v>
      </c>
      <c r="Y38" s="16">
        <f t="shared" si="30"/>
        <v>159</v>
      </c>
      <c r="Z38" s="16">
        <f t="shared" si="30"/>
        <v>104</v>
      </c>
      <c r="AA38" s="16">
        <f t="shared" si="30"/>
        <v>63</v>
      </c>
      <c r="AB38" s="16">
        <f t="shared" si="30"/>
        <v>99</v>
      </c>
      <c r="AC38" s="16">
        <f t="shared" si="30"/>
        <v>2473</v>
      </c>
      <c r="AD38" s="16">
        <f t="shared" si="30"/>
        <v>1</v>
      </c>
      <c r="AE38" s="32">
        <f t="shared" si="30"/>
        <v>2082</v>
      </c>
      <c r="AF38" s="32">
        <f t="shared" si="30"/>
        <v>4555</v>
      </c>
    </row>
    <row r="39" spans="2:32" ht="23.1" customHeight="1" x14ac:dyDescent="0.25">
      <c r="B39" s="46" t="s">
        <v>66</v>
      </c>
      <c r="C39" s="50">
        <v>55</v>
      </c>
      <c r="D39" s="50">
        <v>0</v>
      </c>
      <c r="E39" s="50">
        <v>5</v>
      </c>
      <c r="F39" s="50">
        <v>17</v>
      </c>
      <c r="G39" s="50">
        <v>1</v>
      </c>
      <c r="H39" s="50">
        <v>1</v>
      </c>
      <c r="I39" s="50">
        <v>1</v>
      </c>
      <c r="J39" s="50">
        <v>3</v>
      </c>
      <c r="K39" s="50">
        <v>6</v>
      </c>
      <c r="L39" s="50">
        <v>2</v>
      </c>
      <c r="M39" s="50">
        <v>60</v>
      </c>
      <c r="N39" s="50">
        <v>0</v>
      </c>
      <c r="O39" s="15">
        <f t="shared" si="0"/>
        <v>91</v>
      </c>
      <c r="P39" s="15">
        <f t="shared" si="1"/>
        <v>151</v>
      </c>
      <c r="R39" s="29" t="s">
        <v>87</v>
      </c>
      <c r="S39" s="16">
        <f t="shared" ref="S39:AF39" si="31">SUM(S19:S21)</f>
        <v>897</v>
      </c>
      <c r="T39" s="16">
        <f t="shared" si="31"/>
        <v>79</v>
      </c>
      <c r="U39" s="16">
        <f t="shared" si="31"/>
        <v>111</v>
      </c>
      <c r="V39" s="16">
        <f t="shared" si="31"/>
        <v>144</v>
      </c>
      <c r="W39" s="16">
        <f t="shared" si="31"/>
        <v>33</v>
      </c>
      <c r="X39" s="16">
        <f t="shared" si="31"/>
        <v>1</v>
      </c>
      <c r="Y39" s="16">
        <f t="shared" si="31"/>
        <v>40</v>
      </c>
      <c r="Z39" s="16">
        <f t="shared" si="31"/>
        <v>48</v>
      </c>
      <c r="AA39" s="16">
        <f t="shared" si="31"/>
        <v>32</v>
      </c>
      <c r="AB39" s="16">
        <f t="shared" si="31"/>
        <v>44</v>
      </c>
      <c r="AC39" s="16">
        <f t="shared" si="31"/>
        <v>1160</v>
      </c>
      <c r="AD39" s="16">
        <f t="shared" si="31"/>
        <v>0</v>
      </c>
      <c r="AE39" s="32">
        <f t="shared" si="31"/>
        <v>1429</v>
      </c>
      <c r="AF39" s="32">
        <f t="shared" si="31"/>
        <v>2589</v>
      </c>
    </row>
    <row r="40" spans="2:32" ht="23.1" customHeight="1" x14ac:dyDescent="0.25">
      <c r="B40" s="46" t="s">
        <v>67</v>
      </c>
      <c r="C40" s="50">
        <v>45</v>
      </c>
      <c r="D40" s="50">
        <v>2</v>
      </c>
      <c r="E40" s="50">
        <v>5</v>
      </c>
      <c r="F40" s="50">
        <v>10</v>
      </c>
      <c r="G40" s="50">
        <v>0</v>
      </c>
      <c r="H40" s="50">
        <v>0</v>
      </c>
      <c r="I40" s="50">
        <v>6</v>
      </c>
      <c r="J40" s="50">
        <v>5</v>
      </c>
      <c r="K40" s="50">
        <v>0</v>
      </c>
      <c r="L40" s="50">
        <v>1</v>
      </c>
      <c r="M40" s="50">
        <v>75</v>
      </c>
      <c r="N40" s="50">
        <v>0</v>
      </c>
      <c r="O40" s="15">
        <f t="shared" si="0"/>
        <v>74</v>
      </c>
      <c r="P40" s="15">
        <f t="shared" si="1"/>
        <v>149</v>
      </c>
      <c r="R40" s="5" t="s">
        <v>17</v>
      </c>
      <c r="S40" s="16">
        <f t="shared" ref="S40:AF40" si="32">SUM(S10:S21)</f>
        <v>2335</v>
      </c>
      <c r="T40" s="16">
        <f t="shared" si="32"/>
        <v>223</v>
      </c>
      <c r="U40" s="16">
        <f t="shared" si="32"/>
        <v>341</v>
      </c>
      <c r="V40" s="16">
        <f t="shared" si="32"/>
        <v>633</v>
      </c>
      <c r="W40" s="16">
        <f t="shared" si="32"/>
        <v>103</v>
      </c>
      <c r="X40" s="16">
        <f t="shared" si="32"/>
        <v>9</v>
      </c>
      <c r="Y40" s="16">
        <f t="shared" si="32"/>
        <v>253</v>
      </c>
      <c r="Z40" s="16">
        <f t="shared" si="32"/>
        <v>167</v>
      </c>
      <c r="AA40" s="16">
        <f t="shared" si="32"/>
        <v>117</v>
      </c>
      <c r="AB40" s="16">
        <f t="shared" si="32"/>
        <v>171</v>
      </c>
      <c r="AC40" s="16">
        <f t="shared" si="32"/>
        <v>5263</v>
      </c>
      <c r="AD40" s="16">
        <f t="shared" si="32"/>
        <v>1</v>
      </c>
      <c r="AE40" s="32">
        <f t="shared" si="32"/>
        <v>4353</v>
      </c>
      <c r="AF40" s="32">
        <f t="shared" si="32"/>
        <v>9616</v>
      </c>
    </row>
    <row r="41" spans="2:32" ht="23.1" customHeight="1" x14ac:dyDescent="0.25">
      <c r="B41" s="45" t="s">
        <v>68</v>
      </c>
      <c r="C41" s="50">
        <v>60</v>
      </c>
      <c r="D41" s="50">
        <v>4</v>
      </c>
      <c r="E41" s="50">
        <v>16</v>
      </c>
      <c r="F41" s="50">
        <v>13</v>
      </c>
      <c r="G41" s="50">
        <v>1</v>
      </c>
      <c r="H41" s="50">
        <v>0</v>
      </c>
      <c r="I41" s="50">
        <v>7</v>
      </c>
      <c r="J41" s="50">
        <v>4</v>
      </c>
      <c r="K41" s="50">
        <v>0</v>
      </c>
      <c r="L41" s="50">
        <v>8</v>
      </c>
      <c r="M41" s="50">
        <v>105</v>
      </c>
      <c r="N41" s="50">
        <v>0</v>
      </c>
      <c r="O41" s="15">
        <f t="shared" si="0"/>
        <v>113</v>
      </c>
      <c r="P41" s="15">
        <f t="shared" si="1"/>
        <v>218</v>
      </c>
      <c r="R41" s="5" t="s">
        <v>159</v>
      </c>
      <c r="S41" s="16">
        <f>SUM(S10:S33)</f>
        <v>3877</v>
      </c>
      <c r="T41" s="16">
        <f t="shared" ref="T41:AF41" si="33">SUM(T10:T33)</f>
        <v>367</v>
      </c>
      <c r="U41" s="16">
        <f t="shared" si="33"/>
        <v>491</v>
      </c>
      <c r="V41" s="16">
        <f t="shared" si="33"/>
        <v>926</v>
      </c>
      <c r="W41" s="16">
        <f t="shared" si="33"/>
        <v>184</v>
      </c>
      <c r="X41" s="16">
        <f t="shared" si="33"/>
        <v>11</v>
      </c>
      <c r="Y41" s="16">
        <f t="shared" si="33"/>
        <v>299</v>
      </c>
      <c r="Z41" s="16">
        <f t="shared" si="33"/>
        <v>244</v>
      </c>
      <c r="AA41" s="16">
        <f t="shared" si="33"/>
        <v>140</v>
      </c>
      <c r="AB41" s="16">
        <f t="shared" si="33"/>
        <v>217</v>
      </c>
      <c r="AC41" s="16">
        <f t="shared" si="33"/>
        <v>8102</v>
      </c>
      <c r="AD41" s="16">
        <f t="shared" si="33"/>
        <v>1</v>
      </c>
      <c r="AE41" s="32">
        <f t="shared" si="33"/>
        <v>6757</v>
      </c>
      <c r="AF41" s="32">
        <f t="shared" si="33"/>
        <v>14859</v>
      </c>
    </row>
    <row r="42" spans="2:32" ht="23.1" customHeight="1" x14ac:dyDescent="0.25">
      <c r="B42" s="46" t="s">
        <v>69</v>
      </c>
      <c r="C42" s="50">
        <v>50</v>
      </c>
      <c r="D42" s="50">
        <v>4</v>
      </c>
      <c r="E42" s="50">
        <v>11</v>
      </c>
      <c r="F42" s="50">
        <v>11</v>
      </c>
      <c r="G42" s="50">
        <v>3</v>
      </c>
      <c r="H42" s="50">
        <v>0</v>
      </c>
      <c r="I42" s="50">
        <v>7</v>
      </c>
      <c r="J42" s="50">
        <v>5</v>
      </c>
      <c r="K42" s="50">
        <v>3</v>
      </c>
      <c r="L42" s="50">
        <v>5</v>
      </c>
      <c r="M42" s="50">
        <v>125</v>
      </c>
      <c r="N42" s="50">
        <v>0</v>
      </c>
      <c r="O42" s="15">
        <f t="shared" si="0"/>
        <v>99</v>
      </c>
      <c r="P42" s="15">
        <f t="shared" si="1"/>
        <v>224</v>
      </c>
      <c r="R42" s="5" t="s">
        <v>160</v>
      </c>
      <c r="S42" s="48">
        <f>S41/S40</f>
        <v>1.6603854389721628</v>
      </c>
      <c r="T42" s="48">
        <f t="shared" ref="T42:AF42" si="34">T41/T40</f>
        <v>1.6457399103139014</v>
      </c>
      <c r="U42" s="48">
        <f t="shared" si="34"/>
        <v>1.4398826979472141</v>
      </c>
      <c r="V42" s="48">
        <f t="shared" si="34"/>
        <v>1.4628751974723539</v>
      </c>
      <c r="W42" s="48">
        <f t="shared" si="34"/>
        <v>1.7864077669902914</v>
      </c>
      <c r="X42" s="48">
        <f t="shared" si="34"/>
        <v>1.2222222222222223</v>
      </c>
      <c r="Y42" s="48">
        <f t="shared" si="34"/>
        <v>1.1818181818181819</v>
      </c>
      <c r="Z42" s="48">
        <f t="shared" si="34"/>
        <v>1.4610778443113772</v>
      </c>
      <c r="AA42" s="48">
        <f t="shared" si="34"/>
        <v>1.1965811965811965</v>
      </c>
      <c r="AB42" s="48">
        <f t="shared" si="34"/>
        <v>1.2690058479532165</v>
      </c>
      <c r="AC42" s="48">
        <f t="shared" si="34"/>
        <v>1.5394261827854836</v>
      </c>
      <c r="AD42" s="48">
        <f t="shared" si="34"/>
        <v>1</v>
      </c>
      <c r="AE42" s="48">
        <f t="shared" si="34"/>
        <v>1.5522628072593614</v>
      </c>
      <c r="AF42" s="48">
        <f t="shared" si="34"/>
        <v>1.5452371048252911</v>
      </c>
    </row>
    <row r="43" spans="2:32" ht="23.1" customHeight="1" x14ac:dyDescent="0.25">
      <c r="B43" s="45" t="s">
        <v>70</v>
      </c>
      <c r="C43" s="50">
        <v>16</v>
      </c>
      <c r="D43" s="50">
        <v>8</v>
      </c>
      <c r="E43" s="50">
        <v>7</v>
      </c>
      <c r="F43" s="50">
        <v>6</v>
      </c>
      <c r="G43" s="50">
        <v>0</v>
      </c>
      <c r="H43" s="50">
        <v>0</v>
      </c>
      <c r="I43" s="50">
        <v>5</v>
      </c>
      <c r="J43" s="50">
        <v>5</v>
      </c>
      <c r="K43" s="50">
        <v>1</v>
      </c>
      <c r="L43" s="50">
        <v>5</v>
      </c>
      <c r="M43" s="50">
        <v>75</v>
      </c>
      <c r="N43" s="50">
        <v>0</v>
      </c>
      <c r="O43" s="15">
        <f t="shared" si="0"/>
        <v>53</v>
      </c>
      <c r="P43" s="15">
        <f t="shared" si="1"/>
        <v>128</v>
      </c>
    </row>
    <row r="44" spans="2:32" ht="23.1" customHeight="1" x14ac:dyDescent="0.25">
      <c r="B44" s="47" t="s">
        <v>71</v>
      </c>
      <c r="C44" s="50">
        <v>50</v>
      </c>
      <c r="D44" s="50">
        <v>4</v>
      </c>
      <c r="E44" s="50">
        <v>12</v>
      </c>
      <c r="F44" s="50">
        <v>2</v>
      </c>
      <c r="G44" s="50">
        <v>1</v>
      </c>
      <c r="H44" s="50">
        <v>0</v>
      </c>
      <c r="I44" s="50">
        <v>6</v>
      </c>
      <c r="J44" s="50">
        <v>1</v>
      </c>
      <c r="K44" s="50">
        <v>2</v>
      </c>
      <c r="L44" s="50">
        <v>4</v>
      </c>
      <c r="M44" s="50">
        <v>130</v>
      </c>
      <c r="N44" s="50">
        <v>0</v>
      </c>
      <c r="O44" s="15">
        <f t="shared" si="0"/>
        <v>82</v>
      </c>
      <c r="P44" s="15">
        <f t="shared" si="1"/>
        <v>212</v>
      </c>
    </row>
    <row r="45" spans="2:32" ht="23.1" customHeight="1" x14ac:dyDescent="0.25">
      <c r="B45" s="45" t="s">
        <v>72</v>
      </c>
      <c r="C45" s="50">
        <v>60</v>
      </c>
      <c r="D45" s="50">
        <v>4</v>
      </c>
      <c r="E45" s="50">
        <v>7</v>
      </c>
      <c r="F45" s="50">
        <v>11</v>
      </c>
      <c r="G45" s="50">
        <v>1</v>
      </c>
      <c r="H45" s="50">
        <v>0</v>
      </c>
      <c r="I45" s="50">
        <v>0</v>
      </c>
      <c r="J45" s="50">
        <v>1</v>
      </c>
      <c r="K45" s="50">
        <v>2</v>
      </c>
      <c r="L45" s="50">
        <v>7</v>
      </c>
      <c r="M45" s="50">
        <v>115</v>
      </c>
      <c r="N45" s="50">
        <v>0</v>
      </c>
      <c r="O45" s="15">
        <f t="shared" si="0"/>
        <v>93</v>
      </c>
      <c r="P45" s="15">
        <f t="shared" si="1"/>
        <v>208</v>
      </c>
    </row>
    <row r="46" spans="2:32" ht="23.1" customHeight="1" x14ac:dyDescent="0.25">
      <c r="B46" s="46" t="s">
        <v>73</v>
      </c>
      <c r="C46" s="50">
        <v>58</v>
      </c>
      <c r="D46" s="50">
        <v>8</v>
      </c>
      <c r="E46" s="50">
        <v>7</v>
      </c>
      <c r="F46" s="50">
        <v>8</v>
      </c>
      <c r="G46" s="50">
        <v>1</v>
      </c>
      <c r="H46" s="50">
        <v>0</v>
      </c>
      <c r="I46" s="50">
        <v>3</v>
      </c>
      <c r="J46" s="50">
        <v>5</v>
      </c>
      <c r="K46" s="50">
        <v>4</v>
      </c>
      <c r="L46" s="50">
        <v>0</v>
      </c>
      <c r="M46" s="50">
        <v>65</v>
      </c>
      <c r="N46" s="50">
        <v>0</v>
      </c>
      <c r="O46" s="15">
        <f t="shared" si="0"/>
        <v>94</v>
      </c>
      <c r="P46" s="15">
        <f t="shared" si="1"/>
        <v>159</v>
      </c>
      <c r="R46" s="8"/>
      <c r="T46"/>
    </row>
    <row r="47" spans="2:32" ht="23.1" customHeight="1" x14ac:dyDescent="0.25">
      <c r="B47" s="46" t="s">
        <v>74</v>
      </c>
      <c r="C47" s="50">
        <v>55</v>
      </c>
      <c r="D47" s="50">
        <v>4</v>
      </c>
      <c r="E47" s="50">
        <v>6</v>
      </c>
      <c r="F47" s="50">
        <v>6</v>
      </c>
      <c r="G47" s="50">
        <v>0</v>
      </c>
      <c r="H47" s="50">
        <v>0</v>
      </c>
      <c r="I47" s="50">
        <v>1</v>
      </c>
      <c r="J47" s="50">
        <v>5</v>
      </c>
      <c r="K47" s="50">
        <v>4</v>
      </c>
      <c r="L47" s="50">
        <v>6</v>
      </c>
      <c r="M47" s="50">
        <v>95</v>
      </c>
      <c r="N47" s="50">
        <v>0</v>
      </c>
      <c r="O47" s="15">
        <f t="shared" si="0"/>
        <v>87</v>
      </c>
      <c r="P47" s="15">
        <f t="shared" si="1"/>
        <v>182</v>
      </c>
      <c r="R47" s="8"/>
      <c r="T47"/>
    </row>
    <row r="48" spans="2:32" ht="23.1" customHeight="1" x14ac:dyDescent="0.25">
      <c r="B48" s="46" t="s">
        <v>75</v>
      </c>
      <c r="C48" s="50">
        <v>71</v>
      </c>
      <c r="D48" s="50">
        <v>2</v>
      </c>
      <c r="E48" s="50">
        <v>7</v>
      </c>
      <c r="F48" s="50">
        <v>10</v>
      </c>
      <c r="G48" s="50">
        <v>2</v>
      </c>
      <c r="H48" s="50">
        <v>0</v>
      </c>
      <c r="I48" s="50">
        <v>10</v>
      </c>
      <c r="J48" s="50">
        <v>3</v>
      </c>
      <c r="K48" s="50">
        <v>0</v>
      </c>
      <c r="L48" s="50">
        <v>4</v>
      </c>
      <c r="M48" s="50">
        <v>100</v>
      </c>
      <c r="N48" s="50">
        <v>0</v>
      </c>
      <c r="O48" s="15">
        <f t="shared" si="0"/>
        <v>109</v>
      </c>
      <c r="P48" s="15">
        <f t="shared" si="1"/>
        <v>209</v>
      </c>
      <c r="R48" s="8"/>
      <c r="T48"/>
    </row>
    <row r="49" spans="2:20" ht="23.1" customHeight="1" x14ac:dyDescent="0.25">
      <c r="B49" s="45" t="s">
        <v>76</v>
      </c>
      <c r="C49" s="50">
        <v>75</v>
      </c>
      <c r="D49" s="50">
        <v>4</v>
      </c>
      <c r="E49" s="50">
        <v>2</v>
      </c>
      <c r="F49" s="50">
        <v>7</v>
      </c>
      <c r="G49" s="50">
        <v>4</v>
      </c>
      <c r="H49" s="50">
        <v>0</v>
      </c>
      <c r="I49" s="50">
        <v>3</v>
      </c>
      <c r="J49" s="50">
        <v>7</v>
      </c>
      <c r="K49" s="50">
        <v>3</v>
      </c>
      <c r="L49" s="50">
        <v>5</v>
      </c>
      <c r="M49" s="50">
        <v>105</v>
      </c>
      <c r="N49" s="50">
        <v>0</v>
      </c>
      <c r="O49" s="15">
        <f t="shared" si="0"/>
        <v>110</v>
      </c>
      <c r="P49" s="15">
        <f t="shared" si="1"/>
        <v>215</v>
      </c>
      <c r="R49" s="8"/>
      <c r="T49"/>
    </row>
    <row r="50" spans="2:20" ht="23.1" customHeight="1" x14ac:dyDescent="0.25">
      <c r="B50" s="46" t="s">
        <v>77</v>
      </c>
      <c r="C50" s="50">
        <v>85</v>
      </c>
      <c r="D50" s="50">
        <v>8</v>
      </c>
      <c r="E50" s="50">
        <v>14</v>
      </c>
      <c r="F50" s="50">
        <v>11</v>
      </c>
      <c r="G50" s="50">
        <v>3</v>
      </c>
      <c r="H50" s="50">
        <v>0</v>
      </c>
      <c r="I50" s="50">
        <v>1</v>
      </c>
      <c r="J50" s="50">
        <v>5</v>
      </c>
      <c r="K50" s="50">
        <v>0</v>
      </c>
      <c r="L50" s="50">
        <v>2</v>
      </c>
      <c r="M50" s="50">
        <v>105</v>
      </c>
      <c r="N50" s="50">
        <v>0</v>
      </c>
      <c r="O50" s="15">
        <f t="shared" si="0"/>
        <v>129</v>
      </c>
      <c r="P50" s="15">
        <f t="shared" si="1"/>
        <v>234</v>
      </c>
      <c r="R50" s="8"/>
      <c r="T50"/>
    </row>
    <row r="51" spans="2:20" ht="23.1" customHeight="1" x14ac:dyDescent="0.25">
      <c r="B51" s="46" t="s">
        <v>78</v>
      </c>
      <c r="C51" s="50">
        <v>85</v>
      </c>
      <c r="D51" s="50">
        <v>12</v>
      </c>
      <c r="E51" s="50">
        <v>17</v>
      </c>
      <c r="F51" s="50">
        <v>14</v>
      </c>
      <c r="G51" s="50">
        <v>8</v>
      </c>
      <c r="H51" s="50">
        <v>0</v>
      </c>
      <c r="I51" s="50">
        <v>2</v>
      </c>
      <c r="J51" s="50">
        <v>5</v>
      </c>
      <c r="K51" s="50">
        <v>2</v>
      </c>
      <c r="L51" s="50">
        <v>7</v>
      </c>
      <c r="M51" s="50">
        <v>145</v>
      </c>
      <c r="N51" s="50">
        <v>0</v>
      </c>
      <c r="O51" s="15">
        <f t="shared" si="0"/>
        <v>152</v>
      </c>
      <c r="P51" s="15">
        <f t="shared" si="1"/>
        <v>297</v>
      </c>
      <c r="R51" s="8"/>
      <c r="T51"/>
    </row>
    <row r="52" spans="2:20" ht="23.1" customHeight="1" x14ac:dyDescent="0.25">
      <c r="B52" s="46" t="s">
        <v>79</v>
      </c>
      <c r="C52" s="50">
        <v>110</v>
      </c>
      <c r="D52" s="50">
        <v>8</v>
      </c>
      <c r="E52" s="50">
        <v>23</v>
      </c>
      <c r="F52" s="50">
        <v>15</v>
      </c>
      <c r="G52" s="50">
        <v>5</v>
      </c>
      <c r="H52" s="50">
        <v>0</v>
      </c>
      <c r="I52" s="50">
        <v>0</v>
      </c>
      <c r="J52" s="50">
        <v>4</v>
      </c>
      <c r="K52" s="50">
        <v>1</v>
      </c>
      <c r="L52" s="50">
        <v>2</v>
      </c>
      <c r="M52" s="50">
        <v>95</v>
      </c>
      <c r="N52" s="50">
        <v>0</v>
      </c>
      <c r="O52" s="15">
        <f t="shared" si="0"/>
        <v>168</v>
      </c>
      <c r="P52" s="15">
        <f t="shared" si="1"/>
        <v>263</v>
      </c>
      <c r="R52" s="8"/>
      <c r="T52"/>
    </row>
    <row r="53" spans="2:20" ht="23.1" customHeight="1" x14ac:dyDescent="0.25">
      <c r="B53" s="45" t="s">
        <v>80</v>
      </c>
      <c r="C53" s="50">
        <v>90</v>
      </c>
      <c r="D53" s="50">
        <v>26</v>
      </c>
      <c r="E53" s="50">
        <v>10</v>
      </c>
      <c r="F53" s="50">
        <v>10</v>
      </c>
      <c r="G53" s="50">
        <v>0</v>
      </c>
      <c r="H53" s="50">
        <v>0</v>
      </c>
      <c r="I53" s="50">
        <v>3</v>
      </c>
      <c r="J53" s="50">
        <v>3</v>
      </c>
      <c r="K53" s="50">
        <v>5</v>
      </c>
      <c r="L53" s="50">
        <v>2</v>
      </c>
      <c r="M53" s="50">
        <v>125</v>
      </c>
      <c r="N53" s="50">
        <v>0</v>
      </c>
      <c r="O53" s="15">
        <f t="shared" si="0"/>
        <v>149</v>
      </c>
      <c r="P53" s="15">
        <f t="shared" si="1"/>
        <v>274</v>
      </c>
      <c r="R53" s="8"/>
      <c r="T53"/>
    </row>
    <row r="54" spans="2:20" ht="23.1" customHeight="1" x14ac:dyDescent="0.25">
      <c r="B54" s="45" t="s">
        <v>81</v>
      </c>
      <c r="C54" s="50">
        <v>60</v>
      </c>
      <c r="D54" s="50">
        <v>4</v>
      </c>
      <c r="E54" s="50">
        <v>3</v>
      </c>
      <c r="F54" s="50">
        <v>8</v>
      </c>
      <c r="G54" s="50">
        <v>0</v>
      </c>
      <c r="H54" s="50">
        <v>0</v>
      </c>
      <c r="I54" s="50">
        <v>1</v>
      </c>
      <c r="J54" s="50">
        <v>1</v>
      </c>
      <c r="K54" s="50">
        <v>2</v>
      </c>
      <c r="L54" s="50">
        <v>5</v>
      </c>
      <c r="M54" s="50">
        <v>95</v>
      </c>
      <c r="N54" s="50">
        <v>0</v>
      </c>
      <c r="O54" s="15">
        <f t="shared" si="0"/>
        <v>84</v>
      </c>
      <c r="P54" s="15">
        <f t="shared" si="1"/>
        <v>179</v>
      </c>
      <c r="R54" s="8"/>
      <c r="T54"/>
    </row>
    <row r="55" spans="2:20" ht="23.1" customHeight="1" x14ac:dyDescent="0.25">
      <c r="B55" s="45" t="s">
        <v>82</v>
      </c>
      <c r="C55" s="50">
        <v>50</v>
      </c>
      <c r="D55" s="50">
        <v>1</v>
      </c>
      <c r="E55" s="50">
        <v>3</v>
      </c>
      <c r="F55" s="50">
        <v>24</v>
      </c>
      <c r="G55" s="50">
        <v>3</v>
      </c>
      <c r="H55" s="50">
        <v>0</v>
      </c>
      <c r="I55" s="50">
        <v>11</v>
      </c>
      <c r="J55" s="50">
        <v>5</v>
      </c>
      <c r="K55" s="50">
        <v>2</v>
      </c>
      <c r="L55" s="50">
        <v>4</v>
      </c>
      <c r="M55" s="50">
        <v>50</v>
      </c>
      <c r="N55" s="50">
        <v>0</v>
      </c>
      <c r="O55" s="15">
        <f t="shared" si="0"/>
        <v>103</v>
      </c>
      <c r="P55" s="15">
        <f t="shared" si="1"/>
        <v>153</v>
      </c>
      <c r="R55" s="8"/>
      <c r="T55"/>
    </row>
    <row r="56" spans="2:20" ht="23.1" customHeight="1" x14ac:dyDescent="0.25">
      <c r="B56" s="45" t="s">
        <v>83</v>
      </c>
      <c r="C56" s="50">
        <v>95</v>
      </c>
      <c r="D56" s="50">
        <v>1</v>
      </c>
      <c r="E56" s="50">
        <v>11</v>
      </c>
      <c r="F56" s="50">
        <v>14</v>
      </c>
      <c r="G56" s="50">
        <v>4</v>
      </c>
      <c r="H56" s="50">
        <v>0</v>
      </c>
      <c r="I56" s="50">
        <v>4</v>
      </c>
      <c r="J56" s="50">
        <v>5</v>
      </c>
      <c r="K56" s="50">
        <v>3</v>
      </c>
      <c r="L56" s="50">
        <v>2</v>
      </c>
      <c r="M56" s="50">
        <v>110</v>
      </c>
      <c r="N56" s="50">
        <v>0</v>
      </c>
      <c r="O56" s="15">
        <f t="shared" si="0"/>
        <v>139</v>
      </c>
      <c r="P56" s="15">
        <f t="shared" si="1"/>
        <v>249</v>
      </c>
      <c r="R56" s="8"/>
      <c r="T56"/>
    </row>
    <row r="57" spans="2:20" ht="23.1" customHeight="1" x14ac:dyDescent="0.25">
      <c r="B57" s="45" t="s">
        <v>84</v>
      </c>
      <c r="C57" s="50">
        <v>63</v>
      </c>
      <c r="D57" s="50">
        <v>1</v>
      </c>
      <c r="E57" s="50">
        <v>8</v>
      </c>
      <c r="F57" s="50">
        <v>17</v>
      </c>
      <c r="G57" s="50">
        <v>3</v>
      </c>
      <c r="H57" s="50">
        <v>1</v>
      </c>
      <c r="I57" s="50">
        <v>1</v>
      </c>
      <c r="J57" s="50">
        <v>0</v>
      </c>
      <c r="K57" s="50">
        <v>6</v>
      </c>
      <c r="L57" s="50">
        <v>5</v>
      </c>
      <c r="M57" s="50">
        <v>70</v>
      </c>
      <c r="N57" s="50">
        <v>0</v>
      </c>
      <c r="O57" s="15">
        <f t="shared" si="0"/>
        <v>105</v>
      </c>
      <c r="P57" s="15">
        <f t="shared" si="1"/>
        <v>175</v>
      </c>
      <c r="R57" s="8"/>
      <c r="T57"/>
    </row>
    <row r="58" spans="2:20" ht="23.1" customHeight="1" x14ac:dyDescent="0.25">
      <c r="B58" s="45" t="s">
        <v>99</v>
      </c>
      <c r="C58" s="50">
        <v>75</v>
      </c>
      <c r="D58" s="50">
        <v>10</v>
      </c>
      <c r="E58" s="50">
        <v>6</v>
      </c>
      <c r="F58" s="50">
        <v>13</v>
      </c>
      <c r="G58" s="50">
        <v>12</v>
      </c>
      <c r="H58" s="50">
        <v>0</v>
      </c>
      <c r="I58" s="50">
        <v>9</v>
      </c>
      <c r="J58" s="50">
        <v>4</v>
      </c>
      <c r="K58" s="50">
        <v>3</v>
      </c>
      <c r="L58" s="50">
        <v>5</v>
      </c>
      <c r="M58" s="50">
        <v>90</v>
      </c>
      <c r="N58" s="50">
        <v>0</v>
      </c>
      <c r="O58" s="15">
        <f t="shared" ref="O58:O105" si="35">SUM(C58:L58,N58)</f>
        <v>137</v>
      </c>
      <c r="P58" s="15">
        <f t="shared" ref="P58:P105" si="36">SUM(C58:N58)</f>
        <v>227</v>
      </c>
      <c r="R58" s="8"/>
      <c r="T58"/>
    </row>
    <row r="59" spans="2:20" ht="23.1" customHeight="1" x14ac:dyDescent="0.25">
      <c r="B59" s="45" t="s">
        <v>100</v>
      </c>
      <c r="C59" s="50">
        <v>65</v>
      </c>
      <c r="D59" s="50">
        <v>11</v>
      </c>
      <c r="E59" s="50">
        <v>10</v>
      </c>
      <c r="F59" s="50">
        <v>16</v>
      </c>
      <c r="G59" s="50">
        <v>2</v>
      </c>
      <c r="H59" s="50">
        <v>0</v>
      </c>
      <c r="I59" s="50">
        <v>0</v>
      </c>
      <c r="J59" s="50">
        <v>4</v>
      </c>
      <c r="K59" s="50">
        <v>4</v>
      </c>
      <c r="L59" s="50">
        <v>6</v>
      </c>
      <c r="M59" s="50">
        <v>110</v>
      </c>
      <c r="N59" s="50">
        <v>0</v>
      </c>
      <c r="O59" s="15">
        <f t="shared" si="35"/>
        <v>118</v>
      </c>
      <c r="P59" s="15">
        <f t="shared" si="36"/>
        <v>228</v>
      </c>
      <c r="R59" s="8"/>
      <c r="T59"/>
    </row>
    <row r="60" spans="2:20" ht="23.1" customHeight="1" x14ac:dyDescent="0.25">
      <c r="B60" s="45" t="s">
        <v>101</v>
      </c>
      <c r="C60" s="50">
        <v>95</v>
      </c>
      <c r="D60" s="50">
        <v>5</v>
      </c>
      <c r="E60" s="50">
        <v>14</v>
      </c>
      <c r="F60" s="50">
        <v>15</v>
      </c>
      <c r="G60" s="50">
        <v>4</v>
      </c>
      <c r="H60" s="50">
        <v>0</v>
      </c>
      <c r="I60" s="50">
        <v>3</v>
      </c>
      <c r="J60" s="50">
        <v>6</v>
      </c>
      <c r="K60" s="50">
        <v>0</v>
      </c>
      <c r="L60" s="50">
        <v>1</v>
      </c>
      <c r="M60" s="50">
        <v>135</v>
      </c>
      <c r="N60" s="50">
        <v>0</v>
      </c>
      <c r="O60" s="15">
        <f t="shared" si="35"/>
        <v>143</v>
      </c>
      <c r="P60" s="15">
        <f t="shared" si="36"/>
        <v>278</v>
      </c>
      <c r="R60" s="8"/>
      <c r="T60"/>
    </row>
    <row r="61" spans="2:20" ht="23.1" customHeight="1" x14ac:dyDescent="0.25">
      <c r="B61" s="45" t="s">
        <v>102</v>
      </c>
      <c r="C61" s="50">
        <v>70</v>
      </c>
      <c r="D61" s="50">
        <v>7</v>
      </c>
      <c r="E61" s="50">
        <v>7</v>
      </c>
      <c r="F61" s="50">
        <v>21</v>
      </c>
      <c r="G61" s="50">
        <v>6</v>
      </c>
      <c r="H61" s="50">
        <v>0</v>
      </c>
      <c r="I61" s="50">
        <v>4</v>
      </c>
      <c r="J61" s="50">
        <v>6</v>
      </c>
      <c r="K61" s="50">
        <v>0</v>
      </c>
      <c r="L61" s="50">
        <v>1</v>
      </c>
      <c r="M61" s="50">
        <v>136</v>
      </c>
      <c r="N61" s="50">
        <v>0</v>
      </c>
      <c r="O61" s="15">
        <f t="shared" si="35"/>
        <v>122</v>
      </c>
      <c r="P61" s="15">
        <f t="shared" si="36"/>
        <v>258</v>
      </c>
      <c r="R61" s="8"/>
      <c r="T61"/>
    </row>
    <row r="62" spans="2:20" ht="23.1" customHeight="1" x14ac:dyDescent="0.25">
      <c r="B62" s="45" t="s">
        <v>107</v>
      </c>
      <c r="C62" s="50">
        <v>55</v>
      </c>
      <c r="D62" s="50">
        <v>10</v>
      </c>
      <c r="E62" s="50">
        <v>5</v>
      </c>
      <c r="F62" s="50">
        <v>10</v>
      </c>
      <c r="G62" s="50">
        <v>4</v>
      </c>
      <c r="H62" s="50">
        <v>0</v>
      </c>
      <c r="I62" s="50">
        <v>2</v>
      </c>
      <c r="J62" s="50">
        <v>3</v>
      </c>
      <c r="K62" s="50">
        <v>1</v>
      </c>
      <c r="L62" s="50">
        <v>1</v>
      </c>
      <c r="M62" s="50">
        <v>130</v>
      </c>
      <c r="N62" s="50">
        <v>0</v>
      </c>
      <c r="O62" s="15">
        <f t="shared" si="35"/>
        <v>91</v>
      </c>
      <c r="P62" s="15">
        <f t="shared" si="36"/>
        <v>221</v>
      </c>
      <c r="R62" s="8"/>
      <c r="T62"/>
    </row>
    <row r="63" spans="2:20" ht="23.1" customHeight="1" x14ac:dyDescent="0.25">
      <c r="B63" s="45" t="s">
        <v>108</v>
      </c>
      <c r="C63" s="50">
        <v>100</v>
      </c>
      <c r="D63" s="50">
        <v>7</v>
      </c>
      <c r="E63" s="50">
        <v>7</v>
      </c>
      <c r="F63" s="50">
        <v>10</v>
      </c>
      <c r="G63" s="50">
        <v>9</v>
      </c>
      <c r="H63" s="50">
        <v>1</v>
      </c>
      <c r="I63" s="50">
        <v>3</v>
      </c>
      <c r="J63" s="50">
        <v>3</v>
      </c>
      <c r="K63" s="50">
        <v>1</v>
      </c>
      <c r="L63" s="50">
        <v>2</v>
      </c>
      <c r="M63" s="50">
        <v>200</v>
      </c>
      <c r="N63" s="50">
        <v>0</v>
      </c>
      <c r="O63" s="15">
        <f t="shared" si="35"/>
        <v>143</v>
      </c>
      <c r="P63" s="15">
        <f t="shared" si="36"/>
        <v>343</v>
      </c>
      <c r="R63" s="8"/>
      <c r="T63"/>
    </row>
    <row r="64" spans="2:20" ht="23.1" customHeight="1" x14ac:dyDescent="0.25">
      <c r="B64" s="45" t="s">
        <v>109</v>
      </c>
      <c r="C64" s="50">
        <v>105</v>
      </c>
      <c r="D64" s="50">
        <v>7</v>
      </c>
      <c r="E64" s="50">
        <v>6</v>
      </c>
      <c r="F64" s="50">
        <v>15</v>
      </c>
      <c r="G64" s="50">
        <v>3</v>
      </c>
      <c r="H64" s="50">
        <v>0</v>
      </c>
      <c r="I64" s="50">
        <v>4</v>
      </c>
      <c r="J64" s="50">
        <v>3</v>
      </c>
      <c r="K64" s="50">
        <v>1</v>
      </c>
      <c r="L64" s="50">
        <v>3</v>
      </c>
      <c r="M64" s="50">
        <v>160</v>
      </c>
      <c r="N64" s="50">
        <v>0</v>
      </c>
      <c r="O64" s="15">
        <f t="shared" si="35"/>
        <v>147</v>
      </c>
      <c r="P64" s="15">
        <f t="shared" si="36"/>
        <v>307</v>
      </c>
      <c r="R64" s="8"/>
      <c r="T64"/>
    </row>
    <row r="65" spans="2:20" ht="23.1" customHeight="1" x14ac:dyDescent="0.25">
      <c r="B65" s="45" t="s">
        <v>158</v>
      </c>
      <c r="C65" s="50">
        <v>95</v>
      </c>
      <c r="D65" s="50">
        <v>8</v>
      </c>
      <c r="E65" s="50">
        <v>5</v>
      </c>
      <c r="F65" s="50">
        <v>6</v>
      </c>
      <c r="G65" s="50">
        <v>4</v>
      </c>
      <c r="H65" s="50">
        <v>0</v>
      </c>
      <c r="I65" s="50">
        <v>1</v>
      </c>
      <c r="J65" s="50">
        <v>1</v>
      </c>
      <c r="K65" s="50">
        <v>0</v>
      </c>
      <c r="L65" s="50">
        <v>0</v>
      </c>
      <c r="M65" s="50">
        <v>195</v>
      </c>
      <c r="N65" s="50">
        <v>0</v>
      </c>
      <c r="O65" s="15">
        <f t="shared" si="35"/>
        <v>120</v>
      </c>
      <c r="P65" s="15">
        <f t="shared" si="36"/>
        <v>315</v>
      </c>
      <c r="R65" s="8"/>
      <c r="T65"/>
    </row>
    <row r="66" spans="2:20" ht="23.1" customHeight="1" x14ac:dyDescent="0.25">
      <c r="B66" s="45" t="s">
        <v>103</v>
      </c>
      <c r="C66" s="50">
        <v>40</v>
      </c>
      <c r="D66" s="50">
        <v>10</v>
      </c>
      <c r="E66" s="50">
        <v>7</v>
      </c>
      <c r="F66" s="50">
        <v>7</v>
      </c>
      <c r="G66" s="50">
        <v>2</v>
      </c>
      <c r="H66" s="50">
        <v>0</v>
      </c>
      <c r="I66" s="50">
        <v>2</v>
      </c>
      <c r="J66" s="50">
        <v>3</v>
      </c>
      <c r="K66" s="50">
        <v>0</v>
      </c>
      <c r="L66" s="50">
        <v>3</v>
      </c>
      <c r="M66" s="50">
        <v>80</v>
      </c>
      <c r="N66" s="50">
        <v>0</v>
      </c>
      <c r="O66" s="15">
        <f t="shared" si="35"/>
        <v>74</v>
      </c>
      <c r="P66" s="15">
        <f t="shared" si="36"/>
        <v>154</v>
      </c>
      <c r="R66" s="8"/>
      <c r="T66"/>
    </row>
    <row r="67" spans="2:20" ht="23.1" customHeight="1" x14ac:dyDescent="0.25">
      <c r="B67" s="45" t="s">
        <v>104</v>
      </c>
      <c r="C67" s="50">
        <v>86</v>
      </c>
      <c r="D67" s="50">
        <v>4</v>
      </c>
      <c r="E67" s="50">
        <v>11</v>
      </c>
      <c r="F67" s="50">
        <v>14</v>
      </c>
      <c r="G67" s="50">
        <v>7</v>
      </c>
      <c r="H67" s="50">
        <v>0</v>
      </c>
      <c r="I67" s="50">
        <v>4</v>
      </c>
      <c r="J67" s="50">
        <v>4</v>
      </c>
      <c r="K67" s="50">
        <v>1</v>
      </c>
      <c r="L67" s="50">
        <v>3</v>
      </c>
      <c r="M67" s="50">
        <v>125</v>
      </c>
      <c r="N67" s="50">
        <v>0</v>
      </c>
      <c r="O67" s="15">
        <f t="shared" si="35"/>
        <v>134</v>
      </c>
      <c r="P67" s="15">
        <f t="shared" si="36"/>
        <v>259</v>
      </c>
      <c r="R67" s="8"/>
      <c r="T67"/>
    </row>
    <row r="68" spans="2:20" ht="23.1" customHeight="1" x14ac:dyDescent="0.25">
      <c r="B68" s="45" t="s">
        <v>105</v>
      </c>
      <c r="C68" s="50">
        <v>70</v>
      </c>
      <c r="D68" s="50">
        <v>15</v>
      </c>
      <c r="E68" s="50">
        <v>12</v>
      </c>
      <c r="F68" s="50">
        <v>13</v>
      </c>
      <c r="G68" s="50">
        <v>2</v>
      </c>
      <c r="H68" s="50">
        <v>0</v>
      </c>
      <c r="I68" s="50">
        <v>3</v>
      </c>
      <c r="J68" s="50">
        <v>1</v>
      </c>
      <c r="K68" s="50">
        <v>0</v>
      </c>
      <c r="L68" s="50">
        <v>1</v>
      </c>
      <c r="M68" s="50">
        <v>130</v>
      </c>
      <c r="N68" s="50">
        <v>0</v>
      </c>
      <c r="O68" s="15">
        <f t="shared" si="35"/>
        <v>117</v>
      </c>
      <c r="P68" s="15">
        <f t="shared" si="36"/>
        <v>247</v>
      </c>
      <c r="R68" s="8"/>
      <c r="T68"/>
    </row>
    <row r="69" spans="2:20" ht="23.1" customHeight="1" x14ac:dyDescent="0.25">
      <c r="B69" s="45" t="s">
        <v>106</v>
      </c>
      <c r="C69" s="50">
        <v>95</v>
      </c>
      <c r="D69" s="50">
        <v>6</v>
      </c>
      <c r="E69" s="50">
        <v>5</v>
      </c>
      <c r="F69" s="50">
        <v>21</v>
      </c>
      <c r="G69" s="50">
        <v>3</v>
      </c>
      <c r="H69" s="50">
        <v>0</v>
      </c>
      <c r="I69" s="50">
        <v>3</v>
      </c>
      <c r="J69" s="50">
        <v>3</v>
      </c>
      <c r="K69" s="50">
        <v>1</v>
      </c>
      <c r="L69" s="50">
        <v>1</v>
      </c>
      <c r="M69" s="50">
        <v>175</v>
      </c>
      <c r="N69" s="50">
        <v>0</v>
      </c>
      <c r="O69" s="15">
        <f t="shared" si="35"/>
        <v>138</v>
      </c>
      <c r="P69" s="15">
        <f t="shared" si="36"/>
        <v>313</v>
      </c>
      <c r="R69" s="8"/>
      <c r="T69"/>
    </row>
    <row r="70" spans="2:20" ht="23.1" customHeight="1" x14ac:dyDescent="0.25">
      <c r="B70" s="45" t="s">
        <v>110</v>
      </c>
      <c r="C70" s="50">
        <v>80</v>
      </c>
      <c r="D70" s="50">
        <v>3</v>
      </c>
      <c r="E70" s="50">
        <v>5</v>
      </c>
      <c r="F70" s="50">
        <v>8</v>
      </c>
      <c r="G70" s="50">
        <v>3</v>
      </c>
      <c r="H70" s="50">
        <v>0</v>
      </c>
      <c r="I70" s="50">
        <v>0</v>
      </c>
      <c r="J70" s="50">
        <v>0</v>
      </c>
      <c r="K70" s="50">
        <v>3</v>
      </c>
      <c r="L70" s="50">
        <v>1</v>
      </c>
      <c r="M70" s="50">
        <v>70</v>
      </c>
      <c r="N70" s="50">
        <v>0</v>
      </c>
      <c r="O70" s="15">
        <f t="shared" si="35"/>
        <v>103</v>
      </c>
      <c r="P70" s="15">
        <f t="shared" si="36"/>
        <v>173</v>
      </c>
      <c r="R70" s="8"/>
      <c r="T70"/>
    </row>
    <row r="71" spans="2:20" ht="23.1" customHeight="1" x14ac:dyDescent="0.25">
      <c r="B71" s="45" t="s">
        <v>111</v>
      </c>
      <c r="C71" s="50">
        <v>75</v>
      </c>
      <c r="D71" s="50">
        <v>0</v>
      </c>
      <c r="E71" s="50">
        <v>3</v>
      </c>
      <c r="F71" s="50">
        <v>8</v>
      </c>
      <c r="G71" s="50">
        <v>2</v>
      </c>
      <c r="H71" s="50">
        <v>1</v>
      </c>
      <c r="I71" s="50">
        <v>0</v>
      </c>
      <c r="J71" s="50">
        <v>1</v>
      </c>
      <c r="K71" s="50">
        <v>1</v>
      </c>
      <c r="L71" s="50">
        <v>1</v>
      </c>
      <c r="M71" s="50">
        <v>140</v>
      </c>
      <c r="N71" s="50">
        <v>0</v>
      </c>
      <c r="O71" s="15">
        <f t="shared" si="35"/>
        <v>92</v>
      </c>
      <c r="P71" s="15">
        <f t="shared" si="36"/>
        <v>232</v>
      </c>
      <c r="R71" s="8"/>
      <c r="T71"/>
    </row>
    <row r="72" spans="2:20" ht="23.1" customHeight="1" x14ac:dyDescent="0.25">
      <c r="B72" s="45" t="s">
        <v>112</v>
      </c>
      <c r="C72" s="50">
        <v>60</v>
      </c>
      <c r="D72" s="50">
        <v>4</v>
      </c>
      <c r="E72" s="50">
        <v>4</v>
      </c>
      <c r="F72" s="50">
        <v>9</v>
      </c>
      <c r="G72" s="50">
        <v>3</v>
      </c>
      <c r="H72" s="50">
        <v>0</v>
      </c>
      <c r="I72" s="50">
        <v>0</v>
      </c>
      <c r="J72" s="50">
        <v>2</v>
      </c>
      <c r="K72" s="50">
        <v>1</v>
      </c>
      <c r="L72" s="50">
        <v>0</v>
      </c>
      <c r="M72" s="50">
        <v>130</v>
      </c>
      <c r="N72" s="50">
        <v>0</v>
      </c>
      <c r="O72" s="15">
        <f t="shared" si="35"/>
        <v>83</v>
      </c>
      <c r="P72" s="15">
        <f t="shared" si="36"/>
        <v>213</v>
      </c>
      <c r="R72" s="8"/>
      <c r="T72"/>
    </row>
    <row r="73" spans="2:20" ht="23.1" customHeight="1" x14ac:dyDescent="0.25">
      <c r="B73" s="45" t="s">
        <v>113</v>
      </c>
      <c r="C73" s="50">
        <v>42</v>
      </c>
      <c r="D73" s="50">
        <v>5</v>
      </c>
      <c r="E73" s="50">
        <v>4</v>
      </c>
      <c r="F73" s="50">
        <v>9</v>
      </c>
      <c r="G73" s="50">
        <v>1</v>
      </c>
      <c r="H73" s="50">
        <v>0</v>
      </c>
      <c r="I73" s="50">
        <v>1</v>
      </c>
      <c r="J73" s="50">
        <v>3</v>
      </c>
      <c r="K73" s="50">
        <v>0</v>
      </c>
      <c r="L73" s="50">
        <v>0</v>
      </c>
      <c r="M73" s="50">
        <v>95</v>
      </c>
      <c r="N73" s="50">
        <v>0</v>
      </c>
      <c r="O73" s="15">
        <f t="shared" si="35"/>
        <v>65</v>
      </c>
      <c r="P73" s="15">
        <f t="shared" si="36"/>
        <v>160</v>
      </c>
      <c r="R73" s="8"/>
      <c r="T73"/>
    </row>
    <row r="74" spans="2:20" ht="23.1" customHeight="1" x14ac:dyDescent="0.25">
      <c r="B74" s="45" t="s">
        <v>114</v>
      </c>
      <c r="C74" s="50">
        <v>51</v>
      </c>
      <c r="D74" s="50">
        <v>2</v>
      </c>
      <c r="E74" s="50">
        <v>2</v>
      </c>
      <c r="F74" s="50">
        <v>9</v>
      </c>
      <c r="G74" s="50">
        <v>1</v>
      </c>
      <c r="H74" s="50">
        <v>0</v>
      </c>
      <c r="I74" s="50">
        <v>0</v>
      </c>
      <c r="J74" s="50">
        <v>3</v>
      </c>
      <c r="K74" s="50">
        <v>0</v>
      </c>
      <c r="L74" s="50">
        <v>0</v>
      </c>
      <c r="M74" s="50">
        <v>100</v>
      </c>
      <c r="N74" s="50">
        <v>0</v>
      </c>
      <c r="O74" s="15">
        <f t="shared" si="35"/>
        <v>68</v>
      </c>
      <c r="P74" s="15">
        <f t="shared" si="36"/>
        <v>168</v>
      </c>
      <c r="R74" s="8"/>
      <c r="T74"/>
    </row>
    <row r="75" spans="2:20" ht="23.1" customHeight="1" x14ac:dyDescent="0.25">
      <c r="B75" s="45" t="s">
        <v>115</v>
      </c>
      <c r="C75" s="50">
        <v>50</v>
      </c>
      <c r="D75" s="50">
        <v>7</v>
      </c>
      <c r="E75" s="50">
        <v>4</v>
      </c>
      <c r="F75" s="50">
        <v>8</v>
      </c>
      <c r="G75" s="50">
        <v>0</v>
      </c>
      <c r="H75" s="50">
        <v>0</v>
      </c>
      <c r="I75" s="50">
        <v>1</v>
      </c>
      <c r="J75" s="50">
        <v>2</v>
      </c>
      <c r="K75" s="50">
        <v>1</v>
      </c>
      <c r="L75" s="50">
        <v>0</v>
      </c>
      <c r="M75" s="50">
        <v>106</v>
      </c>
      <c r="N75" s="50">
        <v>0</v>
      </c>
      <c r="O75" s="15">
        <f t="shared" si="35"/>
        <v>73</v>
      </c>
      <c r="P75" s="15">
        <f t="shared" si="36"/>
        <v>179</v>
      </c>
      <c r="R75" s="8"/>
      <c r="T75"/>
    </row>
    <row r="76" spans="2:20" ht="23.1" customHeight="1" x14ac:dyDescent="0.25">
      <c r="B76" s="45" t="s">
        <v>116</v>
      </c>
      <c r="C76" s="50">
        <v>22</v>
      </c>
      <c r="D76" s="50">
        <v>1</v>
      </c>
      <c r="E76" s="50">
        <v>2</v>
      </c>
      <c r="F76" s="50">
        <v>3</v>
      </c>
      <c r="G76" s="50">
        <v>1</v>
      </c>
      <c r="H76" s="50">
        <v>0</v>
      </c>
      <c r="I76" s="50">
        <v>0</v>
      </c>
      <c r="J76" s="50">
        <v>2</v>
      </c>
      <c r="K76" s="50">
        <v>1</v>
      </c>
      <c r="L76" s="50">
        <v>0</v>
      </c>
      <c r="M76" s="50">
        <v>37</v>
      </c>
      <c r="N76" s="50">
        <v>0</v>
      </c>
      <c r="O76" s="15">
        <f t="shared" si="35"/>
        <v>32</v>
      </c>
      <c r="P76" s="15">
        <f t="shared" si="36"/>
        <v>69</v>
      </c>
      <c r="R76" s="8"/>
      <c r="T76"/>
    </row>
    <row r="77" spans="2:20" ht="23.1" customHeight="1" x14ac:dyDescent="0.25">
      <c r="B77" s="45" t="s">
        <v>117</v>
      </c>
      <c r="C77" s="50">
        <v>8</v>
      </c>
      <c r="D77" s="50">
        <v>2</v>
      </c>
      <c r="E77" s="50">
        <v>0</v>
      </c>
      <c r="F77" s="50">
        <v>1</v>
      </c>
      <c r="G77" s="50">
        <v>0</v>
      </c>
      <c r="H77" s="50">
        <v>0</v>
      </c>
      <c r="I77" s="50">
        <v>0</v>
      </c>
      <c r="J77" s="50">
        <v>2</v>
      </c>
      <c r="K77" s="50">
        <v>0</v>
      </c>
      <c r="L77" s="50">
        <v>0</v>
      </c>
      <c r="M77" s="50">
        <v>50</v>
      </c>
      <c r="N77" s="50">
        <v>0</v>
      </c>
      <c r="O77" s="15">
        <f t="shared" si="35"/>
        <v>13</v>
      </c>
      <c r="P77" s="15">
        <f t="shared" si="36"/>
        <v>63</v>
      </c>
      <c r="R77" s="8"/>
      <c r="T77"/>
    </row>
    <row r="78" spans="2:20" ht="23.1" customHeight="1" x14ac:dyDescent="0.25">
      <c r="B78" s="46" t="s">
        <v>118</v>
      </c>
      <c r="C78" s="50">
        <v>14</v>
      </c>
      <c r="D78" s="50">
        <v>1</v>
      </c>
      <c r="E78" s="50">
        <v>1</v>
      </c>
      <c r="F78" s="50">
        <v>3</v>
      </c>
      <c r="G78" s="50">
        <v>0</v>
      </c>
      <c r="H78" s="50">
        <v>0</v>
      </c>
      <c r="I78" s="50">
        <v>0</v>
      </c>
      <c r="J78" s="50">
        <v>1</v>
      </c>
      <c r="K78" s="50">
        <v>0</v>
      </c>
      <c r="L78" s="50">
        <v>0</v>
      </c>
      <c r="M78" s="50">
        <v>23</v>
      </c>
      <c r="N78" s="50">
        <v>0</v>
      </c>
      <c r="O78" s="15">
        <f t="shared" si="35"/>
        <v>20</v>
      </c>
      <c r="P78" s="15">
        <f t="shared" si="36"/>
        <v>43</v>
      </c>
      <c r="R78" s="8"/>
      <c r="T78"/>
    </row>
    <row r="79" spans="2:20" ht="23.1" customHeight="1" x14ac:dyDescent="0.25">
      <c r="B79" s="45" t="s">
        <v>119</v>
      </c>
      <c r="C79" s="50">
        <v>13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7</v>
      </c>
      <c r="N79" s="50">
        <v>0</v>
      </c>
      <c r="O79" s="15">
        <f t="shared" si="35"/>
        <v>13</v>
      </c>
      <c r="P79" s="15">
        <f t="shared" si="36"/>
        <v>20</v>
      </c>
      <c r="R79" s="8"/>
      <c r="T79"/>
    </row>
    <row r="80" spans="2:20" ht="23.1" customHeight="1" x14ac:dyDescent="0.25">
      <c r="B80" s="47" t="s">
        <v>120</v>
      </c>
      <c r="C80" s="50">
        <v>5</v>
      </c>
      <c r="D80" s="50">
        <v>0</v>
      </c>
      <c r="E80" s="50">
        <v>1</v>
      </c>
      <c r="F80" s="50">
        <v>4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1</v>
      </c>
      <c r="M80" s="50">
        <v>21</v>
      </c>
      <c r="N80" s="50">
        <v>0</v>
      </c>
      <c r="O80" s="15">
        <f t="shared" si="35"/>
        <v>11</v>
      </c>
      <c r="P80" s="15">
        <f t="shared" si="36"/>
        <v>32</v>
      </c>
      <c r="R80" s="8"/>
      <c r="T80"/>
    </row>
    <row r="81" spans="2:20" ht="23.1" customHeight="1" x14ac:dyDescent="0.25">
      <c r="B81" s="45" t="s">
        <v>121</v>
      </c>
      <c r="C81" s="50">
        <v>6</v>
      </c>
      <c r="D81" s="50">
        <v>2</v>
      </c>
      <c r="E81" s="50">
        <v>1</v>
      </c>
      <c r="F81" s="50">
        <v>2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12</v>
      </c>
      <c r="N81" s="50">
        <v>0</v>
      </c>
      <c r="O81" s="15">
        <f t="shared" si="35"/>
        <v>11</v>
      </c>
      <c r="P81" s="15">
        <f t="shared" si="36"/>
        <v>23</v>
      </c>
      <c r="R81" s="8"/>
      <c r="T81"/>
    </row>
    <row r="82" spans="2:20" ht="23.1" customHeight="1" x14ac:dyDescent="0.25">
      <c r="B82" s="46" t="s">
        <v>122</v>
      </c>
      <c r="C82" s="50">
        <v>14</v>
      </c>
      <c r="D82" s="50">
        <v>0</v>
      </c>
      <c r="E82" s="50">
        <v>1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19</v>
      </c>
      <c r="N82" s="50">
        <v>0</v>
      </c>
      <c r="O82" s="15">
        <f t="shared" si="35"/>
        <v>15</v>
      </c>
      <c r="P82" s="15">
        <f t="shared" si="36"/>
        <v>34</v>
      </c>
      <c r="R82" s="8"/>
      <c r="T82"/>
    </row>
    <row r="83" spans="2:20" ht="23.1" customHeight="1" x14ac:dyDescent="0.25">
      <c r="B83" s="45" t="s">
        <v>123</v>
      </c>
      <c r="C83" s="50">
        <v>15</v>
      </c>
      <c r="D83" s="50">
        <v>1</v>
      </c>
      <c r="E83" s="50">
        <v>1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12</v>
      </c>
      <c r="N83" s="50">
        <v>0</v>
      </c>
      <c r="O83" s="15">
        <f t="shared" si="35"/>
        <v>17</v>
      </c>
      <c r="P83" s="15">
        <f t="shared" si="36"/>
        <v>29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1</v>
      </c>
      <c r="E84" s="50">
        <v>0</v>
      </c>
      <c r="F84" s="50">
        <v>1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1</v>
      </c>
      <c r="M84" s="50">
        <v>7</v>
      </c>
      <c r="N84" s="50">
        <v>0</v>
      </c>
      <c r="O84" s="15">
        <f t="shared" si="35"/>
        <v>4</v>
      </c>
      <c r="P84" s="15">
        <f t="shared" si="36"/>
        <v>11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8</v>
      </c>
      <c r="N85" s="50">
        <v>0</v>
      </c>
      <c r="O85" s="15">
        <f t="shared" si="35"/>
        <v>0</v>
      </c>
      <c r="P85" s="15">
        <f t="shared" si="36"/>
        <v>8</v>
      </c>
      <c r="R85" s="8"/>
      <c r="T85"/>
    </row>
    <row r="86" spans="2:20" ht="23.1" customHeight="1" x14ac:dyDescent="0.25">
      <c r="B86" s="46" t="s">
        <v>126</v>
      </c>
      <c r="C86" s="50">
        <v>2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1</v>
      </c>
      <c r="M86" s="50">
        <v>4</v>
      </c>
      <c r="N86" s="50">
        <v>0</v>
      </c>
      <c r="O86" s="15">
        <f t="shared" si="35"/>
        <v>3</v>
      </c>
      <c r="P86" s="15">
        <f t="shared" si="36"/>
        <v>7</v>
      </c>
      <c r="R86" s="8"/>
      <c r="T86"/>
    </row>
    <row r="87" spans="2:20" ht="23.1" customHeight="1" x14ac:dyDescent="0.25">
      <c r="B87" s="45" t="s">
        <v>127</v>
      </c>
      <c r="C87" s="50">
        <v>4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7</v>
      </c>
      <c r="M87" s="50">
        <v>6</v>
      </c>
      <c r="N87" s="50">
        <v>0</v>
      </c>
      <c r="O87" s="15">
        <f t="shared" si="35"/>
        <v>11</v>
      </c>
      <c r="P87" s="15">
        <f t="shared" si="36"/>
        <v>17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3</v>
      </c>
      <c r="N88" s="50">
        <v>0</v>
      </c>
      <c r="O88" s="15">
        <f t="shared" si="35"/>
        <v>0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8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9</v>
      </c>
      <c r="N89" s="50">
        <v>0</v>
      </c>
      <c r="O89" s="15">
        <f t="shared" si="35"/>
        <v>8</v>
      </c>
      <c r="P89" s="15">
        <f t="shared" si="36"/>
        <v>17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3</v>
      </c>
      <c r="N90" s="50">
        <v>0</v>
      </c>
      <c r="O90" s="15">
        <f t="shared" si="35"/>
        <v>1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2</v>
      </c>
      <c r="P91" s="15">
        <f t="shared" si="36"/>
        <v>3</v>
      </c>
      <c r="R91" s="8"/>
      <c r="T91"/>
    </row>
    <row r="92" spans="2:20" ht="23.1" customHeight="1" x14ac:dyDescent="0.25">
      <c r="B92" s="47" t="s">
        <v>132</v>
      </c>
      <c r="C92" s="50">
        <v>3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11</v>
      </c>
      <c r="N92" s="50">
        <v>0</v>
      </c>
      <c r="O92" s="15">
        <f t="shared" si="35"/>
        <v>3</v>
      </c>
      <c r="P92" s="15">
        <f t="shared" si="36"/>
        <v>14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5</v>
      </c>
      <c r="N93" s="50">
        <v>0</v>
      </c>
      <c r="O93" s="15">
        <f t="shared" si="35"/>
        <v>1</v>
      </c>
      <c r="P93" s="15">
        <f t="shared" si="36"/>
        <v>6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4</v>
      </c>
      <c r="N94" s="50">
        <v>0</v>
      </c>
      <c r="O94" s="15">
        <f t="shared" si="35"/>
        <v>1</v>
      </c>
      <c r="P94" s="15">
        <f t="shared" si="36"/>
        <v>5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3</v>
      </c>
      <c r="N95" s="50">
        <v>0</v>
      </c>
      <c r="O95" s="15">
        <f t="shared" si="35"/>
        <v>2</v>
      </c>
      <c r="P95" s="15">
        <f t="shared" si="36"/>
        <v>5</v>
      </c>
      <c r="R95" s="8"/>
      <c r="T95"/>
    </row>
    <row r="96" spans="2:20" ht="23.1" customHeight="1" x14ac:dyDescent="0.25">
      <c r="B96" s="47" t="s">
        <v>136</v>
      </c>
      <c r="C96" s="50">
        <v>6</v>
      </c>
      <c r="D96" s="50">
        <v>0</v>
      </c>
      <c r="E96" s="50">
        <v>0</v>
      </c>
      <c r="F96" s="50">
        <v>3</v>
      </c>
      <c r="G96" s="50">
        <v>0</v>
      </c>
      <c r="H96" s="50">
        <v>0</v>
      </c>
      <c r="I96" s="50">
        <v>0</v>
      </c>
      <c r="J96" s="50">
        <v>1</v>
      </c>
      <c r="K96" s="50">
        <v>0</v>
      </c>
      <c r="L96" s="50">
        <v>0</v>
      </c>
      <c r="M96" s="50">
        <v>11</v>
      </c>
      <c r="N96" s="50">
        <v>0</v>
      </c>
      <c r="O96" s="15">
        <f t="shared" si="35"/>
        <v>10</v>
      </c>
      <c r="P96" s="15">
        <f t="shared" si="36"/>
        <v>21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1</v>
      </c>
      <c r="F97" s="50">
        <v>4</v>
      </c>
      <c r="G97" s="50">
        <v>0</v>
      </c>
      <c r="H97" s="50">
        <v>0</v>
      </c>
      <c r="I97" s="50">
        <v>0</v>
      </c>
      <c r="J97" s="50">
        <v>0</v>
      </c>
      <c r="K97" s="50">
        <v>1</v>
      </c>
      <c r="L97" s="50">
        <v>0</v>
      </c>
      <c r="M97" s="50">
        <v>13</v>
      </c>
      <c r="N97" s="50">
        <v>0</v>
      </c>
      <c r="O97" s="15">
        <f t="shared" si="35"/>
        <v>6</v>
      </c>
      <c r="P97" s="15">
        <f t="shared" si="36"/>
        <v>19</v>
      </c>
      <c r="R97" s="8"/>
      <c r="T97"/>
    </row>
    <row r="98" spans="2:20" ht="23.1" customHeight="1" x14ac:dyDescent="0.25">
      <c r="B98" s="46" t="s">
        <v>138</v>
      </c>
      <c r="C98" s="50">
        <v>6</v>
      </c>
      <c r="D98" s="50">
        <v>0</v>
      </c>
      <c r="E98" s="50">
        <v>0</v>
      </c>
      <c r="F98" s="50">
        <v>2</v>
      </c>
      <c r="G98" s="50">
        <v>1</v>
      </c>
      <c r="H98" s="50">
        <v>0</v>
      </c>
      <c r="I98" s="50">
        <v>1</v>
      </c>
      <c r="J98" s="50">
        <v>1</v>
      </c>
      <c r="K98" s="50">
        <v>0</v>
      </c>
      <c r="L98" s="50">
        <v>0</v>
      </c>
      <c r="M98" s="50">
        <v>14</v>
      </c>
      <c r="N98" s="50">
        <v>0</v>
      </c>
      <c r="O98" s="15">
        <f t="shared" si="35"/>
        <v>11</v>
      </c>
      <c r="P98" s="15">
        <f t="shared" si="36"/>
        <v>25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1</v>
      </c>
      <c r="F99" s="50">
        <v>3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13</v>
      </c>
      <c r="N99" s="50">
        <v>0</v>
      </c>
      <c r="O99" s="15">
        <f t="shared" si="35"/>
        <v>5</v>
      </c>
      <c r="P99" s="15">
        <f t="shared" si="36"/>
        <v>18</v>
      </c>
      <c r="R99" s="8"/>
      <c r="T99"/>
    </row>
    <row r="100" spans="2:20" ht="23.1" customHeight="1" x14ac:dyDescent="0.25">
      <c r="B100" s="47" t="s">
        <v>140</v>
      </c>
      <c r="C100" s="50">
        <v>6</v>
      </c>
      <c r="D100" s="50">
        <v>0</v>
      </c>
      <c r="E100" s="50">
        <v>4</v>
      </c>
      <c r="F100" s="50">
        <v>6</v>
      </c>
      <c r="G100" s="50">
        <v>3</v>
      </c>
      <c r="H100" s="50">
        <v>0</v>
      </c>
      <c r="I100" s="50">
        <v>0</v>
      </c>
      <c r="J100" s="50">
        <v>1</v>
      </c>
      <c r="K100" s="50">
        <v>1</v>
      </c>
      <c r="L100" s="50">
        <v>3</v>
      </c>
      <c r="M100" s="50">
        <v>29</v>
      </c>
      <c r="N100" s="50">
        <v>0</v>
      </c>
      <c r="O100" s="15">
        <f t="shared" si="35"/>
        <v>24</v>
      </c>
      <c r="P100" s="15">
        <f t="shared" si="36"/>
        <v>53</v>
      </c>
      <c r="R100" s="8"/>
      <c r="T100"/>
    </row>
    <row r="101" spans="2:20" ht="23.1" customHeight="1" x14ac:dyDescent="0.25">
      <c r="B101" s="45" t="s">
        <v>141</v>
      </c>
      <c r="C101" s="50">
        <v>12</v>
      </c>
      <c r="D101" s="50">
        <v>3</v>
      </c>
      <c r="E101" s="50">
        <v>0</v>
      </c>
      <c r="F101" s="50">
        <v>6</v>
      </c>
      <c r="G101" s="50">
        <v>3</v>
      </c>
      <c r="H101" s="50">
        <v>0</v>
      </c>
      <c r="I101" s="50">
        <v>0</v>
      </c>
      <c r="J101" s="50">
        <v>1</v>
      </c>
      <c r="K101" s="50">
        <v>0</v>
      </c>
      <c r="L101" s="50">
        <v>1</v>
      </c>
      <c r="M101" s="50">
        <v>12</v>
      </c>
      <c r="N101" s="50">
        <v>0</v>
      </c>
      <c r="O101" s="15">
        <f t="shared" si="35"/>
        <v>26</v>
      </c>
      <c r="P101" s="15">
        <f t="shared" si="36"/>
        <v>38</v>
      </c>
      <c r="R101" s="8"/>
      <c r="T101"/>
    </row>
    <row r="102" spans="2:20" ht="23.1" customHeight="1" x14ac:dyDescent="0.25">
      <c r="B102" s="46" t="s">
        <v>142</v>
      </c>
      <c r="C102" s="50">
        <v>11</v>
      </c>
      <c r="D102" s="50">
        <v>4</v>
      </c>
      <c r="E102" s="50">
        <v>5</v>
      </c>
      <c r="F102" s="50">
        <v>11</v>
      </c>
      <c r="G102" s="50">
        <v>2</v>
      </c>
      <c r="H102" s="50">
        <v>0</v>
      </c>
      <c r="I102" s="50">
        <v>1</v>
      </c>
      <c r="J102" s="50">
        <v>2</v>
      </c>
      <c r="K102" s="50">
        <v>0</v>
      </c>
      <c r="L102" s="50">
        <v>0</v>
      </c>
      <c r="M102" s="50">
        <v>34</v>
      </c>
      <c r="N102" s="50">
        <v>0</v>
      </c>
      <c r="O102" s="15">
        <f t="shared" si="35"/>
        <v>36</v>
      </c>
      <c r="P102" s="15">
        <f t="shared" si="36"/>
        <v>70</v>
      </c>
      <c r="R102" s="8"/>
      <c r="T102"/>
    </row>
    <row r="103" spans="2:20" ht="23.1" customHeight="1" x14ac:dyDescent="0.25">
      <c r="B103" s="45" t="s">
        <v>143</v>
      </c>
      <c r="C103" s="50">
        <v>18</v>
      </c>
      <c r="D103" s="50">
        <v>2</v>
      </c>
      <c r="E103" s="50">
        <v>7</v>
      </c>
      <c r="F103" s="50">
        <v>7</v>
      </c>
      <c r="G103" s="50">
        <v>0</v>
      </c>
      <c r="H103" s="50">
        <v>0</v>
      </c>
      <c r="I103" s="50">
        <v>1</v>
      </c>
      <c r="J103" s="50">
        <v>2</v>
      </c>
      <c r="K103" s="50">
        <v>1</v>
      </c>
      <c r="L103" s="50">
        <v>0</v>
      </c>
      <c r="M103" s="50">
        <v>55</v>
      </c>
      <c r="N103" s="50">
        <v>0</v>
      </c>
      <c r="O103" s="15">
        <f t="shared" si="35"/>
        <v>38</v>
      </c>
      <c r="P103" s="15">
        <f t="shared" si="36"/>
        <v>93</v>
      </c>
      <c r="R103" s="8"/>
      <c r="T103"/>
    </row>
    <row r="104" spans="2:20" ht="23.1" customHeight="1" x14ac:dyDescent="0.25">
      <c r="B104" s="47" t="s">
        <v>144</v>
      </c>
      <c r="C104" s="50">
        <v>26</v>
      </c>
      <c r="D104" s="50">
        <v>3</v>
      </c>
      <c r="E104" s="50">
        <v>3</v>
      </c>
      <c r="F104" s="50">
        <v>10</v>
      </c>
      <c r="G104" s="50">
        <v>0</v>
      </c>
      <c r="H104" s="50">
        <v>0</v>
      </c>
      <c r="I104" s="50">
        <v>1</v>
      </c>
      <c r="J104" s="50">
        <v>5</v>
      </c>
      <c r="K104" s="50">
        <v>1</v>
      </c>
      <c r="L104" s="50">
        <v>0</v>
      </c>
      <c r="M104" s="50">
        <v>51</v>
      </c>
      <c r="N104" s="50">
        <v>0</v>
      </c>
      <c r="O104" s="15">
        <f t="shared" si="35"/>
        <v>49</v>
      </c>
      <c r="P104" s="15">
        <f t="shared" si="36"/>
        <v>100</v>
      </c>
      <c r="R104" s="8"/>
      <c r="T104"/>
    </row>
    <row r="105" spans="2:20" ht="23.1" customHeight="1" x14ac:dyDescent="0.25">
      <c r="B105" s="45" t="s">
        <v>145</v>
      </c>
      <c r="C105" s="50">
        <v>25</v>
      </c>
      <c r="D105" s="50">
        <v>3</v>
      </c>
      <c r="E105" s="50">
        <v>5</v>
      </c>
      <c r="F105" s="50">
        <v>15</v>
      </c>
      <c r="G105" s="50">
        <v>3</v>
      </c>
      <c r="H105" s="50">
        <v>0</v>
      </c>
      <c r="I105" s="50">
        <v>2</v>
      </c>
      <c r="J105" s="50">
        <v>7</v>
      </c>
      <c r="K105" s="50">
        <v>0</v>
      </c>
      <c r="L105" s="50">
        <v>3</v>
      </c>
      <c r="M105" s="50">
        <v>55</v>
      </c>
      <c r="N105" s="50">
        <v>0</v>
      </c>
      <c r="O105" s="15">
        <f t="shared" si="35"/>
        <v>63</v>
      </c>
      <c r="P105" s="15">
        <f t="shared" si="36"/>
        <v>118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3877</v>
      </c>
      <c r="D106" s="16">
        <f t="shared" ref="D106:P106" si="37">SUM(D10:D105)</f>
        <v>367</v>
      </c>
      <c r="E106" s="16">
        <f t="shared" si="37"/>
        <v>491</v>
      </c>
      <c r="F106" s="16">
        <f t="shared" si="37"/>
        <v>926</v>
      </c>
      <c r="G106" s="16">
        <f t="shared" si="37"/>
        <v>184</v>
      </c>
      <c r="H106" s="16">
        <f t="shared" si="37"/>
        <v>11</v>
      </c>
      <c r="I106" s="16">
        <f t="shared" si="37"/>
        <v>299</v>
      </c>
      <c r="J106" s="16">
        <f t="shared" si="37"/>
        <v>244</v>
      </c>
      <c r="K106" s="16">
        <f t="shared" si="37"/>
        <v>140</v>
      </c>
      <c r="L106" s="16">
        <f t="shared" si="37"/>
        <v>217</v>
      </c>
      <c r="M106" s="16">
        <f t="shared" si="37"/>
        <v>8102</v>
      </c>
      <c r="N106" s="16">
        <f t="shared" si="37"/>
        <v>1</v>
      </c>
      <c r="O106" s="16">
        <f t="shared" si="37"/>
        <v>6757</v>
      </c>
      <c r="P106" s="16">
        <f t="shared" si="37"/>
        <v>14859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0.26091930816340264</v>
      </c>
      <c r="D107" s="43">
        <f t="shared" si="38"/>
        <v>2.469883572245777E-2</v>
      </c>
      <c r="E107" s="43">
        <f t="shared" si="38"/>
        <v>3.3043946429773201E-2</v>
      </c>
      <c r="F107" s="43">
        <f t="shared" si="38"/>
        <v>6.2319133185274919E-2</v>
      </c>
      <c r="G107" s="43">
        <f t="shared" si="38"/>
        <v>1.2383067501177738E-2</v>
      </c>
      <c r="H107" s="43">
        <f t="shared" si="38"/>
        <v>7.4029207887475604E-4</v>
      </c>
      <c r="I107" s="43">
        <f t="shared" si="38"/>
        <v>2.0122484689413824E-2</v>
      </c>
      <c r="J107" s="43">
        <f t="shared" si="38"/>
        <v>1.6421024295040044E-2</v>
      </c>
      <c r="K107" s="43">
        <f t="shared" si="38"/>
        <v>9.4218991856787129E-3</v>
      </c>
      <c r="L107" s="43">
        <f t="shared" si="38"/>
        <v>1.4603943737802005E-2</v>
      </c>
      <c r="M107" s="43">
        <f t="shared" si="38"/>
        <v>0.54525876573120668</v>
      </c>
      <c r="N107" s="43">
        <f t="shared" si="38"/>
        <v>6.7299279897705091E-5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0.57377534408761288</v>
      </c>
      <c r="D108" s="44">
        <f t="shared" ref="D108:N108" si="39">D106/$O$106</f>
        <v>5.4314044694391002E-2</v>
      </c>
      <c r="E108" s="44">
        <f t="shared" si="39"/>
        <v>7.2665384046174342E-2</v>
      </c>
      <c r="F108" s="44">
        <f t="shared" si="39"/>
        <v>0.13704306644960781</v>
      </c>
      <c r="G108" s="44">
        <f t="shared" si="39"/>
        <v>2.7231019683291401E-2</v>
      </c>
      <c r="H108" s="44">
        <f t="shared" si="39"/>
        <v>1.627941394109812E-3</v>
      </c>
      <c r="I108" s="44">
        <f t="shared" si="39"/>
        <v>4.4250406985348524E-2</v>
      </c>
      <c r="J108" s="44">
        <f t="shared" si="39"/>
        <v>3.611070001479947E-2</v>
      </c>
      <c r="K108" s="44">
        <f t="shared" si="39"/>
        <v>2.0719254106852155E-2</v>
      </c>
      <c r="L108" s="44">
        <f t="shared" si="39"/>
        <v>3.2114843865620836E-2</v>
      </c>
      <c r="M108" s="44"/>
      <c r="N108" s="44">
        <f t="shared" si="39"/>
        <v>1.4799467219180109E-4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22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C10" sqref="C10:N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Kinawataka-Kireka'!C3:G3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'01.08 Kinawataka-Kireka-24h'!D5</f>
        <v>01.08.19</v>
      </c>
      <c r="E5" s="3"/>
      <c r="F5" s="41" t="s">
        <v>1</v>
      </c>
      <c r="G5" s="63" t="str">
        <f>'01.08 Kinawataka-Kireka-24h'!G5:H5</f>
        <v>Kireka road</v>
      </c>
      <c r="H5" s="64"/>
      <c r="I5" s="14"/>
      <c r="J5" s="2" t="s">
        <v>5</v>
      </c>
      <c r="K5" s="63" t="s">
        <v>175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Kireka-Kinawataka'!D6:E6</f>
        <v>Kireka</v>
      </c>
      <c r="E6" s="64"/>
      <c r="F6" s="2" t="s">
        <v>2</v>
      </c>
      <c r="G6" s="63" t="str">
        <f>'30.07 Kireka-Kinawataka'!G6:H6</f>
        <v>Kinawataka</v>
      </c>
      <c r="H6" s="64"/>
      <c r="J6" s="2" t="s">
        <v>21</v>
      </c>
      <c r="K6" s="63" t="str">
        <f>'01.08 Kinawataka-Kireka-24h'!K6:L6</f>
        <v>Batrice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29</v>
      </c>
      <c r="D10" s="50">
        <v>25</v>
      </c>
      <c r="E10" s="50">
        <v>5</v>
      </c>
      <c r="F10" s="50">
        <v>13</v>
      </c>
      <c r="G10" s="50">
        <v>2</v>
      </c>
      <c r="H10" s="50">
        <v>0</v>
      </c>
      <c r="I10" s="50">
        <v>3</v>
      </c>
      <c r="J10" s="50">
        <v>3</v>
      </c>
      <c r="K10" s="50">
        <v>0</v>
      </c>
      <c r="L10" s="50">
        <v>1</v>
      </c>
      <c r="M10" s="50">
        <v>156</v>
      </c>
      <c r="N10" s="50">
        <v>0</v>
      </c>
      <c r="O10" s="15">
        <f t="shared" ref="O10:O73" si="0">SUM(C10:L10,N10)</f>
        <v>81</v>
      </c>
      <c r="P10" s="15">
        <f t="shared" ref="P10:P73" si="1">SUM(C10:N10)</f>
        <v>237</v>
      </c>
      <c r="R10" s="1" t="s">
        <v>6</v>
      </c>
      <c r="S10" s="17">
        <f t="shared" ref="S10:AF10" si="2">SUM(C10:C13)</f>
        <v>257</v>
      </c>
      <c r="T10" s="17">
        <f t="shared" si="2"/>
        <v>151</v>
      </c>
      <c r="U10" s="17">
        <f t="shared" si="2"/>
        <v>38</v>
      </c>
      <c r="V10" s="17">
        <f t="shared" si="2"/>
        <v>88</v>
      </c>
      <c r="W10" s="17">
        <f t="shared" si="2"/>
        <v>8</v>
      </c>
      <c r="X10" s="17">
        <f t="shared" si="2"/>
        <v>2</v>
      </c>
      <c r="Y10" s="17">
        <f t="shared" si="2"/>
        <v>10</v>
      </c>
      <c r="Z10" s="17">
        <f t="shared" si="2"/>
        <v>12</v>
      </c>
      <c r="AA10" s="17">
        <f t="shared" si="2"/>
        <v>3</v>
      </c>
      <c r="AB10" s="17">
        <f t="shared" si="2"/>
        <v>8</v>
      </c>
      <c r="AC10" s="17">
        <f t="shared" si="2"/>
        <v>736</v>
      </c>
      <c r="AD10" s="17">
        <f t="shared" si="2"/>
        <v>0</v>
      </c>
      <c r="AE10" s="31">
        <f t="shared" si="2"/>
        <v>577</v>
      </c>
      <c r="AF10" s="31">
        <f t="shared" si="2"/>
        <v>1313</v>
      </c>
    </row>
    <row r="11" spans="2:32" s="6" customFormat="1" ht="23.1" customHeight="1" x14ac:dyDescent="0.25">
      <c r="B11" s="45" t="s">
        <v>38</v>
      </c>
      <c r="C11" s="50">
        <v>71</v>
      </c>
      <c r="D11" s="50">
        <v>38</v>
      </c>
      <c r="E11" s="50">
        <v>16</v>
      </c>
      <c r="F11" s="50">
        <v>33</v>
      </c>
      <c r="G11" s="50">
        <v>4</v>
      </c>
      <c r="H11" s="50">
        <v>1</v>
      </c>
      <c r="I11" s="50">
        <v>1</v>
      </c>
      <c r="J11" s="50">
        <v>2</v>
      </c>
      <c r="K11" s="50">
        <v>1</v>
      </c>
      <c r="L11" s="50">
        <v>2</v>
      </c>
      <c r="M11" s="50">
        <v>173</v>
      </c>
      <c r="N11" s="50">
        <v>0</v>
      </c>
      <c r="O11" s="15">
        <f t="shared" si="0"/>
        <v>169</v>
      </c>
      <c r="P11" s="15">
        <f t="shared" si="1"/>
        <v>342</v>
      </c>
      <c r="R11" s="1" t="s">
        <v>7</v>
      </c>
      <c r="S11" s="17">
        <f t="shared" ref="S11:AF11" si="3">SUM(C14:C17)</f>
        <v>275</v>
      </c>
      <c r="T11" s="17">
        <f t="shared" si="3"/>
        <v>162</v>
      </c>
      <c r="U11" s="17">
        <f t="shared" si="3"/>
        <v>40</v>
      </c>
      <c r="V11" s="17">
        <f t="shared" si="3"/>
        <v>94</v>
      </c>
      <c r="W11" s="17">
        <f t="shared" si="3"/>
        <v>6</v>
      </c>
      <c r="X11" s="17">
        <f t="shared" si="3"/>
        <v>3</v>
      </c>
      <c r="Y11" s="17">
        <f t="shared" si="3"/>
        <v>18</v>
      </c>
      <c r="Z11" s="17">
        <f t="shared" si="3"/>
        <v>29</v>
      </c>
      <c r="AA11" s="17">
        <f t="shared" si="3"/>
        <v>10</v>
      </c>
      <c r="AB11" s="17">
        <f t="shared" si="3"/>
        <v>17</v>
      </c>
      <c r="AC11" s="17">
        <f t="shared" si="3"/>
        <v>674</v>
      </c>
      <c r="AD11" s="17">
        <f t="shared" si="3"/>
        <v>0</v>
      </c>
      <c r="AE11" s="31">
        <f t="shared" si="3"/>
        <v>654</v>
      </c>
      <c r="AF11" s="31">
        <f t="shared" si="3"/>
        <v>1328</v>
      </c>
    </row>
    <row r="12" spans="2:32" ht="23.1" customHeight="1" x14ac:dyDescent="0.25">
      <c r="B12" s="45" t="s">
        <v>39</v>
      </c>
      <c r="C12" s="50">
        <v>80</v>
      </c>
      <c r="D12" s="50">
        <v>42</v>
      </c>
      <c r="E12" s="50">
        <v>7</v>
      </c>
      <c r="F12" s="50">
        <v>23</v>
      </c>
      <c r="G12" s="50">
        <v>0</v>
      </c>
      <c r="H12" s="50">
        <v>0</v>
      </c>
      <c r="I12" s="50">
        <v>1</v>
      </c>
      <c r="J12" s="50">
        <v>3</v>
      </c>
      <c r="K12" s="50">
        <v>1</v>
      </c>
      <c r="L12" s="50">
        <v>1</v>
      </c>
      <c r="M12" s="50">
        <v>202</v>
      </c>
      <c r="N12" s="50">
        <v>0</v>
      </c>
      <c r="O12" s="15">
        <f t="shared" si="0"/>
        <v>158</v>
      </c>
      <c r="P12" s="15">
        <f t="shared" si="1"/>
        <v>360</v>
      </c>
      <c r="R12" s="1" t="s">
        <v>8</v>
      </c>
      <c r="S12" s="17">
        <f t="shared" ref="S12:AF12" si="4">SUM(C18:C21)</f>
        <v>198</v>
      </c>
      <c r="T12" s="17">
        <f t="shared" si="4"/>
        <v>170</v>
      </c>
      <c r="U12" s="17">
        <f t="shared" si="4"/>
        <v>56</v>
      </c>
      <c r="V12" s="17">
        <f t="shared" si="4"/>
        <v>118</v>
      </c>
      <c r="W12" s="17">
        <f t="shared" si="4"/>
        <v>15</v>
      </c>
      <c r="X12" s="17">
        <f t="shared" si="4"/>
        <v>3</v>
      </c>
      <c r="Y12" s="17">
        <f t="shared" si="4"/>
        <v>20</v>
      </c>
      <c r="Z12" s="17">
        <f t="shared" si="4"/>
        <v>48</v>
      </c>
      <c r="AA12" s="17">
        <f t="shared" si="4"/>
        <v>11</v>
      </c>
      <c r="AB12" s="17">
        <f t="shared" si="4"/>
        <v>21</v>
      </c>
      <c r="AC12" s="17">
        <f t="shared" si="4"/>
        <v>492</v>
      </c>
      <c r="AD12" s="17">
        <f t="shared" si="4"/>
        <v>0</v>
      </c>
      <c r="AE12" s="31">
        <f t="shared" si="4"/>
        <v>660</v>
      </c>
      <c r="AF12" s="31">
        <f t="shared" si="4"/>
        <v>1152</v>
      </c>
    </row>
    <row r="13" spans="2:32" ht="23.1" customHeight="1" x14ac:dyDescent="0.25">
      <c r="B13" s="45" t="s">
        <v>40</v>
      </c>
      <c r="C13" s="50">
        <v>77</v>
      </c>
      <c r="D13" s="50">
        <v>46</v>
      </c>
      <c r="E13" s="50">
        <v>10</v>
      </c>
      <c r="F13" s="50">
        <v>19</v>
      </c>
      <c r="G13" s="50">
        <v>2</v>
      </c>
      <c r="H13" s="50">
        <v>1</v>
      </c>
      <c r="I13" s="50">
        <v>5</v>
      </c>
      <c r="J13" s="50">
        <v>4</v>
      </c>
      <c r="K13" s="50">
        <v>1</v>
      </c>
      <c r="L13" s="50">
        <v>4</v>
      </c>
      <c r="M13" s="50">
        <v>205</v>
      </c>
      <c r="N13" s="50">
        <v>0</v>
      </c>
      <c r="O13" s="15">
        <f t="shared" si="0"/>
        <v>169</v>
      </c>
      <c r="P13" s="15">
        <f t="shared" si="1"/>
        <v>374</v>
      </c>
      <c r="R13" s="1" t="s">
        <v>9</v>
      </c>
      <c r="S13" s="17">
        <f t="shared" ref="S13:AF13" si="5">SUM(C22:C25)</f>
        <v>103</v>
      </c>
      <c r="T13" s="17">
        <f t="shared" si="5"/>
        <v>83</v>
      </c>
      <c r="U13" s="17">
        <f t="shared" si="5"/>
        <v>36</v>
      </c>
      <c r="V13" s="17">
        <f t="shared" si="5"/>
        <v>60</v>
      </c>
      <c r="W13" s="17">
        <f t="shared" si="5"/>
        <v>4</v>
      </c>
      <c r="X13" s="17">
        <f t="shared" si="5"/>
        <v>2</v>
      </c>
      <c r="Y13" s="17">
        <f t="shared" si="5"/>
        <v>16</v>
      </c>
      <c r="Z13" s="17">
        <f t="shared" si="5"/>
        <v>31</v>
      </c>
      <c r="AA13" s="17">
        <f t="shared" si="5"/>
        <v>5</v>
      </c>
      <c r="AB13" s="17">
        <f t="shared" si="5"/>
        <v>5</v>
      </c>
      <c r="AC13" s="17">
        <f t="shared" si="5"/>
        <v>384</v>
      </c>
      <c r="AD13" s="17">
        <f t="shared" si="5"/>
        <v>0</v>
      </c>
      <c r="AE13" s="31">
        <f t="shared" si="5"/>
        <v>345</v>
      </c>
      <c r="AF13" s="31">
        <f t="shared" si="5"/>
        <v>729</v>
      </c>
    </row>
    <row r="14" spans="2:32" ht="23.1" customHeight="1" x14ac:dyDescent="0.25">
      <c r="B14" s="45" t="s">
        <v>41</v>
      </c>
      <c r="C14" s="50">
        <v>69</v>
      </c>
      <c r="D14" s="50">
        <v>45</v>
      </c>
      <c r="E14" s="50">
        <v>6</v>
      </c>
      <c r="F14" s="50">
        <v>19</v>
      </c>
      <c r="G14" s="50">
        <v>3</v>
      </c>
      <c r="H14" s="50">
        <v>2</v>
      </c>
      <c r="I14" s="50">
        <v>7</v>
      </c>
      <c r="J14" s="50">
        <v>2</v>
      </c>
      <c r="K14" s="50">
        <v>4</v>
      </c>
      <c r="L14" s="50">
        <v>4</v>
      </c>
      <c r="M14" s="50">
        <v>176</v>
      </c>
      <c r="N14" s="50">
        <v>0</v>
      </c>
      <c r="O14" s="15">
        <f t="shared" si="0"/>
        <v>161</v>
      </c>
      <c r="P14" s="15">
        <f t="shared" si="1"/>
        <v>337</v>
      </c>
      <c r="R14" s="1" t="s">
        <v>10</v>
      </c>
      <c r="S14" s="17">
        <f t="shared" ref="S14:AF14" si="6">SUM(C26:C29)</f>
        <v>145</v>
      </c>
      <c r="T14" s="17">
        <f t="shared" si="6"/>
        <v>92</v>
      </c>
      <c r="U14" s="17">
        <f t="shared" si="6"/>
        <v>24</v>
      </c>
      <c r="V14" s="17">
        <f t="shared" si="6"/>
        <v>63</v>
      </c>
      <c r="W14" s="17">
        <f t="shared" si="6"/>
        <v>1</v>
      </c>
      <c r="X14" s="17">
        <f t="shared" si="6"/>
        <v>3</v>
      </c>
      <c r="Y14" s="17">
        <f t="shared" si="6"/>
        <v>17</v>
      </c>
      <c r="Z14" s="17">
        <f t="shared" si="6"/>
        <v>42</v>
      </c>
      <c r="AA14" s="17">
        <f t="shared" si="6"/>
        <v>75</v>
      </c>
      <c r="AB14" s="17">
        <f t="shared" si="6"/>
        <v>11</v>
      </c>
      <c r="AC14" s="17">
        <f t="shared" si="6"/>
        <v>294</v>
      </c>
      <c r="AD14" s="17">
        <f t="shared" si="6"/>
        <v>0</v>
      </c>
      <c r="AE14" s="31">
        <f t="shared" si="6"/>
        <v>473</v>
      </c>
      <c r="AF14" s="31">
        <f t="shared" si="6"/>
        <v>767</v>
      </c>
    </row>
    <row r="15" spans="2:32" ht="23.1" customHeight="1" x14ac:dyDescent="0.25">
      <c r="B15" s="45" t="s">
        <v>42</v>
      </c>
      <c r="C15" s="50">
        <v>70</v>
      </c>
      <c r="D15" s="50">
        <v>36</v>
      </c>
      <c r="E15" s="50">
        <v>9</v>
      </c>
      <c r="F15" s="50">
        <v>21</v>
      </c>
      <c r="G15" s="50">
        <v>2</v>
      </c>
      <c r="H15" s="50">
        <v>1</v>
      </c>
      <c r="I15" s="50">
        <v>4</v>
      </c>
      <c r="J15" s="50">
        <v>7</v>
      </c>
      <c r="K15" s="50">
        <v>2</v>
      </c>
      <c r="L15" s="50">
        <v>2</v>
      </c>
      <c r="M15" s="50">
        <v>145</v>
      </c>
      <c r="N15" s="50">
        <v>0</v>
      </c>
      <c r="O15" s="15">
        <f t="shared" si="0"/>
        <v>154</v>
      </c>
      <c r="P15" s="15">
        <f t="shared" si="1"/>
        <v>299</v>
      </c>
      <c r="R15" s="1" t="s">
        <v>11</v>
      </c>
      <c r="S15" s="17">
        <f t="shared" ref="S15:AF15" si="7">SUM(C30:C33)</f>
        <v>163</v>
      </c>
      <c r="T15" s="17">
        <f t="shared" si="7"/>
        <v>111</v>
      </c>
      <c r="U15" s="17">
        <f t="shared" si="7"/>
        <v>34</v>
      </c>
      <c r="V15" s="17">
        <f t="shared" si="7"/>
        <v>87</v>
      </c>
      <c r="W15" s="17">
        <f t="shared" si="7"/>
        <v>3</v>
      </c>
      <c r="X15" s="17">
        <f t="shared" si="7"/>
        <v>1</v>
      </c>
      <c r="Y15" s="17">
        <f t="shared" si="7"/>
        <v>39</v>
      </c>
      <c r="Z15" s="17">
        <f t="shared" si="7"/>
        <v>50</v>
      </c>
      <c r="AA15" s="17">
        <f t="shared" si="7"/>
        <v>8</v>
      </c>
      <c r="AB15" s="17">
        <f t="shared" si="7"/>
        <v>15</v>
      </c>
      <c r="AC15" s="17">
        <f t="shared" si="7"/>
        <v>436</v>
      </c>
      <c r="AD15" s="17">
        <f t="shared" si="7"/>
        <v>0</v>
      </c>
      <c r="AE15" s="31">
        <f t="shared" si="7"/>
        <v>511</v>
      </c>
      <c r="AF15" s="31">
        <f t="shared" si="7"/>
        <v>947</v>
      </c>
    </row>
    <row r="16" spans="2:32" ht="23.1" customHeight="1" x14ac:dyDescent="0.25">
      <c r="B16" s="45" t="s">
        <v>43</v>
      </c>
      <c r="C16" s="50">
        <v>77</v>
      </c>
      <c r="D16" s="50">
        <v>38</v>
      </c>
      <c r="E16" s="50">
        <v>6</v>
      </c>
      <c r="F16" s="50">
        <v>20</v>
      </c>
      <c r="G16" s="50">
        <v>1</v>
      </c>
      <c r="H16" s="50">
        <v>0</v>
      </c>
      <c r="I16" s="50">
        <v>1</v>
      </c>
      <c r="J16" s="50">
        <v>10</v>
      </c>
      <c r="K16" s="50">
        <v>1</v>
      </c>
      <c r="L16" s="50">
        <v>6</v>
      </c>
      <c r="M16" s="50">
        <v>198</v>
      </c>
      <c r="N16" s="50">
        <v>0</v>
      </c>
      <c r="O16" s="15">
        <f t="shared" si="0"/>
        <v>160</v>
      </c>
      <c r="P16" s="15">
        <f t="shared" si="1"/>
        <v>358</v>
      </c>
      <c r="R16" s="1" t="s">
        <v>12</v>
      </c>
      <c r="S16" s="17">
        <f t="shared" ref="S16:AF16" si="8">SUM(C34:C37)</f>
        <v>148</v>
      </c>
      <c r="T16" s="17">
        <f t="shared" si="8"/>
        <v>99</v>
      </c>
      <c r="U16" s="17">
        <f t="shared" si="8"/>
        <v>33</v>
      </c>
      <c r="V16" s="17">
        <f t="shared" si="8"/>
        <v>58</v>
      </c>
      <c r="W16" s="17">
        <f t="shared" si="8"/>
        <v>1</v>
      </c>
      <c r="X16" s="17">
        <f t="shared" si="8"/>
        <v>0</v>
      </c>
      <c r="Y16" s="17">
        <f t="shared" si="8"/>
        <v>31</v>
      </c>
      <c r="Z16" s="17">
        <f t="shared" si="8"/>
        <v>33</v>
      </c>
      <c r="AA16" s="17">
        <f t="shared" si="8"/>
        <v>10</v>
      </c>
      <c r="AB16" s="17">
        <f t="shared" si="8"/>
        <v>17</v>
      </c>
      <c r="AC16" s="17">
        <f t="shared" si="8"/>
        <v>275</v>
      </c>
      <c r="AD16" s="17">
        <f t="shared" si="8"/>
        <v>0</v>
      </c>
      <c r="AE16" s="31">
        <f t="shared" si="8"/>
        <v>430</v>
      </c>
      <c r="AF16" s="31">
        <f t="shared" si="8"/>
        <v>705</v>
      </c>
    </row>
    <row r="17" spans="2:32" ht="23.1" customHeight="1" x14ac:dyDescent="0.25">
      <c r="B17" s="45" t="s">
        <v>44</v>
      </c>
      <c r="C17" s="50">
        <v>59</v>
      </c>
      <c r="D17" s="50">
        <v>43</v>
      </c>
      <c r="E17" s="50">
        <v>19</v>
      </c>
      <c r="F17" s="50">
        <v>34</v>
      </c>
      <c r="G17" s="50">
        <v>0</v>
      </c>
      <c r="H17" s="50">
        <v>0</v>
      </c>
      <c r="I17" s="50">
        <v>6</v>
      </c>
      <c r="J17" s="50">
        <v>10</v>
      </c>
      <c r="K17" s="50">
        <v>3</v>
      </c>
      <c r="L17" s="50">
        <v>5</v>
      </c>
      <c r="M17" s="50">
        <v>155</v>
      </c>
      <c r="N17" s="50">
        <v>0</v>
      </c>
      <c r="O17" s="15">
        <f t="shared" si="0"/>
        <v>179</v>
      </c>
      <c r="P17" s="15">
        <f t="shared" si="1"/>
        <v>334</v>
      </c>
      <c r="R17" s="1" t="s">
        <v>13</v>
      </c>
      <c r="S17" s="17">
        <f t="shared" ref="S17:AF17" si="9">SUM(C38:C41)</f>
        <v>95</v>
      </c>
      <c r="T17" s="17">
        <f t="shared" si="9"/>
        <v>84</v>
      </c>
      <c r="U17" s="17">
        <f t="shared" si="9"/>
        <v>35</v>
      </c>
      <c r="V17" s="17">
        <f t="shared" si="9"/>
        <v>79</v>
      </c>
      <c r="W17" s="17">
        <f t="shared" si="9"/>
        <v>0</v>
      </c>
      <c r="X17" s="17">
        <f t="shared" si="9"/>
        <v>1</v>
      </c>
      <c r="Y17" s="17">
        <f t="shared" si="9"/>
        <v>37</v>
      </c>
      <c r="Z17" s="17">
        <f t="shared" si="9"/>
        <v>32</v>
      </c>
      <c r="AA17" s="17">
        <f t="shared" si="9"/>
        <v>11</v>
      </c>
      <c r="AB17" s="17">
        <f t="shared" si="9"/>
        <v>15</v>
      </c>
      <c r="AC17" s="17">
        <f t="shared" si="9"/>
        <v>372</v>
      </c>
      <c r="AD17" s="17">
        <f t="shared" si="9"/>
        <v>0</v>
      </c>
      <c r="AE17" s="31">
        <f t="shared" si="9"/>
        <v>389</v>
      </c>
      <c r="AF17" s="31">
        <f t="shared" si="9"/>
        <v>761</v>
      </c>
    </row>
    <row r="18" spans="2:32" ht="23.1" customHeight="1" x14ac:dyDescent="0.25">
      <c r="B18" s="45" t="s">
        <v>45</v>
      </c>
      <c r="C18" s="50">
        <v>46</v>
      </c>
      <c r="D18" s="50">
        <v>40</v>
      </c>
      <c r="E18" s="50">
        <v>12</v>
      </c>
      <c r="F18" s="50">
        <v>29</v>
      </c>
      <c r="G18" s="50">
        <v>1</v>
      </c>
      <c r="H18" s="50">
        <v>1</v>
      </c>
      <c r="I18" s="50">
        <v>6</v>
      </c>
      <c r="J18" s="50">
        <v>12</v>
      </c>
      <c r="K18" s="50">
        <v>1</v>
      </c>
      <c r="L18" s="50">
        <v>2</v>
      </c>
      <c r="M18" s="50">
        <v>138</v>
      </c>
      <c r="N18" s="50">
        <v>0</v>
      </c>
      <c r="O18" s="15">
        <f t="shared" si="0"/>
        <v>150</v>
      </c>
      <c r="P18" s="15">
        <f t="shared" si="1"/>
        <v>288</v>
      </c>
      <c r="R18" s="1" t="s">
        <v>14</v>
      </c>
      <c r="S18" s="17">
        <f t="shared" ref="S18:AF18" si="10">SUM(C42:C45)</f>
        <v>110</v>
      </c>
      <c r="T18" s="17">
        <f t="shared" si="10"/>
        <v>71</v>
      </c>
      <c r="U18" s="17">
        <f t="shared" si="10"/>
        <v>36</v>
      </c>
      <c r="V18" s="17">
        <f t="shared" si="10"/>
        <v>66</v>
      </c>
      <c r="W18" s="17">
        <f t="shared" si="10"/>
        <v>0</v>
      </c>
      <c r="X18" s="17">
        <f t="shared" si="10"/>
        <v>0</v>
      </c>
      <c r="Y18" s="17">
        <f t="shared" si="10"/>
        <v>28</v>
      </c>
      <c r="Z18" s="17">
        <f t="shared" si="10"/>
        <v>30</v>
      </c>
      <c r="AA18" s="17">
        <f t="shared" si="10"/>
        <v>12</v>
      </c>
      <c r="AB18" s="17">
        <f t="shared" si="10"/>
        <v>7</v>
      </c>
      <c r="AC18" s="17">
        <f t="shared" si="10"/>
        <v>333</v>
      </c>
      <c r="AD18" s="17">
        <f t="shared" si="10"/>
        <v>0</v>
      </c>
      <c r="AE18" s="31">
        <f t="shared" si="10"/>
        <v>360</v>
      </c>
      <c r="AF18" s="31">
        <f t="shared" si="10"/>
        <v>693</v>
      </c>
    </row>
    <row r="19" spans="2:32" ht="23.1" customHeight="1" x14ac:dyDescent="0.25">
      <c r="B19" s="45" t="s">
        <v>46</v>
      </c>
      <c r="C19" s="50">
        <v>54</v>
      </c>
      <c r="D19" s="50">
        <v>36</v>
      </c>
      <c r="E19" s="50">
        <v>17</v>
      </c>
      <c r="F19" s="50">
        <v>25</v>
      </c>
      <c r="G19" s="50">
        <v>3</v>
      </c>
      <c r="H19" s="50">
        <v>0</v>
      </c>
      <c r="I19" s="50">
        <v>5</v>
      </c>
      <c r="J19" s="50">
        <v>8</v>
      </c>
      <c r="K19" s="50">
        <v>8</v>
      </c>
      <c r="L19" s="50">
        <v>10</v>
      </c>
      <c r="M19" s="50">
        <v>100</v>
      </c>
      <c r="N19" s="50">
        <v>0</v>
      </c>
      <c r="O19" s="15">
        <f t="shared" si="0"/>
        <v>166</v>
      </c>
      <c r="P19" s="15">
        <f t="shared" si="1"/>
        <v>266</v>
      </c>
      <c r="R19" s="1" t="s">
        <v>15</v>
      </c>
      <c r="S19" s="17">
        <f t="shared" ref="S19:AF19" si="11">SUM(C46:C49)</f>
        <v>116</v>
      </c>
      <c r="T19" s="17">
        <f t="shared" si="11"/>
        <v>80</v>
      </c>
      <c r="U19" s="17">
        <f t="shared" si="11"/>
        <v>39</v>
      </c>
      <c r="V19" s="17">
        <f t="shared" si="11"/>
        <v>63</v>
      </c>
      <c r="W19" s="17">
        <f t="shared" si="11"/>
        <v>3</v>
      </c>
      <c r="X19" s="17">
        <f t="shared" si="11"/>
        <v>0</v>
      </c>
      <c r="Y19" s="17">
        <f t="shared" si="11"/>
        <v>18</v>
      </c>
      <c r="Z19" s="17">
        <f t="shared" si="11"/>
        <v>39</v>
      </c>
      <c r="AA19" s="17">
        <f t="shared" si="11"/>
        <v>10</v>
      </c>
      <c r="AB19" s="17">
        <f t="shared" si="11"/>
        <v>13</v>
      </c>
      <c r="AC19" s="17">
        <f t="shared" si="11"/>
        <v>307</v>
      </c>
      <c r="AD19" s="17">
        <f t="shared" si="11"/>
        <v>0</v>
      </c>
      <c r="AE19" s="31">
        <f t="shared" si="11"/>
        <v>381</v>
      </c>
      <c r="AF19" s="31">
        <f t="shared" si="11"/>
        <v>688</v>
      </c>
    </row>
    <row r="20" spans="2:32" ht="23.1" customHeight="1" x14ac:dyDescent="0.25">
      <c r="B20" s="45" t="s">
        <v>47</v>
      </c>
      <c r="C20" s="50">
        <v>52</v>
      </c>
      <c r="D20" s="50">
        <v>58</v>
      </c>
      <c r="E20" s="50">
        <v>13</v>
      </c>
      <c r="F20" s="50">
        <v>29</v>
      </c>
      <c r="G20" s="50">
        <v>3</v>
      </c>
      <c r="H20" s="50">
        <v>1</v>
      </c>
      <c r="I20" s="50">
        <v>2</v>
      </c>
      <c r="J20" s="50">
        <v>9</v>
      </c>
      <c r="K20" s="50">
        <v>1</v>
      </c>
      <c r="L20" s="50">
        <v>6</v>
      </c>
      <c r="M20" s="50">
        <v>109</v>
      </c>
      <c r="N20" s="50">
        <v>0</v>
      </c>
      <c r="O20" s="15">
        <f t="shared" si="0"/>
        <v>174</v>
      </c>
      <c r="P20" s="15">
        <f t="shared" si="1"/>
        <v>283</v>
      </c>
      <c r="R20" s="1" t="s">
        <v>16</v>
      </c>
      <c r="S20" s="17">
        <f t="shared" ref="S20:AF20" si="12">SUM(C50:C53)</f>
        <v>110</v>
      </c>
      <c r="T20" s="17">
        <f t="shared" si="12"/>
        <v>77</v>
      </c>
      <c r="U20" s="17">
        <f t="shared" si="12"/>
        <v>37</v>
      </c>
      <c r="V20" s="17">
        <f t="shared" si="12"/>
        <v>84</v>
      </c>
      <c r="W20" s="17">
        <f t="shared" si="12"/>
        <v>7</v>
      </c>
      <c r="X20" s="17">
        <f t="shared" si="12"/>
        <v>0</v>
      </c>
      <c r="Y20" s="17">
        <f t="shared" si="12"/>
        <v>18</v>
      </c>
      <c r="Z20" s="17">
        <f t="shared" si="12"/>
        <v>41</v>
      </c>
      <c r="AA20" s="17">
        <f t="shared" si="12"/>
        <v>11</v>
      </c>
      <c r="AB20" s="17">
        <f t="shared" si="12"/>
        <v>10</v>
      </c>
      <c r="AC20" s="17">
        <f t="shared" si="12"/>
        <v>281</v>
      </c>
      <c r="AD20" s="17">
        <f t="shared" si="12"/>
        <v>0</v>
      </c>
      <c r="AE20" s="31">
        <f t="shared" si="12"/>
        <v>395</v>
      </c>
      <c r="AF20" s="31">
        <f t="shared" si="12"/>
        <v>676</v>
      </c>
    </row>
    <row r="21" spans="2:32" ht="23.1" customHeight="1" x14ac:dyDescent="0.25">
      <c r="B21" s="45" t="s">
        <v>48</v>
      </c>
      <c r="C21" s="50">
        <v>46</v>
      </c>
      <c r="D21" s="50">
        <v>36</v>
      </c>
      <c r="E21" s="50">
        <v>14</v>
      </c>
      <c r="F21" s="50">
        <v>35</v>
      </c>
      <c r="G21" s="50">
        <v>8</v>
      </c>
      <c r="H21" s="50">
        <v>1</v>
      </c>
      <c r="I21" s="50">
        <v>7</v>
      </c>
      <c r="J21" s="50">
        <v>19</v>
      </c>
      <c r="K21" s="50">
        <v>1</v>
      </c>
      <c r="L21" s="50">
        <v>3</v>
      </c>
      <c r="M21" s="50">
        <v>145</v>
      </c>
      <c r="N21" s="50">
        <v>0</v>
      </c>
      <c r="O21" s="15">
        <f t="shared" si="0"/>
        <v>170</v>
      </c>
      <c r="P21" s="15">
        <f t="shared" si="1"/>
        <v>315</v>
      </c>
      <c r="R21" s="36" t="s">
        <v>20</v>
      </c>
      <c r="S21" s="34">
        <f t="shared" ref="S21:AF21" si="13">SUM(C54:C57)</f>
        <v>116</v>
      </c>
      <c r="T21" s="17">
        <f t="shared" si="13"/>
        <v>80</v>
      </c>
      <c r="U21" s="17">
        <f t="shared" si="13"/>
        <v>32</v>
      </c>
      <c r="V21" s="17">
        <f t="shared" si="13"/>
        <v>89</v>
      </c>
      <c r="W21" s="17">
        <f t="shared" si="13"/>
        <v>5</v>
      </c>
      <c r="X21" s="17">
        <f t="shared" si="13"/>
        <v>3</v>
      </c>
      <c r="Y21" s="17">
        <f t="shared" si="13"/>
        <v>25</v>
      </c>
      <c r="Z21" s="17">
        <f t="shared" si="13"/>
        <v>13</v>
      </c>
      <c r="AA21" s="17">
        <f t="shared" si="13"/>
        <v>8</v>
      </c>
      <c r="AB21" s="17">
        <f t="shared" si="13"/>
        <v>4</v>
      </c>
      <c r="AC21" s="17">
        <f t="shared" si="13"/>
        <v>294</v>
      </c>
      <c r="AD21" s="17">
        <f t="shared" si="13"/>
        <v>0</v>
      </c>
      <c r="AE21" s="31">
        <f t="shared" si="13"/>
        <v>375</v>
      </c>
      <c r="AF21" s="31">
        <f t="shared" si="13"/>
        <v>669</v>
      </c>
    </row>
    <row r="22" spans="2:32" ht="23.1" customHeight="1" x14ac:dyDescent="0.25">
      <c r="B22" s="45" t="s">
        <v>49</v>
      </c>
      <c r="C22" s="50">
        <v>21</v>
      </c>
      <c r="D22" s="50">
        <v>17</v>
      </c>
      <c r="E22" s="50">
        <v>8</v>
      </c>
      <c r="F22" s="50">
        <v>12</v>
      </c>
      <c r="G22" s="50">
        <v>2</v>
      </c>
      <c r="H22" s="50">
        <v>0</v>
      </c>
      <c r="I22" s="50">
        <v>0</v>
      </c>
      <c r="J22" s="50">
        <v>6</v>
      </c>
      <c r="K22" s="50">
        <v>4</v>
      </c>
      <c r="L22" s="50">
        <v>0</v>
      </c>
      <c r="M22" s="50">
        <v>70</v>
      </c>
      <c r="N22" s="50">
        <v>0</v>
      </c>
      <c r="O22" s="15">
        <f t="shared" si="0"/>
        <v>70</v>
      </c>
      <c r="P22" s="15">
        <f t="shared" si="1"/>
        <v>140</v>
      </c>
      <c r="R22" s="36" t="s">
        <v>146</v>
      </c>
      <c r="S22" s="34">
        <f>SUM(C58:C61)</f>
        <v>111</v>
      </c>
      <c r="T22" s="34">
        <f t="shared" ref="T22:AF22" si="14">SUM(D58:D61)</f>
        <v>25</v>
      </c>
      <c r="U22" s="34">
        <f t="shared" si="14"/>
        <v>41</v>
      </c>
      <c r="V22" s="34">
        <f t="shared" si="14"/>
        <v>73</v>
      </c>
      <c r="W22" s="34">
        <f t="shared" si="14"/>
        <v>1</v>
      </c>
      <c r="X22" s="34">
        <f t="shared" si="14"/>
        <v>0</v>
      </c>
      <c r="Y22" s="34">
        <f t="shared" si="14"/>
        <v>16</v>
      </c>
      <c r="Z22" s="34">
        <f t="shared" si="14"/>
        <v>6</v>
      </c>
      <c r="AA22" s="34">
        <f t="shared" si="14"/>
        <v>5</v>
      </c>
      <c r="AB22" s="34">
        <f t="shared" si="14"/>
        <v>3</v>
      </c>
      <c r="AC22" s="34">
        <f t="shared" si="14"/>
        <v>713</v>
      </c>
      <c r="AD22" s="34">
        <f t="shared" si="14"/>
        <v>0</v>
      </c>
      <c r="AE22" s="31">
        <f t="shared" si="14"/>
        <v>281</v>
      </c>
      <c r="AF22" s="31">
        <f t="shared" si="14"/>
        <v>994</v>
      </c>
    </row>
    <row r="23" spans="2:32" ht="23.1" customHeight="1" x14ac:dyDescent="0.25">
      <c r="B23" s="45" t="s">
        <v>50</v>
      </c>
      <c r="C23" s="50">
        <v>14</v>
      </c>
      <c r="D23" s="50">
        <v>35</v>
      </c>
      <c r="E23" s="50">
        <v>6</v>
      </c>
      <c r="F23" s="50">
        <v>26</v>
      </c>
      <c r="G23" s="50">
        <v>0</v>
      </c>
      <c r="H23" s="50">
        <v>1</v>
      </c>
      <c r="I23" s="50">
        <v>4</v>
      </c>
      <c r="J23" s="50">
        <v>10</v>
      </c>
      <c r="K23" s="50">
        <v>0</v>
      </c>
      <c r="L23" s="50">
        <v>3</v>
      </c>
      <c r="M23" s="50">
        <v>104</v>
      </c>
      <c r="N23" s="50">
        <v>0</v>
      </c>
      <c r="O23" s="15">
        <f t="shared" si="0"/>
        <v>99</v>
      </c>
      <c r="P23" s="15">
        <f t="shared" si="1"/>
        <v>203</v>
      </c>
      <c r="R23" s="36" t="s">
        <v>147</v>
      </c>
      <c r="S23" s="34">
        <f>SUM(C62:C65)</f>
        <v>112</v>
      </c>
      <c r="T23" s="34">
        <f t="shared" ref="T23:AF23" si="15">SUM(D62:D65)</f>
        <v>27</v>
      </c>
      <c r="U23" s="34">
        <f t="shared" si="15"/>
        <v>26</v>
      </c>
      <c r="V23" s="34">
        <f t="shared" si="15"/>
        <v>87</v>
      </c>
      <c r="W23" s="34">
        <f t="shared" si="15"/>
        <v>6</v>
      </c>
      <c r="X23" s="34">
        <f t="shared" si="15"/>
        <v>2</v>
      </c>
      <c r="Y23" s="34">
        <f t="shared" si="15"/>
        <v>8</v>
      </c>
      <c r="Z23" s="34">
        <f t="shared" si="15"/>
        <v>6</v>
      </c>
      <c r="AA23" s="34">
        <f t="shared" si="15"/>
        <v>1</v>
      </c>
      <c r="AB23" s="34">
        <f t="shared" si="15"/>
        <v>4</v>
      </c>
      <c r="AC23" s="34">
        <f t="shared" si="15"/>
        <v>701</v>
      </c>
      <c r="AD23" s="34">
        <f t="shared" si="15"/>
        <v>0</v>
      </c>
      <c r="AE23" s="31">
        <f t="shared" si="15"/>
        <v>279</v>
      </c>
      <c r="AF23" s="31">
        <f t="shared" si="15"/>
        <v>980</v>
      </c>
    </row>
    <row r="24" spans="2:32" ht="23.1" customHeight="1" x14ac:dyDescent="0.25">
      <c r="B24" s="45" t="s">
        <v>51</v>
      </c>
      <c r="C24" s="50">
        <v>35</v>
      </c>
      <c r="D24" s="50">
        <v>15</v>
      </c>
      <c r="E24" s="50">
        <v>10</v>
      </c>
      <c r="F24" s="50">
        <v>11</v>
      </c>
      <c r="G24" s="50">
        <v>1</v>
      </c>
      <c r="H24" s="50">
        <v>1</v>
      </c>
      <c r="I24" s="50">
        <v>8</v>
      </c>
      <c r="J24" s="50">
        <v>9</v>
      </c>
      <c r="K24" s="50">
        <v>0</v>
      </c>
      <c r="L24" s="50">
        <v>2</v>
      </c>
      <c r="M24" s="50">
        <v>112</v>
      </c>
      <c r="N24" s="50">
        <v>0</v>
      </c>
      <c r="O24" s="15">
        <f t="shared" si="0"/>
        <v>92</v>
      </c>
      <c r="P24" s="15">
        <f t="shared" si="1"/>
        <v>204</v>
      </c>
      <c r="R24" s="36" t="s">
        <v>148</v>
      </c>
      <c r="S24" s="34">
        <f>SUM(C66:C69)</f>
        <v>90</v>
      </c>
      <c r="T24" s="34">
        <f t="shared" ref="T24:AF24" si="16">SUM(D66:D69)</f>
        <v>15</v>
      </c>
      <c r="U24" s="34">
        <f t="shared" si="16"/>
        <v>19</v>
      </c>
      <c r="V24" s="34">
        <f t="shared" si="16"/>
        <v>43</v>
      </c>
      <c r="W24" s="34">
        <f t="shared" si="16"/>
        <v>4</v>
      </c>
      <c r="X24" s="34">
        <f t="shared" si="16"/>
        <v>0</v>
      </c>
      <c r="Y24" s="34">
        <f t="shared" si="16"/>
        <v>8</v>
      </c>
      <c r="Z24" s="34">
        <f t="shared" si="16"/>
        <v>6</v>
      </c>
      <c r="AA24" s="34">
        <f t="shared" si="16"/>
        <v>3</v>
      </c>
      <c r="AB24" s="34">
        <f t="shared" si="16"/>
        <v>4</v>
      </c>
      <c r="AC24" s="34">
        <f t="shared" si="16"/>
        <v>338</v>
      </c>
      <c r="AD24" s="34">
        <f t="shared" si="16"/>
        <v>0</v>
      </c>
      <c r="AE24" s="31">
        <f t="shared" si="16"/>
        <v>192</v>
      </c>
      <c r="AF24" s="31">
        <f t="shared" si="16"/>
        <v>530</v>
      </c>
    </row>
    <row r="25" spans="2:32" ht="23.1" customHeight="1" x14ac:dyDescent="0.25">
      <c r="B25" s="45" t="s">
        <v>52</v>
      </c>
      <c r="C25" s="50">
        <v>33</v>
      </c>
      <c r="D25" s="50">
        <v>16</v>
      </c>
      <c r="E25" s="50">
        <v>12</v>
      </c>
      <c r="F25" s="50">
        <v>11</v>
      </c>
      <c r="G25" s="50">
        <v>1</v>
      </c>
      <c r="H25" s="50">
        <v>0</v>
      </c>
      <c r="I25" s="50">
        <v>4</v>
      </c>
      <c r="J25" s="50">
        <v>6</v>
      </c>
      <c r="K25" s="50">
        <v>1</v>
      </c>
      <c r="L25" s="50">
        <v>0</v>
      </c>
      <c r="M25" s="50">
        <v>98</v>
      </c>
      <c r="N25" s="50">
        <v>0</v>
      </c>
      <c r="O25" s="15">
        <f t="shared" si="0"/>
        <v>84</v>
      </c>
      <c r="P25" s="15">
        <f t="shared" si="1"/>
        <v>182</v>
      </c>
      <c r="R25" s="36" t="s">
        <v>149</v>
      </c>
      <c r="S25" s="34">
        <f>SUM(C70:C73)</f>
        <v>102</v>
      </c>
      <c r="T25" s="34">
        <f t="shared" ref="T25:AF25" si="17">SUM(D70:D73)</f>
        <v>20</v>
      </c>
      <c r="U25" s="34">
        <f t="shared" si="17"/>
        <v>15</v>
      </c>
      <c r="V25" s="34">
        <f t="shared" si="17"/>
        <v>42</v>
      </c>
      <c r="W25" s="34">
        <f t="shared" si="17"/>
        <v>4</v>
      </c>
      <c r="X25" s="34">
        <f t="shared" si="17"/>
        <v>0</v>
      </c>
      <c r="Y25" s="34">
        <f t="shared" si="17"/>
        <v>8</v>
      </c>
      <c r="Z25" s="34">
        <f t="shared" si="17"/>
        <v>2</v>
      </c>
      <c r="AA25" s="34">
        <f t="shared" si="17"/>
        <v>4</v>
      </c>
      <c r="AB25" s="34">
        <f t="shared" si="17"/>
        <v>2</v>
      </c>
      <c r="AC25" s="34">
        <f t="shared" si="17"/>
        <v>472</v>
      </c>
      <c r="AD25" s="34">
        <f t="shared" si="17"/>
        <v>0</v>
      </c>
      <c r="AE25" s="31">
        <f t="shared" si="17"/>
        <v>199</v>
      </c>
      <c r="AF25" s="31">
        <f t="shared" si="17"/>
        <v>671</v>
      </c>
    </row>
    <row r="26" spans="2:32" ht="23.1" customHeight="1" x14ac:dyDescent="0.25">
      <c r="B26" s="45" t="s">
        <v>53</v>
      </c>
      <c r="C26" s="50">
        <v>26</v>
      </c>
      <c r="D26" s="50">
        <v>14</v>
      </c>
      <c r="E26" s="50">
        <v>1</v>
      </c>
      <c r="F26" s="50">
        <v>12</v>
      </c>
      <c r="G26" s="50">
        <v>0</v>
      </c>
      <c r="H26" s="50">
        <v>0</v>
      </c>
      <c r="I26" s="50">
        <v>1</v>
      </c>
      <c r="J26" s="50">
        <v>9</v>
      </c>
      <c r="K26" s="50">
        <v>5</v>
      </c>
      <c r="L26" s="50">
        <v>3</v>
      </c>
      <c r="M26" s="50">
        <v>75</v>
      </c>
      <c r="N26" s="50">
        <v>0</v>
      </c>
      <c r="O26" s="15">
        <f t="shared" si="0"/>
        <v>71</v>
      </c>
      <c r="P26" s="15">
        <f t="shared" si="1"/>
        <v>146</v>
      </c>
      <c r="R26" s="36" t="s">
        <v>150</v>
      </c>
      <c r="S26" s="34">
        <f>SUM(C74:C77)</f>
        <v>65</v>
      </c>
      <c r="T26" s="34">
        <f t="shared" ref="T26:AF26" si="18">SUM(D74:D77)</f>
        <v>12</v>
      </c>
      <c r="U26" s="34">
        <f t="shared" si="18"/>
        <v>9</v>
      </c>
      <c r="V26" s="34">
        <f t="shared" si="18"/>
        <v>13</v>
      </c>
      <c r="W26" s="34">
        <f t="shared" si="18"/>
        <v>1</v>
      </c>
      <c r="X26" s="34">
        <f t="shared" si="18"/>
        <v>0</v>
      </c>
      <c r="Y26" s="34">
        <f t="shared" si="18"/>
        <v>5</v>
      </c>
      <c r="Z26" s="34">
        <f t="shared" si="18"/>
        <v>1</v>
      </c>
      <c r="AA26" s="34">
        <f t="shared" si="18"/>
        <v>1</v>
      </c>
      <c r="AB26" s="34">
        <f t="shared" si="18"/>
        <v>1</v>
      </c>
      <c r="AC26" s="34">
        <f t="shared" si="18"/>
        <v>302</v>
      </c>
      <c r="AD26" s="34">
        <f t="shared" si="18"/>
        <v>0</v>
      </c>
      <c r="AE26" s="31">
        <f t="shared" si="18"/>
        <v>108</v>
      </c>
      <c r="AF26" s="31">
        <f t="shared" si="18"/>
        <v>410</v>
      </c>
    </row>
    <row r="27" spans="2:32" ht="23.1" customHeight="1" x14ac:dyDescent="0.25">
      <c r="B27" s="45" t="s">
        <v>54</v>
      </c>
      <c r="C27" s="50">
        <v>38</v>
      </c>
      <c r="D27" s="50">
        <v>18</v>
      </c>
      <c r="E27" s="50">
        <v>8</v>
      </c>
      <c r="F27" s="50">
        <v>14</v>
      </c>
      <c r="G27" s="50">
        <v>0</v>
      </c>
      <c r="H27" s="50">
        <v>2</v>
      </c>
      <c r="I27" s="50">
        <v>4</v>
      </c>
      <c r="J27" s="50">
        <v>11</v>
      </c>
      <c r="K27" s="50">
        <v>65</v>
      </c>
      <c r="L27" s="50">
        <v>3</v>
      </c>
      <c r="M27" s="50">
        <v>99</v>
      </c>
      <c r="N27" s="50">
        <v>0</v>
      </c>
      <c r="O27" s="15">
        <f t="shared" si="0"/>
        <v>163</v>
      </c>
      <c r="P27" s="15">
        <f t="shared" si="1"/>
        <v>262</v>
      </c>
      <c r="R27" s="36" t="s">
        <v>151</v>
      </c>
      <c r="S27" s="34">
        <f>SUM(C78:C81)</f>
        <v>31</v>
      </c>
      <c r="T27" s="34">
        <f t="shared" ref="T27:AF27" si="19">SUM(D78:D81)</f>
        <v>3</v>
      </c>
      <c r="U27" s="34">
        <f t="shared" si="19"/>
        <v>7</v>
      </c>
      <c r="V27" s="34">
        <f t="shared" si="19"/>
        <v>10</v>
      </c>
      <c r="W27" s="34">
        <f t="shared" si="19"/>
        <v>0</v>
      </c>
      <c r="X27" s="34">
        <f t="shared" si="19"/>
        <v>1</v>
      </c>
      <c r="Y27" s="34">
        <f t="shared" si="19"/>
        <v>4</v>
      </c>
      <c r="Z27" s="34">
        <f t="shared" si="19"/>
        <v>1</v>
      </c>
      <c r="AA27" s="34">
        <f t="shared" si="19"/>
        <v>3</v>
      </c>
      <c r="AB27" s="34">
        <f t="shared" si="19"/>
        <v>0</v>
      </c>
      <c r="AC27" s="34">
        <f t="shared" si="19"/>
        <v>125</v>
      </c>
      <c r="AD27" s="34">
        <f t="shared" si="19"/>
        <v>0</v>
      </c>
      <c r="AE27" s="31">
        <f t="shared" si="19"/>
        <v>60</v>
      </c>
      <c r="AF27" s="31">
        <f t="shared" si="19"/>
        <v>185</v>
      </c>
    </row>
    <row r="28" spans="2:32" ht="23.1" customHeight="1" x14ac:dyDescent="0.25">
      <c r="B28" s="45" t="s">
        <v>55</v>
      </c>
      <c r="C28" s="50">
        <v>45</v>
      </c>
      <c r="D28" s="50">
        <v>37</v>
      </c>
      <c r="E28" s="50">
        <v>11</v>
      </c>
      <c r="F28" s="50">
        <v>20</v>
      </c>
      <c r="G28" s="50">
        <v>1</v>
      </c>
      <c r="H28" s="50">
        <v>1</v>
      </c>
      <c r="I28" s="50">
        <v>9</v>
      </c>
      <c r="J28" s="50">
        <v>6</v>
      </c>
      <c r="K28" s="50">
        <v>2</v>
      </c>
      <c r="L28" s="50">
        <v>2</v>
      </c>
      <c r="M28" s="50">
        <v>65</v>
      </c>
      <c r="N28" s="50">
        <v>0</v>
      </c>
      <c r="O28" s="15">
        <f t="shared" si="0"/>
        <v>134</v>
      </c>
      <c r="P28" s="15">
        <f t="shared" si="1"/>
        <v>199</v>
      </c>
      <c r="R28" s="36" t="s">
        <v>152</v>
      </c>
      <c r="S28" s="34">
        <f>SUM(C82:C85)</f>
        <v>64</v>
      </c>
      <c r="T28" s="34">
        <f t="shared" ref="T28:AF28" si="20">SUM(D82:D85)</f>
        <v>2</v>
      </c>
      <c r="U28" s="34">
        <f t="shared" si="20"/>
        <v>4</v>
      </c>
      <c r="V28" s="34">
        <f t="shared" si="20"/>
        <v>12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116</v>
      </c>
      <c r="AD28" s="34">
        <f t="shared" si="20"/>
        <v>0</v>
      </c>
      <c r="AE28" s="31">
        <f t="shared" si="20"/>
        <v>83</v>
      </c>
      <c r="AF28" s="31">
        <f t="shared" si="20"/>
        <v>199</v>
      </c>
    </row>
    <row r="29" spans="2:32" ht="23.1" customHeight="1" x14ac:dyDescent="0.25">
      <c r="B29" s="45" t="s">
        <v>56</v>
      </c>
      <c r="C29" s="50">
        <v>36</v>
      </c>
      <c r="D29" s="50">
        <v>23</v>
      </c>
      <c r="E29" s="50">
        <v>4</v>
      </c>
      <c r="F29" s="50">
        <v>17</v>
      </c>
      <c r="G29" s="50">
        <v>0</v>
      </c>
      <c r="H29" s="50">
        <v>0</v>
      </c>
      <c r="I29" s="50">
        <v>3</v>
      </c>
      <c r="J29" s="50">
        <v>16</v>
      </c>
      <c r="K29" s="50">
        <v>3</v>
      </c>
      <c r="L29" s="50">
        <v>3</v>
      </c>
      <c r="M29" s="50">
        <v>55</v>
      </c>
      <c r="N29" s="50">
        <v>0</v>
      </c>
      <c r="O29" s="15">
        <f t="shared" si="0"/>
        <v>105</v>
      </c>
      <c r="P29" s="15">
        <f t="shared" si="1"/>
        <v>160</v>
      </c>
      <c r="R29" s="36" t="s">
        <v>153</v>
      </c>
      <c r="S29" s="34">
        <f>SUM(C86:C89)</f>
        <v>48</v>
      </c>
      <c r="T29" s="34">
        <f t="shared" ref="T29:AF29" si="21">SUM(D86:D89)</f>
        <v>2</v>
      </c>
      <c r="U29" s="34">
        <f t="shared" si="21"/>
        <v>2</v>
      </c>
      <c r="V29" s="34">
        <f t="shared" si="21"/>
        <v>16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4</v>
      </c>
      <c r="AA29" s="34">
        <f t="shared" si="21"/>
        <v>2</v>
      </c>
      <c r="AB29" s="34">
        <f t="shared" si="21"/>
        <v>2</v>
      </c>
      <c r="AC29" s="34">
        <f t="shared" si="21"/>
        <v>87</v>
      </c>
      <c r="AD29" s="34">
        <f t="shared" si="21"/>
        <v>0</v>
      </c>
      <c r="AE29" s="31">
        <f t="shared" si="21"/>
        <v>76</v>
      </c>
      <c r="AF29" s="31">
        <f t="shared" si="21"/>
        <v>163</v>
      </c>
    </row>
    <row r="30" spans="2:32" ht="23.1" customHeight="1" x14ac:dyDescent="0.25">
      <c r="B30" s="45" t="s">
        <v>57</v>
      </c>
      <c r="C30" s="50">
        <v>65</v>
      </c>
      <c r="D30" s="50">
        <v>21</v>
      </c>
      <c r="E30" s="50">
        <v>8</v>
      </c>
      <c r="F30" s="50">
        <v>21</v>
      </c>
      <c r="G30" s="50">
        <v>1</v>
      </c>
      <c r="H30" s="50">
        <v>0</v>
      </c>
      <c r="I30" s="50">
        <v>5</v>
      </c>
      <c r="J30" s="50">
        <v>10</v>
      </c>
      <c r="K30" s="50">
        <v>3</v>
      </c>
      <c r="L30" s="50">
        <v>2</v>
      </c>
      <c r="M30" s="50">
        <v>80</v>
      </c>
      <c r="N30" s="50">
        <v>0</v>
      </c>
      <c r="O30" s="15">
        <f t="shared" si="0"/>
        <v>136</v>
      </c>
      <c r="P30" s="15">
        <f t="shared" si="1"/>
        <v>216</v>
      </c>
      <c r="R30" s="36" t="s">
        <v>154</v>
      </c>
      <c r="S30" s="34">
        <f>SUM(C90:C93)</f>
        <v>32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3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3</v>
      </c>
      <c r="AA30" s="34">
        <f t="shared" si="22"/>
        <v>0</v>
      </c>
      <c r="AB30" s="34">
        <f t="shared" si="22"/>
        <v>2</v>
      </c>
      <c r="AC30" s="34">
        <f t="shared" si="22"/>
        <v>48</v>
      </c>
      <c r="AD30" s="34">
        <f t="shared" si="22"/>
        <v>0</v>
      </c>
      <c r="AE30" s="31">
        <f t="shared" si="22"/>
        <v>40</v>
      </c>
      <c r="AF30" s="31">
        <f t="shared" si="22"/>
        <v>88</v>
      </c>
    </row>
    <row r="31" spans="2:32" ht="23.1" customHeight="1" x14ac:dyDescent="0.25">
      <c r="B31" s="46" t="s">
        <v>58</v>
      </c>
      <c r="C31" s="50">
        <v>36</v>
      </c>
      <c r="D31" s="50">
        <v>31</v>
      </c>
      <c r="E31" s="50">
        <v>7</v>
      </c>
      <c r="F31" s="50">
        <v>19</v>
      </c>
      <c r="G31" s="50">
        <v>1</v>
      </c>
      <c r="H31" s="50">
        <v>0</v>
      </c>
      <c r="I31" s="50">
        <v>5</v>
      </c>
      <c r="J31" s="50">
        <v>17</v>
      </c>
      <c r="K31" s="50">
        <v>3</v>
      </c>
      <c r="L31" s="50">
        <v>6</v>
      </c>
      <c r="M31" s="50">
        <v>117</v>
      </c>
      <c r="N31" s="50">
        <v>0</v>
      </c>
      <c r="O31" s="15">
        <f t="shared" si="0"/>
        <v>125</v>
      </c>
      <c r="P31" s="15">
        <f t="shared" si="1"/>
        <v>242</v>
      </c>
      <c r="R31" s="36" t="s">
        <v>155</v>
      </c>
      <c r="S31" s="34">
        <f>SUM(C94:C97)</f>
        <v>27</v>
      </c>
      <c r="T31" s="34">
        <f t="shared" ref="T31:AF31" si="23">SUM(D94:D97)</f>
        <v>0</v>
      </c>
      <c r="U31" s="34">
        <f t="shared" si="23"/>
        <v>2</v>
      </c>
      <c r="V31" s="34">
        <f t="shared" si="23"/>
        <v>13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43</v>
      </c>
      <c r="AD31" s="34">
        <f t="shared" si="23"/>
        <v>0</v>
      </c>
      <c r="AE31" s="31">
        <f t="shared" si="23"/>
        <v>44</v>
      </c>
      <c r="AF31" s="31">
        <f t="shared" si="23"/>
        <v>87</v>
      </c>
    </row>
    <row r="32" spans="2:32" ht="23.1" customHeight="1" x14ac:dyDescent="0.25">
      <c r="B32" s="46" t="s">
        <v>59</v>
      </c>
      <c r="C32" s="50">
        <v>38</v>
      </c>
      <c r="D32" s="50">
        <v>38</v>
      </c>
      <c r="E32" s="50">
        <v>9</v>
      </c>
      <c r="F32" s="50">
        <v>27</v>
      </c>
      <c r="G32" s="50">
        <v>1</v>
      </c>
      <c r="H32" s="50">
        <v>0</v>
      </c>
      <c r="I32" s="50">
        <v>17</v>
      </c>
      <c r="J32" s="50">
        <v>13</v>
      </c>
      <c r="K32" s="50">
        <v>2</v>
      </c>
      <c r="L32" s="50">
        <v>5</v>
      </c>
      <c r="M32" s="50">
        <v>139</v>
      </c>
      <c r="N32" s="50">
        <v>0</v>
      </c>
      <c r="O32" s="15">
        <f t="shared" si="0"/>
        <v>150</v>
      </c>
      <c r="P32" s="15">
        <f t="shared" si="1"/>
        <v>289</v>
      </c>
      <c r="R32" s="33" t="s">
        <v>156</v>
      </c>
      <c r="S32" s="34">
        <f>SUM(C98:C101)</f>
        <v>47</v>
      </c>
      <c r="T32" s="34">
        <f t="shared" ref="T32:AF32" si="24">SUM(D98:D101)</f>
        <v>10</v>
      </c>
      <c r="U32" s="34">
        <f t="shared" si="24"/>
        <v>7</v>
      </c>
      <c r="V32" s="34">
        <f t="shared" si="24"/>
        <v>59</v>
      </c>
      <c r="W32" s="34">
        <f t="shared" si="24"/>
        <v>5</v>
      </c>
      <c r="X32" s="34">
        <f t="shared" si="24"/>
        <v>0</v>
      </c>
      <c r="Y32" s="34">
        <f t="shared" si="24"/>
        <v>11</v>
      </c>
      <c r="Z32" s="34">
        <f t="shared" si="24"/>
        <v>1</v>
      </c>
      <c r="AA32" s="34">
        <f t="shared" si="24"/>
        <v>0</v>
      </c>
      <c r="AB32" s="34">
        <f t="shared" si="24"/>
        <v>3</v>
      </c>
      <c r="AC32" s="34">
        <f t="shared" si="24"/>
        <v>139</v>
      </c>
      <c r="AD32" s="34">
        <f t="shared" si="24"/>
        <v>0</v>
      </c>
      <c r="AE32" s="31">
        <f t="shared" si="24"/>
        <v>143</v>
      </c>
      <c r="AF32" s="31">
        <f t="shared" si="24"/>
        <v>282</v>
      </c>
    </row>
    <row r="33" spans="2:32" ht="23.1" customHeight="1" x14ac:dyDescent="0.25">
      <c r="B33" s="45" t="s">
        <v>60</v>
      </c>
      <c r="C33" s="50">
        <v>24</v>
      </c>
      <c r="D33" s="50">
        <v>21</v>
      </c>
      <c r="E33" s="50">
        <v>10</v>
      </c>
      <c r="F33" s="50">
        <v>20</v>
      </c>
      <c r="G33" s="50">
        <v>0</v>
      </c>
      <c r="H33" s="50">
        <v>1</v>
      </c>
      <c r="I33" s="50">
        <v>12</v>
      </c>
      <c r="J33" s="50">
        <v>10</v>
      </c>
      <c r="K33" s="50">
        <v>0</v>
      </c>
      <c r="L33" s="50">
        <v>2</v>
      </c>
      <c r="M33" s="50">
        <v>100</v>
      </c>
      <c r="N33" s="50">
        <v>0</v>
      </c>
      <c r="O33" s="15">
        <f t="shared" si="0"/>
        <v>100</v>
      </c>
      <c r="P33" s="15">
        <f t="shared" si="1"/>
        <v>200</v>
      </c>
      <c r="R33" s="33" t="s">
        <v>157</v>
      </c>
      <c r="S33" s="34">
        <f>SUM(C102:C105)</f>
        <v>375</v>
      </c>
      <c r="T33" s="34">
        <f t="shared" ref="T33:AF33" si="25">SUM(D102:D105)</f>
        <v>76</v>
      </c>
      <c r="U33" s="34">
        <f t="shared" si="25"/>
        <v>58</v>
      </c>
      <c r="V33" s="34">
        <f t="shared" si="25"/>
        <v>117</v>
      </c>
      <c r="W33" s="34">
        <f t="shared" si="25"/>
        <v>22</v>
      </c>
      <c r="X33" s="34">
        <f t="shared" si="25"/>
        <v>2</v>
      </c>
      <c r="Y33" s="34">
        <f t="shared" si="25"/>
        <v>20</v>
      </c>
      <c r="Z33" s="34">
        <f t="shared" si="25"/>
        <v>1</v>
      </c>
      <c r="AA33" s="34">
        <f t="shared" si="25"/>
        <v>5</v>
      </c>
      <c r="AB33" s="34">
        <f t="shared" si="25"/>
        <v>6</v>
      </c>
      <c r="AC33" s="34">
        <f t="shared" si="25"/>
        <v>449</v>
      </c>
      <c r="AD33" s="34">
        <f t="shared" si="25"/>
        <v>0</v>
      </c>
      <c r="AE33" s="31">
        <f t="shared" si="25"/>
        <v>682</v>
      </c>
      <c r="AF33" s="31">
        <f t="shared" si="25"/>
        <v>1131</v>
      </c>
    </row>
    <row r="34" spans="2:32" ht="23.1" customHeight="1" x14ac:dyDescent="0.25">
      <c r="B34" s="46" t="s">
        <v>61</v>
      </c>
      <c r="C34" s="50">
        <v>38</v>
      </c>
      <c r="D34" s="50">
        <v>27</v>
      </c>
      <c r="E34" s="50">
        <v>7</v>
      </c>
      <c r="F34" s="50">
        <v>15</v>
      </c>
      <c r="G34" s="50">
        <v>0</v>
      </c>
      <c r="H34" s="50">
        <v>0</v>
      </c>
      <c r="I34" s="50">
        <v>7</v>
      </c>
      <c r="J34" s="50">
        <v>8</v>
      </c>
      <c r="K34" s="50">
        <v>1</v>
      </c>
      <c r="L34" s="50">
        <v>4</v>
      </c>
      <c r="M34" s="50">
        <v>93</v>
      </c>
      <c r="N34" s="50">
        <v>0</v>
      </c>
      <c r="O34" s="15">
        <f t="shared" si="0"/>
        <v>107</v>
      </c>
      <c r="P34" s="15">
        <f t="shared" si="1"/>
        <v>200</v>
      </c>
      <c r="R34" s="38" t="s">
        <v>90</v>
      </c>
      <c r="S34" s="39">
        <f t="shared" ref="S34:AF34" si="26">MAX(S10:S12)</f>
        <v>275</v>
      </c>
      <c r="T34" s="39">
        <f t="shared" si="26"/>
        <v>170</v>
      </c>
      <c r="U34" s="39">
        <f t="shared" si="26"/>
        <v>56</v>
      </c>
      <c r="V34" s="39">
        <f t="shared" si="26"/>
        <v>118</v>
      </c>
      <c r="W34" s="39">
        <f t="shared" si="26"/>
        <v>15</v>
      </c>
      <c r="X34" s="39">
        <f t="shared" si="26"/>
        <v>3</v>
      </c>
      <c r="Y34" s="39">
        <f t="shared" si="26"/>
        <v>20</v>
      </c>
      <c r="Z34" s="39">
        <f t="shared" si="26"/>
        <v>48</v>
      </c>
      <c r="AA34" s="39">
        <f t="shared" si="26"/>
        <v>11</v>
      </c>
      <c r="AB34" s="39">
        <f t="shared" si="26"/>
        <v>21</v>
      </c>
      <c r="AC34" s="39">
        <f t="shared" si="26"/>
        <v>736</v>
      </c>
      <c r="AD34" s="39">
        <f t="shared" si="26"/>
        <v>0</v>
      </c>
      <c r="AE34" s="40">
        <f t="shared" si="26"/>
        <v>660</v>
      </c>
      <c r="AF34" s="40">
        <f t="shared" si="26"/>
        <v>1328</v>
      </c>
    </row>
    <row r="35" spans="2:32" ht="23.1" customHeight="1" x14ac:dyDescent="0.25">
      <c r="B35" s="46" t="s">
        <v>62</v>
      </c>
      <c r="C35" s="50">
        <v>24</v>
      </c>
      <c r="D35" s="50">
        <v>20</v>
      </c>
      <c r="E35" s="50">
        <v>9</v>
      </c>
      <c r="F35" s="50">
        <v>13</v>
      </c>
      <c r="G35" s="50">
        <v>0</v>
      </c>
      <c r="H35" s="50">
        <v>0</v>
      </c>
      <c r="I35" s="50">
        <v>10</v>
      </c>
      <c r="J35" s="50">
        <v>7</v>
      </c>
      <c r="K35" s="50">
        <v>3</v>
      </c>
      <c r="L35" s="50">
        <v>2</v>
      </c>
      <c r="M35" s="50">
        <v>35</v>
      </c>
      <c r="N35" s="50">
        <v>0</v>
      </c>
      <c r="O35" s="15">
        <f t="shared" si="0"/>
        <v>88</v>
      </c>
      <c r="P35" s="15">
        <f t="shared" si="1"/>
        <v>123</v>
      </c>
      <c r="R35" s="38" t="s">
        <v>91</v>
      </c>
      <c r="S35" s="39">
        <f t="shared" ref="S35:AF35" si="27">MAX(S13:S18)</f>
        <v>163</v>
      </c>
      <c r="T35" s="39">
        <f t="shared" si="27"/>
        <v>111</v>
      </c>
      <c r="U35" s="39">
        <f t="shared" si="27"/>
        <v>36</v>
      </c>
      <c r="V35" s="39">
        <f t="shared" si="27"/>
        <v>87</v>
      </c>
      <c r="W35" s="39">
        <f t="shared" si="27"/>
        <v>4</v>
      </c>
      <c r="X35" s="39">
        <f t="shared" si="27"/>
        <v>3</v>
      </c>
      <c r="Y35" s="39">
        <f t="shared" si="27"/>
        <v>39</v>
      </c>
      <c r="Z35" s="39">
        <f t="shared" si="27"/>
        <v>50</v>
      </c>
      <c r="AA35" s="39">
        <f t="shared" si="27"/>
        <v>75</v>
      </c>
      <c r="AB35" s="39">
        <f t="shared" si="27"/>
        <v>17</v>
      </c>
      <c r="AC35" s="39">
        <f t="shared" si="27"/>
        <v>436</v>
      </c>
      <c r="AD35" s="39">
        <f t="shared" si="27"/>
        <v>0</v>
      </c>
      <c r="AE35" s="40">
        <f t="shared" si="27"/>
        <v>511</v>
      </c>
      <c r="AF35" s="40">
        <f t="shared" si="27"/>
        <v>947</v>
      </c>
    </row>
    <row r="36" spans="2:32" ht="23.1" customHeight="1" x14ac:dyDescent="0.25">
      <c r="B36" s="46" t="s">
        <v>63</v>
      </c>
      <c r="C36" s="50">
        <v>44</v>
      </c>
      <c r="D36" s="50">
        <v>24</v>
      </c>
      <c r="E36" s="50">
        <v>8</v>
      </c>
      <c r="F36" s="50">
        <v>10</v>
      </c>
      <c r="G36" s="50">
        <v>1</v>
      </c>
      <c r="H36" s="50">
        <v>0</v>
      </c>
      <c r="I36" s="50">
        <v>9</v>
      </c>
      <c r="J36" s="50">
        <v>15</v>
      </c>
      <c r="K36" s="50">
        <v>5</v>
      </c>
      <c r="L36" s="50">
        <v>8</v>
      </c>
      <c r="M36" s="50">
        <v>73</v>
      </c>
      <c r="N36" s="50">
        <v>0</v>
      </c>
      <c r="O36" s="15">
        <f t="shared" si="0"/>
        <v>124</v>
      </c>
      <c r="P36" s="15">
        <f t="shared" si="1"/>
        <v>197</v>
      </c>
      <c r="R36" s="38" t="s">
        <v>92</v>
      </c>
      <c r="S36" s="39">
        <f t="shared" ref="S36:AF36" si="28">MAX(S19:S21)</f>
        <v>116</v>
      </c>
      <c r="T36" s="39">
        <f t="shared" si="28"/>
        <v>80</v>
      </c>
      <c r="U36" s="39">
        <f t="shared" si="28"/>
        <v>39</v>
      </c>
      <c r="V36" s="39">
        <f t="shared" si="28"/>
        <v>89</v>
      </c>
      <c r="W36" s="39">
        <f t="shared" si="28"/>
        <v>7</v>
      </c>
      <c r="X36" s="39">
        <f t="shared" si="28"/>
        <v>3</v>
      </c>
      <c r="Y36" s="39">
        <f t="shared" si="28"/>
        <v>25</v>
      </c>
      <c r="Z36" s="39">
        <f t="shared" si="28"/>
        <v>41</v>
      </c>
      <c r="AA36" s="39">
        <f t="shared" si="28"/>
        <v>11</v>
      </c>
      <c r="AB36" s="39">
        <f t="shared" si="28"/>
        <v>13</v>
      </c>
      <c r="AC36" s="39">
        <f t="shared" si="28"/>
        <v>307</v>
      </c>
      <c r="AD36" s="39">
        <f t="shared" si="28"/>
        <v>0</v>
      </c>
      <c r="AE36" s="40">
        <f t="shared" si="28"/>
        <v>395</v>
      </c>
      <c r="AF36" s="40">
        <f t="shared" si="28"/>
        <v>688</v>
      </c>
    </row>
    <row r="37" spans="2:32" ht="23.1" customHeight="1" x14ac:dyDescent="0.25">
      <c r="B37" s="45" t="s">
        <v>64</v>
      </c>
      <c r="C37" s="50">
        <v>42</v>
      </c>
      <c r="D37" s="50">
        <v>28</v>
      </c>
      <c r="E37" s="50">
        <v>9</v>
      </c>
      <c r="F37" s="50">
        <v>20</v>
      </c>
      <c r="G37" s="50">
        <v>0</v>
      </c>
      <c r="H37" s="50">
        <v>0</v>
      </c>
      <c r="I37" s="50">
        <v>5</v>
      </c>
      <c r="J37" s="50">
        <v>3</v>
      </c>
      <c r="K37" s="50">
        <v>1</v>
      </c>
      <c r="L37" s="50">
        <v>3</v>
      </c>
      <c r="M37" s="50">
        <v>74</v>
      </c>
      <c r="N37" s="50">
        <v>0</v>
      </c>
      <c r="O37" s="15">
        <f t="shared" si="0"/>
        <v>111</v>
      </c>
      <c r="P37" s="15">
        <f t="shared" si="1"/>
        <v>185</v>
      </c>
      <c r="R37" s="37" t="s">
        <v>85</v>
      </c>
      <c r="S37" s="35">
        <f t="shared" ref="S37:AF37" si="29">SUM(S10:S12)</f>
        <v>730</v>
      </c>
      <c r="T37" s="16">
        <f t="shared" si="29"/>
        <v>483</v>
      </c>
      <c r="U37" s="16">
        <f t="shared" si="29"/>
        <v>134</v>
      </c>
      <c r="V37" s="16">
        <f t="shared" si="29"/>
        <v>300</v>
      </c>
      <c r="W37" s="16">
        <f t="shared" si="29"/>
        <v>29</v>
      </c>
      <c r="X37" s="16">
        <f t="shared" si="29"/>
        <v>8</v>
      </c>
      <c r="Y37" s="16">
        <f t="shared" si="29"/>
        <v>48</v>
      </c>
      <c r="Z37" s="16">
        <f t="shared" si="29"/>
        <v>89</v>
      </c>
      <c r="AA37" s="16">
        <f t="shared" si="29"/>
        <v>24</v>
      </c>
      <c r="AB37" s="16">
        <f t="shared" si="29"/>
        <v>46</v>
      </c>
      <c r="AC37" s="16">
        <f t="shared" si="29"/>
        <v>1902</v>
      </c>
      <c r="AD37" s="16">
        <f t="shared" si="29"/>
        <v>0</v>
      </c>
      <c r="AE37" s="32">
        <f t="shared" si="29"/>
        <v>1891</v>
      </c>
      <c r="AF37" s="32">
        <f t="shared" si="29"/>
        <v>3793</v>
      </c>
    </row>
    <row r="38" spans="2:32" ht="23.1" customHeight="1" x14ac:dyDescent="0.25">
      <c r="B38" s="46" t="s">
        <v>65</v>
      </c>
      <c r="C38" s="50">
        <v>24</v>
      </c>
      <c r="D38" s="50">
        <v>21</v>
      </c>
      <c r="E38" s="50">
        <v>7</v>
      </c>
      <c r="F38" s="50">
        <v>27</v>
      </c>
      <c r="G38" s="50">
        <v>0</v>
      </c>
      <c r="H38" s="50">
        <v>0</v>
      </c>
      <c r="I38" s="50">
        <v>10</v>
      </c>
      <c r="J38" s="50">
        <v>7</v>
      </c>
      <c r="K38" s="50">
        <v>3</v>
      </c>
      <c r="L38" s="50">
        <v>7</v>
      </c>
      <c r="M38" s="50">
        <v>108</v>
      </c>
      <c r="N38" s="50">
        <v>0</v>
      </c>
      <c r="O38" s="15">
        <f t="shared" si="0"/>
        <v>106</v>
      </c>
      <c r="P38" s="15">
        <f t="shared" si="1"/>
        <v>214</v>
      </c>
      <c r="R38" s="28" t="s">
        <v>86</v>
      </c>
      <c r="S38" s="16">
        <f t="shared" ref="S38:AF38" si="30">SUM(S13:S18)</f>
        <v>764</v>
      </c>
      <c r="T38" s="16">
        <f t="shared" si="30"/>
        <v>540</v>
      </c>
      <c r="U38" s="16">
        <f t="shared" si="30"/>
        <v>198</v>
      </c>
      <c r="V38" s="16">
        <f t="shared" si="30"/>
        <v>413</v>
      </c>
      <c r="W38" s="16">
        <f t="shared" si="30"/>
        <v>9</v>
      </c>
      <c r="X38" s="16">
        <f t="shared" si="30"/>
        <v>7</v>
      </c>
      <c r="Y38" s="16">
        <f t="shared" si="30"/>
        <v>168</v>
      </c>
      <c r="Z38" s="16">
        <f t="shared" si="30"/>
        <v>218</v>
      </c>
      <c r="AA38" s="16">
        <f t="shared" si="30"/>
        <v>121</v>
      </c>
      <c r="AB38" s="16">
        <f t="shared" si="30"/>
        <v>70</v>
      </c>
      <c r="AC38" s="16">
        <f t="shared" si="30"/>
        <v>2094</v>
      </c>
      <c r="AD38" s="16">
        <f t="shared" si="30"/>
        <v>0</v>
      </c>
      <c r="AE38" s="32">
        <f t="shared" si="30"/>
        <v>2508</v>
      </c>
      <c r="AF38" s="32">
        <f t="shared" si="30"/>
        <v>4602</v>
      </c>
    </row>
    <row r="39" spans="2:32" ht="23.1" customHeight="1" x14ac:dyDescent="0.25">
      <c r="B39" s="46" t="s">
        <v>66</v>
      </c>
      <c r="C39" s="50">
        <v>25</v>
      </c>
      <c r="D39" s="50">
        <v>20</v>
      </c>
      <c r="E39" s="50">
        <v>15</v>
      </c>
      <c r="F39" s="50">
        <v>15</v>
      </c>
      <c r="G39" s="50">
        <v>0</v>
      </c>
      <c r="H39" s="50">
        <v>0</v>
      </c>
      <c r="I39" s="50">
        <v>14</v>
      </c>
      <c r="J39" s="50">
        <v>8</v>
      </c>
      <c r="K39" s="50">
        <v>4</v>
      </c>
      <c r="L39" s="50">
        <v>6</v>
      </c>
      <c r="M39" s="50">
        <v>90</v>
      </c>
      <c r="N39" s="50">
        <v>0</v>
      </c>
      <c r="O39" s="15">
        <f t="shared" si="0"/>
        <v>107</v>
      </c>
      <c r="P39" s="15">
        <f t="shared" si="1"/>
        <v>197</v>
      </c>
      <c r="R39" s="29" t="s">
        <v>87</v>
      </c>
      <c r="S39" s="16">
        <f t="shared" ref="S39:AF39" si="31">SUM(S19:S21)</f>
        <v>342</v>
      </c>
      <c r="T39" s="16">
        <f t="shared" si="31"/>
        <v>237</v>
      </c>
      <c r="U39" s="16">
        <f t="shared" si="31"/>
        <v>108</v>
      </c>
      <c r="V39" s="16">
        <f t="shared" si="31"/>
        <v>236</v>
      </c>
      <c r="W39" s="16">
        <f t="shared" si="31"/>
        <v>15</v>
      </c>
      <c r="X39" s="16">
        <f t="shared" si="31"/>
        <v>3</v>
      </c>
      <c r="Y39" s="16">
        <f t="shared" si="31"/>
        <v>61</v>
      </c>
      <c r="Z39" s="16">
        <f t="shared" si="31"/>
        <v>93</v>
      </c>
      <c r="AA39" s="16">
        <f t="shared" si="31"/>
        <v>29</v>
      </c>
      <c r="AB39" s="16">
        <f t="shared" si="31"/>
        <v>27</v>
      </c>
      <c r="AC39" s="16">
        <f t="shared" si="31"/>
        <v>882</v>
      </c>
      <c r="AD39" s="16">
        <f t="shared" si="31"/>
        <v>0</v>
      </c>
      <c r="AE39" s="32">
        <f t="shared" si="31"/>
        <v>1151</v>
      </c>
      <c r="AF39" s="32">
        <f t="shared" si="31"/>
        <v>2033</v>
      </c>
    </row>
    <row r="40" spans="2:32" ht="23.1" customHeight="1" x14ac:dyDescent="0.25">
      <c r="B40" s="46" t="s">
        <v>67</v>
      </c>
      <c r="C40" s="50">
        <v>22</v>
      </c>
      <c r="D40" s="50">
        <v>22</v>
      </c>
      <c r="E40" s="50">
        <v>6</v>
      </c>
      <c r="F40" s="50">
        <v>20</v>
      </c>
      <c r="G40" s="50">
        <v>0</v>
      </c>
      <c r="H40" s="50">
        <v>0</v>
      </c>
      <c r="I40" s="50">
        <v>7</v>
      </c>
      <c r="J40" s="50">
        <v>10</v>
      </c>
      <c r="K40" s="50">
        <v>1</v>
      </c>
      <c r="L40" s="50">
        <v>0</v>
      </c>
      <c r="M40" s="50">
        <v>90</v>
      </c>
      <c r="N40" s="50">
        <v>0</v>
      </c>
      <c r="O40" s="15">
        <f t="shared" si="0"/>
        <v>88</v>
      </c>
      <c r="P40" s="15">
        <f t="shared" si="1"/>
        <v>178</v>
      </c>
      <c r="R40" s="5" t="s">
        <v>17</v>
      </c>
      <c r="S40" s="16">
        <f t="shared" ref="S40:AF40" si="32">SUM(S10:S21)</f>
        <v>1836</v>
      </c>
      <c r="T40" s="16">
        <f t="shared" si="32"/>
        <v>1260</v>
      </c>
      <c r="U40" s="16">
        <f t="shared" si="32"/>
        <v>440</v>
      </c>
      <c r="V40" s="16">
        <f t="shared" si="32"/>
        <v>949</v>
      </c>
      <c r="W40" s="16">
        <f t="shared" si="32"/>
        <v>53</v>
      </c>
      <c r="X40" s="16">
        <f t="shared" si="32"/>
        <v>18</v>
      </c>
      <c r="Y40" s="16">
        <f t="shared" si="32"/>
        <v>277</v>
      </c>
      <c r="Z40" s="16">
        <f t="shared" si="32"/>
        <v>400</v>
      </c>
      <c r="AA40" s="16">
        <f t="shared" si="32"/>
        <v>174</v>
      </c>
      <c r="AB40" s="16">
        <f t="shared" si="32"/>
        <v>143</v>
      </c>
      <c r="AC40" s="16">
        <f t="shared" si="32"/>
        <v>4878</v>
      </c>
      <c r="AD40" s="16">
        <f t="shared" si="32"/>
        <v>0</v>
      </c>
      <c r="AE40" s="32">
        <f t="shared" si="32"/>
        <v>5550</v>
      </c>
      <c r="AF40" s="32">
        <f t="shared" si="32"/>
        <v>10428</v>
      </c>
    </row>
    <row r="41" spans="2:32" ht="23.1" customHeight="1" x14ac:dyDescent="0.25">
      <c r="B41" s="45" t="s">
        <v>68</v>
      </c>
      <c r="C41" s="50">
        <v>24</v>
      </c>
      <c r="D41" s="50">
        <v>21</v>
      </c>
      <c r="E41" s="50">
        <v>7</v>
      </c>
      <c r="F41" s="50">
        <v>17</v>
      </c>
      <c r="G41" s="50">
        <v>0</v>
      </c>
      <c r="H41" s="50">
        <v>1</v>
      </c>
      <c r="I41" s="50">
        <v>6</v>
      </c>
      <c r="J41" s="50">
        <v>7</v>
      </c>
      <c r="K41" s="50">
        <v>3</v>
      </c>
      <c r="L41" s="50">
        <v>2</v>
      </c>
      <c r="M41" s="50">
        <v>84</v>
      </c>
      <c r="N41" s="50">
        <v>0</v>
      </c>
      <c r="O41" s="15">
        <f t="shared" si="0"/>
        <v>88</v>
      </c>
      <c r="P41" s="15">
        <f t="shared" si="1"/>
        <v>172</v>
      </c>
      <c r="R41" s="5" t="s">
        <v>159</v>
      </c>
      <c r="S41" s="16">
        <f>SUM(S10:S33)</f>
        <v>2940</v>
      </c>
      <c r="T41" s="16">
        <f t="shared" ref="T41:AF41" si="33">SUM(T10:T33)</f>
        <v>1452</v>
      </c>
      <c r="U41" s="16">
        <f t="shared" si="33"/>
        <v>630</v>
      </c>
      <c r="V41" s="16">
        <f t="shared" si="33"/>
        <v>1437</v>
      </c>
      <c r="W41" s="16">
        <f t="shared" si="33"/>
        <v>96</v>
      </c>
      <c r="X41" s="16">
        <f t="shared" si="33"/>
        <v>23</v>
      </c>
      <c r="Y41" s="16">
        <f t="shared" si="33"/>
        <v>359</v>
      </c>
      <c r="Z41" s="16">
        <f t="shared" si="33"/>
        <v>432</v>
      </c>
      <c r="AA41" s="16">
        <f t="shared" si="33"/>
        <v>198</v>
      </c>
      <c r="AB41" s="16">
        <f t="shared" si="33"/>
        <v>170</v>
      </c>
      <c r="AC41" s="16">
        <f t="shared" si="33"/>
        <v>8411</v>
      </c>
      <c r="AD41" s="16">
        <f t="shared" si="33"/>
        <v>0</v>
      </c>
      <c r="AE41" s="32">
        <f t="shared" si="33"/>
        <v>7737</v>
      </c>
      <c r="AF41" s="32">
        <f t="shared" si="33"/>
        <v>16148</v>
      </c>
    </row>
    <row r="42" spans="2:32" ht="23.1" customHeight="1" x14ac:dyDescent="0.25">
      <c r="B42" s="46" t="s">
        <v>69</v>
      </c>
      <c r="C42" s="50">
        <v>33</v>
      </c>
      <c r="D42" s="50">
        <v>20</v>
      </c>
      <c r="E42" s="50">
        <v>12</v>
      </c>
      <c r="F42" s="50">
        <v>18</v>
      </c>
      <c r="G42" s="50">
        <v>0</v>
      </c>
      <c r="H42" s="50">
        <v>0</v>
      </c>
      <c r="I42" s="50">
        <v>8</v>
      </c>
      <c r="J42" s="50">
        <v>12</v>
      </c>
      <c r="K42" s="50">
        <v>3</v>
      </c>
      <c r="L42" s="50">
        <v>1</v>
      </c>
      <c r="M42" s="50">
        <v>87</v>
      </c>
      <c r="N42" s="50">
        <v>0</v>
      </c>
      <c r="O42" s="15">
        <f t="shared" si="0"/>
        <v>107</v>
      </c>
      <c r="P42" s="15">
        <f t="shared" si="1"/>
        <v>194</v>
      </c>
      <c r="R42" s="5" t="s">
        <v>160</v>
      </c>
      <c r="S42" s="48">
        <f>S41/S40</f>
        <v>1.6013071895424837</v>
      </c>
      <c r="T42" s="48">
        <f t="shared" ref="T42:AF42" si="34">T41/T40</f>
        <v>1.1523809523809523</v>
      </c>
      <c r="U42" s="48">
        <f t="shared" si="34"/>
        <v>1.4318181818181819</v>
      </c>
      <c r="V42" s="48">
        <f t="shared" si="34"/>
        <v>1.5142255005268703</v>
      </c>
      <c r="W42" s="48">
        <f t="shared" si="34"/>
        <v>1.8113207547169812</v>
      </c>
      <c r="X42" s="48">
        <f t="shared" si="34"/>
        <v>1.2777777777777777</v>
      </c>
      <c r="Y42" s="48">
        <f t="shared" si="34"/>
        <v>1.296028880866426</v>
      </c>
      <c r="Z42" s="48">
        <f t="shared" si="34"/>
        <v>1.08</v>
      </c>
      <c r="AA42" s="48">
        <f t="shared" si="34"/>
        <v>1.1379310344827587</v>
      </c>
      <c r="AB42" s="48">
        <f t="shared" si="34"/>
        <v>1.1888111888111887</v>
      </c>
      <c r="AC42" s="48">
        <f t="shared" si="34"/>
        <v>1.7242722427224273</v>
      </c>
      <c r="AD42" s="48" t="e">
        <f t="shared" si="34"/>
        <v>#DIV/0!</v>
      </c>
      <c r="AE42" s="48">
        <f t="shared" si="34"/>
        <v>1.394054054054054</v>
      </c>
      <c r="AF42" s="48">
        <f t="shared" si="34"/>
        <v>1.5485232067510548</v>
      </c>
    </row>
    <row r="43" spans="2:32" ht="23.1" customHeight="1" x14ac:dyDescent="0.25">
      <c r="B43" s="45" t="s">
        <v>70</v>
      </c>
      <c r="C43" s="50">
        <v>17</v>
      </c>
      <c r="D43" s="50">
        <v>14</v>
      </c>
      <c r="E43" s="50">
        <v>9</v>
      </c>
      <c r="F43" s="50">
        <v>15</v>
      </c>
      <c r="G43" s="50">
        <v>0</v>
      </c>
      <c r="H43" s="50">
        <v>0</v>
      </c>
      <c r="I43" s="50">
        <v>1</v>
      </c>
      <c r="J43" s="50">
        <v>8</v>
      </c>
      <c r="K43" s="50">
        <v>4</v>
      </c>
      <c r="L43" s="50">
        <v>2</v>
      </c>
      <c r="M43" s="50">
        <v>93</v>
      </c>
      <c r="N43" s="50">
        <v>0</v>
      </c>
      <c r="O43" s="15">
        <f t="shared" si="0"/>
        <v>70</v>
      </c>
      <c r="P43" s="15">
        <f t="shared" si="1"/>
        <v>163</v>
      </c>
    </row>
    <row r="44" spans="2:32" ht="23.1" customHeight="1" x14ac:dyDescent="0.25">
      <c r="B44" s="47" t="s">
        <v>71</v>
      </c>
      <c r="C44" s="50">
        <v>31</v>
      </c>
      <c r="D44" s="50">
        <v>19</v>
      </c>
      <c r="E44" s="50">
        <v>3</v>
      </c>
      <c r="F44" s="50">
        <v>18</v>
      </c>
      <c r="G44" s="50">
        <v>0</v>
      </c>
      <c r="H44" s="50">
        <v>0</v>
      </c>
      <c r="I44" s="50">
        <v>12</v>
      </c>
      <c r="J44" s="50">
        <v>7</v>
      </c>
      <c r="K44" s="50">
        <v>0</v>
      </c>
      <c r="L44" s="50">
        <v>2</v>
      </c>
      <c r="M44" s="50">
        <v>79</v>
      </c>
      <c r="N44" s="50">
        <v>0</v>
      </c>
      <c r="O44" s="15">
        <f t="shared" si="0"/>
        <v>92</v>
      </c>
      <c r="P44" s="15">
        <f t="shared" si="1"/>
        <v>171</v>
      </c>
    </row>
    <row r="45" spans="2:32" ht="23.1" customHeight="1" x14ac:dyDescent="0.25">
      <c r="B45" s="45" t="s">
        <v>72</v>
      </c>
      <c r="C45" s="50">
        <v>29</v>
      </c>
      <c r="D45" s="50">
        <v>18</v>
      </c>
      <c r="E45" s="50">
        <v>12</v>
      </c>
      <c r="F45" s="50">
        <v>15</v>
      </c>
      <c r="G45" s="50">
        <v>0</v>
      </c>
      <c r="H45" s="50">
        <v>0</v>
      </c>
      <c r="I45" s="50">
        <v>7</v>
      </c>
      <c r="J45" s="50">
        <v>3</v>
      </c>
      <c r="K45" s="50">
        <v>5</v>
      </c>
      <c r="L45" s="50">
        <v>2</v>
      </c>
      <c r="M45" s="50">
        <v>74</v>
      </c>
      <c r="N45" s="50">
        <v>0</v>
      </c>
      <c r="O45" s="15">
        <f t="shared" si="0"/>
        <v>91</v>
      </c>
      <c r="P45" s="15">
        <f t="shared" si="1"/>
        <v>165</v>
      </c>
    </row>
    <row r="46" spans="2:32" ht="23.1" customHeight="1" x14ac:dyDescent="0.25">
      <c r="B46" s="46" t="s">
        <v>73</v>
      </c>
      <c r="C46" s="50">
        <v>27</v>
      </c>
      <c r="D46" s="50">
        <v>24</v>
      </c>
      <c r="E46" s="50">
        <v>12</v>
      </c>
      <c r="F46" s="50">
        <v>21</v>
      </c>
      <c r="G46" s="50">
        <v>0</v>
      </c>
      <c r="H46" s="50">
        <v>0</v>
      </c>
      <c r="I46" s="50">
        <v>8</v>
      </c>
      <c r="J46" s="50">
        <v>15</v>
      </c>
      <c r="K46" s="50">
        <v>1</v>
      </c>
      <c r="L46" s="50">
        <v>1</v>
      </c>
      <c r="M46" s="50">
        <v>65</v>
      </c>
      <c r="N46" s="50">
        <v>0</v>
      </c>
      <c r="O46" s="15">
        <f t="shared" si="0"/>
        <v>109</v>
      </c>
      <c r="P46" s="15">
        <f t="shared" si="1"/>
        <v>174</v>
      </c>
      <c r="R46" s="8"/>
      <c r="T46"/>
    </row>
    <row r="47" spans="2:32" ht="23.1" customHeight="1" x14ac:dyDescent="0.25">
      <c r="B47" s="46" t="s">
        <v>74</v>
      </c>
      <c r="C47" s="50">
        <v>19</v>
      </c>
      <c r="D47" s="50">
        <v>22</v>
      </c>
      <c r="E47" s="50">
        <v>7</v>
      </c>
      <c r="F47" s="50">
        <v>10</v>
      </c>
      <c r="G47" s="50">
        <v>0</v>
      </c>
      <c r="H47" s="50">
        <v>0</v>
      </c>
      <c r="I47" s="50">
        <v>4</v>
      </c>
      <c r="J47" s="50">
        <v>5</v>
      </c>
      <c r="K47" s="50">
        <v>3</v>
      </c>
      <c r="L47" s="50">
        <v>3</v>
      </c>
      <c r="M47" s="50">
        <v>89</v>
      </c>
      <c r="N47" s="50">
        <v>0</v>
      </c>
      <c r="O47" s="15">
        <f t="shared" si="0"/>
        <v>73</v>
      </c>
      <c r="P47" s="15">
        <f t="shared" si="1"/>
        <v>162</v>
      </c>
      <c r="R47" s="8"/>
      <c r="T47"/>
    </row>
    <row r="48" spans="2:32" ht="23.1" customHeight="1" x14ac:dyDescent="0.25">
      <c r="B48" s="46" t="s">
        <v>75</v>
      </c>
      <c r="C48" s="50">
        <v>40</v>
      </c>
      <c r="D48" s="50">
        <v>21</v>
      </c>
      <c r="E48" s="50">
        <v>13</v>
      </c>
      <c r="F48" s="50">
        <v>23</v>
      </c>
      <c r="G48" s="50">
        <v>1</v>
      </c>
      <c r="H48" s="50">
        <v>0</v>
      </c>
      <c r="I48" s="50">
        <v>4</v>
      </c>
      <c r="J48" s="50">
        <v>10</v>
      </c>
      <c r="K48" s="50">
        <v>3</v>
      </c>
      <c r="L48" s="50">
        <v>7</v>
      </c>
      <c r="M48" s="50">
        <v>60</v>
      </c>
      <c r="N48" s="50">
        <v>0</v>
      </c>
      <c r="O48" s="15">
        <f t="shared" si="0"/>
        <v>122</v>
      </c>
      <c r="P48" s="15">
        <f t="shared" si="1"/>
        <v>182</v>
      </c>
      <c r="R48" s="8"/>
      <c r="T48"/>
    </row>
    <row r="49" spans="2:20" ht="23.1" customHeight="1" x14ac:dyDescent="0.25">
      <c r="B49" s="45" t="s">
        <v>76</v>
      </c>
      <c r="C49" s="50">
        <v>30</v>
      </c>
      <c r="D49" s="50">
        <v>13</v>
      </c>
      <c r="E49" s="50">
        <v>7</v>
      </c>
      <c r="F49" s="50">
        <v>9</v>
      </c>
      <c r="G49" s="50">
        <v>2</v>
      </c>
      <c r="H49" s="50">
        <v>0</v>
      </c>
      <c r="I49" s="50">
        <v>2</v>
      </c>
      <c r="J49" s="50">
        <v>9</v>
      </c>
      <c r="K49" s="50">
        <v>3</v>
      </c>
      <c r="L49" s="50">
        <v>2</v>
      </c>
      <c r="M49" s="50">
        <v>93</v>
      </c>
      <c r="N49" s="50">
        <v>0</v>
      </c>
      <c r="O49" s="15">
        <f t="shared" si="0"/>
        <v>77</v>
      </c>
      <c r="P49" s="15">
        <f t="shared" si="1"/>
        <v>170</v>
      </c>
      <c r="R49" s="8"/>
      <c r="T49"/>
    </row>
    <row r="50" spans="2:20" ht="23.1" customHeight="1" x14ac:dyDescent="0.25">
      <c r="B50" s="46" t="s">
        <v>77</v>
      </c>
      <c r="C50" s="50">
        <v>30</v>
      </c>
      <c r="D50" s="50">
        <v>15</v>
      </c>
      <c r="E50" s="50">
        <v>11</v>
      </c>
      <c r="F50" s="50">
        <v>18</v>
      </c>
      <c r="G50" s="50">
        <v>3</v>
      </c>
      <c r="H50" s="50">
        <v>0</v>
      </c>
      <c r="I50" s="50">
        <v>6</v>
      </c>
      <c r="J50" s="50">
        <v>9</v>
      </c>
      <c r="K50" s="50">
        <v>3</v>
      </c>
      <c r="L50" s="50">
        <v>5</v>
      </c>
      <c r="M50" s="50">
        <v>74</v>
      </c>
      <c r="N50" s="50">
        <v>0</v>
      </c>
      <c r="O50" s="15">
        <f t="shared" si="0"/>
        <v>100</v>
      </c>
      <c r="P50" s="15">
        <f t="shared" si="1"/>
        <v>174</v>
      </c>
      <c r="R50" s="8"/>
      <c r="T50"/>
    </row>
    <row r="51" spans="2:20" ht="23.1" customHeight="1" x14ac:dyDescent="0.25">
      <c r="B51" s="46" t="s">
        <v>78</v>
      </c>
      <c r="C51" s="50">
        <v>26</v>
      </c>
      <c r="D51" s="50">
        <v>20</v>
      </c>
      <c r="E51" s="50">
        <v>8</v>
      </c>
      <c r="F51" s="50">
        <v>20</v>
      </c>
      <c r="G51" s="50">
        <v>2</v>
      </c>
      <c r="H51" s="50">
        <v>0</v>
      </c>
      <c r="I51" s="50">
        <v>3</v>
      </c>
      <c r="J51" s="50">
        <v>13</v>
      </c>
      <c r="K51" s="50">
        <v>5</v>
      </c>
      <c r="L51" s="50">
        <v>0</v>
      </c>
      <c r="M51" s="50">
        <v>77</v>
      </c>
      <c r="N51" s="50">
        <v>0</v>
      </c>
      <c r="O51" s="15">
        <f t="shared" si="0"/>
        <v>97</v>
      </c>
      <c r="P51" s="15">
        <f t="shared" si="1"/>
        <v>174</v>
      </c>
      <c r="R51" s="8"/>
      <c r="T51"/>
    </row>
    <row r="52" spans="2:20" ht="23.1" customHeight="1" x14ac:dyDescent="0.25">
      <c r="B52" s="46" t="s">
        <v>79</v>
      </c>
      <c r="C52" s="50">
        <v>27</v>
      </c>
      <c r="D52" s="50">
        <v>21</v>
      </c>
      <c r="E52" s="50">
        <v>11</v>
      </c>
      <c r="F52" s="50">
        <v>26</v>
      </c>
      <c r="G52" s="50">
        <v>0</v>
      </c>
      <c r="H52" s="50">
        <v>0</v>
      </c>
      <c r="I52" s="50">
        <v>4</v>
      </c>
      <c r="J52" s="50">
        <v>7</v>
      </c>
      <c r="K52" s="50">
        <v>3</v>
      </c>
      <c r="L52" s="50">
        <v>3</v>
      </c>
      <c r="M52" s="50">
        <v>62</v>
      </c>
      <c r="N52" s="50">
        <v>0</v>
      </c>
      <c r="O52" s="15">
        <f t="shared" si="0"/>
        <v>102</v>
      </c>
      <c r="P52" s="15">
        <f t="shared" si="1"/>
        <v>164</v>
      </c>
      <c r="R52" s="8"/>
      <c r="T52"/>
    </row>
    <row r="53" spans="2:20" ht="23.1" customHeight="1" x14ac:dyDescent="0.25">
      <c r="B53" s="45" t="s">
        <v>80</v>
      </c>
      <c r="C53" s="50">
        <v>27</v>
      </c>
      <c r="D53" s="50">
        <v>21</v>
      </c>
      <c r="E53" s="50">
        <v>7</v>
      </c>
      <c r="F53" s="50">
        <v>20</v>
      </c>
      <c r="G53" s="50">
        <v>2</v>
      </c>
      <c r="H53" s="50">
        <v>0</v>
      </c>
      <c r="I53" s="50">
        <v>5</v>
      </c>
      <c r="J53" s="50">
        <v>12</v>
      </c>
      <c r="K53" s="50">
        <v>0</v>
      </c>
      <c r="L53" s="50">
        <v>2</v>
      </c>
      <c r="M53" s="50">
        <v>68</v>
      </c>
      <c r="N53" s="50">
        <v>0</v>
      </c>
      <c r="O53" s="15">
        <f t="shared" si="0"/>
        <v>96</v>
      </c>
      <c r="P53" s="15">
        <f t="shared" si="1"/>
        <v>164</v>
      </c>
      <c r="R53" s="8"/>
      <c r="T53"/>
    </row>
    <row r="54" spans="2:20" ht="23.1" customHeight="1" x14ac:dyDescent="0.25">
      <c r="B54" s="45" t="s">
        <v>81</v>
      </c>
      <c r="C54" s="50">
        <v>22</v>
      </c>
      <c r="D54" s="50">
        <v>42</v>
      </c>
      <c r="E54" s="50">
        <v>12</v>
      </c>
      <c r="F54" s="50">
        <v>20</v>
      </c>
      <c r="G54" s="50">
        <v>0</v>
      </c>
      <c r="H54" s="50">
        <v>1</v>
      </c>
      <c r="I54" s="50">
        <v>7</v>
      </c>
      <c r="J54" s="50">
        <v>8</v>
      </c>
      <c r="K54" s="50">
        <v>4</v>
      </c>
      <c r="L54" s="50">
        <v>0</v>
      </c>
      <c r="M54" s="50">
        <v>67</v>
      </c>
      <c r="N54" s="50">
        <v>0</v>
      </c>
      <c r="O54" s="15">
        <f t="shared" si="0"/>
        <v>116</v>
      </c>
      <c r="P54" s="15">
        <f t="shared" si="1"/>
        <v>183</v>
      </c>
      <c r="R54" s="8"/>
      <c r="T54"/>
    </row>
    <row r="55" spans="2:20" ht="23.1" customHeight="1" x14ac:dyDescent="0.25">
      <c r="B55" s="45" t="s">
        <v>82</v>
      </c>
      <c r="C55" s="50">
        <v>28</v>
      </c>
      <c r="D55" s="50">
        <v>15</v>
      </c>
      <c r="E55" s="50">
        <v>4</v>
      </c>
      <c r="F55" s="50">
        <v>20</v>
      </c>
      <c r="G55" s="50">
        <v>2</v>
      </c>
      <c r="H55" s="50">
        <v>1</v>
      </c>
      <c r="I55" s="50">
        <v>4</v>
      </c>
      <c r="J55" s="50">
        <v>5</v>
      </c>
      <c r="K55" s="50">
        <v>4</v>
      </c>
      <c r="L55" s="50">
        <v>0</v>
      </c>
      <c r="M55" s="50">
        <v>80</v>
      </c>
      <c r="N55" s="50">
        <v>0</v>
      </c>
      <c r="O55" s="15">
        <f t="shared" si="0"/>
        <v>83</v>
      </c>
      <c r="P55" s="15">
        <f t="shared" si="1"/>
        <v>163</v>
      </c>
      <c r="R55" s="8"/>
      <c r="T55"/>
    </row>
    <row r="56" spans="2:20" ht="23.1" customHeight="1" x14ac:dyDescent="0.25">
      <c r="B56" s="45" t="s">
        <v>83</v>
      </c>
      <c r="C56" s="50">
        <v>35</v>
      </c>
      <c r="D56" s="50">
        <v>15</v>
      </c>
      <c r="E56" s="50">
        <v>6</v>
      </c>
      <c r="F56" s="50">
        <v>25</v>
      </c>
      <c r="G56" s="50">
        <v>0</v>
      </c>
      <c r="H56" s="50">
        <v>1</v>
      </c>
      <c r="I56" s="50">
        <v>7</v>
      </c>
      <c r="J56" s="50">
        <v>0</v>
      </c>
      <c r="K56" s="50">
        <v>0</v>
      </c>
      <c r="L56" s="50">
        <v>2</v>
      </c>
      <c r="M56" s="50">
        <v>78</v>
      </c>
      <c r="N56" s="50">
        <v>0</v>
      </c>
      <c r="O56" s="15">
        <f t="shared" si="0"/>
        <v>91</v>
      </c>
      <c r="P56" s="15">
        <f t="shared" si="1"/>
        <v>169</v>
      </c>
      <c r="R56" s="8"/>
      <c r="T56"/>
    </row>
    <row r="57" spans="2:20" ht="23.1" customHeight="1" x14ac:dyDescent="0.25">
      <c r="B57" s="45" t="s">
        <v>84</v>
      </c>
      <c r="C57" s="50">
        <v>31</v>
      </c>
      <c r="D57" s="50">
        <v>8</v>
      </c>
      <c r="E57" s="50">
        <v>10</v>
      </c>
      <c r="F57" s="50">
        <v>24</v>
      </c>
      <c r="G57" s="50">
        <v>3</v>
      </c>
      <c r="H57" s="50">
        <v>0</v>
      </c>
      <c r="I57" s="50">
        <v>7</v>
      </c>
      <c r="J57" s="50">
        <v>0</v>
      </c>
      <c r="K57" s="50">
        <v>0</v>
      </c>
      <c r="L57" s="50">
        <v>2</v>
      </c>
      <c r="M57" s="50">
        <v>69</v>
      </c>
      <c r="N57" s="50">
        <v>0</v>
      </c>
      <c r="O57" s="15">
        <f t="shared" si="0"/>
        <v>85</v>
      </c>
      <c r="P57" s="15">
        <f t="shared" si="1"/>
        <v>154</v>
      </c>
      <c r="R57" s="8"/>
      <c r="T57"/>
    </row>
    <row r="58" spans="2:20" ht="23.1" customHeight="1" x14ac:dyDescent="0.25">
      <c r="B58" s="45" t="s">
        <v>99</v>
      </c>
      <c r="C58" s="50">
        <v>24</v>
      </c>
      <c r="D58" s="50">
        <v>3</v>
      </c>
      <c r="E58" s="50">
        <v>14</v>
      </c>
      <c r="F58" s="50">
        <v>27</v>
      </c>
      <c r="G58" s="50">
        <v>1</v>
      </c>
      <c r="H58" s="50">
        <v>0</v>
      </c>
      <c r="I58" s="50">
        <v>7</v>
      </c>
      <c r="J58" s="50">
        <v>0</v>
      </c>
      <c r="K58" s="50">
        <v>2</v>
      </c>
      <c r="L58" s="50">
        <v>2</v>
      </c>
      <c r="M58" s="50">
        <v>118</v>
      </c>
      <c r="N58" s="50">
        <v>0</v>
      </c>
      <c r="O58" s="15">
        <f t="shared" si="0"/>
        <v>80</v>
      </c>
      <c r="P58" s="15">
        <f t="shared" si="1"/>
        <v>198</v>
      </c>
      <c r="R58" s="8"/>
      <c r="T58"/>
    </row>
    <row r="59" spans="2:20" ht="23.1" customHeight="1" x14ac:dyDescent="0.25">
      <c r="B59" s="45" t="s">
        <v>100</v>
      </c>
      <c r="C59" s="50">
        <v>27</v>
      </c>
      <c r="D59" s="50">
        <v>4</v>
      </c>
      <c r="E59" s="50">
        <v>10</v>
      </c>
      <c r="F59" s="50">
        <v>16</v>
      </c>
      <c r="G59" s="50">
        <v>0</v>
      </c>
      <c r="H59" s="50">
        <v>0</v>
      </c>
      <c r="I59" s="50">
        <v>1</v>
      </c>
      <c r="J59" s="50">
        <v>0</v>
      </c>
      <c r="K59" s="50">
        <v>2</v>
      </c>
      <c r="L59" s="50">
        <v>0</v>
      </c>
      <c r="M59" s="50">
        <v>170</v>
      </c>
      <c r="N59" s="50">
        <v>0</v>
      </c>
      <c r="O59" s="15">
        <f t="shared" si="0"/>
        <v>60</v>
      </c>
      <c r="P59" s="15">
        <f t="shared" si="1"/>
        <v>230</v>
      </c>
      <c r="R59" s="8"/>
      <c r="T59"/>
    </row>
    <row r="60" spans="2:20" ht="23.1" customHeight="1" x14ac:dyDescent="0.25">
      <c r="B60" s="45" t="s">
        <v>101</v>
      </c>
      <c r="C60" s="50">
        <v>35</v>
      </c>
      <c r="D60" s="50">
        <v>9</v>
      </c>
      <c r="E60" s="50">
        <v>8</v>
      </c>
      <c r="F60" s="50">
        <v>13</v>
      </c>
      <c r="G60" s="50">
        <v>0</v>
      </c>
      <c r="H60" s="50">
        <v>0</v>
      </c>
      <c r="I60" s="50">
        <v>4</v>
      </c>
      <c r="J60" s="50">
        <v>4</v>
      </c>
      <c r="K60" s="50">
        <v>0</v>
      </c>
      <c r="L60" s="50">
        <v>0</v>
      </c>
      <c r="M60" s="50">
        <v>243</v>
      </c>
      <c r="N60" s="50">
        <v>0</v>
      </c>
      <c r="O60" s="15">
        <f t="shared" si="0"/>
        <v>73</v>
      </c>
      <c r="P60" s="15">
        <f t="shared" si="1"/>
        <v>316</v>
      </c>
      <c r="R60" s="8"/>
      <c r="T60"/>
    </row>
    <row r="61" spans="2:20" ht="23.1" customHeight="1" x14ac:dyDescent="0.25">
      <c r="B61" s="45" t="s">
        <v>102</v>
      </c>
      <c r="C61" s="50">
        <v>25</v>
      </c>
      <c r="D61" s="50">
        <v>9</v>
      </c>
      <c r="E61" s="50">
        <v>9</v>
      </c>
      <c r="F61" s="50">
        <v>17</v>
      </c>
      <c r="G61" s="50">
        <v>0</v>
      </c>
      <c r="H61" s="50">
        <v>0</v>
      </c>
      <c r="I61" s="50">
        <v>4</v>
      </c>
      <c r="J61" s="50">
        <v>2</v>
      </c>
      <c r="K61" s="50">
        <v>1</v>
      </c>
      <c r="L61" s="50">
        <v>1</v>
      </c>
      <c r="M61" s="50">
        <v>182</v>
      </c>
      <c r="N61" s="50">
        <v>0</v>
      </c>
      <c r="O61" s="15">
        <f t="shared" si="0"/>
        <v>68</v>
      </c>
      <c r="P61" s="15">
        <f t="shared" si="1"/>
        <v>250</v>
      </c>
      <c r="R61" s="8"/>
      <c r="T61"/>
    </row>
    <row r="62" spans="2:20" ht="23.1" customHeight="1" x14ac:dyDescent="0.25">
      <c r="B62" s="45" t="s">
        <v>107</v>
      </c>
      <c r="C62" s="50">
        <v>30</v>
      </c>
      <c r="D62" s="50">
        <v>9</v>
      </c>
      <c r="E62" s="50">
        <v>7</v>
      </c>
      <c r="F62" s="50">
        <v>22</v>
      </c>
      <c r="G62" s="50">
        <v>1</v>
      </c>
      <c r="H62" s="50">
        <v>0</v>
      </c>
      <c r="I62" s="50">
        <v>1</v>
      </c>
      <c r="J62" s="50">
        <v>3</v>
      </c>
      <c r="K62" s="50">
        <v>1</v>
      </c>
      <c r="L62" s="50">
        <v>2</v>
      </c>
      <c r="M62" s="50">
        <v>210</v>
      </c>
      <c r="N62" s="50">
        <v>0</v>
      </c>
      <c r="O62" s="15">
        <f t="shared" si="0"/>
        <v>76</v>
      </c>
      <c r="P62" s="15">
        <f t="shared" si="1"/>
        <v>286</v>
      </c>
      <c r="R62" s="8"/>
      <c r="T62"/>
    </row>
    <row r="63" spans="2:20" ht="23.1" customHeight="1" x14ac:dyDescent="0.25">
      <c r="B63" s="45" t="s">
        <v>108</v>
      </c>
      <c r="C63" s="50">
        <v>25</v>
      </c>
      <c r="D63" s="50">
        <v>8</v>
      </c>
      <c r="E63" s="50">
        <v>9</v>
      </c>
      <c r="F63" s="50">
        <v>27</v>
      </c>
      <c r="G63" s="50">
        <v>2</v>
      </c>
      <c r="H63" s="50">
        <v>1</v>
      </c>
      <c r="I63" s="50">
        <v>4</v>
      </c>
      <c r="J63" s="50">
        <v>0</v>
      </c>
      <c r="K63" s="50">
        <v>0</v>
      </c>
      <c r="L63" s="50">
        <v>1</v>
      </c>
      <c r="M63" s="50">
        <v>196</v>
      </c>
      <c r="N63" s="50">
        <v>0</v>
      </c>
      <c r="O63" s="15">
        <f t="shared" si="0"/>
        <v>77</v>
      </c>
      <c r="P63" s="15">
        <f t="shared" si="1"/>
        <v>273</v>
      </c>
      <c r="R63" s="8"/>
      <c r="T63"/>
    </row>
    <row r="64" spans="2:20" ht="23.1" customHeight="1" x14ac:dyDescent="0.25">
      <c r="B64" s="45" t="s">
        <v>109</v>
      </c>
      <c r="C64" s="50">
        <v>28</v>
      </c>
      <c r="D64" s="50">
        <v>7</v>
      </c>
      <c r="E64" s="50">
        <v>5</v>
      </c>
      <c r="F64" s="50">
        <v>21</v>
      </c>
      <c r="G64" s="50">
        <v>0</v>
      </c>
      <c r="H64" s="50">
        <v>1</v>
      </c>
      <c r="I64" s="50">
        <v>2</v>
      </c>
      <c r="J64" s="50">
        <v>1</v>
      </c>
      <c r="K64" s="50">
        <v>0</v>
      </c>
      <c r="L64" s="50">
        <v>1</v>
      </c>
      <c r="M64" s="50">
        <v>143</v>
      </c>
      <c r="N64" s="50">
        <v>0</v>
      </c>
      <c r="O64" s="15">
        <f t="shared" si="0"/>
        <v>66</v>
      </c>
      <c r="P64" s="15">
        <f t="shared" si="1"/>
        <v>209</v>
      </c>
      <c r="R64" s="8"/>
      <c r="T64"/>
    </row>
    <row r="65" spans="2:20" ht="23.1" customHeight="1" x14ac:dyDescent="0.25">
      <c r="B65" s="45" t="s">
        <v>158</v>
      </c>
      <c r="C65" s="50">
        <v>29</v>
      </c>
      <c r="D65" s="50">
        <v>3</v>
      </c>
      <c r="E65" s="50">
        <v>5</v>
      </c>
      <c r="F65" s="50">
        <v>17</v>
      </c>
      <c r="G65" s="50">
        <v>3</v>
      </c>
      <c r="H65" s="50">
        <v>0</v>
      </c>
      <c r="I65" s="50">
        <v>1</v>
      </c>
      <c r="J65" s="50">
        <v>2</v>
      </c>
      <c r="K65" s="50">
        <v>0</v>
      </c>
      <c r="L65" s="50">
        <v>0</v>
      </c>
      <c r="M65" s="50">
        <v>152</v>
      </c>
      <c r="N65" s="50">
        <v>0</v>
      </c>
      <c r="O65" s="15">
        <f t="shared" si="0"/>
        <v>60</v>
      </c>
      <c r="P65" s="15">
        <f t="shared" si="1"/>
        <v>212</v>
      </c>
      <c r="R65" s="8"/>
      <c r="T65"/>
    </row>
    <row r="66" spans="2:20" ht="23.1" customHeight="1" x14ac:dyDescent="0.25">
      <c r="B66" s="45" t="s">
        <v>103</v>
      </c>
      <c r="C66" s="50">
        <v>22</v>
      </c>
      <c r="D66" s="50">
        <v>1</v>
      </c>
      <c r="E66" s="50">
        <v>6</v>
      </c>
      <c r="F66" s="50">
        <v>7</v>
      </c>
      <c r="G66" s="50">
        <v>1</v>
      </c>
      <c r="H66" s="50">
        <v>0</v>
      </c>
      <c r="I66" s="50">
        <v>3</v>
      </c>
      <c r="J66" s="50">
        <v>2</v>
      </c>
      <c r="K66" s="50">
        <v>1</v>
      </c>
      <c r="L66" s="50">
        <v>0</v>
      </c>
      <c r="M66" s="50">
        <v>85</v>
      </c>
      <c r="N66" s="50">
        <v>0</v>
      </c>
      <c r="O66" s="15">
        <f t="shared" si="0"/>
        <v>43</v>
      </c>
      <c r="P66" s="15">
        <f t="shared" si="1"/>
        <v>128</v>
      </c>
      <c r="R66" s="8"/>
      <c r="T66"/>
    </row>
    <row r="67" spans="2:20" ht="23.1" customHeight="1" x14ac:dyDescent="0.25">
      <c r="B67" s="45" t="s">
        <v>104</v>
      </c>
      <c r="C67" s="50">
        <v>18</v>
      </c>
      <c r="D67" s="50">
        <v>5</v>
      </c>
      <c r="E67" s="50">
        <v>2</v>
      </c>
      <c r="F67" s="50">
        <v>9</v>
      </c>
      <c r="G67" s="50">
        <v>1</v>
      </c>
      <c r="H67" s="50">
        <v>0</v>
      </c>
      <c r="I67" s="50">
        <v>1</v>
      </c>
      <c r="J67" s="50">
        <v>3</v>
      </c>
      <c r="K67" s="50">
        <v>0</v>
      </c>
      <c r="L67" s="50">
        <v>0</v>
      </c>
      <c r="M67" s="50">
        <v>83</v>
      </c>
      <c r="N67" s="50">
        <v>0</v>
      </c>
      <c r="O67" s="15">
        <f t="shared" si="0"/>
        <v>39</v>
      </c>
      <c r="P67" s="15">
        <f t="shared" si="1"/>
        <v>122</v>
      </c>
      <c r="R67" s="8"/>
      <c r="T67"/>
    </row>
    <row r="68" spans="2:20" ht="23.1" customHeight="1" x14ac:dyDescent="0.25">
      <c r="B68" s="45" t="s">
        <v>105</v>
      </c>
      <c r="C68" s="50">
        <v>26</v>
      </c>
      <c r="D68" s="50">
        <v>3</v>
      </c>
      <c r="E68" s="50">
        <v>5</v>
      </c>
      <c r="F68" s="50">
        <v>16</v>
      </c>
      <c r="G68" s="50">
        <v>1</v>
      </c>
      <c r="H68" s="50">
        <v>0</v>
      </c>
      <c r="I68" s="50">
        <v>2</v>
      </c>
      <c r="J68" s="50">
        <v>0</v>
      </c>
      <c r="K68" s="50">
        <v>0</v>
      </c>
      <c r="L68" s="50">
        <v>3</v>
      </c>
      <c r="M68" s="50">
        <v>91</v>
      </c>
      <c r="N68" s="50">
        <v>0</v>
      </c>
      <c r="O68" s="15">
        <f t="shared" si="0"/>
        <v>56</v>
      </c>
      <c r="P68" s="15">
        <f t="shared" si="1"/>
        <v>147</v>
      </c>
      <c r="R68" s="8"/>
      <c r="T68"/>
    </row>
    <row r="69" spans="2:20" ht="23.1" customHeight="1" x14ac:dyDescent="0.25">
      <c r="B69" s="45" t="s">
        <v>106</v>
      </c>
      <c r="C69" s="50">
        <v>24</v>
      </c>
      <c r="D69" s="50">
        <v>6</v>
      </c>
      <c r="E69" s="50">
        <v>6</v>
      </c>
      <c r="F69" s="50">
        <v>11</v>
      </c>
      <c r="G69" s="50">
        <v>1</v>
      </c>
      <c r="H69" s="50">
        <v>0</v>
      </c>
      <c r="I69" s="50">
        <v>2</v>
      </c>
      <c r="J69" s="50">
        <v>1</v>
      </c>
      <c r="K69" s="50">
        <v>2</v>
      </c>
      <c r="L69" s="50">
        <v>1</v>
      </c>
      <c r="M69" s="50">
        <v>79</v>
      </c>
      <c r="N69" s="50">
        <v>0</v>
      </c>
      <c r="O69" s="15">
        <f t="shared" si="0"/>
        <v>54</v>
      </c>
      <c r="P69" s="15">
        <f t="shared" si="1"/>
        <v>133</v>
      </c>
      <c r="R69" s="8"/>
      <c r="T69"/>
    </row>
    <row r="70" spans="2:20" ht="23.1" customHeight="1" x14ac:dyDescent="0.25">
      <c r="B70" s="45" t="s">
        <v>110</v>
      </c>
      <c r="C70" s="50">
        <v>28</v>
      </c>
      <c r="D70" s="50">
        <v>6</v>
      </c>
      <c r="E70" s="50">
        <v>5</v>
      </c>
      <c r="F70" s="50">
        <v>9</v>
      </c>
      <c r="G70" s="50">
        <v>3</v>
      </c>
      <c r="H70" s="50">
        <v>0</v>
      </c>
      <c r="I70" s="50">
        <v>3</v>
      </c>
      <c r="J70" s="50">
        <v>1</v>
      </c>
      <c r="K70" s="50">
        <v>0</v>
      </c>
      <c r="L70" s="50">
        <v>0</v>
      </c>
      <c r="M70" s="50">
        <v>103</v>
      </c>
      <c r="N70" s="50">
        <v>0</v>
      </c>
      <c r="O70" s="15">
        <f t="shared" si="0"/>
        <v>55</v>
      </c>
      <c r="P70" s="15">
        <f t="shared" si="1"/>
        <v>158</v>
      </c>
      <c r="R70" s="8"/>
      <c r="T70"/>
    </row>
    <row r="71" spans="2:20" ht="23.1" customHeight="1" x14ac:dyDescent="0.25">
      <c r="B71" s="45" t="s">
        <v>111</v>
      </c>
      <c r="C71" s="50">
        <v>25</v>
      </c>
      <c r="D71" s="50">
        <v>6</v>
      </c>
      <c r="E71" s="50">
        <v>4</v>
      </c>
      <c r="F71" s="50">
        <v>16</v>
      </c>
      <c r="G71" s="50">
        <v>0</v>
      </c>
      <c r="H71" s="50">
        <v>0</v>
      </c>
      <c r="I71" s="50">
        <v>1</v>
      </c>
      <c r="J71" s="50">
        <v>1</v>
      </c>
      <c r="K71" s="50">
        <v>0</v>
      </c>
      <c r="L71" s="50">
        <v>2</v>
      </c>
      <c r="M71" s="50">
        <v>133</v>
      </c>
      <c r="N71" s="50">
        <v>0</v>
      </c>
      <c r="O71" s="15">
        <f t="shared" si="0"/>
        <v>55</v>
      </c>
      <c r="P71" s="15">
        <f t="shared" si="1"/>
        <v>188</v>
      </c>
      <c r="R71" s="8"/>
      <c r="T71"/>
    </row>
    <row r="72" spans="2:20" ht="23.1" customHeight="1" x14ac:dyDescent="0.25">
      <c r="B72" s="45" t="s">
        <v>112</v>
      </c>
      <c r="C72" s="50">
        <v>19</v>
      </c>
      <c r="D72" s="50">
        <v>4</v>
      </c>
      <c r="E72" s="50">
        <v>4</v>
      </c>
      <c r="F72" s="50">
        <v>8</v>
      </c>
      <c r="G72" s="50">
        <v>0</v>
      </c>
      <c r="H72" s="50">
        <v>0</v>
      </c>
      <c r="I72" s="50">
        <v>3</v>
      </c>
      <c r="J72" s="50">
        <v>0</v>
      </c>
      <c r="K72" s="50">
        <v>0</v>
      </c>
      <c r="L72" s="50">
        <v>0</v>
      </c>
      <c r="M72" s="50">
        <v>134</v>
      </c>
      <c r="N72" s="50">
        <v>0</v>
      </c>
      <c r="O72" s="15">
        <f t="shared" si="0"/>
        <v>38</v>
      </c>
      <c r="P72" s="15">
        <f t="shared" si="1"/>
        <v>172</v>
      </c>
      <c r="R72" s="8"/>
      <c r="T72"/>
    </row>
    <row r="73" spans="2:20" ht="23.1" customHeight="1" x14ac:dyDescent="0.25">
      <c r="B73" s="45" t="s">
        <v>113</v>
      </c>
      <c r="C73" s="50">
        <v>30</v>
      </c>
      <c r="D73" s="50">
        <v>4</v>
      </c>
      <c r="E73" s="50">
        <v>2</v>
      </c>
      <c r="F73" s="50">
        <v>9</v>
      </c>
      <c r="G73" s="50">
        <v>1</v>
      </c>
      <c r="H73" s="50">
        <v>0</v>
      </c>
      <c r="I73" s="50">
        <v>1</v>
      </c>
      <c r="J73" s="50">
        <v>0</v>
      </c>
      <c r="K73" s="50">
        <v>4</v>
      </c>
      <c r="L73" s="50">
        <v>0</v>
      </c>
      <c r="M73" s="50">
        <v>102</v>
      </c>
      <c r="N73" s="50">
        <v>0</v>
      </c>
      <c r="O73" s="15">
        <f t="shared" si="0"/>
        <v>51</v>
      </c>
      <c r="P73" s="15">
        <f t="shared" si="1"/>
        <v>153</v>
      </c>
      <c r="R73" s="8"/>
      <c r="T73"/>
    </row>
    <row r="74" spans="2:20" ht="23.1" customHeight="1" x14ac:dyDescent="0.25">
      <c r="B74" s="45" t="s">
        <v>114</v>
      </c>
      <c r="C74" s="50">
        <v>20</v>
      </c>
      <c r="D74" s="50">
        <v>4</v>
      </c>
      <c r="E74" s="50">
        <v>2</v>
      </c>
      <c r="F74" s="50">
        <v>3</v>
      </c>
      <c r="G74" s="50">
        <v>1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113</v>
      </c>
      <c r="N74" s="50">
        <v>0</v>
      </c>
      <c r="O74" s="15">
        <f t="shared" ref="O74:O105" si="35">SUM(C74:L74,N74)</f>
        <v>31</v>
      </c>
      <c r="P74" s="15">
        <f t="shared" ref="P74:P105" si="36">SUM(C74:N74)</f>
        <v>144</v>
      </c>
      <c r="R74" s="8"/>
      <c r="T74"/>
    </row>
    <row r="75" spans="2:20" ht="23.1" customHeight="1" x14ac:dyDescent="0.25">
      <c r="B75" s="45" t="s">
        <v>115</v>
      </c>
      <c r="C75" s="50">
        <v>9</v>
      </c>
      <c r="D75" s="50">
        <v>2</v>
      </c>
      <c r="E75" s="50">
        <v>3</v>
      </c>
      <c r="F75" s="50">
        <v>3</v>
      </c>
      <c r="G75" s="50">
        <v>0</v>
      </c>
      <c r="H75" s="50">
        <v>0</v>
      </c>
      <c r="I75" s="50">
        <v>1</v>
      </c>
      <c r="J75" s="50">
        <v>1</v>
      </c>
      <c r="K75" s="50">
        <v>0</v>
      </c>
      <c r="L75" s="50">
        <v>1</v>
      </c>
      <c r="M75" s="50">
        <v>72</v>
      </c>
      <c r="N75" s="50">
        <v>0</v>
      </c>
      <c r="O75" s="15">
        <f t="shared" si="35"/>
        <v>20</v>
      </c>
      <c r="P75" s="15">
        <f t="shared" si="36"/>
        <v>92</v>
      </c>
      <c r="R75" s="8"/>
      <c r="T75"/>
    </row>
    <row r="76" spans="2:20" ht="23.1" customHeight="1" x14ac:dyDescent="0.25">
      <c r="B76" s="45" t="s">
        <v>116</v>
      </c>
      <c r="C76" s="50">
        <v>27</v>
      </c>
      <c r="D76" s="50">
        <v>3</v>
      </c>
      <c r="E76" s="50">
        <v>3</v>
      </c>
      <c r="F76" s="50">
        <v>3</v>
      </c>
      <c r="G76" s="50">
        <v>0</v>
      </c>
      <c r="H76" s="50">
        <v>0</v>
      </c>
      <c r="I76" s="50">
        <v>3</v>
      </c>
      <c r="J76" s="50">
        <v>0</v>
      </c>
      <c r="K76" s="50">
        <v>1</v>
      </c>
      <c r="L76" s="50">
        <v>0</v>
      </c>
      <c r="M76" s="50">
        <v>64</v>
      </c>
      <c r="N76" s="50">
        <v>0</v>
      </c>
      <c r="O76" s="15">
        <f t="shared" si="35"/>
        <v>40</v>
      </c>
      <c r="P76" s="15">
        <f t="shared" si="36"/>
        <v>104</v>
      </c>
      <c r="R76" s="8"/>
      <c r="T76"/>
    </row>
    <row r="77" spans="2:20" ht="23.1" customHeight="1" x14ac:dyDescent="0.25">
      <c r="B77" s="45" t="s">
        <v>117</v>
      </c>
      <c r="C77" s="50">
        <v>9</v>
      </c>
      <c r="D77" s="50">
        <v>3</v>
      </c>
      <c r="E77" s="50">
        <v>1</v>
      </c>
      <c r="F77" s="50">
        <v>4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53</v>
      </c>
      <c r="N77" s="50">
        <v>0</v>
      </c>
      <c r="O77" s="15">
        <f t="shared" si="35"/>
        <v>17</v>
      </c>
      <c r="P77" s="15">
        <f t="shared" si="36"/>
        <v>70</v>
      </c>
      <c r="R77" s="8"/>
      <c r="T77"/>
    </row>
    <row r="78" spans="2:20" ht="23.1" customHeight="1" x14ac:dyDescent="0.25">
      <c r="B78" s="46" t="s">
        <v>118</v>
      </c>
      <c r="C78" s="50">
        <v>5</v>
      </c>
      <c r="D78" s="50">
        <v>0</v>
      </c>
      <c r="E78" s="50">
        <v>1</v>
      </c>
      <c r="F78" s="50">
        <v>1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28</v>
      </c>
      <c r="N78" s="50">
        <v>0</v>
      </c>
      <c r="O78" s="15">
        <f t="shared" si="35"/>
        <v>7</v>
      </c>
      <c r="P78" s="15">
        <f t="shared" si="36"/>
        <v>35</v>
      </c>
      <c r="R78" s="8"/>
      <c r="T78"/>
    </row>
    <row r="79" spans="2:20" ht="23.1" customHeight="1" x14ac:dyDescent="0.25">
      <c r="B79" s="45" t="s">
        <v>119</v>
      </c>
      <c r="C79" s="50">
        <v>8</v>
      </c>
      <c r="D79" s="50">
        <v>0</v>
      </c>
      <c r="E79" s="50">
        <v>2</v>
      </c>
      <c r="F79" s="50">
        <v>0</v>
      </c>
      <c r="G79" s="50">
        <v>0</v>
      </c>
      <c r="H79" s="50">
        <v>0</v>
      </c>
      <c r="I79" s="50">
        <v>2</v>
      </c>
      <c r="J79" s="50">
        <v>1</v>
      </c>
      <c r="K79" s="50">
        <v>0</v>
      </c>
      <c r="L79" s="50">
        <v>0</v>
      </c>
      <c r="M79" s="50">
        <v>37</v>
      </c>
      <c r="N79" s="50">
        <v>0</v>
      </c>
      <c r="O79" s="15">
        <f t="shared" si="35"/>
        <v>13</v>
      </c>
      <c r="P79" s="15">
        <f t="shared" si="36"/>
        <v>50</v>
      </c>
      <c r="R79" s="8"/>
      <c r="T79"/>
    </row>
    <row r="80" spans="2:20" ht="23.1" customHeight="1" x14ac:dyDescent="0.25">
      <c r="B80" s="47" t="s">
        <v>120</v>
      </c>
      <c r="C80" s="50">
        <v>11</v>
      </c>
      <c r="D80" s="50">
        <v>3</v>
      </c>
      <c r="E80" s="50">
        <v>4</v>
      </c>
      <c r="F80" s="50">
        <v>9</v>
      </c>
      <c r="G80" s="50">
        <v>0</v>
      </c>
      <c r="H80" s="50">
        <v>1</v>
      </c>
      <c r="I80" s="50">
        <v>0</v>
      </c>
      <c r="J80" s="50">
        <v>0</v>
      </c>
      <c r="K80" s="50">
        <v>0</v>
      </c>
      <c r="L80" s="50">
        <v>0</v>
      </c>
      <c r="M80" s="50">
        <v>31</v>
      </c>
      <c r="N80" s="50">
        <v>0</v>
      </c>
      <c r="O80" s="15">
        <f t="shared" si="35"/>
        <v>28</v>
      </c>
      <c r="P80" s="15">
        <f t="shared" si="36"/>
        <v>59</v>
      </c>
      <c r="R80" s="8"/>
      <c r="T80"/>
    </row>
    <row r="81" spans="2:20" ht="23.1" customHeight="1" x14ac:dyDescent="0.25">
      <c r="B81" s="45" t="s">
        <v>121</v>
      </c>
      <c r="C81" s="50">
        <v>7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2</v>
      </c>
      <c r="J81" s="50">
        <v>0</v>
      </c>
      <c r="K81" s="50">
        <v>3</v>
      </c>
      <c r="L81" s="50">
        <v>0</v>
      </c>
      <c r="M81" s="50">
        <v>29</v>
      </c>
      <c r="N81" s="50">
        <v>0</v>
      </c>
      <c r="O81" s="15">
        <f t="shared" si="35"/>
        <v>12</v>
      </c>
      <c r="P81" s="15">
        <f t="shared" si="36"/>
        <v>41</v>
      </c>
      <c r="R81" s="8"/>
      <c r="T81"/>
    </row>
    <row r="82" spans="2:20" ht="23.1" customHeight="1" x14ac:dyDescent="0.25">
      <c r="B82" s="46" t="s">
        <v>122</v>
      </c>
      <c r="C82" s="50">
        <v>12</v>
      </c>
      <c r="D82" s="50">
        <v>0</v>
      </c>
      <c r="E82" s="50">
        <v>4</v>
      </c>
      <c r="F82" s="50">
        <v>2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33</v>
      </c>
      <c r="N82" s="50">
        <v>0</v>
      </c>
      <c r="O82" s="15">
        <f t="shared" si="35"/>
        <v>19</v>
      </c>
      <c r="P82" s="15">
        <f t="shared" si="36"/>
        <v>52</v>
      </c>
      <c r="R82" s="8"/>
      <c r="T82"/>
    </row>
    <row r="83" spans="2:20" ht="23.1" customHeight="1" x14ac:dyDescent="0.25">
      <c r="B83" s="45" t="s">
        <v>123</v>
      </c>
      <c r="C83" s="50">
        <v>17</v>
      </c>
      <c r="D83" s="50">
        <v>0</v>
      </c>
      <c r="E83" s="50">
        <v>0</v>
      </c>
      <c r="F83" s="50">
        <v>4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23</v>
      </c>
      <c r="N83" s="50">
        <v>0</v>
      </c>
      <c r="O83" s="15">
        <f t="shared" si="35"/>
        <v>21</v>
      </c>
      <c r="P83" s="15">
        <f t="shared" si="36"/>
        <v>44</v>
      </c>
      <c r="R83" s="8"/>
      <c r="T83"/>
    </row>
    <row r="84" spans="2:20" ht="23.1" customHeight="1" x14ac:dyDescent="0.25">
      <c r="B84" s="47" t="s">
        <v>124</v>
      </c>
      <c r="C84" s="50">
        <v>27</v>
      </c>
      <c r="D84" s="50">
        <v>0</v>
      </c>
      <c r="E84" s="50">
        <v>0</v>
      </c>
      <c r="F84" s="50">
        <v>6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38</v>
      </c>
      <c r="N84" s="50">
        <v>0</v>
      </c>
      <c r="O84" s="15">
        <f t="shared" si="35"/>
        <v>33</v>
      </c>
      <c r="P84" s="15">
        <f t="shared" si="36"/>
        <v>71</v>
      </c>
      <c r="R84" s="8"/>
      <c r="T84"/>
    </row>
    <row r="85" spans="2:20" ht="23.1" customHeight="1" x14ac:dyDescent="0.25">
      <c r="B85" s="45" t="s">
        <v>125</v>
      </c>
      <c r="C85" s="50">
        <v>8</v>
      </c>
      <c r="D85" s="50">
        <v>2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22</v>
      </c>
      <c r="N85" s="50">
        <v>0</v>
      </c>
      <c r="O85" s="15">
        <f t="shared" si="35"/>
        <v>10</v>
      </c>
      <c r="P85" s="15">
        <f t="shared" si="36"/>
        <v>32</v>
      </c>
      <c r="R85" s="8"/>
      <c r="T85"/>
    </row>
    <row r="86" spans="2:20" ht="23.1" customHeight="1" x14ac:dyDescent="0.25">
      <c r="B86" s="46" t="s">
        <v>126</v>
      </c>
      <c r="C86" s="50">
        <v>6</v>
      </c>
      <c r="D86" s="50">
        <v>0</v>
      </c>
      <c r="E86" s="50">
        <v>0</v>
      </c>
      <c r="F86" s="50">
        <v>2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16</v>
      </c>
      <c r="N86" s="50">
        <v>0</v>
      </c>
      <c r="O86" s="15">
        <f t="shared" si="35"/>
        <v>8</v>
      </c>
      <c r="P86" s="15">
        <f t="shared" si="36"/>
        <v>24</v>
      </c>
      <c r="R86" s="8"/>
      <c r="T86"/>
    </row>
    <row r="87" spans="2:20" ht="23.1" customHeight="1" x14ac:dyDescent="0.25">
      <c r="B87" s="45" t="s">
        <v>127</v>
      </c>
      <c r="C87" s="50">
        <v>13</v>
      </c>
      <c r="D87" s="50">
        <v>0</v>
      </c>
      <c r="E87" s="50">
        <v>0</v>
      </c>
      <c r="F87" s="50">
        <v>4</v>
      </c>
      <c r="G87" s="50">
        <v>0</v>
      </c>
      <c r="H87" s="50">
        <v>0</v>
      </c>
      <c r="I87" s="50">
        <v>0</v>
      </c>
      <c r="J87" s="50">
        <v>0</v>
      </c>
      <c r="K87" s="50">
        <v>2</v>
      </c>
      <c r="L87" s="50">
        <v>0</v>
      </c>
      <c r="M87" s="50">
        <v>24</v>
      </c>
      <c r="N87" s="50">
        <v>0</v>
      </c>
      <c r="O87" s="15">
        <f t="shared" si="35"/>
        <v>19</v>
      </c>
      <c r="P87" s="15">
        <f t="shared" si="36"/>
        <v>43</v>
      </c>
      <c r="R87" s="8"/>
      <c r="T87"/>
    </row>
    <row r="88" spans="2:20" ht="23.1" customHeight="1" x14ac:dyDescent="0.25">
      <c r="B88" s="47" t="s">
        <v>128</v>
      </c>
      <c r="C88" s="50">
        <v>10</v>
      </c>
      <c r="D88" s="50">
        <v>2</v>
      </c>
      <c r="E88" s="50">
        <v>0</v>
      </c>
      <c r="F88" s="50">
        <v>6</v>
      </c>
      <c r="G88" s="50">
        <v>0</v>
      </c>
      <c r="H88" s="50">
        <v>0</v>
      </c>
      <c r="I88" s="50">
        <v>0</v>
      </c>
      <c r="J88" s="50">
        <v>4</v>
      </c>
      <c r="K88" s="50">
        <v>0</v>
      </c>
      <c r="L88" s="50">
        <v>0</v>
      </c>
      <c r="M88" s="50">
        <v>19</v>
      </c>
      <c r="N88" s="50">
        <v>0</v>
      </c>
      <c r="O88" s="15">
        <f t="shared" si="35"/>
        <v>22</v>
      </c>
      <c r="P88" s="15">
        <f t="shared" si="36"/>
        <v>41</v>
      </c>
      <c r="R88" s="8"/>
      <c r="T88"/>
    </row>
    <row r="89" spans="2:20" ht="23.1" customHeight="1" x14ac:dyDescent="0.25">
      <c r="B89" s="45" t="s">
        <v>129</v>
      </c>
      <c r="C89" s="50">
        <v>19</v>
      </c>
      <c r="D89" s="50">
        <v>0</v>
      </c>
      <c r="E89" s="50">
        <v>2</v>
      </c>
      <c r="F89" s="50">
        <v>4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2</v>
      </c>
      <c r="M89" s="50">
        <v>28</v>
      </c>
      <c r="N89" s="50">
        <v>0</v>
      </c>
      <c r="O89" s="15">
        <f t="shared" si="35"/>
        <v>27</v>
      </c>
      <c r="P89" s="15">
        <f t="shared" si="36"/>
        <v>55</v>
      </c>
      <c r="R89" s="8"/>
      <c r="T89"/>
    </row>
    <row r="90" spans="2:20" ht="23.1" customHeight="1" x14ac:dyDescent="0.25">
      <c r="B90" s="46" t="s">
        <v>130</v>
      </c>
      <c r="C90" s="50">
        <v>4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2</v>
      </c>
      <c r="M90" s="50">
        <v>13</v>
      </c>
      <c r="N90" s="50">
        <v>0</v>
      </c>
      <c r="O90" s="15">
        <f t="shared" si="35"/>
        <v>6</v>
      </c>
      <c r="P90" s="15">
        <f t="shared" si="36"/>
        <v>19</v>
      </c>
      <c r="R90" s="8"/>
      <c r="T90"/>
    </row>
    <row r="91" spans="2:20" ht="23.1" customHeight="1" x14ac:dyDescent="0.25">
      <c r="B91" s="45" t="s">
        <v>131</v>
      </c>
      <c r="C91" s="50">
        <v>12</v>
      </c>
      <c r="D91" s="50">
        <v>0</v>
      </c>
      <c r="E91" s="50">
        <v>0</v>
      </c>
      <c r="F91" s="50">
        <v>2</v>
      </c>
      <c r="G91" s="50">
        <v>0</v>
      </c>
      <c r="H91" s="50">
        <v>0</v>
      </c>
      <c r="I91" s="50">
        <v>0</v>
      </c>
      <c r="J91" s="50">
        <v>3</v>
      </c>
      <c r="K91" s="50">
        <v>0</v>
      </c>
      <c r="L91" s="50">
        <v>0</v>
      </c>
      <c r="M91" s="50">
        <v>17</v>
      </c>
      <c r="N91" s="50">
        <v>0</v>
      </c>
      <c r="O91" s="15">
        <f t="shared" si="35"/>
        <v>17</v>
      </c>
      <c r="P91" s="15">
        <f t="shared" si="36"/>
        <v>34</v>
      </c>
      <c r="R91" s="8"/>
      <c r="T91"/>
    </row>
    <row r="92" spans="2:20" ht="23.1" customHeight="1" x14ac:dyDescent="0.25">
      <c r="B92" s="47" t="s">
        <v>132</v>
      </c>
      <c r="C92" s="50">
        <v>9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8</v>
      </c>
      <c r="N92" s="50">
        <v>0</v>
      </c>
      <c r="O92" s="15">
        <f t="shared" si="35"/>
        <v>9</v>
      </c>
      <c r="P92" s="15">
        <f t="shared" si="36"/>
        <v>17</v>
      </c>
      <c r="R92" s="8"/>
      <c r="T92"/>
    </row>
    <row r="93" spans="2:20" ht="23.1" customHeight="1" x14ac:dyDescent="0.25">
      <c r="B93" s="45" t="s">
        <v>133</v>
      </c>
      <c r="C93" s="50">
        <v>7</v>
      </c>
      <c r="D93" s="50">
        <v>0</v>
      </c>
      <c r="E93" s="50">
        <v>0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10</v>
      </c>
      <c r="N93" s="50">
        <v>0</v>
      </c>
      <c r="O93" s="15">
        <f t="shared" si="35"/>
        <v>8</v>
      </c>
      <c r="P93" s="15">
        <f t="shared" si="36"/>
        <v>18</v>
      </c>
      <c r="R93" s="8"/>
      <c r="T93"/>
    </row>
    <row r="94" spans="2:20" ht="23.1" customHeight="1" x14ac:dyDescent="0.25">
      <c r="B94" s="46" t="s">
        <v>134</v>
      </c>
      <c r="C94" s="50">
        <v>3</v>
      </c>
      <c r="D94" s="50">
        <v>0</v>
      </c>
      <c r="E94" s="50">
        <v>0</v>
      </c>
      <c r="F94" s="50">
        <v>6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8</v>
      </c>
      <c r="N94" s="50">
        <v>0</v>
      </c>
      <c r="O94" s="15">
        <f t="shared" si="35"/>
        <v>9</v>
      </c>
      <c r="P94" s="15">
        <f t="shared" si="36"/>
        <v>17</v>
      </c>
      <c r="R94" s="8"/>
      <c r="T94"/>
    </row>
    <row r="95" spans="2:20" ht="23.1" customHeight="1" x14ac:dyDescent="0.25">
      <c r="B95" s="45" t="s">
        <v>135</v>
      </c>
      <c r="C95" s="50">
        <v>12</v>
      </c>
      <c r="D95" s="50">
        <v>0</v>
      </c>
      <c r="E95" s="50">
        <v>0</v>
      </c>
      <c r="F95" s="50">
        <v>4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13</v>
      </c>
      <c r="N95" s="50">
        <v>0</v>
      </c>
      <c r="O95" s="15">
        <f t="shared" si="35"/>
        <v>16</v>
      </c>
      <c r="P95" s="15">
        <f t="shared" si="36"/>
        <v>29</v>
      </c>
      <c r="R95" s="8"/>
      <c r="T95"/>
    </row>
    <row r="96" spans="2:20" ht="23.1" customHeight="1" x14ac:dyDescent="0.25">
      <c r="B96" s="47" t="s">
        <v>136</v>
      </c>
      <c r="C96" s="50">
        <v>8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5</v>
      </c>
      <c r="N96" s="50">
        <v>0</v>
      </c>
      <c r="O96" s="15">
        <f t="shared" si="35"/>
        <v>9</v>
      </c>
      <c r="P96" s="15">
        <f t="shared" si="36"/>
        <v>14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0</v>
      </c>
      <c r="E97" s="50">
        <v>2</v>
      </c>
      <c r="F97" s="50">
        <v>3</v>
      </c>
      <c r="G97" s="50">
        <v>0</v>
      </c>
      <c r="H97" s="50">
        <v>0</v>
      </c>
      <c r="I97" s="50">
        <v>0</v>
      </c>
      <c r="J97" s="50">
        <v>1</v>
      </c>
      <c r="K97" s="50">
        <v>0</v>
      </c>
      <c r="L97" s="50">
        <v>0</v>
      </c>
      <c r="M97" s="50">
        <v>17</v>
      </c>
      <c r="N97" s="50">
        <v>0</v>
      </c>
      <c r="O97" s="15">
        <f t="shared" si="35"/>
        <v>10</v>
      </c>
      <c r="P97" s="15">
        <f t="shared" si="36"/>
        <v>27</v>
      </c>
      <c r="R97" s="8"/>
      <c r="T97"/>
    </row>
    <row r="98" spans="2:20" ht="23.1" customHeight="1" x14ac:dyDescent="0.25">
      <c r="B98" s="46" t="s">
        <v>138</v>
      </c>
      <c r="C98" s="50">
        <v>7</v>
      </c>
      <c r="D98" s="50">
        <v>0</v>
      </c>
      <c r="E98" s="50">
        <v>1</v>
      </c>
      <c r="F98" s="50">
        <v>6</v>
      </c>
      <c r="G98" s="50">
        <v>1</v>
      </c>
      <c r="H98" s="50">
        <v>0</v>
      </c>
      <c r="I98" s="50">
        <v>2</v>
      </c>
      <c r="J98" s="50">
        <v>0</v>
      </c>
      <c r="K98" s="50">
        <v>0</v>
      </c>
      <c r="L98" s="50">
        <v>0</v>
      </c>
      <c r="M98" s="50">
        <v>15</v>
      </c>
      <c r="N98" s="50">
        <v>0</v>
      </c>
      <c r="O98" s="15">
        <f t="shared" si="35"/>
        <v>17</v>
      </c>
      <c r="P98" s="15">
        <f t="shared" si="36"/>
        <v>32</v>
      </c>
      <c r="R98" s="8"/>
      <c r="T98"/>
    </row>
    <row r="99" spans="2:20" ht="23.1" customHeight="1" x14ac:dyDescent="0.25">
      <c r="B99" s="45" t="s">
        <v>139</v>
      </c>
      <c r="C99" s="50">
        <v>10</v>
      </c>
      <c r="D99" s="50">
        <v>5</v>
      </c>
      <c r="E99" s="50">
        <v>1</v>
      </c>
      <c r="F99" s="50">
        <v>13</v>
      </c>
      <c r="G99" s="50">
        <v>0</v>
      </c>
      <c r="H99" s="50">
        <v>0</v>
      </c>
      <c r="I99" s="50">
        <v>1</v>
      </c>
      <c r="J99" s="50">
        <v>1</v>
      </c>
      <c r="K99" s="50">
        <v>0</v>
      </c>
      <c r="L99" s="50">
        <v>0</v>
      </c>
      <c r="M99" s="50">
        <v>30</v>
      </c>
      <c r="N99" s="50">
        <v>0</v>
      </c>
      <c r="O99" s="15">
        <f t="shared" si="35"/>
        <v>31</v>
      </c>
      <c r="P99" s="15">
        <f t="shared" si="36"/>
        <v>61</v>
      </c>
      <c r="R99" s="8"/>
      <c r="T99"/>
    </row>
    <row r="100" spans="2:20" ht="23.1" customHeight="1" x14ac:dyDescent="0.25">
      <c r="B100" s="47" t="s">
        <v>140</v>
      </c>
      <c r="C100" s="50">
        <v>13</v>
      </c>
      <c r="D100" s="50">
        <v>2</v>
      </c>
      <c r="E100" s="50">
        <v>3</v>
      </c>
      <c r="F100" s="50">
        <v>15</v>
      </c>
      <c r="G100" s="50">
        <v>2</v>
      </c>
      <c r="H100" s="50">
        <v>0</v>
      </c>
      <c r="I100" s="50">
        <v>3</v>
      </c>
      <c r="J100" s="50">
        <v>0</v>
      </c>
      <c r="K100" s="50">
        <v>0</v>
      </c>
      <c r="L100" s="50">
        <v>1</v>
      </c>
      <c r="M100" s="50">
        <v>45</v>
      </c>
      <c r="N100" s="50">
        <v>0</v>
      </c>
      <c r="O100" s="15">
        <f t="shared" si="35"/>
        <v>39</v>
      </c>
      <c r="P100" s="15">
        <f t="shared" si="36"/>
        <v>84</v>
      </c>
      <c r="R100" s="8"/>
      <c r="T100"/>
    </row>
    <row r="101" spans="2:20" ht="23.1" customHeight="1" x14ac:dyDescent="0.25">
      <c r="B101" s="45" t="s">
        <v>141</v>
      </c>
      <c r="C101" s="50">
        <v>17</v>
      </c>
      <c r="D101" s="50">
        <v>3</v>
      </c>
      <c r="E101" s="50">
        <v>2</v>
      </c>
      <c r="F101" s="50">
        <v>25</v>
      </c>
      <c r="G101" s="50">
        <v>2</v>
      </c>
      <c r="H101" s="50">
        <v>0</v>
      </c>
      <c r="I101" s="50">
        <v>5</v>
      </c>
      <c r="J101" s="50">
        <v>0</v>
      </c>
      <c r="K101" s="50">
        <v>0</v>
      </c>
      <c r="L101" s="50">
        <v>2</v>
      </c>
      <c r="M101" s="50">
        <v>49</v>
      </c>
      <c r="N101" s="50">
        <v>0</v>
      </c>
      <c r="O101" s="15">
        <f t="shared" si="35"/>
        <v>56</v>
      </c>
      <c r="P101" s="15">
        <f t="shared" si="36"/>
        <v>105</v>
      </c>
      <c r="R101" s="8"/>
      <c r="T101"/>
    </row>
    <row r="102" spans="2:20" ht="23.1" customHeight="1" x14ac:dyDescent="0.25">
      <c r="B102" s="46" t="s">
        <v>142</v>
      </c>
      <c r="C102" s="50">
        <v>46</v>
      </c>
      <c r="D102" s="50">
        <v>14</v>
      </c>
      <c r="E102" s="50">
        <v>12</v>
      </c>
      <c r="F102" s="50">
        <v>22</v>
      </c>
      <c r="G102" s="50">
        <v>5</v>
      </c>
      <c r="H102" s="50">
        <v>0</v>
      </c>
      <c r="I102" s="50">
        <v>7</v>
      </c>
      <c r="J102" s="50">
        <v>1</v>
      </c>
      <c r="K102" s="50">
        <v>0</v>
      </c>
      <c r="L102" s="50">
        <v>3</v>
      </c>
      <c r="M102" s="50">
        <v>75</v>
      </c>
      <c r="N102" s="50">
        <v>0</v>
      </c>
      <c r="O102" s="15">
        <f t="shared" si="35"/>
        <v>110</v>
      </c>
      <c r="P102" s="15">
        <f t="shared" si="36"/>
        <v>185</v>
      </c>
      <c r="R102" s="8"/>
      <c r="T102"/>
    </row>
    <row r="103" spans="2:20" ht="23.1" customHeight="1" x14ac:dyDescent="0.25">
      <c r="B103" s="45" t="s">
        <v>143</v>
      </c>
      <c r="C103" s="50">
        <v>115</v>
      </c>
      <c r="D103" s="50">
        <v>19</v>
      </c>
      <c r="E103" s="50">
        <v>23</v>
      </c>
      <c r="F103" s="50">
        <v>28</v>
      </c>
      <c r="G103" s="50">
        <v>9</v>
      </c>
      <c r="H103" s="50">
        <v>2</v>
      </c>
      <c r="I103" s="50">
        <v>7</v>
      </c>
      <c r="J103" s="50">
        <v>0</v>
      </c>
      <c r="K103" s="50">
        <v>3</v>
      </c>
      <c r="L103" s="50">
        <v>3</v>
      </c>
      <c r="M103" s="50">
        <v>87</v>
      </c>
      <c r="N103" s="50">
        <v>0</v>
      </c>
      <c r="O103" s="15">
        <f t="shared" si="35"/>
        <v>209</v>
      </c>
      <c r="P103" s="15">
        <f t="shared" si="36"/>
        <v>296</v>
      </c>
      <c r="R103" s="8"/>
      <c r="T103"/>
    </row>
    <row r="104" spans="2:20" ht="23.1" customHeight="1" x14ac:dyDescent="0.25">
      <c r="B104" s="47" t="s">
        <v>144</v>
      </c>
      <c r="C104" s="50">
        <v>104</v>
      </c>
      <c r="D104" s="50">
        <v>20</v>
      </c>
      <c r="E104" s="50">
        <v>17</v>
      </c>
      <c r="F104" s="50">
        <v>37</v>
      </c>
      <c r="G104" s="50">
        <v>5</v>
      </c>
      <c r="H104" s="50">
        <v>0</v>
      </c>
      <c r="I104" s="50">
        <v>4</v>
      </c>
      <c r="J104" s="50">
        <v>0</v>
      </c>
      <c r="K104" s="50">
        <v>0</v>
      </c>
      <c r="L104" s="50">
        <v>0</v>
      </c>
      <c r="M104" s="50">
        <v>117</v>
      </c>
      <c r="N104" s="50">
        <v>0</v>
      </c>
      <c r="O104" s="15">
        <f t="shared" si="35"/>
        <v>187</v>
      </c>
      <c r="P104" s="15">
        <f t="shared" si="36"/>
        <v>304</v>
      </c>
      <c r="R104" s="8"/>
      <c r="T104"/>
    </row>
    <row r="105" spans="2:20" ht="23.1" customHeight="1" x14ac:dyDescent="0.25">
      <c r="B105" s="45" t="s">
        <v>145</v>
      </c>
      <c r="C105" s="50">
        <v>110</v>
      </c>
      <c r="D105" s="50">
        <v>23</v>
      </c>
      <c r="E105" s="50">
        <v>6</v>
      </c>
      <c r="F105" s="50">
        <v>30</v>
      </c>
      <c r="G105" s="50">
        <v>3</v>
      </c>
      <c r="H105" s="50">
        <v>0</v>
      </c>
      <c r="I105" s="50">
        <v>2</v>
      </c>
      <c r="J105" s="50">
        <v>0</v>
      </c>
      <c r="K105" s="50">
        <v>2</v>
      </c>
      <c r="L105" s="50">
        <v>0</v>
      </c>
      <c r="M105" s="50">
        <v>170</v>
      </c>
      <c r="N105" s="50">
        <v>0</v>
      </c>
      <c r="O105" s="15">
        <f t="shared" si="35"/>
        <v>176</v>
      </c>
      <c r="P105" s="15">
        <f t="shared" si="36"/>
        <v>346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2940</v>
      </c>
      <c r="D106" s="16">
        <f t="shared" ref="D106:P106" si="37">SUM(D10:D105)</f>
        <v>1452</v>
      </c>
      <c r="E106" s="16">
        <f t="shared" si="37"/>
        <v>630</v>
      </c>
      <c r="F106" s="16">
        <f t="shared" si="37"/>
        <v>1437</v>
      </c>
      <c r="G106" s="16">
        <f t="shared" si="37"/>
        <v>96</v>
      </c>
      <c r="H106" s="16">
        <f t="shared" si="37"/>
        <v>23</v>
      </c>
      <c r="I106" s="16">
        <f t="shared" si="37"/>
        <v>359</v>
      </c>
      <c r="J106" s="16">
        <f t="shared" si="37"/>
        <v>432</v>
      </c>
      <c r="K106" s="16">
        <f t="shared" si="37"/>
        <v>198</v>
      </c>
      <c r="L106" s="16">
        <f t="shared" si="37"/>
        <v>170</v>
      </c>
      <c r="M106" s="16">
        <f t="shared" si="37"/>
        <v>8411</v>
      </c>
      <c r="N106" s="16">
        <f t="shared" si="37"/>
        <v>0</v>
      </c>
      <c r="O106" s="16">
        <f t="shared" si="37"/>
        <v>7737</v>
      </c>
      <c r="P106" s="16">
        <f t="shared" si="37"/>
        <v>16148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0.18206589051275701</v>
      </c>
      <c r="D107" s="43">
        <f t="shared" si="38"/>
        <v>8.9918256130790186E-2</v>
      </c>
      <c r="E107" s="43">
        <f t="shared" si="38"/>
        <v>3.9014119395590782E-2</v>
      </c>
      <c r="F107" s="43">
        <f t="shared" si="38"/>
        <v>8.8989348526133272E-2</v>
      </c>
      <c r="G107" s="43">
        <f t="shared" si="38"/>
        <v>5.94500866980431E-3</v>
      </c>
      <c r="H107" s="43">
        <f t="shared" si="38"/>
        <v>1.4243249938072826E-3</v>
      </c>
      <c r="I107" s="43">
        <f t="shared" si="38"/>
        <v>2.2231855338122369E-2</v>
      </c>
      <c r="J107" s="43">
        <f t="shared" si="38"/>
        <v>2.6752539014119395E-2</v>
      </c>
      <c r="K107" s="43">
        <f t="shared" si="38"/>
        <v>1.226158038147139E-2</v>
      </c>
      <c r="L107" s="43">
        <f t="shared" si="38"/>
        <v>1.0527619519445133E-2</v>
      </c>
      <c r="M107" s="43">
        <f t="shared" si="38"/>
        <v>0.52086945751795888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0.37999224505622337</v>
      </c>
      <c r="D108" s="44">
        <f t="shared" ref="D108:N108" si="39">D106/$O$106</f>
        <v>0.18766963939511438</v>
      </c>
      <c r="E108" s="44">
        <f t="shared" si="39"/>
        <v>8.1426909654904997E-2</v>
      </c>
      <c r="F108" s="44">
        <f t="shared" si="39"/>
        <v>0.18573090345094997</v>
      </c>
      <c r="G108" s="44">
        <f t="shared" si="39"/>
        <v>1.240791004265219E-2</v>
      </c>
      <c r="H108" s="44">
        <f t="shared" si="39"/>
        <v>2.972728447718754E-3</v>
      </c>
      <c r="I108" s="44">
        <f t="shared" si="39"/>
        <v>4.6400413597001422E-2</v>
      </c>
      <c r="J108" s="44">
        <f t="shared" si="39"/>
        <v>5.5835595191934859E-2</v>
      </c>
      <c r="K108" s="44">
        <f t="shared" si="39"/>
        <v>2.5591314462970142E-2</v>
      </c>
      <c r="L108" s="44">
        <f t="shared" si="39"/>
        <v>2.1972340700529922E-2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: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Kinawataka-Kireka'!C3:G3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177</v>
      </c>
      <c r="E5" s="3"/>
      <c r="F5" s="41" t="s">
        <v>1</v>
      </c>
      <c r="G5" s="63" t="str">
        <f>'31.07 Kireka-Kinawataka'!G5:H5</f>
        <v>Kireka road</v>
      </c>
      <c r="H5" s="64"/>
      <c r="I5" s="14"/>
      <c r="J5" s="2" t="s">
        <v>5</v>
      </c>
      <c r="K5" s="63" t="s">
        <v>166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Kinawataka-Kireka'!D6:E6</f>
        <v>Kinawataka</v>
      </c>
      <c r="E6" s="64"/>
      <c r="F6" s="2" t="s">
        <v>2</v>
      </c>
      <c r="G6" s="63" t="str">
        <f>'29.07 Kinawataka-Kireka'!G6:H6</f>
        <v xml:space="preserve">Kireka </v>
      </c>
      <c r="H6" s="64"/>
      <c r="J6" s="2" t="s">
        <v>21</v>
      </c>
      <c r="K6" s="63" t="s">
        <v>172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26</v>
      </c>
      <c r="D10" s="50">
        <v>3</v>
      </c>
      <c r="E10" s="50">
        <v>2</v>
      </c>
      <c r="F10" s="50">
        <v>23</v>
      </c>
      <c r="G10" s="50">
        <v>3</v>
      </c>
      <c r="H10" s="50">
        <v>0</v>
      </c>
      <c r="I10" s="50">
        <v>2</v>
      </c>
      <c r="J10" s="50">
        <v>0</v>
      </c>
      <c r="K10" s="50">
        <v>0</v>
      </c>
      <c r="L10" s="50">
        <v>4</v>
      </c>
      <c r="M10" s="50">
        <v>84</v>
      </c>
      <c r="N10" s="50">
        <v>0</v>
      </c>
      <c r="O10" s="15">
        <f t="shared" ref="O10:O57" si="0">SUM(C10:L10,N10)</f>
        <v>63</v>
      </c>
      <c r="P10" s="15">
        <f t="shared" ref="P10:P57" si="1">SUM(C10:N10)</f>
        <v>147</v>
      </c>
      <c r="R10" s="1" t="s">
        <v>6</v>
      </c>
      <c r="S10" s="17">
        <f t="shared" ref="S10:AF10" si="2">SUM(C10:C13)</f>
        <v>98</v>
      </c>
      <c r="T10" s="17">
        <f t="shared" si="2"/>
        <v>18</v>
      </c>
      <c r="U10" s="17">
        <f t="shared" si="2"/>
        <v>10</v>
      </c>
      <c r="V10" s="17">
        <f t="shared" si="2"/>
        <v>73</v>
      </c>
      <c r="W10" s="17">
        <f t="shared" si="2"/>
        <v>8</v>
      </c>
      <c r="X10" s="17">
        <f t="shared" si="2"/>
        <v>1</v>
      </c>
      <c r="Y10" s="17">
        <f t="shared" si="2"/>
        <v>10</v>
      </c>
      <c r="Z10" s="17">
        <f t="shared" si="2"/>
        <v>3</v>
      </c>
      <c r="AA10" s="17">
        <f t="shared" si="2"/>
        <v>4</v>
      </c>
      <c r="AB10" s="17">
        <f t="shared" si="2"/>
        <v>6</v>
      </c>
      <c r="AC10" s="17">
        <f t="shared" si="2"/>
        <v>335</v>
      </c>
      <c r="AD10" s="17">
        <f t="shared" si="2"/>
        <v>0</v>
      </c>
      <c r="AE10" s="31">
        <f t="shared" si="2"/>
        <v>231</v>
      </c>
      <c r="AF10" s="31">
        <f t="shared" si="2"/>
        <v>566</v>
      </c>
    </row>
    <row r="11" spans="2:32" s="6" customFormat="1" ht="23.1" customHeight="1" x14ac:dyDescent="0.25">
      <c r="B11" s="23" t="s">
        <v>38</v>
      </c>
      <c r="C11" s="50">
        <v>12</v>
      </c>
      <c r="D11" s="50">
        <v>3</v>
      </c>
      <c r="E11" s="50">
        <v>5</v>
      </c>
      <c r="F11" s="50">
        <v>22</v>
      </c>
      <c r="G11" s="50">
        <v>1</v>
      </c>
      <c r="H11" s="50">
        <v>0</v>
      </c>
      <c r="I11" s="50">
        <v>3</v>
      </c>
      <c r="J11" s="50">
        <v>1</v>
      </c>
      <c r="K11" s="50">
        <v>2</v>
      </c>
      <c r="L11" s="50">
        <v>1</v>
      </c>
      <c r="M11" s="50">
        <v>70</v>
      </c>
      <c r="N11" s="50">
        <v>0</v>
      </c>
      <c r="O11" s="15">
        <f t="shared" si="0"/>
        <v>50</v>
      </c>
      <c r="P11" s="15">
        <f t="shared" si="1"/>
        <v>120</v>
      </c>
      <c r="R11" s="1" t="s">
        <v>7</v>
      </c>
      <c r="S11" s="17">
        <f t="shared" ref="S11:AF11" si="3">SUM(C14:C17)</f>
        <v>95</v>
      </c>
      <c r="T11" s="17">
        <f t="shared" si="3"/>
        <v>31</v>
      </c>
      <c r="U11" s="17">
        <f t="shared" si="3"/>
        <v>27</v>
      </c>
      <c r="V11" s="17">
        <f t="shared" si="3"/>
        <v>100</v>
      </c>
      <c r="W11" s="17">
        <f t="shared" si="3"/>
        <v>5</v>
      </c>
      <c r="X11" s="17">
        <f t="shared" si="3"/>
        <v>1</v>
      </c>
      <c r="Y11" s="17">
        <f t="shared" si="3"/>
        <v>20</v>
      </c>
      <c r="Z11" s="17">
        <f t="shared" si="3"/>
        <v>7</v>
      </c>
      <c r="AA11" s="17">
        <f t="shared" si="3"/>
        <v>3</v>
      </c>
      <c r="AB11" s="17">
        <f t="shared" si="3"/>
        <v>11</v>
      </c>
      <c r="AC11" s="17">
        <f t="shared" si="3"/>
        <v>751</v>
      </c>
      <c r="AD11" s="17">
        <f t="shared" si="3"/>
        <v>0</v>
      </c>
      <c r="AE11" s="31">
        <f t="shared" si="3"/>
        <v>300</v>
      </c>
      <c r="AF11" s="31">
        <f t="shared" si="3"/>
        <v>1051</v>
      </c>
    </row>
    <row r="12" spans="2:32" ht="23.1" customHeight="1" x14ac:dyDescent="0.25">
      <c r="B12" s="23" t="s">
        <v>39</v>
      </c>
      <c r="C12" s="50">
        <v>46</v>
      </c>
      <c r="D12" s="50">
        <v>8</v>
      </c>
      <c r="E12" s="50">
        <v>3</v>
      </c>
      <c r="F12" s="50">
        <v>22</v>
      </c>
      <c r="G12" s="50">
        <v>1</v>
      </c>
      <c r="H12" s="50">
        <v>0</v>
      </c>
      <c r="I12" s="50">
        <v>3</v>
      </c>
      <c r="J12" s="50">
        <v>1</v>
      </c>
      <c r="K12" s="50">
        <v>2</v>
      </c>
      <c r="L12" s="50">
        <v>1</v>
      </c>
      <c r="M12" s="50">
        <v>115</v>
      </c>
      <c r="N12" s="50">
        <v>0</v>
      </c>
      <c r="O12" s="15">
        <f t="shared" si="0"/>
        <v>87</v>
      </c>
      <c r="P12" s="15">
        <f t="shared" si="1"/>
        <v>202</v>
      </c>
      <c r="R12" s="1" t="s">
        <v>8</v>
      </c>
      <c r="S12" s="17">
        <f t="shared" ref="S12:AF12" si="4">SUM(C18:C21)</f>
        <v>97</v>
      </c>
      <c r="T12" s="17">
        <f t="shared" si="4"/>
        <v>16</v>
      </c>
      <c r="U12" s="17">
        <f t="shared" si="4"/>
        <v>26</v>
      </c>
      <c r="V12" s="17">
        <f t="shared" si="4"/>
        <v>72</v>
      </c>
      <c r="W12" s="17">
        <f t="shared" si="4"/>
        <v>5</v>
      </c>
      <c r="X12" s="17">
        <f t="shared" si="4"/>
        <v>0</v>
      </c>
      <c r="Y12" s="17">
        <f t="shared" si="4"/>
        <v>16</v>
      </c>
      <c r="Z12" s="17">
        <f t="shared" si="4"/>
        <v>11</v>
      </c>
      <c r="AA12" s="17">
        <f t="shared" si="4"/>
        <v>4</v>
      </c>
      <c r="AB12" s="17">
        <f t="shared" si="4"/>
        <v>7</v>
      </c>
      <c r="AC12" s="17">
        <f t="shared" si="4"/>
        <v>340</v>
      </c>
      <c r="AD12" s="17">
        <f t="shared" si="4"/>
        <v>0</v>
      </c>
      <c r="AE12" s="31">
        <f t="shared" si="4"/>
        <v>254</v>
      </c>
      <c r="AF12" s="31">
        <f t="shared" si="4"/>
        <v>594</v>
      </c>
    </row>
    <row r="13" spans="2:32" ht="23.1" customHeight="1" x14ac:dyDescent="0.25">
      <c r="B13" s="23" t="s">
        <v>40</v>
      </c>
      <c r="C13" s="50">
        <v>14</v>
      </c>
      <c r="D13" s="50">
        <v>4</v>
      </c>
      <c r="E13" s="50">
        <v>0</v>
      </c>
      <c r="F13" s="50">
        <v>6</v>
      </c>
      <c r="G13" s="50">
        <v>3</v>
      </c>
      <c r="H13" s="50">
        <v>1</v>
      </c>
      <c r="I13" s="50">
        <v>2</v>
      </c>
      <c r="J13" s="50">
        <v>1</v>
      </c>
      <c r="K13" s="50">
        <v>0</v>
      </c>
      <c r="L13" s="50">
        <v>0</v>
      </c>
      <c r="M13" s="50">
        <v>66</v>
      </c>
      <c r="N13" s="50">
        <v>0</v>
      </c>
      <c r="O13" s="15">
        <f t="shared" si="0"/>
        <v>31</v>
      </c>
      <c r="P13" s="15">
        <f t="shared" si="1"/>
        <v>97</v>
      </c>
      <c r="R13" s="1" t="s">
        <v>9</v>
      </c>
      <c r="S13" s="17">
        <f t="shared" ref="S13:AF13" si="5">SUM(C22:C25)</f>
        <v>159</v>
      </c>
      <c r="T13" s="17">
        <f t="shared" si="5"/>
        <v>8</v>
      </c>
      <c r="U13" s="17">
        <f t="shared" si="5"/>
        <v>32</v>
      </c>
      <c r="V13" s="17">
        <f t="shared" si="5"/>
        <v>82</v>
      </c>
      <c r="W13" s="17">
        <f t="shared" si="5"/>
        <v>1</v>
      </c>
      <c r="X13" s="17">
        <f t="shared" si="5"/>
        <v>1</v>
      </c>
      <c r="Y13" s="17">
        <f t="shared" si="5"/>
        <v>17</v>
      </c>
      <c r="Z13" s="17">
        <f t="shared" si="5"/>
        <v>8</v>
      </c>
      <c r="AA13" s="17">
        <f t="shared" si="5"/>
        <v>1</v>
      </c>
      <c r="AB13" s="17">
        <f t="shared" si="5"/>
        <v>12</v>
      </c>
      <c r="AC13" s="17">
        <f t="shared" si="5"/>
        <v>454</v>
      </c>
      <c r="AD13" s="17">
        <f t="shared" si="5"/>
        <v>0</v>
      </c>
      <c r="AE13" s="31">
        <f t="shared" si="5"/>
        <v>321</v>
      </c>
      <c r="AF13" s="31">
        <f t="shared" si="5"/>
        <v>775</v>
      </c>
    </row>
    <row r="14" spans="2:32" ht="23.1" customHeight="1" x14ac:dyDescent="0.25">
      <c r="B14" s="23" t="s">
        <v>41</v>
      </c>
      <c r="C14" s="50">
        <v>33</v>
      </c>
      <c r="D14" s="50">
        <v>12</v>
      </c>
      <c r="E14" s="50">
        <v>10</v>
      </c>
      <c r="F14" s="50">
        <v>22</v>
      </c>
      <c r="G14" s="50">
        <v>0</v>
      </c>
      <c r="H14" s="50">
        <v>0</v>
      </c>
      <c r="I14" s="50">
        <v>3</v>
      </c>
      <c r="J14" s="50">
        <v>2</v>
      </c>
      <c r="K14" s="50">
        <v>2</v>
      </c>
      <c r="L14" s="50">
        <v>4</v>
      </c>
      <c r="M14" s="50">
        <v>200</v>
      </c>
      <c r="N14" s="50">
        <v>0</v>
      </c>
      <c r="O14" s="15">
        <f t="shared" si="0"/>
        <v>88</v>
      </c>
      <c r="P14" s="15">
        <f t="shared" si="1"/>
        <v>288</v>
      </c>
      <c r="R14" s="1" t="s">
        <v>10</v>
      </c>
      <c r="S14" s="17">
        <f t="shared" ref="S14:AF14" si="6">SUM(C26:C29)</f>
        <v>139</v>
      </c>
      <c r="T14" s="17">
        <f t="shared" si="6"/>
        <v>23</v>
      </c>
      <c r="U14" s="17">
        <f t="shared" si="6"/>
        <v>23</v>
      </c>
      <c r="V14" s="17">
        <f t="shared" si="6"/>
        <v>45</v>
      </c>
      <c r="W14" s="17">
        <f t="shared" si="6"/>
        <v>9</v>
      </c>
      <c r="X14" s="17">
        <f t="shared" si="6"/>
        <v>1</v>
      </c>
      <c r="Y14" s="17">
        <f t="shared" si="6"/>
        <v>24</v>
      </c>
      <c r="Z14" s="17">
        <f t="shared" si="6"/>
        <v>17</v>
      </c>
      <c r="AA14" s="17">
        <f t="shared" si="6"/>
        <v>27</v>
      </c>
      <c r="AB14" s="17">
        <f t="shared" si="6"/>
        <v>8</v>
      </c>
      <c r="AC14" s="17">
        <f t="shared" si="6"/>
        <v>330</v>
      </c>
      <c r="AD14" s="17">
        <f t="shared" si="6"/>
        <v>1</v>
      </c>
      <c r="AE14" s="31">
        <f t="shared" si="6"/>
        <v>317</v>
      </c>
      <c r="AF14" s="31">
        <f t="shared" si="6"/>
        <v>647</v>
      </c>
    </row>
    <row r="15" spans="2:32" ht="23.1" customHeight="1" x14ac:dyDescent="0.25">
      <c r="B15" s="23" t="s">
        <v>42</v>
      </c>
      <c r="C15" s="50">
        <v>25</v>
      </c>
      <c r="D15" s="50">
        <v>8</v>
      </c>
      <c r="E15" s="50">
        <v>5</v>
      </c>
      <c r="F15" s="50">
        <v>28</v>
      </c>
      <c r="G15" s="50">
        <v>0</v>
      </c>
      <c r="H15" s="50">
        <v>0</v>
      </c>
      <c r="I15" s="50">
        <v>9</v>
      </c>
      <c r="J15" s="50">
        <v>2</v>
      </c>
      <c r="K15" s="50">
        <v>1</v>
      </c>
      <c r="L15" s="50">
        <v>2</v>
      </c>
      <c r="M15" s="50">
        <v>210</v>
      </c>
      <c r="N15" s="50">
        <v>0</v>
      </c>
      <c r="O15" s="15">
        <f t="shared" si="0"/>
        <v>80</v>
      </c>
      <c r="P15" s="15">
        <f t="shared" si="1"/>
        <v>290</v>
      </c>
      <c r="R15" s="1" t="s">
        <v>11</v>
      </c>
      <c r="S15" s="17">
        <f t="shared" ref="S15:AF15" si="7">SUM(C30:C33)</f>
        <v>168</v>
      </c>
      <c r="T15" s="17">
        <f t="shared" si="7"/>
        <v>41</v>
      </c>
      <c r="U15" s="17">
        <f t="shared" si="7"/>
        <v>14</v>
      </c>
      <c r="V15" s="17">
        <f t="shared" si="7"/>
        <v>46</v>
      </c>
      <c r="W15" s="17">
        <f t="shared" si="7"/>
        <v>8</v>
      </c>
      <c r="X15" s="17">
        <f t="shared" si="7"/>
        <v>0</v>
      </c>
      <c r="Y15" s="17">
        <f t="shared" si="7"/>
        <v>46</v>
      </c>
      <c r="Z15" s="17">
        <f t="shared" si="7"/>
        <v>18</v>
      </c>
      <c r="AA15" s="17">
        <f t="shared" si="7"/>
        <v>17</v>
      </c>
      <c r="AB15" s="17">
        <f t="shared" si="7"/>
        <v>15</v>
      </c>
      <c r="AC15" s="17">
        <f t="shared" si="7"/>
        <v>376</v>
      </c>
      <c r="AD15" s="17">
        <f t="shared" si="7"/>
        <v>0</v>
      </c>
      <c r="AE15" s="31">
        <f t="shared" si="7"/>
        <v>373</v>
      </c>
      <c r="AF15" s="31">
        <f t="shared" si="7"/>
        <v>749</v>
      </c>
    </row>
    <row r="16" spans="2:32" ht="23.1" customHeight="1" x14ac:dyDescent="0.25">
      <c r="B16" s="23" t="s">
        <v>43</v>
      </c>
      <c r="C16" s="50">
        <v>22</v>
      </c>
      <c r="D16" s="50">
        <v>9</v>
      </c>
      <c r="E16" s="50">
        <v>6</v>
      </c>
      <c r="F16" s="50">
        <v>25</v>
      </c>
      <c r="G16" s="50">
        <v>3</v>
      </c>
      <c r="H16" s="50">
        <v>0</v>
      </c>
      <c r="I16" s="50">
        <v>8</v>
      </c>
      <c r="J16" s="50">
        <v>3</v>
      </c>
      <c r="K16" s="50">
        <v>0</v>
      </c>
      <c r="L16" s="50">
        <v>3</v>
      </c>
      <c r="M16" s="50">
        <v>201</v>
      </c>
      <c r="N16" s="50">
        <v>0</v>
      </c>
      <c r="O16" s="15">
        <f t="shared" si="0"/>
        <v>79</v>
      </c>
      <c r="P16" s="15">
        <f t="shared" si="1"/>
        <v>280</v>
      </c>
      <c r="R16" s="1" t="s">
        <v>12</v>
      </c>
      <c r="S16" s="17">
        <f t="shared" ref="S16:AF16" si="8">SUM(C34:C37)</f>
        <v>174</v>
      </c>
      <c r="T16" s="17">
        <f t="shared" si="8"/>
        <v>39</v>
      </c>
      <c r="U16" s="17">
        <f t="shared" si="8"/>
        <v>19</v>
      </c>
      <c r="V16" s="17">
        <f t="shared" si="8"/>
        <v>48</v>
      </c>
      <c r="W16" s="17">
        <f t="shared" si="8"/>
        <v>8</v>
      </c>
      <c r="X16" s="17">
        <f t="shared" si="8"/>
        <v>0</v>
      </c>
      <c r="Y16" s="17">
        <f t="shared" si="8"/>
        <v>49</v>
      </c>
      <c r="Z16" s="17">
        <f t="shared" si="8"/>
        <v>18</v>
      </c>
      <c r="AA16" s="17">
        <f t="shared" si="8"/>
        <v>26</v>
      </c>
      <c r="AB16" s="17">
        <f t="shared" si="8"/>
        <v>16</v>
      </c>
      <c r="AC16" s="17">
        <f t="shared" si="8"/>
        <v>348</v>
      </c>
      <c r="AD16" s="17">
        <f t="shared" si="8"/>
        <v>0</v>
      </c>
      <c r="AE16" s="31">
        <f t="shared" si="8"/>
        <v>397</v>
      </c>
      <c r="AF16" s="31">
        <f t="shared" si="8"/>
        <v>745</v>
      </c>
    </row>
    <row r="17" spans="2:32" ht="23.1" customHeight="1" x14ac:dyDescent="0.25">
      <c r="B17" s="23" t="s">
        <v>44</v>
      </c>
      <c r="C17" s="50">
        <v>15</v>
      </c>
      <c r="D17" s="50">
        <v>2</v>
      </c>
      <c r="E17" s="50">
        <v>6</v>
      </c>
      <c r="F17" s="50">
        <v>25</v>
      </c>
      <c r="G17" s="50">
        <v>2</v>
      </c>
      <c r="H17" s="50">
        <v>1</v>
      </c>
      <c r="I17" s="50">
        <v>0</v>
      </c>
      <c r="J17" s="50">
        <v>0</v>
      </c>
      <c r="K17" s="50">
        <v>0</v>
      </c>
      <c r="L17" s="50">
        <v>2</v>
      </c>
      <c r="M17" s="50">
        <v>140</v>
      </c>
      <c r="N17" s="50">
        <v>0</v>
      </c>
      <c r="O17" s="15">
        <f t="shared" si="0"/>
        <v>53</v>
      </c>
      <c r="P17" s="15">
        <f t="shared" si="1"/>
        <v>193</v>
      </c>
      <c r="R17" s="1" t="s">
        <v>13</v>
      </c>
      <c r="S17" s="17">
        <f t="shared" ref="S17:AF17" si="9">SUM(C38:C41)</f>
        <v>178</v>
      </c>
      <c r="T17" s="17">
        <f t="shared" si="9"/>
        <v>26</v>
      </c>
      <c r="U17" s="17">
        <f t="shared" si="9"/>
        <v>29</v>
      </c>
      <c r="V17" s="17">
        <f t="shared" si="9"/>
        <v>53</v>
      </c>
      <c r="W17" s="17">
        <f t="shared" si="9"/>
        <v>9</v>
      </c>
      <c r="X17" s="17">
        <f t="shared" si="9"/>
        <v>1</v>
      </c>
      <c r="Y17" s="17">
        <f t="shared" si="9"/>
        <v>44</v>
      </c>
      <c r="Z17" s="17">
        <f t="shared" si="9"/>
        <v>31</v>
      </c>
      <c r="AA17" s="17">
        <f t="shared" si="9"/>
        <v>12</v>
      </c>
      <c r="AB17" s="17">
        <f t="shared" si="9"/>
        <v>16</v>
      </c>
      <c r="AC17" s="17">
        <f t="shared" si="9"/>
        <v>400</v>
      </c>
      <c r="AD17" s="17">
        <f t="shared" si="9"/>
        <v>0</v>
      </c>
      <c r="AE17" s="31">
        <f t="shared" si="9"/>
        <v>399</v>
      </c>
      <c r="AF17" s="31">
        <f t="shared" si="9"/>
        <v>799</v>
      </c>
    </row>
    <row r="18" spans="2:32" ht="23.1" customHeight="1" x14ac:dyDescent="0.25">
      <c r="B18" s="23" t="s">
        <v>45</v>
      </c>
      <c r="C18" s="50">
        <v>10</v>
      </c>
      <c r="D18" s="50">
        <v>5</v>
      </c>
      <c r="E18" s="50">
        <v>4</v>
      </c>
      <c r="F18" s="50">
        <v>17</v>
      </c>
      <c r="G18" s="50">
        <v>2</v>
      </c>
      <c r="H18" s="50">
        <v>0</v>
      </c>
      <c r="I18" s="50">
        <v>1</v>
      </c>
      <c r="J18" s="50">
        <v>2</v>
      </c>
      <c r="K18" s="50">
        <v>1</v>
      </c>
      <c r="L18" s="50">
        <v>0</v>
      </c>
      <c r="M18" s="50">
        <v>65</v>
      </c>
      <c r="N18" s="50">
        <v>0</v>
      </c>
      <c r="O18" s="15">
        <f t="shared" si="0"/>
        <v>42</v>
      </c>
      <c r="P18" s="15">
        <f t="shared" si="1"/>
        <v>107</v>
      </c>
      <c r="R18" s="1" t="s">
        <v>14</v>
      </c>
      <c r="S18" s="17">
        <f t="shared" ref="S18:AF18" si="10">SUM(C42:C45)</f>
        <v>246</v>
      </c>
      <c r="T18" s="17">
        <f t="shared" si="10"/>
        <v>60</v>
      </c>
      <c r="U18" s="17">
        <f t="shared" si="10"/>
        <v>28</v>
      </c>
      <c r="V18" s="17">
        <f t="shared" si="10"/>
        <v>86</v>
      </c>
      <c r="W18" s="17">
        <f t="shared" si="10"/>
        <v>7</v>
      </c>
      <c r="X18" s="17">
        <f t="shared" si="10"/>
        <v>2</v>
      </c>
      <c r="Y18" s="17">
        <f t="shared" si="10"/>
        <v>40</v>
      </c>
      <c r="Z18" s="17">
        <f t="shared" si="10"/>
        <v>21</v>
      </c>
      <c r="AA18" s="17">
        <f t="shared" si="10"/>
        <v>8</v>
      </c>
      <c r="AB18" s="17">
        <f t="shared" si="10"/>
        <v>27</v>
      </c>
      <c r="AC18" s="17">
        <f t="shared" si="10"/>
        <v>381</v>
      </c>
      <c r="AD18" s="17">
        <f t="shared" si="10"/>
        <v>0</v>
      </c>
      <c r="AE18" s="31">
        <f t="shared" si="10"/>
        <v>525</v>
      </c>
      <c r="AF18" s="31">
        <f t="shared" si="10"/>
        <v>906</v>
      </c>
    </row>
    <row r="19" spans="2:32" ht="23.1" customHeight="1" x14ac:dyDescent="0.25">
      <c r="B19" s="23" t="s">
        <v>46</v>
      </c>
      <c r="C19" s="50">
        <v>33</v>
      </c>
      <c r="D19" s="50">
        <v>4</v>
      </c>
      <c r="E19" s="50">
        <v>7</v>
      </c>
      <c r="F19" s="50">
        <v>22</v>
      </c>
      <c r="G19" s="50">
        <v>1</v>
      </c>
      <c r="H19" s="50">
        <v>0</v>
      </c>
      <c r="I19" s="50">
        <v>6</v>
      </c>
      <c r="J19" s="50">
        <v>3</v>
      </c>
      <c r="K19" s="50">
        <v>1</v>
      </c>
      <c r="L19" s="50">
        <v>3</v>
      </c>
      <c r="M19" s="50">
        <v>75</v>
      </c>
      <c r="N19" s="50">
        <v>0</v>
      </c>
      <c r="O19" s="15">
        <f t="shared" si="0"/>
        <v>80</v>
      </c>
      <c r="P19" s="15">
        <f t="shared" si="1"/>
        <v>155</v>
      </c>
      <c r="R19" s="1" t="s">
        <v>15</v>
      </c>
      <c r="S19" s="17">
        <f t="shared" ref="S19:AF19" si="11">SUM(C46:C49)</f>
        <v>246</v>
      </c>
      <c r="T19" s="17">
        <f t="shared" si="11"/>
        <v>55</v>
      </c>
      <c r="U19" s="17">
        <f t="shared" si="11"/>
        <v>43</v>
      </c>
      <c r="V19" s="17">
        <f t="shared" si="11"/>
        <v>51</v>
      </c>
      <c r="W19" s="17">
        <f t="shared" si="11"/>
        <v>8</v>
      </c>
      <c r="X19" s="17">
        <f t="shared" si="11"/>
        <v>0</v>
      </c>
      <c r="Y19" s="17">
        <f t="shared" si="11"/>
        <v>48</v>
      </c>
      <c r="Z19" s="17">
        <f t="shared" si="11"/>
        <v>36</v>
      </c>
      <c r="AA19" s="17">
        <f t="shared" si="11"/>
        <v>18</v>
      </c>
      <c r="AB19" s="17">
        <f t="shared" si="11"/>
        <v>13</v>
      </c>
      <c r="AC19" s="17">
        <f t="shared" si="11"/>
        <v>372</v>
      </c>
      <c r="AD19" s="17">
        <f t="shared" si="11"/>
        <v>0</v>
      </c>
      <c r="AE19" s="31">
        <f t="shared" si="11"/>
        <v>518</v>
      </c>
      <c r="AF19" s="31">
        <f t="shared" si="11"/>
        <v>890</v>
      </c>
    </row>
    <row r="20" spans="2:32" ht="23.1" customHeight="1" x14ac:dyDescent="0.25">
      <c r="B20" s="23" t="s">
        <v>47</v>
      </c>
      <c r="C20" s="50">
        <v>14</v>
      </c>
      <c r="D20" s="50">
        <v>4</v>
      </c>
      <c r="E20" s="50">
        <v>10</v>
      </c>
      <c r="F20" s="50">
        <v>10</v>
      </c>
      <c r="G20" s="50">
        <v>1</v>
      </c>
      <c r="H20" s="50">
        <v>0</v>
      </c>
      <c r="I20" s="50">
        <v>4</v>
      </c>
      <c r="J20" s="50">
        <v>3</v>
      </c>
      <c r="K20" s="50">
        <v>1</v>
      </c>
      <c r="L20" s="50">
        <v>3</v>
      </c>
      <c r="M20" s="50">
        <v>135</v>
      </c>
      <c r="N20" s="50">
        <v>0</v>
      </c>
      <c r="O20" s="15">
        <f t="shared" si="0"/>
        <v>50</v>
      </c>
      <c r="P20" s="15">
        <f t="shared" si="1"/>
        <v>185</v>
      </c>
      <c r="R20" s="1" t="s">
        <v>16</v>
      </c>
      <c r="S20" s="17">
        <f t="shared" ref="S20:AF20" si="12">SUM(C50:C53)</f>
        <v>190</v>
      </c>
      <c r="T20" s="17">
        <f t="shared" si="12"/>
        <v>65</v>
      </c>
      <c r="U20" s="17">
        <f t="shared" si="12"/>
        <v>59</v>
      </c>
      <c r="V20" s="17">
        <f t="shared" si="12"/>
        <v>90</v>
      </c>
      <c r="W20" s="17">
        <f t="shared" si="12"/>
        <v>11</v>
      </c>
      <c r="X20" s="17">
        <f t="shared" si="12"/>
        <v>1</v>
      </c>
      <c r="Y20" s="17">
        <f t="shared" si="12"/>
        <v>28</v>
      </c>
      <c r="Z20" s="17">
        <f t="shared" si="12"/>
        <v>13</v>
      </c>
      <c r="AA20" s="17">
        <f t="shared" si="12"/>
        <v>7</v>
      </c>
      <c r="AB20" s="17">
        <f t="shared" si="12"/>
        <v>15</v>
      </c>
      <c r="AC20" s="17">
        <f t="shared" si="12"/>
        <v>409</v>
      </c>
      <c r="AD20" s="17">
        <f t="shared" si="12"/>
        <v>0</v>
      </c>
      <c r="AE20" s="31">
        <f t="shared" si="12"/>
        <v>479</v>
      </c>
      <c r="AF20" s="31">
        <f t="shared" si="12"/>
        <v>888</v>
      </c>
    </row>
    <row r="21" spans="2:32" ht="23.1" customHeight="1" x14ac:dyDescent="0.25">
      <c r="B21" s="23" t="s">
        <v>48</v>
      </c>
      <c r="C21" s="50">
        <v>40</v>
      </c>
      <c r="D21" s="50">
        <v>3</v>
      </c>
      <c r="E21" s="50">
        <v>5</v>
      </c>
      <c r="F21" s="50">
        <v>23</v>
      </c>
      <c r="G21" s="50">
        <v>1</v>
      </c>
      <c r="H21" s="50">
        <v>0</v>
      </c>
      <c r="I21" s="50">
        <v>5</v>
      </c>
      <c r="J21" s="50">
        <v>3</v>
      </c>
      <c r="K21" s="50">
        <v>1</v>
      </c>
      <c r="L21" s="50">
        <v>1</v>
      </c>
      <c r="M21" s="50">
        <v>65</v>
      </c>
      <c r="N21" s="50">
        <v>0</v>
      </c>
      <c r="O21" s="15">
        <f t="shared" si="0"/>
        <v>82</v>
      </c>
      <c r="P21" s="15">
        <f t="shared" si="1"/>
        <v>147</v>
      </c>
      <c r="R21" s="36" t="s">
        <v>20</v>
      </c>
      <c r="S21" s="34">
        <f t="shared" ref="S21:AF21" si="13">SUM(C54:C57)</f>
        <v>258</v>
      </c>
      <c r="T21" s="17">
        <f t="shared" si="13"/>
        <v>141</v>
      </c>
      <c r="U21" s="17">
        <f t="shared" si="13"/>
        <v>119</v>
      </c>
      <c r="V21" s="17">
        <f t="shared" si="13"/>
        <v>104</v>
      </c>
      <c r="W21" s="17">
        <f t="shared" si="13"/>
        <v>12</v>
      </c>
      <c r="X21" s="17">
        <f t="shared" si="13"/>
        <v>0</v>
      </c>
      <c r="Y21" s="17">
        <f t="shared" si="13"/>
        <v>46</v>
      </c>
      <c r="Z21" s="17">
        <f t="shared" si="13"/>
        <v>48</v>
      </c>
      <c r="AA21" s="17">
        <f t="shared" si="13"/>
        <v>30</v>
      </c>
      <c r="AB21" s="17">
        <f t="shared" si="13"/>
        <v>24</v>
      </c>
      <c r="AC21" s="17">
        <f t="shared" si="13"/>
        <v>316</v>
      </c>
      <c r="AD21" s="17">
        <f t="shared" si="13"/>
        <v>0</v>
      </c>
      <c r="AE21" s="31">
        <f t="shared" si="13"/>
        <v>782</v>
      </c>
      <c r="AF21" s="31">
        <f t="shared" si="13"/>
        <v>1098</v>
      </c>
    </row>
    <row r="22" spans="2:32" ht="23.1" customHeight="1" x14ac:dyDescent="0.25">
      <c r="B22" s="23" t="s">
        <v>49</v>
      </c>
      <c r="C22" s="50">
        <v>30</v>
      </c>
      <c r="D22" s="50">
        <v>1</v>
      </c>
      <c r="E22" s="50">
        <v>3</v>
      </c>
      <c r="F22" s="50">
        <v>16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1</v>
      </c>
      <c r="M22" s="50">
        <v>76</v>
      </c>
      <c r="N22" s="50">
        <v>0</v>
      </c>
      <c r="O22" s="15">
        <f t="shared" si="0"/>
        <v>52</v>
      </c>
      <c r="P22" s="15">
        <f t="shared" si="1"/>
        <v>128</v>
      </c>
      <c r="R22" s="38" t="s">
        <v>90</v>
      </c>
      <c r="S22" s="39">
        <f>MAX(S10:S12)</f>
        <v>98</v>
      </c>
      <c r="T22" s="39">
        <f t="shared" ref="T22:AF22" si="14">MAX(T10:T12)</f>
        <v>31</v>
      </c>
      <c r="U22" s="39">
        <f t="shared" si="14"/>
        <v>27</v>
      </c>
      <c r="V22" s="39">
        <f t="shared" si="14"/>
        <v>100</v>
      </c>
      <c r="W22" s="39">
        <f t="shared" si="14"/>
        <v>8</v>
      </c>
      <c r="X22" s="39">
        <f t="shared" si="14"/>
        <v>1</v>
      </c>
      <c r="Y22" s="39">
        <f t="shared" si="14"/>
        <v>20</v>
      </c>
      <c r="Z22" s="39">
        <f t="shared" si="14"/>
        <v>11</v>
      </c>
      <c r="AA22" s="39">
        <f t="shared" si="14"/>
        <v>4</v>
      </c>
      <c r="AB22" s="39">
        <f t="shared" si="14"/>
        <v>11</v>
      </c>
      <c r="AC22" s="39">
        <f t="shared" si="14"/>
        <v>751</v>
      </c>
      <c r="AD22" s="39">
        <f t="shared" si="14"/>
        <v>0</v>
      </c>
      <c r="AE22" s="40">
        <f t="shared" si="14"/>
        <v>300</v>
      </c>
      <c r="AF22" s="40">
        <f t="shared" si="14"/>
        <v>1051</v>
      </c>
    </row>
    <row r="23" spans="2:32" ht="23.1" customHeight="1" x14ac:dyDescent="0.25">
      <c r="B23" s="23" t="s">
        <v>50</v>
      </c>
      <c r="C23" s="50">
        <v>6</v>
      </c>
      <c r="D23" s="50">
        <v>1</v>
      </c>
      <c r="E23" s="50">
        <v>10</v>
      </c>
      <c r="F23" s="50">
        <v>15</v>
      </c>
      <c r="G23" s="50">
        <v>1</v>
      </c>
      <c r="H23" s="50">
        <v>0</v>
      </c>
      <c r="I23" s="50">
        <v>4</v>
      </c>
      <c r="J23" s="50">
        <v>3</v>
      </c>
      <c r="K23" s="50">
        <v>0</v>
      </c>
      <c r="L23" s="50">
        <v>3</v>
      </c>
      <c r="M23" s="50">
        <v>128</v>
      </c>
      <c r="N23" s="50">
        <v>0</v>
      </c>
      <c r="O23" s="15">
        <f t="shared" si="0"/>
        <v>43</v>
      </c>
      <c r="P23" s="15">
        <f t="shared" si="1"/>
        <v>171</v>
      </c>
      <c r="R23" s="38" t="s">
        <v>91</v>
      </c>
      <c r="S23" s="39">
        <f>MAX(S13:S18)</f>
        <v>246</v>
      </c>
      <c r="T23" s="39">
        <f t="shared" ref="T23:AF23" si="15">MAX(T13:T18)</f>
        <v>60</v>
      </c>
      <c r="U23" s="39">
        <f t="shared" si="15"/>
        <v>32</v>
      </c>
      <c r="V23" s="39">
        <f t="shared" si="15"/>
        <v>86</v>
      </c>
      <c r="W23" s="39">
        <f t="shared" si="15"/>
        <v>9</v>
      </c>
      <c r="X23" s="39">
        <f t="shared" si="15"/>
        <v>2</v>
      </c>
      <c r="Y23" s="39">
        <f t="shared" si="15"/>
        <v>49</v>
      </c>
      <c r="Z23" s="39">
        <f t="shared" si="15"/>
        <v>31</v>
      </c>
      <c r="AA23" s="39">
        <f t="shared" si="15"/>
        <v>27</v>
      </c>
      <c r="AB23" s="39">
        <f t="shared" si="15"/>
        <v>27</v>
      </c>
      <c r="AC23" s="39">
        <f t="shared" si="15"/>
        <v>454</v>
      </c>
      <c r="AD23" s="39">
        <f t="shared" si="15"/>
        <v>1</v>
      </c>
      <c r="AE23" s="40">
        <f t="shared" si="15"/>
        <v>525</v>
      </c>
      <c r="AF23" s="40">
        <f t="shared" si="15"/>
        <v>906</v>
      </c>
    </row>
    <row r="24" spans="2:32" ht="23.1" customHeight="1" x14ac:dyDescent="0.25">
      <c r="B24" s="23" t="s">
        <v>51</v>
      </c>
      <c r="C24" s="50">
        <v>63</v>
      </c>
      <c r="D24" s="50">
        <v>0</v>
      </c>
      <c r="E24" s="50">
        <v>4</v>
      </c>
      <c r="F24" s="50">
        <v>35</v>
      </c>
      <c r="G24" s="50">
        <v>0</v>
      </c>
      <c r="H24" s="50">
        <v>1</v>
      </c>
      <c r="I24" s="50">
        <v>5</v>
      </c>
      <c r="J24" s="50">
        <v>0</v>
      </c>
      <c r="K24" s="50">
        <v>1</v>
      </c>
      <c r="L24" s="50">
        <v>4</v>
      </c>
      <c r="M24" s="50">
        <v>145</v>
      </c>
      <c r="N24" s="50">
        <v>0</v>
      </c>
      <c r="O24" s="15">
        <f t="shared" si="0"/>
        <v>113</v>
      </c>
      <c r="P24" s="15">
        <f t="shared" si="1"/>
        <v>258</v>
      </c>
      <c r="R24" s="38" t="s">
        <v>92</v>
      </c>
      <c r="S24" s="39">
        <f>MAX(S19:S21)</f>
        <v>258</v>
      </c>
      <c r="T24" s="39">
        <f t="shared" ref="T24:AF24" si="16">MAX(T19:T21)</f>
        <v>141</v>
      </c>
      <c r="U24" s="39">
        <f t="shared" si="16"/>
        <v>119</v>
      </c>
      <c r="V24" s="39">
        <f t="shared" si="16"/>
        <v>104</v>
      </c>
      <c r="W24" s="39">
        <f t="shared" si="16"/>
        <v>12</v>
      </c>
      <c r="X24" s="39">
        <f t="shared" si="16"/>
        <v>1</v>
      </c>
      <c r="Y24" s="39">
        <f t="shared" si="16"/>
        <v>48</v>
      </c>
      <c r="Z24" s="39">
        <f t="shared" si="16"/>
        <v>48</v>
      </c>
      <c r="AA24" s="39">
        <f t="shared" si="16"/>
        <v>30</v>
      </c>
      <c r="AB24" s="39">
        <f t="shared" si="16"/>
        <v>24</v>
      </c>
      <c r="AC24" s="39">
        <f t="shared" si="16"/>
        <v>409</v>
      </c>
      <c r="AD24" s="39">
        <f t="shared" si="16"/>
        <v>0</v>
      </c>
      <c r="AE24" s="40">
        <f t="shared" si="16"/>
        <v>782</v>
      </c>
      <c r="AF24" s="40">
        <f t="shared" si="16"/>
        <v>1098</v>
      </c>
    </row>
    <row r="25" spans="2:32" ht="23.1" customHeight="1" x14ac:dyDescent="0.25">
      <c r="B25" s="23" t="s">
        <v>52</v>
      </c>
      <c r="C25" s="50">
        <v>60</v>
      </c>
      <c r="D25" s="50">
        <v>6</v>
      </c>
      <c r="E25" s="50">
        <v>15</v>
      </c>
      <c r="F25" s="50">
        <v>16</v>
      </c>
      <c r="G25" s="50">
        <v>0</v>
      </c>
      <c r="H25" s="50">
        <v>0</v>
      </c>
      <c r="I25" s="50">
        <v>7</v>
      </c>
      <c r="J25" s="50">
        <v>5</v>
      </c>
      <c r="K25" s="50">
        <v>0</v>
      </c>
      <c r="L25" s="50">
        <v>4</v>
      </c>
      <c r="M25" s="50">
        <v>105</v>
      </c>
      <c r="N25" s="50">
        <v>0</v>
      </c>
      <c r="O25" s="15">
        <f t="shared" si="0"/>
        <v>113</v>
      </c>
      <c r="P25" s="15">
        <f t="shared" si="1"/>
        <v>218</v>
      </c>
      <c r="R25" s="37" t="s">
        <v>85</v>
      </c>
      <c r="S25" s="35">
        <f t="shared" ref="S25:AF25" si="17">SUM(S10:S12)</f>
        <v>290</v>
      </c>
      <c r="T25" s="16">
        <f t="shared" si="17"/>
        <v>65</v>
      </c>
      <c r="U25" s="16">
        <f t="shared" si="17"/>
        <v>63</v>
      </c>
      <c r="V25" s="16">
        <f t="shared" si="17"/>
        <v>245</v>
      </c>
      <c r="W25" s="16">
        <f t="shared" si="17"/>
        <v>18</v>
      </c>
      <c r="X25" s="16">
        <f t="shared" si="17"/>
        <v>2</v>
      </c>
      <c r="Y25" s="16">
        <f t="shared" si="17"/>
        <v>46</v>
      </c>
      <c r="Z25" s="16">
        <f t="shared" si="17"/>
        <v>21</v>
      </c>
      <c r="AA25" s="16">
        <f t="shared" si="17"/>
        <v>11</v>
      </c>
      <c r="AB25" s="16">
        <f t="shared" si="17"/>
        <v>24</v>
      </c>
      <c r="AC25" s="16">
        <f t="shared" si="17"/>
        <v>1426</v>
      </c>
      <c r="AD25" s="16">
        <f t="shared" si="17"/>
        <v>0</v>
      </c>
      <c r="AE25" s="32">
        <f t="shared" si="17"/>
        <v>785</v>
      </c>
      <c r="AF25" s="32">
        <f t="shared" si="17"/>
        <v>2211</v>
      </c>
    </row>
    <row r="26" spans="2:32" ht="23.1" customHeight="1" x14ac:dyDescent="0.25">
      <c r="B26" s="23" t="s">
        <v>53</v>
      </c>
      <c r="C26" s="50">
        <v>24</v>
      </c>
      <c r="D26" s="50">
        <v>4</v>
      </c>
      <c r="E26" s="50">
        <v>3</v>
      </c>
      <c r="F26" s="50">
        <v>13</v>
      </c>
      <c r="G26" s="50">
        <v>0</v>
      </c>
      <c r="H26" s="50">
        <v>0</v>
      </c>
      <c r="I26" s="50">
        <v>6</v>
      </c>
      <c r="J26" s="50">
        <v>6</v>
      </c>
      <c r="K26" s="50">
        <v>21</v>
      </c>
      <c r="L26" s="50">
        <v>1</v>
      </c>
      <c r="M26" s="50">
        <v>85</v>
      </c>
      <c r="N26" s="50">
        <v>1</v>
      </c>
      <c r="O26" s="15">
        <f t="shared" si="0"/>
        <v>79</v>
      </c>
      <c r="P26" s="15">
        <f t="shared" si="1"/>
        <v>164</v>
      </c>
      <c r="R26" s="28" t="s">
        <v>86</v>
      </c>
      <c r="S26" s="16">
        <f t="shared" ref="S26:AF26" si="18">SUM(S13:S18)</f>
        <v>1064</v>
      </c>
      <c r="T26" s="16">
        <f t="shared" si="18"/>
        <v>197</v>
      </c>
      <c r="U26" s="16">
        <f t="shared" si="18"/>
        <v>145</v>
      </c>
      <c r="V26" s="16">
        <f t="shared" si="18"/>
        <v>360</v>
      </c>
      <c r="W26" s="16">
        <f t="shared" si="18"/>
        <v>42</v>
      </c>
      <c r="X26" s="16">
        <f t="shared" si="18"/>
        <v>5</v>
      </c>
      <c r="Y26" s="16">
        <f t="shared" si="18"/>
        <v>220</v>
      </c>
      <c r="Z26" s="16">
        <f t="shared" si="18"/>
        <v>113</v>
      </c>
      <c r="AA26" s="16">
        <f t="shared" si="18"/>
        <v>91</v>
      </c>
      <c r="AB26" s="16">
        <f t="shared" si="18"/>
        <v>94</v>
      </c>
      <c r="AC26" s="16">
        <f t="shared" si="18"/>
        <v>2289</v>
      </c>
      <c r="AD26" s="16">
        <f t="shared" si="18"/>
        <v>1</v>
      </c>
      <c r="AE26" s="32">
        <f t="shared" si="18"/>
        <v>2332</v>
      </c>
      <c r="AF26" s="32">
        <f t="shared" si="18"/>
        <v>4621</v>
      </c>
    </row>
    <row r="27" spans="2:32" ht="23.1" customHeight="1" x14ac:dyDescent="0.25">
      <c r="B27" s="23" t="s">
        <v>54</v>
      </c>
      <c r="C27" s="50">
        <v>24</v>
      </c>
      <c r="D27" s="50">
        <v>10</v>
      </c>
      <c r="E27" s="50">
        <v>11</v>
      </c>
      <c r="F27" s="50">
        <v>12</v>
      </c>
      <c r="G27" s="50">
        <v>2</v>
      </c>
      <c r="H27" s="50">
        <v>0</v>
      </c>
      <c r="I27" s="50">
        <v>6</v>
      </c>
      <c r="J27" s="50">
        <v>7</v>
      </c>
      <c r="K27" s="50">
        <v>1</v>
      </c>
      <c r="L27" s="50">
        <v>2</v>
      </c>
      <c r="M27" s="50">
        <v>95</v>
      </c>
      <c r="N27" s="50">
        <v>0</v>
      </c>
      <c r="O27" s="15">
        <f t="shared" si="0"/>
        <v>75</v>
      </c>
      <c r="P27" s="15">
        <f t="shared" si="1"/>
        <v>170</v>
      </c>
      <c r="R27" s="29" t="s">
        <v>87</v>
      </c>
      <c r="S27" s="16">
        <f t="shared" ref="S27:AF27" si="19">SUM(S19:S21)</f>
        <v>694</v>
      </c>
      <c r="T27" s="16">
        <f t="shared" si="19"/>
        <v>261</v>
      </c>
      <c r="U27" s="16">
        <f t="shared" si="19"/>
        <v>221</v>
      </c>
      <c r="V27" s="16">
        <f t="shared" si="19"/>
        <v>245</v>
      </c>
      <c r="W27" s="16">
        <f t="shared" si="19"/>
        <v>31</v>
      </c>
      <c r="X27" s="16">
        <f t="shared" si="19"/>
        <v>1</v>
      </c>
      <c r="Y27" s="16">
        <f t="shared" si="19"/>
        <v>122</v>
      </c>
      <c r="Z27" s="16">
        <f t="shared" si="19"/>
        <v>97</v>
      </c>
      <c r="AA27" s="16">
        <f t="shared" si="19"/>
        <v>55</v>
      </c>
      <c r="AB27" s="16">
        <f t="shared" si="19"/>
        <v>52</v>
      </c>
      <c r="AC27" s="16">
        <f t="shared" si="19"/>
        <v>1097</v>
      </c>
      <c r="AD27" s="16">
        <f t="shared" si="19"/>
        <v>0</v>
      </c>
      <c r="AE27" s="32">
        <f t="shared" si="19"/>
        <v>1779</v>
      </c>
      <c r="AF27" s="32">
        <f t="shared" si="19"/>
        <v>2876</v>
      </c>
    </row>
    <row r="28" spans="2:32" ht="23.1" customHeight="1" x14ac:dyDescent="0.25">
      <c r="B28" s="23" t="s">
        <v>55</v>
      </c>
      <c r="C28" s="50">
        <v>51</v>
      </c>
      <c r="D28" s="50">
        <v>1</v>
      </c>
      <c r="E28" s="50">
        <v>4</v>
      </c>
      <c r="F28" s="50">
        <v>8</v>
      </c>
      <c r="G28" s="50">
        <v>4</v>
      </c>
      <c r="H28" s="50">
        <v>0</v>
      </c>
      <c r="I28" s="50">
        <v>6</v>
      </c>
      <c r="J28" s="50">
        <v>2</v>
      </c>
      <c r="K28" s="50">
        <v>3</v>
      </c>
      <c r="L28" s="50">
        <v>2</v>
      </c>
      <c r="M28" s="50">
        <v>80</v>
      </c>
      <c r="N28" s="50">
        <v>0</v>
      </c>
      <c r="O28" s="15">
        <f t="shared" si="0"/>
        <v>81</v>
      </c>
      <c r="P28" s="15">
        <f t="shared" si="1"/>
        <v>161</v>
      </c>
      <c r="R28" s="5" t="s">
        <v>17</v>
      </c>
      <c r="S28" s="16">
        <f t="shared" ref="S28:AF28" si="20">SUM(S10:S21)</f>
        <v>2048</v>
      </c>
      <c r="T28" s="16">
        <f t="shared" si="20"/>
        <v>523</v>
      </c>
      <c r="U28" s="16">
        <f t="shared" si="20"/>
        <v>429</v>
      </c>
      <c r="V28" s="16">
        <f t="shared" si="20"/>
        <v>850</v>
      </c>
      <c r="W28" s="16">
        <f t="shared" si="20"/>
        <v>91</v>
      </c>
      <c r="X28" s="16">
        <f t="shared" si="20"/>
        <v>8</v>
      </c>
      <c r="Y28" s="16">
        <f t="shared" si="20"/>
        <v>388</v>
      </c>
      <c r="Z28" s="16">
        <f t="shared" si="20"/>
        <v>231</v>
      </c>
      <c r="AA28" s="16">
        <f t="shared" si="20"/>
        <v>157</v>
      </c>
      <c r="AB28" s="16">
        <f t="shared" si="20"/>
        <v>170</v>
      </c>
      <c r="AC28" s="16">
        <f t="shared" si="20"/>
        <v>4812</v>
      </c>
      <c r="AD28" s="16">
        <f t="shared" si="20"/>
        <v>1</v>
      </c>
      <c r="AE28" s="32">
        <f t="shared" si="20"/>
        <v>4896</v>
      </c>
      <c r="AF28" s="32">
        <f t="shared" si="20"/>
        <v>9708</v>
      </c>
    </row>
    <row r="29" spans="2:32" ht="23.1" customHeight="1" x14ac:dyDescent="0.25">
      <c r="B29" s="23" t="s">
        <v>56</v>
      </c>
      <c r="C29" s="50">
        <v>40</v>
      </c>
      <c r="D29" s="50">
        <v>8</v>
      </c>
      <c r="E29" s="50">
        <v>5</v>
      </c>
      <c r="F29" s="50">
        <v>12</v>
      </c>
      <c r="G29" s="50">
        <v>3</v>
      </c>
      <c r="H29" s="50">
        <v>1</v>
      </c>
      <c r="I29" s="50">
        <v>6</v>
      </c>
      <c r="J29" s="50">
        <v>2</v>
      </c>
      <c r="K29" s="50">
        <v>2</v>
      </c>
      <c r="L29" s="50">
        <v>3</v>
      </c>
      <c r="M29" s="50">
        <v>70</v>
      </c>
      <c r="N29" s="50">
        <v>0</v>
      </c>
      <c r="O29" s="15">
        <f t="shared" si="0"/>
        <v>82</v>
      </c>
      <c r="P29" s="15">
        <f t="shared" si="1"/>
        <v>152</v>
      </c>
      <c r="R29"/>
      <c r="S29" s="20"/>
      <c r="T29" s="19"/>
    </row>
    <row r="30" spans="2:32" ht="23.1" customHeight="1" x14ac:dyDescent="0.25">
      <c r="B30" s="23" t="s">
        <v>57</v>
      </c>
      <c r="C30" s="50">
        <v>20</v>
      </c>
      <c r="D30" s="50">
        <v>7</v>
      </c>
      <c r="E30" s="50">
        <v>4</v>
      </c>
      <c r="F30" s="50">
        <v>10</v>
      </c>
      <c r="G30" s="50">
        <v>0</v>
      </c>
      <c r="H30" s="50">
        <v>0</v>
      </c>
      <c r="I30" s="50">
        <v>15</v>
      </c>
      <c r="J30" s="50">
        <v>1</v>
      </c>
      <c r="K30" s="50">
        <v>0</v>
      </c>
      <c r="L30" s="50">
        <v>5</v>
      </c>
      <c r="M30" s="50">
        <v>55</v>
      </c>
      <c r="N30" s="50">
        <v>0</v>
      </c>
      <c r="O30" s="15">
        <f t="shared" si="0"/>
        <v>62</v>
      </c>
      <c r="P30" s="15">
        <f t="shared" si="1"/>
        <v>117</v>
      </c>
    </row>
    <row r="31" spans="2:32" ht="23.1" customHeight="1" x14ac:dyDescent="0.25">
      <c r="B31" s="24" t="s">
        <v>58</v>
      </c>
      <c r="C31" s="50">
        <v>46</v>
      </c>
      <c r="D31" s="50">
        <v>8</v>
      </c>
      <c r="E31" s="50">
        <v>2</v>
      </c>
      <c r="F31" s="50">
        <v>7</v>
      </c>
      <c r="G31" s="50">
        <v>3</v>
      </c>
      <c r="H31" s="50">
        <v>0</v>
      </c>
      <c r="I31" s="50">
        <v>7</v>
      </c>
      <c r="J31" s="50">
        <v>2</v>
      </c>
      <c r="K31" s="50">
        <v>1</v>
      </c>
      <c r="L31" s="50">
        <v>3</v>
      </c>
      <c r="M31" s="50">
        <v>111</v>
      </c>
      <c r="N31" s="50">
        <v>0</v>
      </c>
      <c r="O31" s="15">
        <f t="shared" si="0"/>
        <v>79</v>
      </c>
      <c r="P31" s="15">
        <f t="shared" si="1"/>
        <v>190</v>
      </c>
    </row>
    <row r="32" spans="2:32" ht="23.1" customHeight="1" x14ac:dyDescent="0.25">
      <c r="B32" s="24" t="s">
        <v>59</v>
      </c>
      <c r="C32" s="50">
        <v>47</v>
      </c>
      <c r="D32" s="50">
        <v>24</v>
      </c>
      <c r="E32" s="50">
        <v>2</v>
      </c>
      <c r="F32" s="50">
        <v>13</v>
      </c>
      <c r="G32" s="50">
        <v>5</v>
      </c>
      <c r="H32" s="50">
        <v>0</v>
      </c>
      <c r="I32" s="50">
        <v>11</v>
      </c>
      <c r="J32" s="50">
        <v>2</v>
      </c>
      <c r="K32" s="50">
        <v>7</v>
      </c>
      <c r="L32" s="50">
        <v>3</v>
      </c>
      <c r="M32" s="50">
        <v>110</v>
      </c>
      <c r="N32" s="50">
        <v>0</v>
      </c>
      <c r="O32" s="15">
        <f t="shared" si="0"/>
        <v>114</v>
      </c>
      <c r="P32" s="15">
        <f t="shared" si="1"/>
        <v>224</v>
      </c>
    </row>
    <row r="33" spans="2:20" ht="23.1" customHeight="1" x14ac:dyDescent="0.25">
      <c r="B33" s="23" t="s">
        <v>60</v>
      </c>
      <c r="C33" s="50">
        <v>55</v>
      </c>
      <c r="D33" s="50">
        <v>2</v>
      </c>
      <c r="E33" s="50">
        <v>6</v>
      </c>
      <c r="F33" s="50">
        <v>16</v>
      </c>
      <c r="G33" s="50">
        <v>0</v>
      </c>
      <c r="H33" s="50">
        <v>0</v>
      </c>
      <c r="I33" s="50">
        <v>13</v>
      </c>
      <c r="J33" s="50">
        <v>13</v>
      </c>
      <c r="K33" s="50">
        <v>9</v>
      </c>
      <c r="L33" s="50">
        <v>4</v>
      </c>
      <c r="M33" s="50">
        <v>100</v>
      </c>
      <c r="N33" s="50">
        <v>0</v>
      </c>
      <c r="O33" s="15">
        <f t="shared" si="0"/>
        <v>118</v>
      </c>
      <c r="P33" s="15">
        <f t="shared" si="1"/>
        <v>218</v>
      </c>
    </row>
    <row r="34" spans="2:20" ht="23.1" customHeight="1" x14ac:dyDescent="0.25">
      <c r="B34" s="24" t="s">
        <v>61</v>
      </c>
      <c r="C34" s="50">
        <v>48</v>
      </c>
      <c r="D34" s="50">
        <v>11</v>
      </c>
      <c r="E34" s="50">
        <v>1</v>
      </c>
      <c r="F34" s="50">
        <v>18</v>
      </c>
      <c r="G34" s="50">
        <v>2</v>
      </c>
      <c r="H34" s="50">
        <v>0</v>
      </c>
      <c r="I34" s="50">
        <v>24</v>
      </c>
      <c r="J34" s="50">
        <v>5</v>
      </c>
      <c r="K34" s="50">
        <v>13</v>
      </c>
      <c r="L34" s="50">
        <v>5</v>
      </c>
      <c r="M34" s="50">
        <v>125</v>
      </c>
      <c r="N34" s="50">
        <v>0</v>
      </c>
      <c r="O34" s="15">
        <f t="shared" si="0"/>
        <v>127</v>
      </c>
      <c r="P34" s="15">
        <f t="shared" si="1"/>
        <v>252</v>
      </c>
    </row>
    <row r="35" spans="2:20" ht="23.1" customHeight="1" x14ac:dyDescent="0.25">
      <c r="B35" s="24" t="s">
        <v>62</v>
      </c>
      <c r="C35" s="50">
        <v>40</v>
      </c>
      <c r="D35" s="50">
        <v>3</v>
      </c>
      <c r="E35" s="50">
        <v>8</v>
      </c>
      <c r="F35" s="50">
        <v>15</v>
      </c>
      <c r="G35" s="50">
        <v>1</v>
      </c>
      <c r="H35" s="50">
        <v>0</v>
      </c>
      <c r="I35" s="50">
        <v>10</v>
      </c>
      <c r="J35" s="50">
        <v>4</v>
      </c>
      <c r="K35" s="50">
        <v>4</v>
      </c>
      <c r="L35" s="50">
        <v>8</v>
      </c>
      <c r="M35" s="50">
        <v>73</v>
      </c>
      <c r="N35" s="50">
        <v>0</v>
      </c>
      <c r="O35" s="15">
        <f t="shared" si="0"/>
        <v>93</v>
      </c>
      <c r="P35" s="15">
        <f t="shared" si="1"/>
        <v>166</v>
      </c>
    </row>
    <row r="36" spans="2:20" ht="23.1" customHeight="1" x14ac:dyDescent="0.25">
      <c r="B36" s="24" t="s">
        <v>63</v>
      </c>
      <c r="C36" s="50">
        <v>31</v>
      </c>
      <c r="D36" s="50">
        <v>20</v>
      </c>
      <c r="E36" s="50">
        <v>6</v>
      </c>
      <c r="F36" s="50">
        <v>4</v>
      </c>
      <c r="G36" s="50">
        <v>3</v>
      </c>
      <c r="H36" s="50">
        <v>0</v>
      </c>
      <c r="I36" s="50">
        <v>5</v>
      </c>
      <c r="J36" s="50">
        <v>3</v>
      </c>
      <c r="K36" s="50">
        <v>3</v>
      </c>
      <c r="L36" s="50">
        <v>0</v>
      </c>
      <c r="M36" s="50">
        <v>65</v>
      </c>
      <c r="N36" s="50">
        <v>0</v>
      </c>
      <c r="O36" s="15">
        <f t="shared" si="0"/>
        <v>75</v>
      </c>
      <c r="P36" s="15">
        <f t="shared" si="1"/>
        <v>140</v>
      </c>
    </row>
    <row r="37" spans="2:20" ht="23.1" customHeight="1" x14ac:dyDescent="0.25">
      <c r="B37" s="23" t="s">
        <v>64</v>
      </c>
      <c r="C37" s="50">
        <v>55</v>
      </c>
      <c r="D37" s="50">
        <v>5</v>
      </c>
      <c r="E37" s="50">
        <v>4</v>
      </c>
      <c r="F37" s="50">
        <v>11</v>
      </c>
      <c r="G37" s="50">
        <v>2</v>
      </c>
      <c r="H37" s="50">
        <v>0</v>
      </c>
      <c r="I37" s="50">
        <v>10</v>
      </c>
      <c r="J37" s="50">
        <v>6</v>
      </c>
      <c r="K37" s="50">
        <v>6</v>
      </c>
      <c r="L37" s="50">
        <v>3</v>
      </c>
      <c r="M37" s="50">
        <v>85</v>
      </c>
      <c r="N37" s="50">
        <v>0</v>
      </c>
      <c r="O37" s="15">
        <f t="shared" si="0"/>
        <v>102</v>
      </c>
      <c r="P37" s="15">
        <f t="shared" si="1"/>
        <v>187</v>
      </c>
    </row>
    <row r="38" spans="2:20" ht="23.1" customHeight="1" x14ac:dyDescent="0.25">
      <c r="B38" s="24" t="s">
        <v>65</v>
      </c>
      <c r="C38" s="50">
        <v>33</v>
      </c>
      <c r="D38" s="50">
        <v>3</v>
      </c>
      <c r="E38" s="50">
        <v>6</v>
      </c>
      <c r="F38" s="50">
        <v>10</v>
      </c>
      <c r="G38" s="50">
        <v>1</v>
      </c>
      <c r="H38" s="50">
        <v>0</v>
      </c>
      <c r="I38" s="50">
        <v>5</v>
      </c>
      <c r="J38" s="50">
        <v>5</v>
      </c>
      <c r="K38" s="50">
        <v>0</v>
      </c>
      <c r="L38" s="50">
        <v>2</v>
      </c>
      <c r="M38" s="50">
        <v>62</v>
      </c>
      <c r="N38" s="50">
        <v>0</v>
      </c>
      <c r="O38" s="15">
        <f t="shared" si="0"/>
        <v>65</v>
      </c>
      <c r="P38" s="15">
        <f t="shared" si="1"/>
        <v>127</v>
      </c>
    </row>
    <row r="39" spans="2:20" ht="23.1" customHeight="1" x14ac:dyDescent="0.25">
      <c r="B39" s="24" t="s">
        <v>66</v>
      </c>
      <c r="C39" s="50">
        <v>45</v>
      </c>
      <c r="D39" s="50">
        <v>10</v>
      </c>
      <c r="E39" s="50">
        <v>11</v>
      </c>
      <c r="F39" s="50">
        <v>11</v>
      </c>
      <c r="G39" s="50">
        <v>2</v>
      </c>
      <c r="H39" s="50">
        <v>0</v>
      </c>
      <c r="I39" s="50">
        <v>14</v>
      </c>
      <c r="J39" s="50">
        <v>2</v>
      </c>
      <c r="K39" s="50">
        <v>3</v>
      </c>
      <c r="L39" s="50">
        <v>2</v>
      </c>
      <c r="M39" s="50">
        <v>80</v>
      </c>
      <c r="N39" s="50">
        <v>0</v>
      </c>
      <c r="O39" s="15">
        <f t="shared" si="0"/>
        <v>100</v>
      </c>
      <c r="P39" s="15">
        <f t="shared" si="1"/>
        <v>180</v>
      </c>
    </row>
    <row r="40" spans="2:20" ht="23.1" customHeight="1" x14ac:dyDescent="0.25">
      <c r="B40" s="24" t="s">
        <v>67</v>
      </c>
      <c r="C40" s="50">
        <v>48</v>
      </c>
      <c r="D40" s="50">
        <v>8</v>
      </c>
      <c r="E40" s="50">
        <v>3</v>
      </c>
      <c r="F40" s="50">
        <v>16</v>
      </c>
      <c r="G40" s="50">
        <v>2</v>
      </c>
      <c r="H40" s="50">
        <v>0</v>
      </c>
      <c r="I40" s="50">
        <v>12</v>
      </c>
      <c r="J40" s="50">
        <v>13</v>
      </c>
      <c r="K40" s="50">
        <v>4</v>
      </c>
      <c r="L40" s="50">
        <v>7</v>
      </c>
      <c r="M40" s="50">
        <v>118</v>
      </c>
      <c r="N40" s="50">
        <v>0</v>
      </c>
      <c r="O40" s="15">
        <f t="shared" si="0"/>
        <v>113</v>
      </c>
      <c r="P40" s="15">
        <f t="shared" si="1"/>
        <v>231</v>
      </c>
    </row>
    <row r="41" spans="2:20" ht="23.1" customHeight="1" x14ac:dyDescent="0.25">
      <c r="B41" s="23" t="s">
        <v>68</v>
      </c>
      <c r="C41" s="50">
        <v>52</v>
      </c>
      <c r="D41" s="50">
        <v>5</v>
      </c>
      <c r="E41" s="50">
        <v>9</v>
      </c>
      <c r="F41" s="50">
        <v>16</v>
      </c>
      <c r="G41" s="50">
        <v>4</v>
      </c>
      <c r="H41" s="50">
        <v>1</v>
      </c>
      <c r="I41" s="50">
        <v>13</v>
      </c>
      <c r="J41" s="50">
        <v>11</v>
      </c>
      <c r="K41" s="50">
        <v>5</v>
      </c>
      <c r="L41" s="50">
        <v>5</v>
      </c>
      <c r="M41" s="50">
        <v>140</v>
      </c>
      <c r="N41" s="50">
        <v>0</v>
      </c>
      <c r="O41" s="15">
        <f t="shared" si="0"/>
        <v>121</v>
      </c>
      <c r="P41" s="15">
        <f t="shared" si="1"/>
        <v>261</v>
      </c>
    </row>
    <row r="42" spans="2:20" ht="23.1" customHeight="1" x14ac:dyDescent="0.25">
      <c r="B42" s="24" t="s">
        <v>69</v>
      </c>
      <c r="C42" s="50">
        <v>65</v>
      </c>
      <c r="D42" s="50">
        <v>9</v>
      </c>
      <c r="E42" s="50">
        <v>7</v>
      </c>
      <c r="F42" s="50">
        <v>11</v>
      </c>
      <c r="G42" s="50">
        <v>0</v>
      </c>
      <c r="H42" s="50">
        <v>1</v>
      </c>
      <c r="I42" s="50">
        <v>13</v>
      </c>
      <c r="J42" s="50">
        <v>5</v>
      </c>
      <c r="K42" s="50">
        <v>1</v>
      </c>
      <c r="L42" s="50">
        <v>6</v>
      </c>
      <c r="M42" s="50">
        <v>110</v>
      </c>
      <c r="N42" s="50">
        <v>0</v>
      </c>
      <c r="O42" s="15">
        <f t="shared" si="0"/>
        <v>118</v>
      </c>
      <c r="P42" s="15">
        <f t="shared" si="1"/>
        <v>228</v>
      </c>
    </row>
    <row r="43" spans="2:20" ht="23.1" customHeight="1" x14ac:dyDescent="0.25">
      <c r="B43" s="23" t="s">
        <v>70</v>
      </c>
      <c r="C43" s="50">
        <v>60</v>
      </c>
      <c r="D43" s="50">
        <v>8</v>
      </c>
      <c r="E43" s="50">
        <v>3</v>
      </c>
      <c r="F43" s="50">
        <v>9</v>
      </c>
      <c r="G43" s="50">
        <v>2</v>
      </c>
      <c r="H43" s="50">
        <v>0</v>
      </c>
      <c r="I43" s="50">
        <v>13</v>
      </c>
      <c r="J43" s="50">
        <v>5</v>
      </c>
      <c r="K43" s="50">
        <v>1</v>
      </c>
      <c r="L43" s="50">
        <v>6</v>
      </c>
      <c r="M43" s="50">
        <v>110</v>
      </c>
      <c r="N43" s="50">
        <v>0</v>
      </c>
      <c r="O43" s="15">
        <f t="shared" si="0"/>
        <v>107</v>
      </c>
      <c r="P43" s="15">
        <f t="shared" si="1"/>
        <v>217</v>
      </c>
    </row>
    <row r="44" spans="2:20" ht="23.1" customHeight="1" x14ac:dyDescent="0.25">
      <c r="B44" s="25" t="s">
        <v>71</v>
      </c>
      <c r="C44" s="50">
        <v>61</v>
      </c>
      <c r="D44" s="50">
        <v>18</v>
      </c>
      <c r="E44" s="50">
        <v>11</v>
      </c>
      <c r="F44" s="50">
        <v>25</v>
      </c>
      <c r="G44" s="50">
        <v>3</v>
      </c>
      <c r="H44" s="50">
        <v>1</v>
      </c>
      <c r="I44" s="50">
        <v>3</v>
      </c>
      <c r="J44" s="50">
        <v>3</v>
      </c>
      <c r="K44" s="50">
        <v>6</v>
      </c>
      <c r="L44" s="50">
        <v>11</v>
      </c>
      <c r="M44" s="50">
        <v>76</v>
      </c>
      <c r="N44" s="50">
        <v>0</v>
      </c>
      <c r="O44" s="15">
        <f t="shared" si="0"/>
        <v>142</v>
      </c>
      <c r="P44" s="15">
        <f t="shared" si="1"/>
        <v>218</v>
      </c>
    </row>
    <row r="45" spans="2:20" ht="23.1" customHeight="1" x14ac:dyDescent="0.25">
      <c r="B45" s="23" t="s">
        <v>72</v>
      </c>
      <c r="C45" s="50">
        <v>60</v>
      </c>
      <c r="D45" s="50">
        <v>25</v>
      </c>
      <c r="E45" s="50">
        <v>7</v>
      </c>
      <c r="F45" s="50">
        <v>41</v>
      </c>
      <c r="G45" s="50">
        <v>2</v>
      </c>
      <c r="H45" s="50">
        <v>0</v>
      </c>
      <c r="I45" s="50">
        <v>11</v>
      </c>
      <c r="J45" s="50">
        <v>8</v>
      </c>
      <c r="K45" s="50">
        <v>0</v>
      </c>
      <c r="L45" s="50">
        <v>4</v>
      </c>
      <c r="M45" s="50">
        <v>85</v>
      </c>
      <c r="N45" s="50">
        <v>0</v>
      </c>
      <c r="O45" s="15">
        <f t="shared" si="0"/>
        <v>158</v>
      </c>
      <c r="P45" s="15">
        <f t="shared" si="1"/>
        <v>243</v>
      </c>
    </row>
    <row r="46" spans="2:20" ht="23.1" customHeight="1" x14ac:dyDescent="0.25">
      <c r="B46" s="24" t="s">
        <v>73</v>
      </c>
      <c r="C46" s="50">
        <v>60</v>
      </c>
      <c r="D46" s="50">
        <v>11</v>
      </c>
      <c r="E46" s="50">
        <v>9</v>
      </c>
      <c r="F46" s="50">
        <v>14</v>
      </c>
      <c r="G46" s="50">
        <v>2</v>
      </c>
      <c r="H46" s="50">
        <v>0</v>
      </c>
      <c r="I46" s="50">
        <v>8</v>
      </c>
      <c r="J46" s="50">
        <v>8</v>
      </c>
      <c r="K46" s="50">
        <v>2</v>
      </c>
      <c r="L46" s="50">
        <v>2</v>
      </c>
      <c r="M46" s="50">
        <v>90</v>
      </c>
      <c r="N46" s="50">
        <v>0</v>
      </c>
      <c r="O46" s="15">
        <f t="shared" si="0"/>
        <v>116</v>
      </c>
      <c r="P46" s="15">
        <f t="shared" si="1"/>
        <v>206</v>
      </c>
      <c r="R46" s="8"/>
      <c r="T46"/>
    </row>
    <row r="47" spans="2:20" ht="23.1" customHeight="1" x14ac:dyDescent="0.25">
      <c r="B47" s="24" t="s">
        <v>74</v>
      </c>
      <c r="C47" s="50">
        <v>65</v>
      </c>
      <c r="D47" s="50">
        <v>14</v>
      </c>
      <c r="E47" s="50">
        <v>8</v>
      </c>
      <c r="F47" s="50">
        <v>15</v>
      </c>
      <c r="G47" s="50">
        <v>1</v>
      </c>
      <c r="H47" s="50">
        <v>0</v>
      </c>
      <c r="I47" s="50">
        <v>20</v>
      </c>
      <c r="J47" s="50">
        <v>4</v>
      </c>
      <c r="K47" s="50">
        <v>5</v>
      </c>
      <c r="L47" s="50">
        <v>6</v>
      </c>
      <c r="M47" s="50">
        <v>80</v>
      </c>
      <c r="N47" s="50">
        <v>0</v>
      </c>
      <c r="O47" s="15">
        <f t="shared" si="0"/>
        <v>138</v>
      </c>
      <c r="P47" s="15">
        <f t="shared" si="1"/>
        <v>218</v>
      </c>
      <c r="R47" s="8"/>
      <c r="T47"/>
    </row>
    <row r="48" spans="2:20" ht="23.1" customHeight="1" x14ac:dyDescent="0.25">
      <c r="B48" s="24" t="s">
        <v>75</v>
      </c>
      <c r="C48" s="50">
        <v>70</v>
      </c>
      <c r="D48" s="50">
        <v>17</v>
      </c>
      <c r="E48" s="50">
        <v>6</v>
      </c>
      <c r="F48" s="50">
        <v>12</v>
      </c>
      <c r="G48" s="50">
        <v>3</v>
      </c>
      <c r="H48" s="50">
        <v>0</v>
      </c>
      <c r="I48" s="50">
        <v>10</v>
      </c>
      <c r="J48" s="50">
        <v>17</v>
      </c>
      <c r="K48" s="50">
        <v>4</v>
      </c>
      <c r="L48" s="50">
        <v>3</v>
      </c>
      <c r="M48" s="50">
        <v>82</v>
      </c>
      <c r="N48" s="50">
        <v>0</v>
      </c>
      <c r="O48" s="15">
        <f t="shared" si="0"/>
        <v>142</v>
      </c>
      <c r="P48" s="15">
        <f t="shared" si="1"/>
        <v>224</v>
      </c>
      <c r="R48" s="8"/>
      <c r="T48"/>
    </row>
    <row r="49" spans="2:20" ht="23.1" customHeight="1" x14ac:dyDescent="0.25">
      <c r="B49" s="23" t="s">
        <v>76</v>
      </c>
      <c r="C49" s="50">
        <v>51</v>
      </c>
      <c r="D49" s="50">
        <v>13</v>
      </c>
      <c r="E49" s="50">
        <v>20</v>
      </c>
      <c r="F49" s="50">
        <v>10</v>
      </c>
      <c r="G49" s="50">
        <v>2</v>
      </c>
      <c r="H49" s="50">
        <v>0</v>
      </c>
      <c r="I49" s="50">
        <v>10</v>
      </c>
      <c r="J49" s="50">
        <v>7</v>
      </c>
      <c r="K49" s="50">
        <v>7</v>
      </c>
      <c r="L49" s="50">
        <v>2</v>
      </c>
      <c r="M49" s="50">
        <v>120</v>
      </c>
      <c r="N49" s="50">
        <v>0</v>
      </c>
      <c r="O49" s="15">
        <f t="shared" si="0"/>
        <v>122</v>
      </c>
      <c r="P49" s="15">
        <f t="shared" si="1"/>
        <v>242</v>
      </c>
      <c r="R49" s="8"/>
      <c r="T49"/>
    </row>
    <row r="50" spans="2:20" ht="23.1" customHeight="1" x14ac:dyDescent="0.25">
      <c r="B50" s="24" t="s">
        <v>77</v>
      </c>
      <c r="C50" s="50">
        <v>55</v>
      </c>
      <c r="D50" s="50">
        <v>8</v>
      </c>
      <c r="E50" s="50">
        <v>11</v>
      </c>
      <c r="F50" s="50">
        <v>15</v>
      </c>
      <c r="G50" s="50">
        <v>0</v>
      </c>
      <c r="H50" s="50">
        <v>0</v>
      </c>
      <c r="I50" s="50">
        <v>8</v>
      </c>
      <c r="J50" s="50">
        <v>3</v>
      </c>
      <c r="K50" s="50">
        <v>0</v>
      </c>
      <c r="L50" s="50">
        <v>3</v>
      </c>
      <c r="M50" s="50">
        <v>80</v>
      </c>
      <c r="N50" s="50">
        <v>0</v>
      </c>
      <c r="O50" s="15">
        <f t="shared" si="0"/>
        <v>103</v>
      </c>
      <c r="P50" s="15">
        <f t="shared" si="1"/>
        <v>183</v>
      </c>
      <c r="R50" s="8"/>
      <c r="T50"/>
    </row>
    <row r="51" spans="2:20" ht="23.1" customHeight="1" x14ac:dyDescent="0.25">
      <c r="B51" s="24" t="s">
        <v>78</v>
      </c>
      <c r="C51" s="50">
        <v>67</v>
      </c>
      <c r="D51" s="50">
        <v>9</v>
      </c>
      <c r="E51" s="50">
        <v>14</v>
      </c>
      <c r="F51" s="50">
        <v>35</v>
      </c>
      <c r="G51" s="50">
        <v>2</v>
      </c>
      <c r="H51" s="50">
        <v>0</v>
      </c>
      <c r="I51" s="50">
        <v>8</v>
      </c>
      <c r="J51" s="50">
        <v>3</v>
      </c>
      <c r="K51" s="50">
        <v>5</v>
      </c>
      <c r="L51" s="50">
        <v>2</v>
      </c>
      <c r="M51" s="50">
        <v>88</v>
      </c>
      <c r="N51" s="50">
        <v>0</v>
      </c>
      <c r="O51" s="15">
        <f t="shared" si="0"/>
        <v>145</v>
      </c>
      <c r="P51" s="15">
        <f t="shared" si="1"/>
        <v>233</v>
      </c>
      <c r="R51" s="8"/>
      <c r="T51"/>
    </row>
    <row r="52" spans="2:20" ht="23.1" customHeight="1" x14ac:dyDescent="0.25">
      <c r="B52" s="24" t="s">
        <v>79</v>
      </c>
      <c r="C52" s="50">
        <v>60</v>
      </c>
      <c r="D52" s="50">
        <v>31</v>
      </c>
      <c r="E52" s="50">
        <v>25</v>
      </c>
      <c r="F52" s="50">
        <v>31</v>
      </c>
      <c r="G52" s="50">
        <v>5</v>
      </c>
      <c r="H52" s="50">
        <v>0</v>
      </c>
      <c r="I52" s="50">
        <v>6</v>
      </c>
      <c r="J52" s="50">
        <v>3</v>
      </c>
      <c r="K52" s="50">
        <v>1</v>
      </c>
      <c r="L52" s="50">
        <v>5</v>
      </c>
      <c r="M52" s="50">
        <v>126</v>
      </c>
      <c r="N52" s="50">
        <v>0</v>
      </c>
      <c r="O52" s="15">
        <f t="shared" si="0"/>
        <v>167</v>
      </c>
      <c r="P52" s="15">
        <f t="shared" si="1"/>
        <v>293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17</v>
      </c>
      <c r="E53" s="50">
        <v>9</v>
      </c>
      <c r="F53" s="50">
        <v>9</v>
      </c>
      <c r="G53" s="50">
        <v>4</v>
      </c>
      <c r="H53" s="50">
        <v>1</v>
      </c>
      <c r="I53" s="50">
        <v>6</v>
      </c>
      <c r="J53" s="50">
        <v>4</v>
      </c>
      <c r="K53" s="50">
        <v>1</v>
      </c>
      <c r="L53" s="50">
        <v>5</v>
      </c>
      <c r="M53" s="50">
        <v>115</v>
      </c>
      <c r="N53" s="50">
        <v>0</v>
      </c>
      <c r="O53" s="15">
        <f t="shared" si="0"/>
        <v>64</v>
      </c>
      <c r="P53" s="15">
        <f t="shared" si="1"/>
        <v>179</v>
      </c>
      <c r="R53" s="8"/>
      <c r="T53"/>
    </row>
    <row r="54" spans="2:20" ht="23.1" customHeight="1" x14ac:dyDescent="0.25">
      <c r="B54" s="23" t="s">
        <v>81</v>
      </c>
      <c r="C54" s="50">
        <v>70</v>
      </c>
      <c r="D54" s="50">
        <v>35</v>
      </c>
      <c r="E54" s="50">
        <v>40</v>
      </c>
      <c r="F54" s="50">
        <v>24</v>
      </c>
      <c r="G54" s="50">
        <v>4</v>
      </c>
      <c r="H54" s="50">
        <v>0</v>
      </c>
      <c r="I54" s="50">
        <v>28</v>
      </c>
      <c r="J54" s="50">
        <v>3</v>
      </c>
      <c r="K54" s="50">
        <v>2</v>
      </c>
      <c r="L54" s="50">
        <v>16</v>
      </c>
      <c r="M54" s="50">
        <v>70</v>
      </c>
      <c r="N54" s="50">
        <v>0</v>
      </c>
      <c r="O54" s="15">
        <f t="shared" si="0"/>
        <v>222</v>
      </c>
      <c r="P54" s="15">
        <f t="shared" si="1"/>
        <v>292</v>
      </c>
      <c r="R54" s="8"/>
      <c r="T54"/>
    </row>
    <row r="55" spans="2:20" ht="23.1" customHeight="1" x14ac:dyDescent="0.25">
      <c r="B55" s="23" t="s">
        <v>82</v>
      </c>
      <c r="C55" s="50">
        <v>53</v>
      </c>
      <c r="D55" s="50">
        <v>55</v>
      </c>
      <c r="E55" s="50">
        <v>19</v>
      </c>
      <c r="F55" s="50">
        <v>24</v>
      </c>
      <c r="G55" s="50">
        <v>1</v>
      </c>
      <c r="H55" s="50">
        <v>0</v>
      </c>
      <c r="I55" s="50">
        <v>5</v>
      </c>
      <c r="J55" s="50">
        <v>9</v>
      </c>
      <c r="K55" s="50">
        <v>21</v>
      </c>
      <c r="L55" s="50">
        <v>4</v>
      </c>
      <c r="M55" s="50">
        <v>75</v>
      </c>
      <c r="N55" s="50">
        <v>0</v>
      </c>
      <c r="O55" s="15">
        <f t="shared" si="0"/>
        <v>191</v>
      </c>
      <c r="P55" s="15">
        <f t="shared" si="1"/>
        <v>266</v>
      </c>
      <c r="R55" s="8"/>
      <c r="T55"/>
    </row>
    <row r="56" spans="2:20" ht="23.1" customHeight="1" x14ac:dyDescent="0.25">
      <c r="B56" s="23" t="s">
        <v>83</v>
      </c>
      <c r="C56" s="50">
        <v>90</v>
      </c>
      <c r="D56" s="50">
        <v>36</v>
      </c>
      <c r="E56" s="50">
        <v>60</v>
      </c>
      <c r="F56" s="50">
        <v>36</v>
      </c>
      <c r="G56" s="50">
        <v>5</v>
      </c>
      <c r="H56" s="50">
        <v>0</v>
      </c>
      <c r="I56" s="50">
        <v>13</v>
      </c>
      <c r="J56" s="50">
        <v>35</v>
      </c>
      <c r="K56" s="50">
        <v>4</v>
      </c>
      <c r="L56" s="50">
        <v>3</v>
      </c>
      <c r="M56" s="50">
        <v>71</v>
      </c>
      <c r="N56" s="50">
        <v>0</v>
      </c>
      <c r="O56" s="15">
        <f t="shared" si="0"/>
        <v>282</v>
      </c>
      <c r="P56" s="15">
        <f t="shared" si="1"/>
        <v>353</v>
      </c>
      <c r="R56" s="8"/>
      <c r="T56"/>
    </row>
    <row r="57" spans="2:20" ht="23.1" customHeight="1" x14ac:dyDescent="0.25">
      <c r="B57" s="23" t="s">
        <v>84</v>
      </c>
      <c r="C57" s="50">
        <v>45</v>
      </c>
      <c r="D57" s="50">
        <v>15</v>
      </c>
      <c r="E57" s="50">
        <v>0</v>
      </c>
      <c r="F57" s="50">
        <v>20</v>
      </c>
      <c r="G57" s="50">
        <v>2</v>
      </c>
      <c r="H57" s="50">
        <v>0</v>
      </c>
      <c r="I57" s="50">
        <v>0</v>
      </c>
      <c r="J57" s="50">
        <v>1</v>
      </c>
      <c r="K57" s="50">
        <v>3</v>
      </c>
      <c r="L57" s="50">
        <v>1</v>
      </c>
      <c r="M57" s="50">
        <v>100</v>
      </c>
      <c r="N57" s="50">
        <v>0</v>
      </c>
      <c r="O57" s="15">
        <f t="shared" si="0"/>
        <v>87</v>
      </c>
      <c r="P57" s="15">
        <f t="shared" si="1"/>
        <v>187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2048</v>
      </c>
      <c r="D58" s="16">
        <f t="shared" si="21"/>
        <v>523</v>
      </c>
      <c r="E58" s="16">
        <f t="shared" si="21"/>
        <v>429</v>
      </c>
      <c r="F58" s="16">
        <f t="shared" si="21"/>
        <v>850</v>
      </c>
      <c r="G58" s="16">
        <f t="shared" si="21"/>
        <v>91</v>
      </c>
      <c r="H58" s="16">
        <f t="shared" si="21"/>
        <v>8</v>
      </c>
      <c r="I58" s="16">
        <f t="shared" si="21"/>
        <v>388</v>
      </c>
      <c r="J58" s="16">
        <f t="shared" si="21"/>
        <v>231</v>
      </c>
      <c r="K58" s="16">
        <f t="shared" si="21"/>
        <v>157</v>
      </c>
      <c r="L58" s="16">
        <f t="shared" si="21"/>
        <v>170</v>
      </c>
      <c r="M58" s="16">
        <f t="shared" si="21"/>
        <v>4812</v>
      </c>
      <c r="N58" s="16">
        <f t="shared" si="21"/>
        <v>1</v>
      </c>
      <c r="O58" s="16">
        <f t="shared" si="21"/>
        <v>4896</v>
      </c>
      <c r="P58" s="16">
        <f t="shared" si="21"/>
        <v>9708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0.21096003296250515</v>
      </c>
      <c r="D59" s="43">
        <f t="shared" si="22"/>
        <v>5.3873094355170993E-2</v>
      </c>
      <c r="E59" s="43">
        <f t="shared" si="22"/>
        <v>4.4190358467243514E-2</v>
      </c>
      <c r="F59" s="43">
        <f t="shared" si="22"/>
        <v>8.7556654305727233E-2</v>
      </c>
      <c r="G59" s="43">
        <f t="shared" si="22"/>
        <v>9.3737124021425634E-3</v>
      </c>
      <c r="H59" s="43">
        <f t="shared" si="22"/>
        <v>8.2406262875978574E-4</v>
      </c>
      <c r="I59" s="43">
        <f t="shared" si="22"/>
        <v>3.996703749484961E-2</v>
      </c>
      <c r="J59" s="43">
        <f t="shared" si="22"/>
        <v>2.3794808405438812E-2</v>
      </c>
      <c r="K59" s="43">
        <f t="shared" si="22"/>
        <v>1.6172229089410795E-2</v>
      </c>
      <c r="L59" s="43">
        <f t="shared" si="22"/>
        <v>1.7511330861145449E-2</v>
      </c>
      <c r="M59" s="43">
        <f t="shared" si="22"/>
        <v>0.49567367119901112</v>
      </c>
      <c r="N59" s="43">
        <f t="shared" si="22"/>
        <v>1.0300782859497322E-4</v>
      </c>
      <c r="R59" s="8"/>
      <c r="T59"/>
    </row>
    <row r="60" spans="2:20" ht="23.1" customHeight="1" x14ac:dyDescent="0.25">
      <c r="B60" s="42" t="s">
        <v>94</v>
      </c>
      <c r="C60" s="44">
        <f>C58/$O$58</f>
        <v>0.41830065359477125</v>
      </c>
      <c r="D60" s="44">
        <f t="shared" ref="D60:N60" si="23">D58/$O$58</f>
        <v>0.1068218954248366</v>
      </c>
      <c r="E60" s="44">
        <f t="shared" si="23"/>
        <v>8.7622549019607837E-2</v>
      </c>
      <c r="F60" s="44">
        <f t="shared" si="23"/>
        <v>0.1736111111111111</v>
      </c>
      <c r="G60" s="44">
        <f t="shared" si="23"/>
        <v>1.8586601307189542E-2</v>
      </c>
      <c r="H60" s="44">
        <f t="shared" si="23"/>
        <v>1.6339869281045752E-3</v>
      </c>
      <c r="I60" s="44">
        <f t="shared" si="23"/>
        <v>7.9248366013071891E-2</v>
      </c>
      <c r="J60" s="44">
        <f t="shared" si="23"/>
        <v>4.7181372549019607E-2</v>
      </c>
      <c r="K60" s="44">
        <f t="shared" si="23"/>
        <v>3.2066993464052285E-2</v>
      </c>
      <c r="L60" s="44">
        <f t="shared" si="23"/>
        <v>3.4722222222222224E-2</v>
      </c>
      <c r="M60" s="44"/>
      <c r="N60" s="44">
        <f t="shared" si="23"/>
        <v>2.042483660130719E-4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J23" sqref="J2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Kireka-Kinawataka'!C3:G3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'02.08 Kinawataka-Kireka'!D5</f>
        <v>02.08.19</v>
      </c>
      <c r="E5" s="3"/>
      <c r="F5" s="41" t="s">
        <v>1</v>
      </c>
      <c r="G5" s="63" t="str">
        <f>'02.08 Kinawataka-Kireka'!G5:H5</f>
        <v>Kireka road</v>
      </c>
      <c r="H5" s="64"/>
      <c r="I5" s="14"/>
      <c r="J5" s="2" t="s">
        <v>5</v>
      </c>
      <c r="K5" s="63" t="s">
        <v>173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Kireka-Kinawataka'!D6:E6</f>
        <v>Kireka</v>
      </c>
      <c r="E6" s="64"/>
      <c r="F6" s="2" t="s">
        <v>2</v>
      </c>
      <c r="G6" s="63" t="str">
        <f>'29.07 Kireka-Kinawataka'!G6:H6</f>
        <v>Kinawataka</v>
      </c>
      <c r="H6" s="64"/>
      <c r="J6" s="2" t="s">
        <v>21</v>
      </c>
      <c r="K6" s="63" t="str">
        <f>'02.08 Kinawataka-Kireka'!K6:L6</f>
        <v>Batrice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20</v>
      </c>
      <c r="D10" s="50">
        <v>9</v>
      </c>
      <c r="E10" s="50">
        <v>2</v>
      </c>
      <c r="F10" s="50">
        <v>13</v>
      </c>
      <c r="G10" s="50">
        <v>1</v>
      </c>
      <c r="H10" s="50">
        <v>0</v>
      </c>
      <c r="I10" s="50">
        <v>0</v>
      </c>
      <c r="J10" s="50">
        <v>1</v>
      </c>
      <c r="K10" s="50">
        <v>0</v>
      </c>
      <c r="L10" s="50">
        <v>1</v>
      </c>
      <c r="M10" s="50">
        <v>124</v>
      </c>
      <c r="N10" s="50">
        <v>0</v>
      </c>
      <c r="O10" s="15">
        <f t="shared" ref="O10:O57" si="0">SUM(C10:L10,N10)</f>
        <v>47</v>
      </c>
      <c r="P10" s="15">
        <f t="shared" ref="P10:P57" si="1">SUM(C10:N10)</f>
        <v>171</v>
      </c>
      <c r="R10" s="1" t="s">
        <v>6</v>
      </c>
      <c r="S10" s="17">
        <f t="shared" ref="S10:AF10" si="2">SUM(C10:C13)</f>
        <v>257</v>
      </c>
      <c r="T10" s="17">
        <f t="shared" si="2"/>
        <v>137</v>
      </c>
      <c r="U10" s="17">
        <f t="shared" si="2"/>
        <v>42</v>
      </c>
      <c r="V10" s="17">
        <f t="shared" si="2"/>
        <v>68</v>
      </c>
      <c r="W10" s="17">
        <f t="shared" si="2"/>
        <v>7</v>
      </c>
      <c r="X10" s="17">
        <f t="shared" si="2"/>
        <v>1</v>
      </c>
      <c r="Y10" s="17">
        <f t="shared" si="2"/>
        <v>6</v>
      </c>
      <c r="Z10" s="17">
        <f t="shared" si="2"/>
        <v>20</v>
      </c>
      <c r="AA10" s="17">
        <f t="shared" si="2"/>
        <v>7</v>
      </c>
      <c r="AB10" s="17">
        <f t="shared" si="2"/>
        <v>8</v>
      </c>
      <c r="AC10" s="17">
        <f t="shared" si="2"/>
        <v>659</v>
      </c>
      <c r="AD10" s="17">
        <f t="shared" si="2"/>
        <v>0</v>
      </c>
      <c r="AE10" s="31">
        <f t="shared" si="2"/>
        <v>553</v>
      </c>
      <c r="AF10" s="31">
        <f t="shared" si="2"/>
        <v>1212</v>
      </c>
    </row>
    <row r="11" spans="2:32" s="6" customFormat="1" ht="23.1" customHeight="1" x14ac:dyDescent="0.25">
      <c r="B11" s="23" t="s">
        <v>38</v>
      </c>
      <c r="C11" s="50">
        <v>64</v>
      </c>
      <c r="D11" s="50">
        <v>42</v>
      </c>
      <c r="E11" s="50">
        <v>17</v>
      </c>
      <c r="F11" s="50">
        <v>15</v>
      </c>
      <c r="G11" s="50">
        <v>4</v>
      </c>
      <c r="H11" s="50">
        <v>0</v>
      </c>
      <c r="I11" s="50">
        <v>2</v>
      </c>
      <c r="J11" s="50">
        <v>4</v>
      </c>
      <c r="K11" s="50">
        <v>2</v>
      </c>
      <c r="L11" s="50">
        <v>2</v>
      </c>
      <c r="M11" s="50">
        <v>145</v>
      </c>
      <c r="N11" s="50">
        <v>0</v>
      </c>
      <c r="O11" s="15">
        <f t="shared" si="0"/>
        <v>152</v>
      </c>
      <c r="P11" s="15">
        <f t="shared" si="1"/>
        <v>297</v>
      </c>
      <c r="R11" s="1" t="s">
        <v>7</v>
      </c>
      <c r="S11" s="17">
        <f t="shared" ref="S11:AF11" si="3">SUM(C14:C17)</f>
        <v>239</v>
      </c>
      <c r="T11" s="17">
        <f t="shared" si="3"/>
        <v>165</v>
      </c>
      <c r="U11" s="17">
        <f t="shared" si="3"/>
        <v>40</v>
      </c>
      <c r="V11" s="17">
        <f t="shared" si="3"/>
        <v>96</v>
      </c>
      <c r="W11" s="17">
        <f t="shared" si="3"/>
        <v>8</v>
      </c>
      <c r="X11" s="17">
        <f t="shared" si="3"/>
        <v>0</v>
      </c>
      <c r="Y11" s="17">
        <f t="shared" si="3"/>
        <v>26</v>
      </c>
      <c r="Z11" s="17">
        <f t="shared" si="3"/>
        <v>24</v>
      </c>
      <c r="AA11" s="17">
        <f t="shared" si="3"/>
        <v>14</v>
      </c>
      <c r="AB11" s="17">
        <f t="shared" si="3"/>
        <v>4</v>
      </c>
      <c r="AC11" s="17">
        <f t="shared" si="3"/>
        <v>867</v>
      </c>
      <c r="AD11" s="17">
        <f t="shared" si="3"/>
        <v>0</v>
      </c>
      <c r="AE11" s="31">
        <f t="shared" si="3"/>
        <v>616</v>
      </c>
      <c r="AF11" s="31">
        <f t="shared" si="3"/>
        <v>1483</v>
      </c>
    </row>
    <row r="12" spans="2:32" ht="23.1" customHeight="1" x14ac:dyDescent="0.25">
      <c r="B12" s="23" t="s">
        <v>39</v>
      </c>
      <c r="C12" s="50">
        <v>90</v>
      </c>
      <c r="D12" s="50">
        <v>35</v>
      </c>
      <c r="E12" s="50">
        <v>9</v>
      </c>
      <c r="F12" s="50">
        <v>19</v>
      </c>
      <c r="G12" s="50">
        <v>1</v>
      </c>
      <c r="H12" s="50">
        <v>1</v>
      </c>
      <c r="I12" s="50">
        <v>2</v>
      </c>
      <c r="J12" s="50">
        <v>7</v>
      </c>
      <c r="K12" s="50">
        <v>4</v>
      </c>
      <c r="L12" s="50">
        <v>3</v>
      </c>
      <c r="M12" s="50">
        <v>203</v>
      </c>
      <c r="N12" s="50">
        <v>0</v>
      </c>
      <c r="O12" s="15">
        <f t="shared" si="0"/>
        <v>171</v>
      </c>
      <c r="P12" s="15">
        <f t="shared" si="1"/>
        <v>374</v>
      </c>
      <c r="R12" s="1" t="s">
        <v>8</v>
      </c>
      <c r="S12" s="17">
        <f t="shared" ref="S12:AF12" si="4">SUM(C18:C21)</f>
        <v>183</v>
      </c>
      <c r="T12" s="17">
        <f t="shared" si="4"/>
        <v>143</v>
      </c>
      <c r="U12" s="17">
        <f t="shared" si="4"/>
        <v>53</v>
      </c>
      <c r="V12" s="17">
        <f t="shared" si="4"/>
        <v>120</v>
      </c>
      <c r="W12" s="17">
        <f t="shared" si="4"/>
        <v>14</v>
      </c>
      <c r="X12" s="17">
        <f t="shared" si="4"/>
        <v>5</v>
      </c>
      <c r="Y12" s="17">
        <f t="shared" si="4"/>
        <v>29</v>
      </c>
      <c r="Z12" s="17">
        <f t="shared" si="4"/>
        <v>26</v>
      </c>
      <c r="AA12" s="17">
        <f t="shared" si="4"/>
        <v>17</v>
      </c>
      <c r="AB12" s="17">
        <f t="shared" si="4"/>
        <v>15</v>
      </c>
      <c r="AC12" s="17">
        <f t="shared" si="4"/>
        <v>689</v>
      </c>
      <c r="AD12" s="17">
        <f t="shared" si="4"/>
        <v>0</v>
      </c>
      <c r="AE12" s="31">
        <f t="shared" si="4"/>
        <v>605</v>
      </c>
      <c r="AF12" s="31">
        <f t="shared" si="4"/>
        <v>1294</v>
      </c>
    </row>
    <row r="13" spans="2:32" ht="23.1" customHeight="1" x14ac:dyDescent="0.25">
      <c r="B13" s="23" t="s">
        <v>40</v>
      </c>
      <c r="C13" s="50">
        <v>83</v>
      </c>
      <c r="D13" s="50">
        <v>51</v>
      </c>
      <c r="E13" s="50">
        <v>14</v>
      </c>
      <c r="F13" s="50">
        <v>21</v>
      </c>
      <c r="G13" s="50">
        <v>1</v>
      </c>
      <c r="H13" s="50">
        <v>0</v>
      </c>
      <c r="I13" s="50">
        <v>2</v>
      </c>
      <c r="J13" s="50">
        <v>8</v>
      </c>
      <c r="K13" s="50">
        <v>1</v>
      </c>
      <c r="L13" s="50">
        <v>2</v>
      </c>
      <c r="M13" s="50">
        <v>187</v>
      </c>
      <c r="N13" s="50">
        <v>0</v>
      </c>
      <c r="O13" s="15">
        <f t="shared" si="0"/>
        <v>183</v>
      </c>
      <c r="P13" s="15">
        <f t="shared" si="1"/>
        <v>370</v>
      </c>
      <c r="R13" s="1" t="s">
        <v>9</v>
      </c>
      <c r="S13" s="17">
        <f t="shared" ref="S13:AF13" si="5">SUM(C22:C25)</f>
        <v>187</v>
      </c>
      <c r="T13" s="17">
        <f t="shared" si="5"/>
        <v>138</v>
      </c>
      <c r="U13" s="17">
        <f t="shared" si="5"/>
        <v>34</v>
      </c>
      <c r="V13" s="17">
        <f t="shared" si="5"/>
        <v>105</v>
      </c>
      <c r="W13" s="17">
        <f t="shared" si="5"/>
        <v>18</v>
      </c>
      <c r="X13" s="17">
        <f t="shared" si="5"/>
        <v>6</v>
      </c>
      <c r="Y13" s="17">
        <f t="shared" si="5"/>
        <v>38</v>
      </c>
      <c r="Z13" s="17">
        <f t="shared" si="5"/>
        <v>38</v>
      </c>
      <c r="AA13" s="17">
        <f t="shared" si="5"/>
        <v>13</v>
      </c>
      <c r="AB13" s="17">
        <f t="shared" si="5"/>
        <v>10</v>
      </c>
      <c r="AC13" s="17">
        <f t="shared" si="5"/>
        <v>403</v>
      </c>
      <c r="AD13" s="17">
        <f t="shared" si="5"/>
        <v>0</v>
      </c>
      <c r="AE13" s="31">
        <f t="shared" si="5"/>
        <v>587</v>
      </c>
      <c r="AF13" s="31">
        <f t="shared" si="5"/>
        <v>990</v>
      </c>
    </row>
    <row r="14" spans="2:32" ht="23.1" customHeight="1" x14ac:dyDescent="0.25">
      <c r="B14" s="23" t="s">
        <v>41</v>
      </c>
      <c r="C14" s="50">
        <v>48</v>
      </c>
      <c r="D14" s="50">
        <v>32</v>
      </c>
      <c r="E14" s="50">
        <v>10</v>
      </c>
      <c r="F14" s="50">
        <v>22</v>
      </c>
      <c r="G14" s="50">
        <v>2</v>
      </c>
      <c r="H14" s="50">
        <v>0</v>
      </c>
      <c r="I14" s="50">
        <v>7</v>
      </c>
      <c r="J14" s="50">
        <v>4</v>
      </c>
      <c r="K14" s="50">
        <v>2</v>
      </c>
      <c r="L14" s="50">
        <v>0</v>
      </c>
      <c r="M14" s="50">
        <v>220</v>
      </c>
      <c r="N14" s="50">
        <v>0</v>
      </c>
      <c r="O14" s="15">
        <f t="shared" si="0"/>
        <v>127</v>
      </c>
      <c r="P14" s="15">
        <f t="shared" si="1"/>
        <v>347</v>
      </c>
      <c r="R14" s="1" t="s">
        <v>10</v>
      </c>
      <c r="S14" s="17">
        <f t="shared" ref="S14:AF14" si="6">SUM(C26:C29)</f>
        <v>141</v>
      </c>
      <c r="T14" s="17">
        <f t="shared" si="6"/>
        <v>117</v>
      </c>
      <c r="U14" s="17">
        <f t="shared" si="6"/>
        <v>35</v>
      </c>
      <c r="V14" s="17">
        <f t="shared" si="6"/>
        <v>98</v>
      </c>
      <c r="W14" s="17">
        <f t="shared" si="6"/>
        <v>8</v>
      </c>
      <c r="X14" s="17">
        <f t="shared" si="6"/>
        <v>3</v>
      </c>
      <c r="Y14" s="17">
        <f t="shared" si="6"/>
        <v>39</v>
      </c>
      <c r="Z14" s="17">
        <f t="shared" si="6"/>
        <v>41</v>
      </c>
      <c r="AA14" s="17">
        <f t="shared" si="6"/>
        <v>12</v>
      </c>
      <c r="AB14" s="17">
        <f t="shared" si="6"/>
        <v>16</v>
      </c>
      <c r="AC14" s="17">
        <f t="shared" si="6"/>
        <v>452</v>
      </c>
      <c r="AD14" s="17">
        <f t="shared" si="6"/>
        <v>0</v>
      </c>
      <c r="AE14" s="31">
        <f t="shared" si="6"/>
        <v>510</v>
      </c>
      <c r="AF14" s="31">
        <f t="shared" si="6"/>
        <v>962</v>
      </c>
    </row>
    <row r="15" spans="2:32" ht="23.1" customHeight="1" x14ac:dyDescent="0.25">
      <c r="B15" s="23" t="s">
        <v>42</v>
      </c>
      <c r="C15" s="50">
        <v>73</v>
      </c>
      <c r="D15" s="50">
        <v>48</v>
      </c>
      <c r="E15" s="50">
        <v>8</v>
      </c>
      <c r="F15" s="50">
        <v>22</v>
      </c>
      <c r="G15" s="50">
        <v>2</v>
      </c>
      <c r="H15" s="50">
        <v>0</v>
      </c>
      <c r="I15" s="50">
        <v>7</v>
      </c>
      <c r="J15" s="50">
        <v>6</v>
      </c>
      <c r="K15" s="50">
        <v>2</v>
      </c>
      <c r="L15" s="50">
        <v>3</v>
      </c>
      <c r="M15" s="50">
        <v>225</v>
      </c>
      <c r="N15" s="50">
        <v>0</v>
      </c>
      <c r="O15" s="15">
        <f t="shared" si="0"/>
        <v>171</v>
      </c>
      <c r="P15" s="15">
        <f t="shared" si="1"/>
        <v>396</v>
      </c>
      <c r="R15" s="1" t="s">
        <v>11</v>
      </c>
      <c r="S15" s="17">
        <f t="shared" ref="S15:AF15" si="7">SUM(C30:C33)</f>
        <v>158</v>
      </c>
      <c r="T15" s="17">
        <f t="shared" si="7"/>
        <v>106</v>
      </c>
      <c r="U15" s="17">
        <f t="shared" si="7"/>
        <v>28</v>
      </c>
      <c r="V15" s="17">
        <f t="shared" si="7"/>
        <v>71</v>
      </c>
      <c r="W15" s="17">
        <f t="shared" si="7"/>
        <v>2</v>
      </c>
      <c r="X15" s="17">
        <f t="shared" si="7"/>
        <v>0</v>
      </c>
      <c r="Y15" s="17">
        <f t="shared" si="7"/>
        <v>47</v>
      </c>
      <c r="Z15" s="17">
        <f t="shared" si="7"/>
        <v>43</v>
      </c>
      <c r="AA15" s="17">
        <f t="shared" si="7"/>
        <v>10</v>
      </c>
      <c r="AB15" s="17">
        <f t="shared" si="7"/>
        <v>18</v>
      </c>
      <c r="AC15" s="17">
        <f t="shared" si="7"/>
        <v>596</v>
      </c>
      <c r="AD15" s="17">
        <f t="shared" si="7"/>
        <v>0</v>
      </c>
      <c r="AE15" s="31">
        <f t="shared" si="7"/>
        <v>483</v>
      </c>
      <c r="AF15" s="31">
        <f t="shared" si="7"/>
        <v>1079</v>
      </c>
    </row>
    <row r="16" spans="2:32" ht="23.1" customHeight="1" x14ac:dyDescent="0.25">
      <c r="B16" s="23" t="s">
        <v>43</v>
      </c>
      <c r="C16" s="50">
        <v>57</v>
      </c>
      <c r="D16" s="50">
        <v>44</v>
      </c>
      <c r="E16" s="50">
        <v>9</v>
      </c>
      <c r="F16" s="50">
        <v>27</v>
      </c>
      <c r="G16" s="50">
        <v>2</v>
      </c>
      <c r="H16" s="50">
        <v>0</v>
      </c>
      <c r="I16" s="50">
        <v>10</v>
      </c>
      <c r="J16" s="50">
        <v>6</v>
      </c>
      <c r="K16" s="50">
        <v>1</v>
      </c>
      <c r="L16" s="50">
        <v>0</v>
      </c>
      <c r="M16" s="50">
        <v>229</v>
      </c>
      <c r="N16" s="50">
        <v>0</v>
      </c>
      <c r="O16" s="15">
        <f t="shared" si="0"/>
        <v>156</v>
      </c>
      <c r="P16" s="15">
        <f t="shared" si="1"/>
        <v>385</v>
      </c>
      <c r="R16" s="1" t="s">
        <v>12</v>
      </c>
      <c r="S16" s="17">
        <f t="shared" ref="S16:AF16" si="8">SUM(C34:C37)</f>
        <v>120</v>
      </c>
      <c r="T16" s="17">
        <f t="shared" si="8"/>
        <v>47</v>
      </c>
      <c r="U16" s="17">
        <f t="shared" si="8"/>
        <v>25</v>
      </c>
      <c r="V16" s="17">
        <f t="shared" si="8"/>
        <v>60</v>
      </c>
      <c r="W16" s="17">
        <f t="shared" si="8"/>
        <v>1</v>
      </c>
      <c r="X16" s="17">
        <f t="shared" si="8"/>
        <v>2</v>
      </c>
      <c r="Y16" s="17">
        <f t="shared" si="8"/>
        <v>24</v>
      </c>
      <c r="Z16" s="17">
        <f t="shared" si="8"/>
        <v>21</v>
      </c>
      <c r="AA16" s="17">
        <f t="shared" si="8"/>
        <v>11</v>
      </c>
      <c r="AB16" s="17">
        <f t="shared" si="8"/>
        <v>9</v>
      </c>
      <c r="AC16" s="17">
        <f t="shared" si="8"/>
        <v>369</v>
      </c>
      <c r="AD16" s="17">
        <f t="shared" si="8"/>
        <v>0</v>
      </c>
      <c r="AE16" s="31">
        <f t="shared" si="8"/>
        <v>320</v>
      </c>
      <c r="AF16" s="31">
        <f t="shared" si="8"/>
        <v>689</v>
      </c>
    </row>
    <row r="17" spans="2:32" ht="23.1" customHeight="1" x14ac:dyDescent="0.25">
      <c r="B17" s="23" t="s">
        <v>44</v>
      </c>
      <c r="C17" s="50">
        <v>61</v>
      </c>
      <c r="D17" s="50">
        <v>41</v>
      </c>
      <c r="E17" s="50">
        <v>13</v>
      </c>
      <c r="F17" s="50">
        <v>25</v>
      </c>
      <c r="G17" s="50">
        <v>2</v>
      </c>
      <c r="H17" s="50">
        <v>0</v>
      </c>
      <c r="I17" s="50">
        <v>2</v>
      </c>
      <c r="J17" s="50">
        <v>8</v>
      </c>
      <c r="K17" s="50">
        <v>9</v>
      </c>
      <c r="L17" s="50">
        <v>1</v>
      </c>
      <c r="M17" s="50">
        <v>193</v>
      </c>
      <c r="N17" s="50">
        <v>0</v>
      </c>
      <c r="O17" s="15">
        <f t="shared" si="0"/>
        <v>162</v>
      </c>
      <c r="P17" s="15">
        <f t="shared" si="1"/>
        <v>355</v>
      </c>
      <c r="R17" s="1" t="s">
        <v>13</v>
      </c>
      <c r="S17" s="17">
        <f t="shared" ref="S17:AF17" si="9">SUM(C38:C41)</f>
        <v>131</v>
      </c>
      <c r="T17" s="17">
        <f t="shared" si="9"/>
        <v>77</v>
      </c>
      <c r="U17" s="17">
        <f t="shared" si="9"/>
        <v>37</v>
      </c>
      <c r="V17" s="17">
        <f t="shared" si="9"/>
        <v>53</v>
      </c>
      <c r="W17" s="17">
        <f t="shared" si="9"/>
        <v>3</v>
      </c>
      <c r="X17" s="17">
        <f t="shared" si="9"/>
        <v>0</v>
      </c>
      <c r="Y17" s="17">
        <f t="shared" si="9"/>
        <v>45</v>
      </c>
      <c r="Z17" s="17">
        <f t="shared" si="9"/>
        <v>33</v>
      </c>
      <c r="AA17" s="17">
        <f t="shared" si="9"/>
        <v>8</v>
      </c>
      <c r="AB17" s="17">
        <f t="shared" si="9"/>
        <v>4</v>
      </c>
      <c r="AC17" s="17">
        <f t="shared" si="9"/>
        <v>590</v>
      </c>
      <c r="AD17" s="17">
        <f t="shared" si="9"/>
        <v>0</v>
      </c>
      <c r="AE17" s="31">
        <f t="shared" si="9"/>
        <v>391</v>
      </c>
      <c r="AF17" s="31">
        <f t="shared" si="9"/>
        <v>981</v>
      </c>
    </row>
    <row r="18" spans="2:32" ht="23.1" customHeight="1" x14ac:dyDescent="0.25">
      <c r="B18" s="23" t="s">
        <v>45</v>
      </c>
      <c r="C18" s="50">
        <v>45</v>
      </c>
      <c r="D18" s="50">
        <v>25</v>
      </c>
      <c r="E18" s="50">
        <v>9</v>
      </c>
      <c r="F18" s="50">
        <v>31</v>
      </c>
      <c r="G18" s="50">
        <v>2</v>
      </c>
      <c r="H18" s="50">
        <v>0</v>
      </c>
      <c r="I18" s="50">
        <v>5</v>
      </c>
      <c r="J18" s="50">
        <v>7</v>
      </c>
      <c r="K18" s="50">
        <v>4</v>
      </c>
      <c r="L18" s="50">
        <v>4</v>
      </c>
      <c r="M18" s="50">
        <v>165</v>
      </c>
      <c r="N18" s="50">
        <v>0</v>
      </c>
      <c r="O18" s="15">
        <f t="shared" si="0"/>
        <v>132</v>
      </c>
      <c r="P18" s="15">
        <f t="shared" si="1"/>
        <v>297</v>
      </c>
      <c r="R18" s="1" t="s">
        <v>14</v>
      </c>
      <c r="S18" s="17">
        <f t="shared" ref="S18:AF18" si="10">SUM(C42:C45)</f>
        <v>151</v>
      </c>
      <c r="T18" s="17">
        <f t="shared" si="10"/>
        <v>94</v>
      </c>
      <c r="U18" s="17">
        <f t="shared" si="10"/>
        <v>25</v>
      </c>
      <c r="V18" s="17">
        <f t="shared" si="10"/>
        <v>61</v>
      </c>
      <c r="W18" s="17">
        <f t="shared" si="10"/>
        <v>3</v>
      </c>
      <c r="X18" s="17">
        <f t="shared" si="10"/>
        <v>0</v>
      </c>
      <c r="Y18" s="17">
        <f t="shared" si="10"/>
        <v>40</v>
      </c>
      <c r="Z18" s="17">
        <f t="shared" si="10"/>
        <v>49</v>
      </c>
      <c r="AA18" s="17">
        <f t="shared" si="10"/>
        <v>13</v>
      </c>
      <c r="AB18" s="17">
        <f t="shared" si="10"/>
        <v>11</v>
      </c>
      <c r="AC18" s="17">
        <f t="shared" si="10"/>
        <v>534</v>
      </c>
      <c r="AD18" s="17">
        <f t="shared" si="10"/>
        <v>0</v>
      </c>
      <c r="AE18" s="31">
        <f t="shared" si="10"/>
        <v>447</v>
      </c>
      <c r="AF18" s="31">
        <f t="shared" si="10"/>
        <v>981</v>
      </c>
    </row>
    <row r="19" spans="2:32" ht="23.1" customHeight="1" x14ac:dyDescent="0.25">
      <c r="B19" s="23" t="s">
        <v>46</v>
      </c>
      <c r="C19" s="50">
        <v>52</v>
      </c>
      <c r="D19" s="50">
        <v>42</v>
      </c>
      <c r="E19" s="50">
        <v>12</v>
      </c>
      <c r="F19" s="50">
        <v>30</v>
      </c>
      <c r="G19" s="50">
        <v>1</v>
      </c>
      <c r="H19" s="50">
        <v>2</v>
      </c>
      <c r="I19" s="50">
        <v>9</v>
      </c>
      <c r="J19" s="50">
        <v>9</v>
      </c>
      <c r="K19" s="50">
        <v>4</v>
      </c>
      <c r="L19" s="50">
        <v>1</v>
      </c>
      <c r="M19" s="50">
        <v>187</v>
      </c>
      <c r="N19" s="50">
        <v>0</v>
      </c>
      <c r="O19" s="15">
        <f t="shared" si="0"/>
        <v>162</v>
      </c>
      <c r="P19" s="15">
        <f t="shared" si="1"/>
        <v>349</v>
      </c>
      <c r="R19" s="1" t="s">
        <v>15</v>
      </c>
      <c r="S19" s="17">
        <f t="shared" ref="S19:AF19" si="11">SUM(C46:C49)</f>
        <v>129</v>
      </c>
      <c r="T19" s="17">
        <f t="shared" si="11"/>
        <v>106</v>
      </c>
      <c r="U19" s="17">
        <f t="shared" si="11"/>
        <v>24</v>
      </c>
      <c r="V19" s="17">
        <f t="shared" si="11"/>
        <v>69</v>
      </c>
      <c r="W19" s="17">
        <f t="shared" si="11"/>
        <v>2</v>
      </c>
      <c r="X19" s="17">
        <f t="shared" si="11"/>
        <v>0</v>
      </c>
      <c r="Y19" s="17">
        <f t="shared" si="11"/>
        <v>33</v>
      </c>
      <c r="Z19" s="17">
        <f t="shared" si="11"/>
        <v>28</v>
      </c>
      <c r="AA19" s="17">
        <f t="shared" si="11"/>
        <v>19</v>
      </c>
      <c r="AB19" s="17">
        <f t="shared" si="11"/>
        <v>13</v>
      </c>
      <c r="AC19" s="17">
        <f t="shared" si="11"/>
        <v>404</v>
      </c>
      <c r="AD19" s="17">
        <f t="shared" si="11"/>
        <v>1</v>
      </c>
      <c r="AE19" s="31">
        <f t="shared" si="11"/>
        <v>424</v>
      </c>
      <c r="AF19" s="31">
        <f t="shared" si="11"/>
        <v>828</v>
      </c>
    </row>
    <row r="20" spans="2:32" ht="23.1" customHeight="1" x14ac:dyDescent="0.25">
      <c r="B20" s="23" t="s">
        <v>47</v>
      </c>
      <c r="C20" s="50">
        <v>43</v>
      </c>
      <c r="D20" s="50">
        <v>41</v>
      </c>
      <c r="E20" s="50">
        <v>14</v>
      </c>
      <c r="F20" s="50">
        <v>28</v>
      </c>
      <c r="G20" s="50">
        <v>7</v>
      </c>
      <c r="H20" s="50">
        <v>2</v>
      </c>
      <c r="I20" s="50">
        <v>7</v>
      </c>
      <c r="J20" s="50">
        <v>8</v>
      </c>
      <c r="K20" s="50">
        <v>3</v>
      </c>
      <c r="L20" s="50">
        <v>2</v>
      </c>
      <c r="M20" s="50">
        <v>140</v>
      </c>
      <c r="N20" s="50">
        <v>0</v>
      </c>
      <c r="O20" s="15">
        <f t="shared" si="0"/>
        <v>155</v>
      </c>
      <c r="P20" s="15">
        <f t="shared" si="1"/>
        <v>295</v>
      </c>
      <c r="R20" s="1" t="s">
        <v>16</v>
      </c>
      <c r="S20" s="17">
        <f t="shared" ref="S20:AF20" si="12">SUM(C50:C53)</f>
        <v>120</v>
      </c>
      <c r="T20" s="17">
        <f t="shared" si="12"/>
        <v>113</v>
      </c>
      <c r="U20" s="17">
        <f t="shared" si="12"/>
        <v>36</v>
      </c>
      <c r="V20" s="17">
        <f t="shared" si="12"/>
        <v>69</v>
      </c>
      <c r="W20" s="17">
        <f t="shared" si="12"/>
        <v>7</v>
      </c>
      <c r="X20" s="17">
        <f t="shared" si="12"/>
        <v>0</v>
      </c>
      <c r="Y20" s="17">
        <f t="shared" si="12"/>
        <v>31</v>
      </c>
      <c r="Z20" s="17">
        <f t="shared" si="12"/>
        <v>26</v>
      </c>
      <c r="AA20" s="17">
        <f t="shared" si="12"/>
        <v>15</v>
      </c>
      <c r="AB20" s="17">
        <f t="shared" si="12"/>
        <v>11</v>
      </c>
      <c r="AC20" s="17">
        <f t="shared" si="12"/>
        <v>382</v>
      </c>
      <c r="AD20" s="17">
        <f t="shared" si="12"/>
        <v>0</v>
      </c>
      <c r="AE20" s="31">
        <f t="shared" si="12"/>
        <v>428</v>
      </c>
      <c r="AF20" s="31">
        <f t="shared" si="12"/>
        <v>810</v>
      </c>
    </row>
    <row r="21" spans="2:32" ht="23.1" customHeight="1" x14ac:dyDescent="0.25">
      <c r="B21" s="23" t="s">
        <v>48</v>
      </c>
      <c r="C21" s="50">
        <v>43</v>
      </c>
      <c r="D21" s="50">
        <v>35</v>
      </c>
      <c r="E21" s="50">
        <v>18</v>
      </c>
      <c r="F21" s="50">
        <v>31</v>
      </c>
      <c r="G21" s="50">
        <v>4</v>
      </c>
      <c r="H21" s="50">
        <v>1</v>
      </c>
      <c r="I21" s="50">
        <v>8</v>
      </c>
      <c r="J21" s="50">
        <v>2</v>
      </c>
      <c r="K21" s="50">
        <v>6</v>
      </c>
      <c r="L21" s="50">
        <v>8</v>
      </c>
      <c r="M21" s="50">
        <v>197</v>
      </c>
      <c r="N21" s="50">
        <v>0</v>
      </c>
      <c r="O21" s="15">
        <f t="shared" si="0"/>
        <v>156</v>
      </c>
      <c r="P21" s="15">
        <f t="shared" si="1"/>
        <v>353</v>
      </c>
      <c r="R21" s="36" t="s">
        <v>20</v>
      </c>
      <c r="S21" s="34">
        <f t="shared" ref="S21:AF21" si="13">SUM(C54:C57)</f>
        <v>149</v>
      </c>
      <c r="T21" s="17">
        <f t="shared" si="13"/>
        <v>68</v>
      </c>
      <c r="U21" s="17">
        <f t="shared" si="13"/>
        <v>28</v>
      </c>
      <c r="V21" s="17">
        <f t="shared" si="13"/>
        <v>68</v>
      </c>
      <c r="W21" s="17">
        <f t="shared" si="13"/>
        <v>2</v>
      </c>
      <c r="X21" s="17">
        <f t="shared" si="13"/>
        <v>2</v>
      </c>
      <c r="Y21" s="17">
        <f t="shared" si="13"/>
        <v>22</v>
      </c>
      <c r="Z21" s="17">
        <f t="shared" si="13"/>
        <v>23</v>
      </c>
      <c r="AA21" s="17">
        <f t="shared" si="13"/>
        <v>10</v>
      </c>
      <c r="AB21" s="17">
        <f t="shared" si="13"/>
        <v>7</v>
      </c>
      <c r="AC21" s="17">
        <f t="shared" si="13"/>
        <v>561</v>
      </c>
      <c r="AD21" s="17">
        <f t="shared" si="13"/>
        <v>0</v>
      </c>
      <c r="AE21" s="31">
        <f t="shared" si="13"/>
        <v>379</v>
      </c>
      <c r="AF21" s="31">
        <f t="shared" si="13"/>
        <v>940</v>
      </c>
    </row>
    <row r="22" spans="2:32" ht="23.1" customHeight="1" x14ac:dyDescent="0.25">
      <c r="B22" s="23" t="s">
        <v>49</v>
      </c>
      <c r="C22" s="50">
        <v>52</v>
      </c>
      <c r="D22" s="50">
        <v>39</v>
      </c>
      <c r="E22" s="50">
        <v>10</v>
      </c>
      <c r="F22" s="50">
        <v>22</v>
      </c>
      <c r="G22" s="50">
        <v>2</v>
      </c>
      <c r="H22" s="50">
        <v>1</v>
      </c>
      <c r="I22" s="50">
        <v>10</v>
      </c>
      <c r="J22" s="50">
        <v>16</v>
      </c>
      <c r="K22" s="50">
        <v>6</v>
      </c>
      <c r="L22" s="50">
        <v>3</v>
      </c>
      <c r="M22" s="50">
        <v>152</v>
      </c>
      <c r="N22" s="50">
        <v>0</v>
      </c>
      <c r="O22" s="15">
        <f t="shared" si="0"/>
        <v>161</v>
      </c>
      <c r="P22" s="15">
        <f t="shared" si="1"/>
        <v>313</v>
      </c>
      <c r="R22" s="38" t="s">
        <v>90</v>
      </c>
      <c r="S22" s="39">
        <f>MAX(S10:S12)</f>
        <v>257</v>
      </c>
      <c r="T22" s="39">
        <f t="shared" ref="T22:AF22" si="14">MAX(T10:T12)</f>
        <v>165</v>
      </c>
      <c r="U22" s="39">
        <f t="shared" si="14"/>
        <v>53</v>
      </c>
      <c r="V22" s="39">
        <f t="shared" si="14"/>
        <v>120</v>
      </c>
      <c r="W22" s="39">
        <f t="shared" si="14"/>
        <v>14</v>
      </c>
      <c r="X22" s="39">
        <f t="shared" si="14"/>
        <v>5</v>
      </c>
      <c r="Y22" s="39">
        <f t="shared" si="14"/>
        <v>29</v>
      </c>
      <c r="Z22" s="39">
        <f t="shared" si="14"/>
        <v>26</v>
      </c>
      <c r="AA22" s="39">
        <f t="shared" si="14"/>
        <v>17</v>
      </c>
      <c r="AB22" s="39">
        <f t="shared" si="14"/>
        <v>15</v>
      </c>
      <c r="AC22" s="39">
        <f t="shared" si="14"/>
        <v>867</v>
      </c>
      <c r="AD22" s="39">
        <f t="shared" si="14"/>
        <v>0</v>
      </c>
      <c r="AE22" s="40">
        <f t="shared" si="14"/>
        <v>616</v>
      </c>
      <c r="AF22" s="40">
        <f t="shared" si="14"/>
        <v>1483</v>
      </c>
    </row>
    <row r="23" spans="2:32" ht="23.1" customHeight="1" x14ac:dyDescent="0.25">
      <c r="B23" s="23" t="s">
        <v>50</v>
      </c>
      <c r="C23" s="50">
        <v>32</v>
      </c>
      <c r="D23" s="50">
        <v>34</v>
      </c>
      <c r="E23" s="50">
        <v>7</v>
      </c>
      <c r="F23" s="50">
        <v>26</v>
      </c>
      <c r="G23" s="50">
        <v>5</v>
      </c>
      <c r="H23" s="50">
        <v>2</v>
      </c>
      <c r="I23" s="50">
        <v>9</v>
      </c>
      <c r="J23" s="50">
        <v>6</v>
      </c>
      <c r="K23" s="50">
        <v>2</v>
      </c>
      <c r="L23" s="50">
        <v>2</v>
      </c>
      <c r="M23" s="50">
        <v>99</v>
      </c>
      <c r="N23" s="50">
        <v>0</v>
      </c>
      <c r="O23" s="15">
        <f t="shared" si="0"/>
        <v>125</v>
      </c>
      <c r="P23" s="15">
        <f t="shared" si="1"/>
        <v>224</v>
      </c>
      <c r="R23" s="38" t="s">
        <v>91</v>
      </c>
      <c r="S23" s="39">
        <f>MAX(S13:S18)</f>
        <v>187</v>
      </c>
      <c r="T23" s="39">
        <f t="shared" ref="T23:AF23" si="15">MAX(T13:T18)</f>
        <v>138</v>
      </c>
      <c r="U23" s="39">
        <f t="shared" si="15"/>
        <v>37</v>
      </c>
      <c r="V23" s="39">
        <f t="shared" si="15"/>
        <v>105</v>
      </c>
      <c r="W23" s="39">
        <f t="shared" si="15"/>
        <v>18</v>
      </c>
      <c r="X23" s="39">
        <f t="shared" si="15"/>
        <v>6</v>
      </c>
      <c r="Y23" s="39">
        <f t="shared" si="15"/>
        <v>47</v>
      </c>
      <c r="Z23" s="39">
        <f t="shared" si="15"/>
        <v>49</v>
      </c>
      <c r="AA23" s="39">
        <f t="shared" si="15"/>
        <v>13</v>
      </c>
      <c r="AB23" s="39">
        <f t="shared" si="15"/>
        <v>18</v>
      </c>
      <c r="AC23" s="39">
        <f t="shared" si="15"/>
        <v>596</v>
      </c>
      <c r="AD23" s="39">
        <f t="shared" si="15"/>
        <v>0</v>
      </c>
      <c r="AE23" s="40">
        <f t="shared" si="15"/>
        <v>587</v>
      </c>
      <c r="AF23" s="40">
        <f t="shared" si="15"/>
        <v>1079</v>
      </c>
    </row>
    <row r="24" spans="2:32" ht="23.1" customHeight="1" x14ac:dyDescent="0.25">
      <c r="B24" s="23" t="s">
        <v>51</v>
      </c>
      <c r="C24" s="50">
        <v>49</v>
      </c>
      <c r="D24" s="50">
        <v>30</v>
      </c>
      <c r="E24" s="50">
        <v>7</v>
      </c>
      <c r="F24" s="50">
        <v>26</v>
      </c>
      <c r="G24" s="50">
        <v>5</v>
      </c>
      <c r="H24" s="50">
        <v>2</v>
      </c>
      <c r="I24" s="50">
        <v>9</v>
      </c>
      <c r="J24" s="50">
        <v>6</v>
      </c>
      <c r="K24" s="50">
        <v>2</v>
      </c>
      <c r="L24" s="50">
        <v>2</v>
      </c>
      <c r="M24" s="50">
        <v>99</v>
      </c>
      <c r="N24" s="50">
        <v>0</v>
      </c>
      <c r="O24" s="15">
        <f t="shared" si="0"/>
        <v>138</v>
      </c>
      <c r="P24" s="15">
        <f t="shared" si="1"/>
        <v>237</v>
      </c>
      <c r="R24" s="38" t="s">
        <v>92</v>
      </c>
      <c r="S24" s="39">
        <f>MAX(S19:S21)</f>
        <v>149</v>
      </c>
      <c r="T24" s="39">
        <f t="shared" ref="T24:AF24" si="16">MAX(T19:T21)</f>
        <v>113</v>
      </c>
      <c r="U24" s="39">
        <f t="shared" si="16"/>
        <v>36</v>
      </c>
      <c r="V24" s="39">
        <f t="shared" si="16"/>
        <v>69</v>
      </c>
      <c r="W24" s="39">
        <f t="shared" si="16"/>
        <v>7</v>
      </c>
      <c r="X24" s="39">
        <f t="shared" si="16"/>
        <v>2</v>
      </c>
      <c r="Y24" s="39">
        <f t="shared" si="16"/>
        <v>33</v>
      </c>
      <c r="Z24" s="39">
        <f t="shared" si="16"/>
        <v>28</v>
      </c>
      <c r="AA24" s="39">
        <f t="shared" si="16"/>
        <v>19</v>
      </c>
      <c r="AB24" s="39">
        <f t="shared" si="16"/>
        <v>13</v>
      </c>
      <c r="AC24" s="39">
        <f t="shared" si="16"/>
        <v>561</v>
      </c>
      <c r="AD24" s="39">
        <f t="shared" si="16"/>
        <v>1</v>
      </c>
      <c r="AE24" s="40">
        <f t="shared" si="16"/>
        <v>428</v>
      </c>
      <c r="AF24" s="40">
        <f t="shared" si="16"/>
        <v>940</v>
      </c>
    </row>
    <row r="25" spans="2:32" ht="23.1" customHeight="1" x14ac:dyDescent="0.25">
      <c r="B25" s="23" t="s">
        <v>52</v>
      </c>
      <c r="C25" s="50">
        <v>54</v>
      </c>
      <c r="D25" s="50">
        <v>35</v>
      </c>
      <c r="E25" s="50">
        <v>10</v>
      </c>
      <c r="F25" s="50">
        <v>31</v>
      </c>
      <c r="G25" s="50">
        <v>6</v>
      </c>
      <c r="H25" s="50">
        <v>1</v>
      </c>
      <c r="I25" s="50">
        <v>10</v>
      </c>
      <c r="J25" s="50">
        <v>10</v>
      </c>
      <c r="K25" s="50">
        <v>3</v>
      </c>
      <c r="L25" s="50">
        <v>3</v>
      </c>
      <c r="M25" s="50">
        <v>53</v>
      </c>
      <c r="N25" s="50">
        <v>0</v>
      </c>
      <c r="O25" s="15">
        <f t="shared" si="0"/>
        <v>163</v>
      </c>
      <c r="P25" s="15">
        <f t="shared" si="1"/>
        <v>216</v>
      </c>
      <c r="R25" s="37" t="s">
        <v>85</v>
      </c>
      <c r="S25" s="35">
        <f t="shared" ref="S25:AF25" si="17">SUM(S10:S12)</f>
        <v>679</v>
      </c>
      <c r="T25" s="16">
        <f t="shared" si="17"/>
        <v>445</v>
      </c>
      <c r="U25" s="16">
        <f t="shared" si="17"/>
        <v>135</v>
      </c>
      <c r="V25" s="16">
        <f t="shared" si="17"/>
        <v>284</v>
      </c>
      <c r="W25" s="16">
        <f t="shared" si="17"/>
        <v>29</v>
      </c>
      <c r="X25" s="16">
        <f t="shared" si="17"/>
        <v>6</v>
      </c>
      <c r="Y25" s="16">
        <f t="shared" si="17"/>
        <v>61</v>
      </c>
      <c r="Z25" s="16">
        <f t="shared" si="17"/>
        <v>70</v>
      </c>
      <c r="AA25" s="16">
        <f t="shared" si="17"/>
        <v>38</v>
      </c>
      <c r="AB25" s="16">
        <f t="shared" si="17"/>
        <v>27</v>
      </c>
      <c r="AC25" s="16">
        <f t="shared" si="17"/>
        <v>2215</v>
      </c>
      <c r="AD25" s="16">
        <f t="shared" si="17"/>
        <v>0</v>
      </c>
      <c r="AE25" s="32">
        <f t="shared" si="17"/>
        <v>1774</v>
      </c>
      <c r="AF25" s="32">
        <f t="shared" si="17"/>
        <v>3989</v>
      </c>
    </row>
    <row r="26" spans="2:32" ht="23.1" customHeight="1" x14ac:dyDescent="0.25">
      <c r="B26" s="23" t="s">
        <v>53</v>
      </c>
      <c r="C26" s="50">
        <v>21</v>
      </c>
      <c r="D26" s="50">
        <v>23</v>
      </c>
      <c r="E26" s="50">
        <v>4</v>
      </c>
      <c r="F26" s="50">
        <v>26</v>
      </c>
      <c r="G26" s="50">
        <v>0</v>
      </c>
      <c r="H26" s="50">
        <v>1</v>
      </c>
      <c r="I26" s="50">
        <v>7</v>
      </c>
      <c r="J26" s="50">
        <v>6</v>
      </c>
      <c r="K26" s="50">
        <v>1</v>
      </c>
      <c r="L26" s="50">
        <v>0</v>
      </c>
      <c r="M26" s="50">
        <v>30</v>
      </c>
      <c r="N26" s="50">
        <v>0</v>
      </c>
      <c r="O26" s="15">
        <f t="shared" si="0"/>
        <v>89</v>
      </c>
      <c r="P26" s="15">
        <f t="shared" si="1"/>
        <v>119</v>
      </c>
      <c r="R26" s="28" t="s">
        <v>86</v>
      </c>
      <c r="S26" s="16">
        <f t="shared" ref="S26:AF26" si="18">SUM(S13:S18)</f>
        <v>888</v>
      </c>
      <c r="T26" s="16">
        <f t="shared" si="18"/>
        <v>579</v>
      </c>
      <c r="U26" s="16">
        <f t="shared" si="18"/>
        <v>184</v>
      </c>
      <c r="V26" s="16">
        <f t="shared" si="18"/>
        <v>448</v>
      </c>
      <c r="W26" s="16">
        <f t="shared" si="18"/>
        <v>35</v>
      </c>
      <c r="X26" s="16">
        <f t="shared" si="18"/>
        <v>11</v>
      </c>
      <c r="Y26" s="16">
        <f t="shared" si="18"/>
        <v>233</v>
      </c>
      <c r="Z26" s="16">
        <f t="shared" si="18"/>
        <v>225</v>
      </c>
      <c r="AA26" s="16">
        <f t="shared" si="18"/>
        <v>67</v>
      </c>
      <c r="AB26" s="16">
        <f t="shared" si="18"/>
        <v>68</v>
      </c>
      <c r="AC26" s="16">
        <f t="shared" si="18"/>
        <v>2944</v>
      </c>
      <c r="AD26" s="16">
        <f t="shared" si="18"/>
        <v>0</v>
      </c>
      <c r="AE26" s="32">
        <f t="shared" si="18"/>
        <v>2738</v>
      </c>
      <c r="AF26" s="32">
        <f t="shared" si="18"/>
        <v>5682</v>
      </c>
    </row>
    <row r="27" spans="2:32" ht="23.1" customHeight="1" x14ac:dyDescent="0.25">
      <c r="B27" s="23" t="s">
        <v>54</v>
      </c>
      <c r="C27" s="50">
        <v>37</v>
      </c>
      <c r="D27" s="50">
        <v>38</v>
      </c>
      <c r="E27" s="50">
        <v>7</v>
      </c>
      <c r="F27" s="50">
        <v>29</v>
      </c>
      <c r="G27" s="50">
        <v>1</v>
      </c>
      <c r="H27" s="50">
        <v>0</v>
      </c>
      <c r="I27" s="50">
        <v>11</v>
      </c>
      <c r="J27" s="50">
        <v>6</v>
      </c>
      <c r="K27" s="50">
        <v>2</v>
      </c>
      <c r="L27" s="50">
        <v>8</v>
      </c>
      <c r="M27" s="50">
        <v>124</v>
      </c>
      <c r="N27" s="50">
        <v>0</v>
      </c>
      <c r="O27" s="15">
        <f t="shared" si="0"/>
        <v>139</v>
      </c>
      <c r="P27" s="15">
        <f t="shared" si="1"/>
        <v>263</v>
      </c>
      <c r="R27" s="29" t="s">
        <v>87</v>
      </c>
      <c r="S27" s="16">
        <f t="shared" ref="S27:AF27" si="19">SUM(S19:S21)</f>
        <v>398</v>
      </c>
      <c r="T27" s="16">
        <f t="shared" si="19"/>
        <v>287</v>
      </c>
      <c r="U27" s="16">
        <f t="shared" si="19"/>
        <v>88</v>
      </c>
      <c r="V27" s="16">
        <f t="shared" si="19"/>
        <v>206</v>
      </c>
      <c r="W27" s="16">
        <f t="shared" si="19"/>
        <v>11</v>
      </c>
      <c r="X27" s="16">
        <f t="shared" si="19"/>
        <v>2</v>
      </c>
      <c r="Y27" s="16">
        <f t="shared" si="19"/>
        <v>86</v>
      </c>
      <c r="Z27" s="16">
        <f t="shared" si="19"/>
        <v>77</v>
      </c>
      <c r="AA27" s="16">
        <f t="shared" si="19"/>
        <v>44</v>
      </c>
      <c r="AB27" s="16">
        <f t="shared" si="19"/>
        <v>31</v>
      </c>
      <c r="AC27" s="16">
        <f t="shared" si="19"/>
        <v>1347</v>
      </c>
      <c r="AD27" s="16">
        <f t="shared" si="19"/>
        <v>1</v>
      </c>
      <c r="AE27" s="32">
        <f t="shared" si="19"/>
        <v>1231</v>
      </c>
      <c r="AF27" s="32">
        <f t="shared" si="19"/>
        <v>2578</v>
      </c>
    </row>
    <row r="28" spans="2:32" ht="23.1" customHeight="1" x14ac:dyDescent="0.25">
      <c r="B28" s="23" t="s">
        <v>55</v>
      </c>
      <c r="C28" s="50">
        <v>39</v>
      </c>
      <c r="D28" s="50">
        <v>26</v>
      </c>
      <c r="E28" s="50">
        <v>11</v>
      </c>
      <c r="F28" s="50">
        <v>19</v>
      </c>
      <c r="G28" s="50">
        <v>4</v>
      </c>
      <c r="H28" s="50">
        <v>1</v>
      </c>
      <c r="I28" s="50">
        <v>7</v>
      </c>
      <c r="J28" s="50">
        <v>13</v>
      </c>
      <c r="K28" s="50">
        <v>3</v>
      </c>
      <c r="L28" s="50">
        <v>5</v>
      </c>
      <c r="M28" s="50">
        <v>156</v>
      </c>
      <c r="N28" s="50">
        <v>0</v>
      </c>
      <c r="O28" s="15">
        <f t="shared" si="0"/>
        <v>128</v>
      </c>
      <c r="P28" s="15">
        <f t="shared" si="1"/>
        <v>284</v>
      </c>
      <c r="R28" s="5" t="s">
        <v>17</v>
      </c>
      <c r="S28" s="16">
        <f t="shared" ref="S28:AF28" si="20">SUM(S10:S21)</f>
        <v>1965</v>
      </c>
      <c r="T28" s="16">
        <f t="shared" si="20"/>
        <v>1311</v>
      </c>
      <c r="U28" s="16">
        <f t="shared" si="20"/>
        <v>407</v>
      </c>
      <c r="V28" s="16">
        <f t="shared" si="20"/>
        <v>938</v>
      </c>
      <c r="W28" s="16">
        <f t="shared" si="20"/>
        <v>75</v>
      </c>
      <c r="X28" s="16">
        <f t="shared" si="20"/>
        <v>19</v>
      </c>
      <c r="Y28" s="16">
        <f t="shared" si="20"/>
        <v>380</v>
      </c>
      <c r="Z28" s="16">
        <f t="shared" si="20"/>
        <v>372</v>
      </c>
      <c r="AA28" s="16">
        <f t="shared" si="20"/>
        <v>149</v>
      </c>
      <c r="AB28" s="16">
        <f t="shared" si="20"/>
        <v>126</v>
      </c>
      <c r="AC28" s="16">
        <f t="shared" si="20"/>
        <v>6506</v>
      </c>
      <c r="AD28" s="16">
        <f t="shared" si="20"/>
        <v>1</v>
      </c>
      <c r="AE28" s="32">
        <f t="shared" si="20"/>
        <v>5743</v>
      </c>
      <c r="AF28" s="32">
        <f t="shared" si="20"/>
        <v>12249</v>
      </c>
    </row>
    <row r="29" spans="2:32" ht="23.1" customHeight="1" x14ac:dyDescent="0.25">
      <c r="B29" s="23" t="s">
        <v>56</v>
      </c>
      <c r="C29" s="50">
        <v>44</v>
      </c>
      <c r="D29" s="50">
        <v>30</v>
      </c>
      <c r="E29" s="50">
        <v>13</v>
      </c>
      <c r="F29" s="50">
        <v>24</v>
      </c>
      <c r="G29" s="50">
        <v>3</v>
      </c>
      <c r="H29" s="50">
        <v>1</v>
      </c>
      <c r="I29" s="50">
        <v>14</v>
      </c>
      <c r="J29" s="50">
        <v>16</v>
      </c>
      <c r="K29" s="50">
        <v>6</v>
      </c>
      <c r="L29" s="50">
        <v>3</v>
      </c>
      <c r="M29" s="50">
        <v>142</v>
      </c>
      <c r="N29" s="50">
        <v>0</v>
      </c>
      <c r="O29" s="15">
        <f t="shared" si="0"/>
        <v>154</v>
      </c>
      <c r="P29" s="15">
        <f t="shared" si="1"/>
        <v>296</v>
      </c>
      <c r="R29"/>
      <c r="S29" s="20"/>
      <c r="T29" s="19"/>
    </row>
    <row r="30" spans="2:32" ht="23.1" customHeight="1" x14ac:dyDescent="0.25">
      <c r="B30" s="23" t="s">
        <v>57</v>
      </c>
      <c r="C30" s="50">
        <v>51</v>
      </c>
      <c r="D30" s="50">
        <v>31</v>
      </c>
      <c r="E30" s="50">
        <v>8</v>
      </c>
      <c r="F30" s="50">
        <v>19</v>
      </c>
      <c r="G30" s="50">
        <v>0</v>
      </c>
      <c r="H30" s="50">
        <v>0</v>
      </c>
      <c r="I30" s="50">
        <v>18</v>
      </c>
      <c r="J30" s="50">
        <v>18</v>
      </c>
      <c r="K30" s="50">
        <v>2</v>
      </c>
      <c r="L30" s="50">
        <v>3</v>
      </c>
      <c r="M30" s="50">
        <v>182</v>
      </c>
      <c r="N30" s="50">
        <v>0</v>
      </c>
      <c r="O30" s="15">
        <f t="shared" si="0"/>
        <v>150</v>
      </c>
      <c r="P30" s="15">
        <f t="shared" si="1"/>
        <v>332</v>
      </c>
    </row>
    <row r="31" spans="2:32" ht="23.1" customHeight="1" x14ac:dyDescent="0.25">
      <c r="B31" s="24" t="s">
        <v>58</v>
      </c>
      <c r="C31" s="50">
        <v>26</v>
      </c>
      <c r="D31" s="50">
        <v>21</v>
      </c>
      <c r="E31" s="50">
        <v>6</v>
      </c>
      <c r="F31" s="50">
        <v>15</v>
      </c>
      <c r="G31" s="50">
        <v>2</v>
      </c>
      <c r="H31" s="50">
        <v>0</v>
      </c>
      <c r="I31" s="50">
        <v>7</v>
      </c>
      <c r="J31" s="50">
        <v>6</v>
      </c>
      <c r="K31" s="50">
        <v>1</v>
      </c>
      <c r="L31" s="50">
        <v>3</v>
      </c>
      <c r="M31" s="50">
        <v>117</v>
      </c>
      <c r="N31" s="50">
        <v>0</v>
      </c>
      <c r="O31" s="15">
        <f t="shared" si="0"/>
        <v>87</v>
      </c>
      <c r="P31" s="15">
        <f t="shared" si="1"/>
        <v>204</v>
      </c>
    </row>
    <row r="32" spans="2:32" ht="23.1" customHeight="1" x14ac:dyDescent="0.25">
      <c r="B32" s="24" t="s">
        <v>59</v>
      </c>
      <c r="C32" s="50">
        <v>36</v>
      </c>
      <c r="D32" s="50">
        <v>32</v>
      </c>
      <c r="E32" s="50">
        <v>10</v>
      </c>
      <c r="F32" s="50">
        <v>26</v>
      </c>
      <c r="G32" s="50">
        <v>0</v>
      </c>
      <c r="H32" s="50">
        <v>0</v>
      </c>
      <c r="I32" s="50">
        <v>14</v>
      </c>
      <c r="J32" s="50">
        <v>13</v>
      </c>
      <c r="K32" s="50">
        <v>2</v>
      </c>
      <c r="L32" s="50">
        <v>8</v>
      </c>
      <c r="M32" s="50">
        <v>137</v>
      </c>
      <c r="N32" s="50">
        <v>0</v>
      </c>
      <c r="O32" s="15">
        <f t="shared" si="0"/>
        <v>141</v>
      </c>
      <c r="P32" s="15">
        <f t="shared" si="1"/>
        <v>278</v>
      </c>
    </row>
    <row r="33" spans="2:20" ht="23.1" customHeight="1" x14ac:dyDescent="0.25">
      <c r="B33" s="23" t="s">
        <v>60</v>
      </c>
      <c r="C33" s="50">
        <v>45</v>
      </c>
      <c r="D33" s="50">
        <v>22</v>
      </c>
      <c r="E33" s="50">
        <v>4</v>
      </c>
      <c r="F33" s="50">
        <v>11</v>
      </c>
      <c r="G33" s="50">
        <v>0</v>
      </c>
      <c r="H33" s="50">
        <v>0</v>
      </c>
      <c r="I33" s="50">
        <v>8</v>
      </c>
      <c r="J33" s="50">
        <v>6</v>
      </c>
      <c r="K33" s="50">
        <v>5</v>
      </c>
      <c r="L33" s="50">
        <v>4</v>
      </c>
      <c r="M33" s="50">
        <v>160</v>
      </c>
      <c r="N33" s="50">
        <v>0</v>
      </c>
      <c r="O33" s="15">
        <f t="shared" si="0"/>
        <v>105</v>
      </c>
      <c r="P33" s="15">
        <f t="shared" si="1"/>
        <v>265</v>
      </c>
    </row>
    <row r="34" spans="2:20" ht="23.1" customHeight="1" x14ac:dyDescent="0.25">
      <c r="B34" s="24" t="s">
        <v>61</v>
      </c>
      <c r="C34" s="50">
        <v>20</v>
      </c>
      <c r="D34" s="50">
        <v>5</v>
      </c>
      <c r="E34" s="50">
        <v>1</v>
      </c>
      <c r="F34" s="50">
        <v>16</v>
      </c>
      <c r="G34" s="50">
        <v>0</v>
      </c>
      <c r="H34" s="50">
        <v>0</v>
      </c>
      <c r="I34" s="50">
        <v>3</v>
      </c>
      <c r="J34" s="50">
        <v>4</v>
      </c>
      <c r="K34" s="50">
        <v>4</v>
      </c>
      <c r="L34" s="50">
        <v>1</v>
      </c>
      <c r="M34" s="50">
        <v>65</v>
      </c>
      <c r="N34" s="50">
        <v>0</v>
      </c>
      <c r="O34" s="15">
        <f t="shared" si="0"/>
        <v>54</v>
      </c>
      <c r="P34" s="15">
        <f t="shared" si="1"/>
        <v>119</v>
      </c>
    </row>
    <row r="35" spans="2:20" ht="23.1" customHeight="1" x14ac:dyDescent="0.25">
      <c r="B35" s="24" t="s">
        <v>62</v>
      </c>
      <c r="C35" s="50">
        <v>39</v>
      </c>
      <c r="D35" s="50">
        <v>7</v>
      </c>
      <c r="E35" s="50">
        <v>6</v>
      </c>
      <c r="F35" s="50">
        <v>13</v>
      </c>
      <c r="G35" s="50">
        <v>0</v>
      </c>
      <c r="H35" s="50">
        <v>1</v>
      </c>
      <c r="I35" s="50">
        <v>4</v>
      </c>
      <c r="J35" s="50">
        <v>8</v>
      </c>
      <c r="K35" s="50">
        <v>1</v>
      </c>
      <c r="L35" s="50">
        <v>4</v>
      </c>
      <c r="M35" s="50">
        <v>100</v>
      </c>
      <c r="N35" s="50">
        <v>0</v>
      </c>
      <c r="O35" s="15">
        <f t="shared" si="0"/>
        <v>83</v>
      </c>
      <c r="P35" s="15">
        <f t="shared" si="1"/>
        <v>183</v>
      </c>
    </row>
    <row r="36" spans="2:20" ht="23.1" customHeight="1" x14ac:dyDescent="0.25">
      <c r="B36" s="24" t="s">
        <v>63</v>
      </c>
      <c r="C36" s="50">
        <v>41</v>
      </c>
      <c r="D36" s="50">
        <v>17</v>
      </c>
      <c r="E36" s="50">
        <v>13</v>
      </c>
      <c r="F36" s="50">
        <v>14</v>
      </c>
      <c r="G36" s="50">
        <v>1</v>
      </c>
      <c r="H36" s="50">
        <v>0</v>
      </c>
      <c r="I36" s="50">
        <v>9</v>
      </c>
      <c r="J36" s="50">
        <v>6</v>
      </c>
      <c r="K36" s="50">
        <v>3</v>
      </c>
      <c r="L36" s="50">
        <v>1</v>
      </c>
      <c r="M36" s="50">
        <v>104</v>
      </c>
      <c r="N36" s="50">
        <v>0</v>
      </c>
      <c r="O36" s="15">
        <f t="shared" si="0"/>
        <v>105</v>
      </c>
      <c r="P36" s="15">
        <f t="shared" si="1"/>
        <v>209</v>
      </c>
    </row>
    <row r="37" spans="2:20" ht="23.1" customHeight="1" x14ac:dyDescent="0.25">
      <c r="B37" s="23" t="s">
        <v>64</v>
      </c>
      <c r="C37" s="50">
        <v>20</v>
      </c>
      <c r="D37" s="50">
        <v>18</v>
      </c>
      <c r="E37" s="50">
        <v>5</v>
      </c>
      <c r="F37" s="50">
        <v>17</v>
      </c>
      <c r="G37" s="50">
        <v>0</v>
      </c>
      <c r="H37" s="50">
        <v>1</v>
      </c>
      <c r="I37" s="50">
        <v>8</v>
      </c>
      <c r="J37" s="50">
        <v>3</v>
      </c>
      <c r="K37" s="50">
        <v>3</v>
      </c>
      <c r="L37" s="50">
        <v>3</v>
      </c>
      <c r="M37" s="50">
        <v>100</v>
      </c>
      <c r="N37" s="50">
        <v>0</v>
      </c>
      <c r="O37" s="15">
        <f t="shared" si="0"/>
        <v>78</v>
      </c>
      <c r="P37" s="15">
        <f t="shared" si="1"/>
        <v>178</v>
      </c>
    </row>
    <row r="38" spans="2:20" ht="23.1" customHeight="1" x14ac:dyDescent="0.25">
      <c r="B38" s="24" t="s">
        <v>65</v>
      </c>
      <c r="C38" s="50">
        <v>34</v>
      </c>
      <c r="D38" s="50">
        <v>16</v>
      </c>
      <c r="E38" s="50">
        <v>3</v>
      </c>
      <c r="F38" s="50">
        <v>10</v>
      </c>
      <c r="G38" s="50">
        <v>0</v>
      </c>
      <c r="H38" s="50">
        <v>0</v>
      </c>
      <c r="I38" s="50">
        <v>10</v>
      </c>
      <c r="J38" s="50">
        <v>8</v>
      </c>
      <c r="K38" s="50">
        <v>5</v>
      </c>
      <c r="L38" s="50">
        <v>3</v>
      </c>
      <c r="M38" s="50">
        <v>125</v>
      </c>
      <c r="N38" s="50">
        <v>0</v>
      </c>
      <c r="O38" s="15">
        <f t="shared" si="0"/>
        <v>89</v>
      </c>
      <c r="P38" s="15">
        <f t="shared" si="1"/>
        <v>214</v>
      </c>
    </row>
    <row r="39" spans="2:20" ht="23.1" customHeight="1" x14ac:dyDescent="0.25">
      <c r="B39" s="24" t="s">
        <v>66</v>
      </c>
      <c r="C39" s="50">
        <v>38</v>
      </c>
      <c r="D39" s="50">
        <v>23</v>
      </c>
      <c r="E39" s="50">
        <v>13</v>
      </c>
      <c r="F39" s="50">
        <v>18</v>
      </c>
      <c r="G39" s="50">
        <v>1</v>
      </c>
      <c r="H39" s="50">
        <v>0</v>
      </c>
      <c r="I39" s="50">
        <v>18</v>
      </c>
      <c r="J39" s="50">
        <v>8</v>
      </c>
      <c r="K39" s="50">
        <v>0</v>
      </c>
      <c r="L39" s="50">
        <v>0</v>
      </c>
      <c r="M39" s="50">
        <v>99</v>
      </c>
      <c r="N39" s="50">
        <v>0</v>
      </c>
      <c r="O39" s="15">
        <f t="shared" si="0"/>
        <v>119</v>
      </c>
      <c r="P39" s="15">
        <f t="shared" si="1"/>
        <v>218</v>
      </c>
    </row>
    <row r="40" spans="2:20" ht="23.1" customHeight="1" x14ac:dyDescent="0.25">
      <c r="B40" s="24" t="s">
        <v>67</v>
      </c>
      <c r="C40" s="50">
        <v>33</v>
      </c>
      <c r="D40" s="50">
        <v>22</v>
      </c>
      <c r="E40" s="50">
        <v>15</v>
      </c>
      <c r="F40" s="50">
        <v>13</v>
      </c>
      <c r="G40" s="50">
        <v>2</v>
      </c>
      <c r="H40" s="50">
        <v>0</v>
      </c>
      <c r="I40" s="50">
        <v>3</v>
      </c>
      <c r="J40" s="50">
        <v>8</v>
      </c>
      <c r="K40" s="50">
        <v>2</v>
      </c>
      <c r="L40" s="50">
        <v>0</v>
      </c>
      <c r="M40" s="50">
        <v>206</v>
      </c>
      <c r="N40" s="50">
        <v>0</v>
      </c>
      <c r="O40" s="15">
        <f t="shared" si="0"/>
        <v>98</v>
      </c>
      <c r="P40" s="15">
        <f t="shared" si="1"/>
        <v>304</v>
      </c>
    </row>
    <row r="41" spans="2:20" ht="23.1" customHeight="1" x14ac:dyDescent="0.25">
      <c r="B41" s="23" t="s">
        <v>68</v>
      </c>
      <c r="C41" s="50">
        <v>26</v>
      </c>
      <c r="D41" s="50">
        <v>16</v>
      </c>
      <c r="E41" s="50">
        <v>6</v>
      </c>
      <c r="F41" s="50">
        <v>12</v>
      </c>
      <c r="G41" s="50">
        <v>0</v>
      </c>
      <c r="H41" s="50">
        <v>0</v>
      </c>
      <c r="I41" s="50">
        <v>14</v>
      </c>
      <c r="J41" s="50">
        <v>9</v>
      </c>
      <c r="K41" s="50">
        <v>1</v>
      </c>
      <c r="L41" s="50">
        <v>1</v>
      </c>
      <c r="M41" s="50">
        <v>160</v>
      </c>
      <c r="N41" s="50">
        <v>0</v>
      </c>
      <c r="O41" s="15">
        <f t="shared" si="0"/>
        <v>85</v>
      </c>
      <c r="P41" s="15">
        <f t="shared" si="1"/>
        <v>245</v>
      </c>
    </row>
    <row r="42" spans="2:20" ht="23.1" customHeight="1" x14ac:dyDescent="0.25">
      <c r="B42" s="24" t="s">
        <v>69</v>
      </c>
      <c r="C42" s="50">
        <v>31</v>
      </c>
      <c r="D42" s="50">
        <v>22</v>
      </c>
      <c r="E42" s="50">
        <v>8</v>
      </c>
      <c r="F42" s="50">
        <v>20</v>
      </c>
      <c r="G42" s="50">
        <v>1</v>
      </c>
      <c r="H42" s="50">
        <v>0</v>
      </c>
      <c r="I42" s="50">
        <v>12</v>
      </c>
      <c r="J42" s="50">
        <v>15</v>
      </c>
      <c r="K42" s="50">
        <v>2</v>
      </c>
      <c r="L42" s="50">
        <v>2</v>
      </c>
      <c r="M42" s="50">
        <v>145</v>
      </c>
      <c r="N42" s="50">
        <v>0</v>
      </c>
      <c r="O42" s="15">
        <f t="shared" si="0"/>
        <v>113</v>
      </c>
      <c r="P42" s="15">
        <f t="shared" si="1"/>
        <v>258</v>
      </c>
    </row>
    <row r="43" spans="2:20" ht="23.1" customHeight="1" x14ac:dyDescent="0.25">
      <c r="B43" s="23" t="s">
        <v>70</v>
      </c>
      <c r="C43" s="50">
        <v>46</v>
      </c>
      <c r="D43" s="50">
        <v>18</v>
      </c>
      <c r="E43" s="50">
        <v>6</v>
      </c>
      <c r="F43" s="50">
        <v>11</v>
      </c>
      <c r="G43" s="50">
        <v>0</v>
      </c>
      <c r="H43" s="50">
        <v>0</v>
      </c>
      <c r="I43" s="50">
        <v>7</v>
      </c>
      <c r="J43" s="50">
        <v>12</v>
      </c>
      <c r="K43" s="50">
        <v>5</v>
      </c>
      <c r="L43" s="50">
        <v>1</v>
      </c>
      <c r="M43" s="50">
        <v>135</v>
      </c>
      <c r="N43" s="50">
        <v>0</v>
      </c>
      <c r="O43" s="15">
        <f t="shared" si="0"/>
        <v>106</v>
      </c>
      <c r="P43" s="15">
        <f t="shared" si="1"/>
        <v>241</v>
      </c>
    </row>
    <row r="44" spans="2:20" ht="23.1" customHeight="1" x14ac:dyDescent="0.25">
      <c r="B44" s="25" t="s">
        <v>71</v>
      </c>
      <c r="C44" s="50">
        <v>44</v>
      </c>
      <c r="D44" s="50">
        <v>26</v>
      </c>
      <c r="E44" s="50">
        <v>5</v>
      </c>
      <c r="F44" s="50">
        <v>19</v>
      </c>
      <c r="G44" s="50">
        <v>1</v>
      </c>
      <c r="H44" s="50">
        <v>0</v>
      </c>
      <c r="I44" s="50">
        <v>6</v>
      </c>
      <c r="J44" s="50">
        <v>14</v>
      </c>
      <c r="K44" s="50">
        <v>4</v>
      </c>
      <c r="L44" s="50">
        <v>6</v>
      </c>
      <c r="M44" s="50">
        <v>129</v>
      </c>
      <c r="N44" s="50">
        <v>0</v>
      </c>
      <c r="O44" s="15">
        <f t="shared" si="0"/>
        <v>125</v>
      </c>
      <c r="P44" s="15">
        <f t="shared" si="1"/>
        <v>254</v>
      </c>
    </row>
    <row r="45" spans="2:20" ht="23.1" customHeight="1" x14ac:dyDescent="0.25">
      <c r="B45" s="23" t="s">
        <v>72</v>
      </c>
      <c r="C45" s="50">
        <v>30</v>
      </c>
      <c r="D45" s="50">
        <v>28</v>
      </c>
      <c r="E45" s="50">
        <v>6</v>
      </c>
      <c r="F45" s="50">
        <v>11</v>
      </c>
      <c r="G45" s="50">
        <v>1</v>
      </c>
      <c r="H45" s="50">
        <v>0</v>
      </c>
      <c r="I45" s="50">
        <v>15</v>
      </c>
      <c r="J45" s="50">
        <v>8</v>
      </c>
      <c r="K45" s="50">
        <v>2</v>
      </c>
      <c r="L45" s="50">
        <v>2</v>
      </c>
      <c r="M45" s="50">
        <v>125</v>
      </c>
      <c r="N45" s="50">
        <v>0</v>
      </c>
      <c r="O45" s="15">
        <f t="shared" si="0"/>
        <v>103</v>
      </c>
      <c r="P45" s="15">
        <f t="shared" si="1"/>
        <v>228</v>
      </c>
    </row>
    <row r="46" spans="2:20" ht="23.1" customHeight="1" x14ac:dyDescent="0.25">
      <c r="B46" s="24" t="s">
        <v>73</v>
      </c>
      <c r="C46" s="50">
        <v>33</v>
      </c>
      <c r="D46" s="50">
        <v>22</v>
      </c>
      <c r="E46" s="50">
        <v>7</v>
      </c>
      <c r="F46" s="50">
        <v>16</v>
      </c>
      <c r="G46" s="50">
        <v>1</v>
      </c>
      <c r="H46" s="50">
        <v>0</v>
      </c>
      <c r="I46" s="50">
        <v>8</v>
      </c>
      <c r="J46" s="50">
        <v>11</v>
      </c>
      <c r="K46" s="50">
        <v>3</v>
      </c>
      <c r="L46" s="50">
        <v>3</v>
      </c>
      <c r="M46" s="50">
        <v>84</v>
      </c>
      <c r="N46" s="50">
        <v>1</v>
      </c>
      <c r="O46" s="15">
        <f t="shared" si="0"/>
        <v>105</v>
      </c>
      <c r="P46" s="15">
        <f t="shared" si="1"/>
        <v>189</v>
      </c>
      <c r="R46" s="8"/>
      <c r="T46"/>
    </row>
    <row r="47" spans="2:20" ht="23.1" customHeight="1" x14ac:dyDescent="0.25">
      <c r="B47" s="24" t="s">
        <v>74</v>
      </c>
      <c r="C47" s="50">
        <v>35</v>
      </c>
      <c r="D47" s="50">
        <v>27</v>
      </c>
      <c r="E47" s="50">
        <v>3</v>
      </c>
      <c r="F47" s="50">
        <v>16</v>
      </c>
      <c r="G47" s="50">
        <v>0</v>
      </c>
      <c r="H47" s="50">
        <v>0</v>
      </c>
      <c r="I47" s="50">
        <v>10</v>
      </c>
      <c r="J47" s="50">
        <v>5</v>
      </c>
      <c r="K47" s="50">
        <v>3</v>
      </c>
      <c r="L47" s="50">
        <v>2</v>
      </c>
      <c r="M47" s="50">
        <v>100</v>
      </c>
      <c r="N47" s="50">
        <v>0</v>
      </c>
      <c r="O47" s="15">
        <f t="shared" si="0"/>
        <v>101</v>
      </c>
      <c r="P47" s="15">
        <f t="shared" si="1"/>
        <v>201</v>
      </c>
      <c r="R47" s="8"/>
      <c r="T47"/>
    </row>
    <row r="48" spans="2:20" ht="23.1" customHeight="1" x14ac:dyDescent="0.25">
      <c r="B48" s="24" t="s">
        <v>75</v>
      </c>
      <c r="C48" s="50">
        <v>40</v>
      </c>
      <c r="D48" s="50">
        <v>39</v>
      </c>
      <c r="E48" s="50">
        <v>13</v>
      </c>
      <c r="F48" s="50">
        <v>16</v>
      </c>
      <c r="G48" s="50">
        <v>0</v>
      </c>
      <c r="H48" s="50">
        <v>0</v>
      </c>
      <c r="I48" s="50">
        <v>5</v>
      </c>
      <c r="J48" s="50">
        <v>10</v>
      </c>
      <c r="K48" s="50">
        <v>7</v>
      </c>
      <c r="L48" s="50">
        <v>4</v>
      </c>
      <c r="M48" s="50">
        <v>116</v>
      </c>
      <c r="N48" s="50">
        <v>0</v>
      </c>
      <c r="O48" s="15">
        <f t="shared" si="0"/>
        <v>134</v>
      </c>
      <c r="P48" s="15">
        <f t="shared" si="1"/>
        <v>250</v>
      </c>
      <c r="R48" s="8"/>
      <c r="T48"/>
    </row>
    <row r="49" spans="2:20" ht="23.1" customHeight="1" x14ac:dyDescent="0.25">
      <c r="B49" s="23" t="s">
        <v>76</v>
      </c>
      <c r="C49" s="50">
        <v>21</v>
      </c>
      <c r="D49" s="50">
        <v>18</v>
      </c>
      <c r="E49" s="50">
        <v>1</v>
      </c>
      <c r="F49" s="50">
        <v>21</v>
      </c>
      <c r="G49" s="50">
        <v>1</v>
      </c>
      <c r="H49" s="50">
        <v>0</v>
      </c>
      <c r="I49" s="50">
        <v>10</v>
      </c>
      <c r="J49" s="50">
        <v>2</v>
      </c>
      <c r="K49" s="50">
        <v>6</v>
      </c>
      <c r="L49" s="50">
        <v>4</v>
      </c>
      <c r="M49" s="50">
        <v>104</v>
      </c>
      <c r="N49" s="50">
        <v>0</v>
      </c>
      <c r="O49" s="15">
        <f t="shared" si="0"/>
        <v>84</v>
      </c>
      <c r="P49" s="15">
        <f t="shared" si="1"/>
        <v>188</v>
      </c>
      <c r="R49" s="8"/>
      <c r="T49"/>
    </row>
    <row r="50" spans="2:20" ht="23.1" customHeight="1" x14ac:dyDescent="0.25">
      <c r="B50" s="24" t="s">
        <v>77</v>
      </c>
      <c r="C50" s="50">
        <v>25</v>
      </c>
      <c r="D50" s="50">
        <v>34</v>
      </c>
      <c r="E50" s="50">
        <v>9</v>
      </c>
      <c r="F50" s="50">
        <v>21</v>
      </c>
      <c r="G50" s="50">
        <v>3</v>
      </c>
      <c r="H50" s="50">
        <v>0</v>
      </c>
      <c r="I50" s="50">
        <v>14</v>
      </c>
      <c r="J50" s="50">
        <v>11</v>
      </c>
      <c r="K50" s="50">
        <v>8</v>
      </c>
      <c r="L50" s="50">
        <v>3</v>
      </c>
      <c r="M50" s="50">
        <v>80</v>
      </c>
      <c r="N50" s="50">
        <v>0</v>
      </c>
      <c r="O50" s="15">
        <f t="shared" si="0"/>
        <v>128</v>
      </c>
      <c r="P50" s="15">
        <f t="shared" si="1"/>
        <v>208</v>
      </c>
      <c r="R50" s="8"/>
      <c r="T50"/>
    </row>
    <row r="51" spans="2:20" ht="23.1" customHeight="1" x14ac:dyDescent="0.25">
      <c r="B51" s="24" t="s">
        <v>78</v>
      </c>
      <c r="C51" s="50">
        <v>24</v>
      </c>
      <c r="D51" s="50">
        <v>24</v>
      </c>
      <c r="E51" s="50">
        <v>9</v>
      </c>
      <c r="F51" s="50">
        <v>13</v>
      </c>
      <c r="G51" s="50">
        <v>3</v>
      </c>
      <c r="H51" s="50">
        <v>0</v>
      </c>
      <c r="I51" s="50">
        <v>6</v>
      </c>
      <c r="J51" s="50">
        <v>2</v>
      </c>
      <c r="K51" s="50">
        <v>1</v>
      </c>
      <c r="L51" s="50">
        <v>0</v>
      </c>
      <c r="M51" s="50">
        <v>81</v>
      </c>
      <c r="N51" s="50">
        <v>0</v>
      </c>
      <c r="O51" s="15">
        <f t="shared" si="0"/>
        <v>82</v>
      </c>
      <c r="P51" s="15">
        <f t="shared" si="1"/>
        <v>163</v>
      </c>
      <c r="R51" s="8"/>
      <c r="T51"/>
    </row>
    <row r="52" spans="2:20" ht="23.1" customHeight="1" x14ac:dyDescent="0.25">
      <c r="B52" s="24" t="s">
        <v>79</v>
      </c>
      <c r="C52" s="50">
        <v>37</v>
      </c>
      <c r="D52" s="50">
        <v>34</v>
      </c>
      <c r="E52" s="50">
        <v>8</v>
      </c>
      <c r="F52" s="50">
        <v>18</v>
      </c>
      <c r="G52" s="50">
        <v>0</v>
      </c>
      <c r="H52" s="50">
        <v>0</v>
      </c>
      <c r="I52" s="50">
        <v>5</v>
      </c>
      <c r="J52" s="50">
        <v>6</v>
      </c>
      <c r="K52" s="50">
        <v>5</v>
      </c>
      <c r="L52" s="50">
        <v>4</v>
      </c>
      <c r="M52" s="50">
        <v>114</v>
      </c>
      <c r="N52" s="50">
        <v>0</v>
      </c>
      <c r="O52" s="15">
        <f t="shared" si="0"/>
        <v>117</v>
      </c>
      <c r="P52" s="15">
        <f t="shared" si="1"/>
        <v>231</v>
      </c>
      <c r="R52" s="8"/>
      <c r="T52"/>
    </row>
    <row r="53" spans="2:20" ht="23.1" customHeight="1" x14ac:dyDescent="0.25">
      <c r="B53" s="23" t="s">
        <v>80</v>
      </c>
      <c r="C53" s="50">
        <v>34</v>
      </c>
      <c r="D53" s="50">
        <v>21</v>
      </c>
      <c r="E53" s="50">
        <v>10</v>
      </c>
      <c r="F53" s="50">
        <v>17</v>
      </c>
      <c r="G53" s="50">
        <v>1</v>
      </c>
      <c r="H53" s="50">
        <v>0</v>
      </c>
      <c r="I53" s="50">
        <v>6</v>
      </c>
      <c r="J53" s="50">
        <v>7</v>
      </c>
      <c r="K53" s="50">
        <v>1</v>
      </c>
      <c r="L53" s="50">
        <v>4</v>
      </c>
      <c r="M53" s="50">
        <v>107</v>
      </c>
      <c r="N53" s="50">
        <v>0</v>
      </c>
      <c r="O53" s="15">
        <f t="shared" si="0"/>
        <v>101</v>
      </c>
      <c r="P53" s="15">
        <f t="shared" si="1"/>
        <v>208</v>
      </c>
      <c r="R53" s="8"/>
      <c r="T53"/>
    </row>
    <row r="54" spans="2:20" ht="23.1" customHeight="1" x14ac:dyDescent="0.25">
      <c r="B54" s="23" t="s">
        <v>81</v>
      </c>
      <c r="C54" s="50">
        <v>13</v>
      </c>
      <c r="D54" s="50">
        <v>11</v>
      </c>
      <c r="E54" s="50">
        <v>1</v>
      </c>
      <c r="F54" s="50">
        <v>6</v>
      </c>
      <c r="G54" s="50">
        <v>0</v>
      </c>
      <c r="H54" s="50">
        <v>0</v>
      </c>
      <c r="I54" s="50">
        <v>5</v>
      </c>
      <c r="J54" s="50">
        <v>3</v>
      </c>
      <c r="K54" s="50">
        <v>0</v>
      </c>
      <c r="L54" s="50">
        <v>1</v>
      </c>
      <c r="M54" s="50">
        <v>184</v>
      </c>
      <c r="N54" s="50">
        <v>0</v>
      </c>
      <c r="O54" s="15">
        <f t="shared" si="0"/>
        <v>40</v>
      </c>
      <c r="P54" s="15">
        <f t="shared" si="1"/>
        <v>224</v>
      </c>
      <c r="R54" s="8"/>
      <c r="T54"/>
    </row>
    <row r="55" spans="2:20" ht="23.1" customHeight="1" x14ac:dyDescent="0.25">
      <c r="B55" s="23" t="s">
        <v>82</v>
      </c>
      <c r="C55" s="50">
        <v>31</v>
      </c>
      <c r="D55" s="50">
        <v>18</v>
      </c>
      <c r="E55" s="50">
        <v>14</v>
      </c>
      <c r="F55" s="50">
        <v>21</v>
      </c>
      <c r="G55" s="50">
        <v>1</v>
      </c>
      <c r="H55" s="50">
        <v>1</v>
      </c>
      <c r="I55" s="50">
        <v>6</v>
      </c>
      <c r="J55" s="50">
        <v>9</v>
      </c>
      <c r="K55" s="50">
        <v>4</v>
      </c>
      <c r="L55" s="50">
        <v>2</v>
      </c>
      <c r="M55" s="50">
        <v>124</v>
      </c>
      <c r="N55" s="50">
        <v>0</v>
      </c>
      <c r="O55" s="15">
        <f t="shared" si="0"/>
        <v>107</v>
      </c>
      <c r="P55" s="15">
        <f t="shared" si="1"/>
        <v>231</v>
      </c>
      <c r="R55" s="8"/>
      <c r="T55"/>
    </row>
    <row r="56" spans="2:20" ht="23.1" customHeight="1" x14ac:dyDescent="0.25">
      <c r="B56" s="23" t="s">
        <v>83</v>
      </c>
      <c r="C56" s="50">
        <v>45</v>
      </c>
      <c r="D56" s="50">
        <v>27</v>
      </c>
      <c r="E56" s="50">
        <v>9</v>
      </c>
      <c r="F56" s="50">
        <v>24</v>
      </c>
      <c r="G56" s="50">
        <v>1</v>
      </c>
      <c r="H56" s="50">
        <v>1</v>
      </c>
      <c r="I56" s="50">
        <v>6</v>
      </c>
      <c r="J56" s="50">
        <v>9</v>
      </c>
      <c r="K56" s="50">
        <v>4</v>
      </c>
      <c r="L56" s="50">
        <v>2</v>
      </c>
      <c r="M56" s="50">
        <v>125</v>
      </c>
      <c r="N56" s="50">
        <v>0</v>
      </c>
      <c r="O56" s="15">
        <f t="shared" si="0"/>
        <v>128</v>
      </c>
      <c r="P56" s="15">
        <f t="shared" si="1"/>
        <v>253</v>
      </c>
      <c r="R56" s="8"/>
      <c r="T56"/>
    </row>
    <row r="57" spans="2:20" ht="23.1" customHeight="1" x14ac:dyDescent="0.25">
      <c r="B57" s="23" t="s">
        <v>84</v>
      </c>
      <c r="C57" s="50">
        <v>60</v>
      </c>
      <c r="D57" s="50">
        <v>12</v>
      </c>
      <c r="E57" s="50">
        <v>4</v>
      </c>
      <c r="F57" s="50">
        <v>17</v>
      </c>
      <c r="G57" s="50">
        <v>0</v>
      </c>
      <c r="H57" s="50">
        <v>0</v>
      </c>
      <c r="I57" s="50">
        <v>5</v>
      </c>
      <c r="J57" s="50">
        <v>2</v>
      </c>
      <c r="K57" s="50">
        <v>2</v>
      </c>
      <c r="L57" s="50">
        <v>2</v>
      </c>
      <c r="M57" s="50">
        <v>128</v>
      </c>
      <c r="N57" s="50">
        <v>0</v>
      </c>
      <c r="O57" s="15">
        <f t="shared" si="0"/>
        <v>104</v>
      </c>
      <c r="P57" s="15">
        <f t="shared" si="1"/>
        <v>232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1965</v>
      </c>
      <c r="D58" s="16">
        <f t="shared" si="21"/>
        <v>1311</v>
      </c>
      <c r="E58" s="16">
        <f t="shared" si="21"/>
        <v>407</v>
      </c>
      <c r="F58" s="16">
        <f t="shared" si="21"/>
        <v>938</v>
      </c>
      <c r="G58" s="16">
        <f t="shared" si="21"/>
        <v>75</v>
      </c>
      <c r="H58" s="16">
        <f t="shared" si="21"/>
        <v>19</v>
      </c>
      <c r="I58" s="16">
        <f t="shared" si="21"/>
        <v>380</v>
      </c>
      <c r="J58" s="16">
        <f t="shared" si="21"/>
        <v>372</v>
      </c>
      <c r="K58" s="16">
        <f t="shared" si="21"/>
        <v>149</v>
      </c>
      <c r="L58" s="16">
        <f t="shared" si="21"/>
        <v>126</v>
      </c>
      <c r="M58" s="16">
        <f t="shared" si="21"/>
        <v>6506</v>
      </c>
      <c r="N58" s="16">
        <f t="shared" si="21"/>
        <v>1</v>
      </c>
      <c r="O58" s="16">
        <f t="shared" si="21"/>
        <v>5743</v>
      </c>
      <c r="P58" s="16">
        <f t="shared" si="21"/>
        <v>12249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0.16042125887827577</v>
      </c>
      <c r="D59" s="43">
        <f t="shared" si="22"/>
        <v>0.10702914523634582</v>
      </c>
      <c r="E59" s="43">
        <f t="shared" si="22"/>
        <v>3.3227202220589433E-2</v>
      </c>
      <c r="F59" s="43">
        <f t="shared" si="22"/>
        <v>7.657767981059678E-2</v>
      </c>
      <c r="G59" s="43">
        <f t="shared" si="22"/>
        <v>6.1229488121479301E-3</v>
      </c>
      <c r="H59" s="43">
        <f t="shared" si="22"/>
        <v>1.551147032410809E-3</v>
      </c>
      <c r="I59" s="43">
        <f t="shared" si="22"/>
        <v>3.1022940648216181E-2</v>
      </c>
      <c r="J59" s="43">
        <f t="shared" si="22"/>
        <v>3.0369826108253735E-2</v>
      </c>
      <c r="K59" s="43">
        <f t="shared" si="22"/>
        <v>1.2164258306800554E-2</v>
      </c>
      <c r="L59" s="43">
        <f t="shared" si="22"/>
        <v>1.0286554004408524E-2</v>
      </c>
      <c r="M59" s="43">
        <f t="shared" si="22"/>
        <v>0.53114539962445917</v>
      </c>
      <c r="N59" s="43">
        <f t="shared" si="22"/>
        <v>8.1639317495305744E-5</v>
      </c>
      <c r="R59" s="8"/>
      <c r="T59"/>
    </row>
    <row r="60" spans="2:20" ht="23.1" customHeight="1" x14ac:dyDescent="0.25">
      <c r="B60" s="42" t="s">
        <v>94</v>
      </c>
      <c r="C60" s="44">
        <f>C58/$O$58</f>
        <v>0.34215566776945849</v>
      </c>
      <c r="D60" s="44">
        <f t="shared" ref="D60:N60" si="23">D58/$O$58</f>
        <v>0.22827790353473795</v>
      </c>
      <c r="E60" s="44">
        <f t="shared" si="23"/>
        <v>7.0868883858610482E-2</v>
      </c>
      <c r="F60" s="44">
        <f t="shared" si="23"/>
        <v>0.1633292704161588</v>
      </c>
      <c r="G60" s="44">
        <f t="shared" si="23"/>
        <v>1.3059376632422079E-2</v>
      </c>
      <c r="H60" s="44">
        <f t="shared" si="23"/>
        <v>3.3083754135469269E-3</v>
      </c>
      <c r="I60" s="44">
        <f t="shared" si="23"/>
        <v>6.6167508270938535E-2</v>
      </c>
      <c r="J60" s="44">
        <f t="shared" si="23"/>
        <v>6.477450809681351E-2</v>
      </c>
      <c r="K60" s="44">
        <f t="shared" si="23"/>
        <v>2.594462824307853E-2</v>
      </c>
      <c r="L60" s="44">
        <f t="shared" si="23"/>
        <v>2.1939752742469093E-2</v>
      </c>
      <c r="M60" s="44"/>
      <c r="N60" s="44">
        <f t="shared" si="23"/>
        <v>1.7412502176562773E-4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5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Kinawataka-Kireka'!C3:G3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178</v>
      </c>
      <c r="E5" s="3"/>
      <c r="F5" s="41" t="s">
        <v>1</v>
      </c>
      <c r="G5" s="63" t="str">
        <f>'01.08 Kireka-Kinawataka-24h'!G5:H5</f>
        <v>Kireka road</v>
      </c>
      <c r="H5" s="64"/>
      <c r="I5" s="14"/>
      <c r="J5" s="2" t="s">
        <v>5</v>
      </c>
      <c r="K5" s="63" t="s">
        <v>166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Kinawataka-Kireka'!D6:E6</f>
        <v>Kinawataka</v>
      </c>
      <c r="E6" s="64"/>
      <c r="F6" s="2" t="s">
        <v>2</v>
      </c>
      <c r="G6" s="63" t="str">
        <f>'29.07 Kinawataka-Kireka'!G6:H6</f>
        <v xml:space="preserve">Kireka </v>
      </c>
      <c r="H6" s="64"/>
      <c r="J6" s="2" t="s">
        <v>21</v>
      </c>
      <c r="K6" s="63" t="str">
        <f>'01.08 Kireka-Kinawataka-24h'!K6:L6</f>
        <v>Batrice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16</v>
      </c>
      <c r="D10" s="50">
        <v>2</v>
      </c>
      <c r="E10" s="50">
        <v>4</v>
      </c>
      <c r="F10" s="50">
        <v>10</v>
      </c>
      <c r="G10" s="50">
        <v>0</v>
      </c>
      <c r="H10" s="50">
        <v>0</v>
      </c>
      <c r="I10" s="50">
        <v>4</v>
      </c>
      <c r="J10" s="50">
        <v>3</v>
      </c>
      <c r="K10" s="50">
        <v>0</v>
      </c>
      <c r="L10" s="50">
        <v>1</v>
      </c>
      <c r="M10" s="50">
        <v>20</v>
      </c>
      <c r="N10" s="50">
        <v>0</v>
      </c>
      <c r="O10" s="15">
        <f t="shared" ref="O10:O73" si="0">SUM(C10:L10,N10)</f>
        <v>40</v>
      </c>
      <c r="P10" s="15">
        <f t="shared" ref="P10:P73" si="1">SUM(C10:N10)</f>
        <v>60</v>
      </c>
      <c r="R10" s="1" t="s">
        <v>6</v>
      </c>
      <c r="S10" s="17">
        <f t="shared" ref="S10:AF10" si="2">SUM(C10:C13)</f>
        <v>91</v>
      </c>
      <c r="T10" s="17">
        <f t="shared" si="2"/>
        <v>17</v>
      </c>
      <c r="U10" s="17">
        <f t="shared" si="2"/>
        <v>9</v>
      </c>
      <c r="V10" s="17">
        <f t="shared" si="2"/>
        <v>48</v>
      </c>
      <c r="W10" s="17">
        <f t="shared" si="2"/>
        <v>3</v>
      </c>
      <c r="X10" s="17">
        <f t="shared" si="2"/>
        <v>0</v>
      </c>
      <c r="Y10" s="17">
        <f t="shared" si="2"/>
        <v>15</v>
      </c>
      <c r="Z10" s="17">
        <f t="shared" si="2"/>
        <v>9</v>
      </c>
      <c r="AA10" s="17">
        <f t="shared" si="2"/>
        <v>0</v>
      </c>
      <c r="AB10" s="17">
        <f t="shared" si="2"/>
        <v>2</v>
      </c>
      <c r="AC10" s="17">
        <f t="shared" si="2"/>
        <v>236</v>
      </c>
      <c r="AD10" s="17">
        <f t="shared" si="2"/>
        <v>0</v>
      </c>
      <c r="AE10" s="31">
        <f t="shared" si="2"/>
        <v>194</v>
      </c>
      <c r="AF10" s="31">
        <f t="shared" si="2"/>
        <v>430</v>
      </c>
    </row>
    <row r="11" spans="2:32" s="6" customFormat="1" ht="23.1" customHeight="1" x14ac:dyDescent="0.25">
      <c r="B11" s="45" t="s">
        <v>38</v>
      </c>
      <c r="C11" s="50">
        <v>31</v>
      </c>
      <c r="D11" s="50">
        <v>2</v>
      </c>
      <c r="E11" s="50">
        <v>2</v>
      </c>
      <c r="F11" s="50">
        <v>14</v>
      </c>
      <c r="G11" s="50">
        <v>0</v>
      </c>
      <c r="H11" s="50">
        <v>0</v>
      </c>
      <c r="I11" s="50">
        <v>5</v>
      </c>
      <c r="J11" s="50">
        <v>2</v>
      </c>
      <c r="K11" s="50">
        <v>0</v>
      </c>
      <c r="L11" s="50">
        <v>1</v>
      </c>
      <c r="M11" s="50">
        <v>75</v>
      </c>
      <c r="N11" s="50">
        <v>0</v>
      </c>
      <c r="O11" s="15">
        <f t="shared" si="0"/>
        <v>57</v>
      </c>
      <c r="P11" s="15">
        <f t="shared" si="1"/>
        <v>132</v>
      </c>
      <c r="R11" s="1" t="s">
        <v>7</v>
      </c>
      <c r="S11" s="17">
        <f t="shared" ref="S11:AF11" si="3">SUM(C14:C17)</f>
        <v>129</v>
      </c>
      <c r="T11" s="17">
        <f t="shared" si="3"/>
        <v>13</v>
      </c>
      <c r="U11" s="17">
        <f t="shared" si="3"/>
        <v>18</v>
      </c>
      <c r="V11" s="17">
        <f t="shared" si="3"/>
        <v>65</v>
      </c>
      <c r="W11" s="17">
        <f t="shared" si="3"/>
        <v>7</v>
      </c>
      <c r="X11" s="17">
        <f t="shared" si="3"/>
        <v>0</v>
      </c>
      <c r="Y11" s="17">
        <f t="shared" si="3"/>
        <v>21</v>
      </c>
      <c r="Z11" s="17">
        <f t="shared" si="3"/>
        <v>12</v>
      </c>
      <c r="AA11" s="17">
        <f t="shared" si="3"/>
        <v>3</v>
      </c>
      <c r="AB11" s="17">
        <f t="shared" si="3"/>
        <v>0</v>
      </c>
      <c r="AC11" s="17">
        <f t="shared" si="3"/>
        <v>346</v>
      </c>
      <c r="AD11" s="17">
        <f t="shared" si="3"/>
        <v>0</v>
      </c>
      <c r="AE11" s="31">
        <f t="shared" si="3"/>
        <v>268</v>
      </c>
      <c r="AF11" s="31">
        <f t="shared" si="3"/>
        <v>614</v>
      </c>
    </row>
    <row r="12" spans="2:32" ht="23.1" customHeight="1" x14ac:dyDescent="0.25">
      <c r="B12" s="45" t="s">
        <v>39</v>
      </c>
      <c r="C12" s="50">
        <v>12</v>
      </c>
      <c r="D12" s="50">
        <v>9</v>
      </c>
      <c r="E12" s="50">
        <v>3</v>
      </c>
      <c r="F12" s="50">
        <v>14</v>
      </c>
      <c r="G12" s="50">
        <v>3</v>
      </c>
      <c r="H12" s="50">
        <v>0</v>
      </c>
      <c r="I12" s="50">
        <v>2</v>
      </c>
      <c r="J12" s="50">
        <v>2</v>
      </c>
      <c r="K12" s="50">
        <v>0</v>
      </c>
      <c r="L12" s="50">
        <v>0</v>
      </c>
      <c r="M12" s="50">
        <v>45</v>
      </c>
      <c r="N12" s="50">
        <v>0</v>
      </c>
      <c r="O12" s="15">
        <f t="shared" si="0"/>
        <v>45</v>
      </c>
      <c r="P12" s="15">
        <f t="shared" si="1"/>
        <v>90</v>
      </c>
      <c r="R12" s="1" t="s">
        <v>8</v>
      </c>
      <c r="S12" s="17">
        <f t="shared" ref="S12:AF12" si="4">SUM(C18:C21)</f>
        <v>179</v>
      </c>
      <c r="T12" s="17">
        <f t="shared" si="4"/>
        <v>44</v>
      </c>
      <c r="U12" s="17">
        <f t="shared" si="4"/>
        <v>33</v>
      </c>
      <c r="V12" s="17">
        <f t="shared" si="4"/>
        <v>82</v>
      </c>
      <c r="W12" s="17">
        <f t="shared" si="4"/>
        <v>7</v>
      </c>
      <c r="X12" s="17">
        <f t="shared" si="4"/>
        <v>0</v>
      </c>
      <c r="Y12" s="17">
        <f t="shared" si="4"/>
        <v>31</v>
      </c>
      <c r="Z12" s="17">
        <f t="shared" si="4"/>
        <v>21</v>
      </c>
      <c r="AA12" s="17">
        <f t="shared" si="4"/>
        <v>8</v>
      </c>
      <c r="AB12" s="17">
        <f t="shared" si="4"/>
        <v>9</v>
      </c>
      <c r="AC12" s="17">
        <f t="shared" si="4"/>
        <v>576</v>
      </c>
      <c r="AD12" s="17">
        <f t="shared" si="4"/>
        <v>0</v>
      </c>
      <c r="AE12" s="31">
        <f t="shared" si="4"/>
        <v>414</v>
      </c>
      <c r="AF12" s="31">
        <f t="shared" si="4"/>
        <v>990</v>
      </c>
    </row>
    <row r="13" spans="2:32" ht="23.1" customHeight="1" x14ac:dyDescent="0.25">
      <c r="B13" s="45" t="s">
        <v>40</v>
      </c>
      <c r="C13" s="50">
        <v>32</v>
      </c>
      <c r="D13" s="50">
        <v>4</v>
      </c>
      <c r="E13" s="50">
        <v>0</v>
      </c>
      <c r="F13" s="50">
        <v>10</v>
      </c>
      <c r="G13" s="50">
        <v>0</v>
      </c>
      <c r="H13" s="50">
        <v>0</v>
      </c>
      <c r="I13" s="50">
        <v>4</v>
      </c>
      <c r="J13" s="50">
        <v>2</v>
      </c>
      <c r="K13" s="50">
        <v>0</v>
      </c>
      <c r="L13" s="50">
        <v>0</v>
      </c>
      <c r="M13" s="50">
        <v>96</v>
      </c>
      <c r="N13" s="50">
        <v>0</v>
      </c>
      <c r="O13" s="15">
        <f t="shared" si="0"/>
        <v>52</v>
      </c>
      <c r="P13" s="15">
        <f t="shared" si="1"/>
        <v>148</v>
      </c>
      <c r="R13" s="1" t="s">
        <v>9</v>
      </c>
      <c r="S13" s="17">
        <f t="shared" ref="S13:AF13" si="5">SUM(C22:C25)</f>
        <v>173</v>
      </c>
      <c r="T13" s="17">
        <f t="shared" si="5"/>
        <v>33</v>
      </c>
      <c r="U13" s="17">
        <f t="shared" si="5"/>
        <v>31</v>
      </c>
      <c r="V13" s="17">
        <f t="shared" si="5"/>
        <v>57</v>
      </c>
      <c r="W13" s="17">
        <f t="shared" si="5"/>
        <v>9</v>
      </c>
      <c r="X13" s="17">
        <f t="shared" si="5"/>
        <v>0</v>
      </c>
      <c r="Y13" s="17">
        <f t="shared" si="5"/>
        <v>36</v>
      </c>
      <c r="Z13" s="17">
        <f t="shared" si="5"/>
        <v>16</v>
      </c>
      <c r="AA13" s="17">
        <f t="shared" si="5"/>
        <v>11</v>
      </c>
      <c r="AB13" s="17">
        <f t="shared" si="5"/>
        <v>18</v>
      </c>
      <c r="AC13" s="17">
        <f t="shared" si="5"/>
        <v>465</v>
      </c>
      <c r="AD13" s="17">
        <f t="shared" si="5"/>
        <v>0</v>
      </c>
      <c r="AE13" s="31">
        <f t="shared" si="5"/>
        <v>384</v>
      </c>
      <c r="AF13" s="31">
        <f t="shared" si="5"/>
        <v>849</v>
      </c>
    </row>
    <row r="14" spans="2:32" ht="23.1" customHeight="1" x14ac:dyDescent="0.25">
      <c r="B14" s="45" t="s">
        <v>41</v>
      </c>
      <c r="C14" s="50">
        <v>33</v>
      </c>
      <c r="D14" s="50">
        <v>2</v>
      </c>
      <c r="E14" s="50">
        <v>6</v>
      </c>
      <c r="F14" s="50">
        <v>20</v>
      </c>
      <c r="G14" s="50">
        <v>2</v>
      </c>
      <c r="H14" s="50">
        <v>0</v>
      </c>
      <c r="I14" s="50">
        <v>8</v>
      </c>
      <c r="J14" s="50">
        <v>6</v>
      </c>
      <c r="K14" s="50">
        <v>1</v>
      </c>
      <c r="L14" s="50">
        <v>0</v>
      </c>
      <c r="M14" s="50">
        <v>125</v>
      </c>
      <c r="N14" s="50">
        <v>0</v>
      </c>
      <c r="O14" s="15">
        <f t="shared" si="0"/>
        <v>78</v>
      </c>
      <c r="P14" s="15">
        <f t="shared" si="1"/>
        <v>203</v>
      </c>
      <c r="R14" s="1" t="s">
        <v>10</v>
      </c>
      <c r="S14" s="17">
        <f t="shared" ref="S14:AF14" si="6">SUM(C26:C29)</f>
        <v>136</v>
      </c>
      <c r="T14" s="17">
        <f t="shared" si="6"/>
        <v>24</v>
      </c>
      <c r="U14" s="17">
        <f t="shared" si="6"/>
        <v>22</v>
      </c>
      <c r="V14" s="17">
        <f t="shared" si="6"/>
        <v>50</v>
      </c>
      <c r="W14" s="17">
        <f t="shared" si="6"/>
        <v>5</v>
      </c>
      <c r="X14" s="17">
        <f t="shared" si="6"/>
        <v>0</v>
      </c>
      <c r="Y14" s="17">
        <f t="shared" si="6"/>
        <v>37</v>
      </c>
      <c r="Z14" s="17">
        <f t="shared" si="6"/>
        <v>10</v>
      </c>
      <c r="AA14" s="17">
        <f t="shared" si="6"/>
        <v>5</v>
      </c>
      <c r="AB14" s="17">
        <f t="shared" si="6"/>
        <v>9</v>
      </c>
      <c r="AC14" s="17">
        <f t="shared" si="6"/>
        <v>420</v>
      </c>
      <c r="AD14" s="17">
        <f t="shared" si="6"/>
        <v>0</v>
      </c>
      <c r="AE14" s="31">
        <f t="shared" si="6"/>
        <v>298</v>
      </c>
      <c r="AF14" s="31">
        <f t="shared" si="6"/>
        <v>718</v>
      </c>
    </row>
    <row r="15" spans="2:32" ht="23.1" customHeight="1" x14ac:dyDescent="0.25">
      <c r="B15" s="45" t="s">
        <v>42</v>
      </c>
      <c r="C15" s="50">
        <v>26</v>
      </c>
      <c r="D15" s="50">
        <v>2</v>
      </c>
      <c r="E15" s="50">
        <v>0</v>
      </c>
      <c r="F15" s="50">
        <v>13</v>
      </c>
      <c r="G15" s="50">
        <v>2</v>
      </c>
      <c r="H15" s="50">
        <v>0</v>
      </c>
      <c r="I15" s="50">
        <v>4</v>
      </c>
      <c r="J15" s="50">
        <v>4</v>
      </c>
      <c r="K15" s="50">
        <v>0</v>
      </c>
      <c r="L15" s="50">
        <v>0</v>
      </c>
      <c r="M15" s="50">
        <v>60</v>
      </c>
      <c r="N15" s="50">
        <v>0</v>
      </c>
      <c r="O15" s="15">
        <f t="shared" si="0"/>
        <v>51</v>
      </c>
      <c r="P15" s="15">
        <f t="shared" si="1"/>
        <v>111</v>
      </c>
      <c r="R15" s="1" t="s">
        <v>11</v>
      </c>
      <c r="S15" s="17">
        <f t="shared" ref="S15:AF15" si="7">SUM(C30:C33)</f>
        <v>145</v>
      </c>
      <c r="T15" s="17">
        <f t="shared" si="7"/>
        <v>15</v>
      </c>
      <c r="U15" s="17">
        <f t="shared" si="7"/>
        <v>22</v>
      </c>
      <c r="V15" s="17">
        <f t="shared" si="7"/>
        <v>53</v>
      </c>
      <c r="W15" s="17">
        <f t="shared" si="7"/>
        <v>6</v>
      </c>
      <c r="X15" s="17">
        <f t="shared" si="7"/>
        <v>0</v>
      </c>
      <c r="Y15" s="17">
        <f t="shared" si="7"/>
        <v>23</v>
      </c>
      <c r="Z15" s="17">
        <f t="shared" si="7"/>
        <v>16</v>
      </c>
      <c r="AA15" s="17">
        <f t="shared" si="7"/>
        <v>8</v>
      </c>
      <c r="AB15" s="17">
        <f t="shared" si="7"/>
        <v>17</v>
      </c>
      <c r="AC15" s="17">
        <f t="shared" si="7"/>
        <v>366</v>
      </c>
      <c r="AD15" s="17">
        <f t="shared" si="7"/>
        <v>0</v>
      </c>
      <c r="AE15" s="31">
        <f t="shared" si="7"/>
        <v>305</v>
      </c>
      <c r="AF15" s="31">
        <f t="shared" si="7"/>
        <v>671</v>
      </c>
    </row>
    <row r="16" spans="2:32" ht="23.1" customHeight="1" x14ac:dyDescent="0.25">
      <c r="B16" s="45" t="s">
        <v>43</v>
      </c>
      <c r="C16" s="50">
        <v>45</v>
      </c>
      <c r="D16" s="50">
        <v>6</v>
      </c>
      <c r="E16" s="50">
        <v>10</v>
      </c>
      <c r="F16" s="50">
        <v>20</v>
      </c>
      <c r="G16" s="50">
        <v>1</v>
      </c>
      <c r="H16" s="50">
        <v>0</v>
      </c>
      <c r="I16" s="50">
        <v>6</v>
      </c>
      <c r="J16" s="50">
        <v>2</v>
      </c>
      <c r="K16" s="50">
        <v>1</v>
      </c>
      <c r="L16" s="50">
        <v>0</v>
      </c>
      <c r="M16" s="50">
        <v>120</v>
      </c>
      <c r="N16" s="50">
        <v>0</v>
      </c>
      <c r="O16" s="15">
        <f t="shared" si="0"/>
        <v>91</v>
      </c>
      <c r="P16" s="15">
        <f t="shared" si="1"/>
        <v>211</v>
      </c>
      <c r="R16" s="1" t="s">
        <v>12</v>
      </c>
      <c r="S16" s="17">
        <f t="shared" ref="S16:AF16" si="8">SUM(C34:C37)</f>
        <v>194</v>
      </c>
      <c r="T16" s="17">
        <f t="shared" si="8"/>
        <v>23</v>
      </c>
      <c r="U16" s="17">
        <f t="shared" si="8"/>
        <v>16</v>
      </c>
      <c r="V16" s="17">
        <f t="shared" si="8"/>
        <v>43</v>
      </c>
      <c r="W16" s="17">
        <f t="shared" si="8"/>
        <v>4</v>
      </c>
      <c r="X16" s="17">
        <f t="shared" si="8"/>
        <v>0</v>
      </c>
      <c r="Y16" s="17">
        <f t="shared" si="8"/>
        <v>23</v>
      </c>
      <c r="Z16" s="17">
        <f t="shared" si="8"/>
        <v>23</v>
      </c>
      <c r="AA16" s="17">
        <f t="shared" si="8"/>
        <v>10</v>
      </c>
      <c r="AB16" s="17">
        <f t="shared" si="8"/>
        <v>19</v>
      </c>
      <c r="AC16" s="17">
        <f t="shared" si="8"/>
        <v>395</v>
      </c>
      <c r="AD16" s="17">
        <f t="shared" si="8"/>
        <v>0</v>
      </c>
      <c r="AE16" s="31">
        <f t="shared" si="8"/>
        <v>355</v>
      </c>
      <c r="AF16" s="31">
        <f t="shared" si="8"/>
        <v>750</v>
      </c>
    </row>
    <row r="17" spans="2:32" ht="23.1" customHeight="1" x14ac:dyDescent="0.25">
      <c r="B17" s="45" t="s">
        <v>44</v>
      </c>
      <c r="C17" s="50">
        <v>25</v>
      </c>
      <c r="D17" s="50">
        <v>3</v>
      </c>
      <c r="E17" s="50">
        <v>2</v>
      </c>
      <c r="F17" s="50">
        <v>12</v>
      </c>
      <c r="G17" s="50">
        <v>2</v>
      </c>
      <c r="H17" s="50">
        <v>0</v>
      </c>
      <c r="I17" s="50">
        <v>3</v>
      </c>
      <c r="J17" s="50">
        <v>0</v>
      </c>
      <c r="K17" s="50">
        <v>1</v>
      </c>
      <c r="L17" s="50">
        <v>0</v>
      </c>
      <c r="M17" s="50">
        <v>41</v>
      </c>
      <c r="N17" s="50">
        <v>0</v>
      </c>
      <c r="O17" s="15">
        <f t="shared" si="0"/>
        <v>48</v>
      </c>
      <c r="P17" s="15">
        <f t="shared" si="1"/>
        <v>89</v>
      </c>
      <c r="R17" s="1" t="s">
        <v>13</v>
      </c>
      <c r="S17" s="17">
        <f t="shared" ref="S17:AF17" si="9">SUM(C38:C41)</f>
        <v>189</v>
      </c>
      <c r="T17" s="17">
        <f t="shared" si="9"/>
        <v>20</v>
      </c>
      <c r="U17" s="17">
        <f t="shared" si="9"/>
        <v>33</v>
      </c>
      <c r="V17" s="17">
        <f t="shared" si="9"/>
        <v>64</v>
      </c>
      <c r="W17" s="17">
        <f t="shared" si="9"/>
        <v>4</v>
      </c>
      <c r="X17" s="17">
        <f t="shared" si="9"/>
        <v>0</v>
      </c>
      <c r="Y17" s="17">
        <f t="shared" si="9"/>
        <v>46</v>
      </c>
      <c r="Z17" s="17">
        <f t="shared" si="9"/>
        <v>22</v>
      </c>
      <c r="AA17" s="17">
        <f t="shared" si="9"/>
        <v>16</v>
      </c>
      <c r="AB17" s="17">
        <f t="shared" si="9"/>
        <v>19</v>
      </c>
      <c r="AC17" s="17">
        <f t="shared" si="9"/>
        <v>605</v>
      </c>
      <c r="AD17" s="17">
        <f t="shared" si="9"/>
        <v>0</v>
      </c>
      <c r="AE17" s="31">
        <f t="shared" si="9"/>
        <v>413</v>
      </c>
      <c r="AF17" s="31">
        <f t="shared" si="9"/>
        <v>1018</v>
      </c>
    </row>
    <row r="18" spans="2:32" ht="23.1" customHeight="1" x14ac:dyDescent="0.25">
      <c r="B18" s="45" t="s">
        <v>45</v>
      </c>
      <c r="C18" s="50">
        <v>41</v>
      </c>
      <c r="D18" s="50">
        <v>7</v>
      </c>
      <c r="E18" s="50">
        <v>6</v>
      </c>
      <c r="F18" s="50">
        <v>12</v>
      </c>
      <c r="G18" s="50">
        <v>4</v>
      </c>
      <c r="H18" s="50">
        <v>0</v>
      </c>
      <c r="I18" s="50">
        <v>7</v>
      </c>
      <c r="J18" s="50">
        <v>4</v>
      </c>
      <c r="K18" s="50">
        <v>0</v>
      </c>
      <c r="L18" s="50">
        <v>3</v>
      </c>
      <c r="M18" s="50">
        <v>119</v>
      </c>
      <c r="N18" s="50">
        <v>0</v>
      </c>
      <c r="O18" s="15">
        <f t="shared" si="0"/>
        <v>84</v>
      </c>
      <c r="P18" s="15">
        <f t="shared" si="1"/>
        <v>203</v>
      </c>
      <c r="R18" s="1" t="s">
        <v>14</v>
      </c>
      <c r="S18" s="17">
        <f t="shared" ref="S18:AF18" si="10">SUM(C42:C45)</f>
        <v>263</v>
      </c>
      <c r="T18" s="17">
        <f t="shared" si="10"/>
        <v>33</v>
      </c>
      <c r="U18" s="17">
        <f t="shared" si="10"/>
        <v>42</v>
      </c>
      <c r="V18" s="17">
        <f t="shared" si="10"/>
        <v>84</v>
      </c>
      <c r="W18" s="17">
        <f t="shared" si="10"/>
        <v>10</v>
      </c>
      <c r="X18" s="17">
        <f t="shared" si="10"/>
        <v>1</v>
      </c>
      <c r="Y18" s="17">
        <f t="shared" si="10"/>
        <v>33</v>
      </c>
      <c r="Z18" s="17">
        <f t="shared" si="10"/>
        <v>26</v>
      </c>
      <c r="AA18" s="17">
        <f t="shared" si="10"/>
        <v>10</v>
      </c>
      <c r="AB18" s="17">
        <f t="shared" si="10"/>
        <v>31</v>
      </c>
      <c r="AC18" s="17">
        <f t="shared" si="10"/>
        <v>490</v>
      </c>
      <c r="AD18" s="17">
        <f t="shared" si="10"/>
        <v>0</v>
      </c>
      <c r="AE18" s="31">
        <f t="shared" si="10"/>
        <v>533</v>
      </c>
      <c r="AF18" s="31">
        <f t="shared" si="10"/>
        <v>1023</v>
      </c>
    </row>
    <row r="19" spans="2:32" ht="23.1" customHeight="1" x14ac:dyDescent="0.25">
      <c r="B19" s="45" t="s">
        <v>46</v>
      </c>
      <c r="C19" s="50">
        <v>43</v>
      </c>
      <c r="D19" s="50">
        <v>12</v>
      </c>
      <c r="E19" s="50">
        <v>5</v>
      </c>
      <c r="F19" s="50">
        <v>20</v>
      </c>
      <c r="G19" s="50">
        <v>0</v>
      </c>
      <c r="H19" s="50">
        <v>0</v>
      </c>
      <c r="I19" s="50">
        <v>6</v>
      </c>
      <c r="J19" s="50">
        <v>6</v>
      </c>
      <c r="K19" s="50">
        <v>3</v>
      </c>
      <c r="L19" s="50">
        <v>1</v>
      </c>
      <c r="M19" s="50">
        <v>162</v>
      </c>
      <c r="N19" s="50">
        <v>0</v>
      </c>
      <c r="O19" s="15">
        <f t="shared" si="0"/>
        <v>96</v>
      </c>
      <c r="P19" s="15">
        <f t="shared" si="1"/>
        <v>258</v>
      </c>
      <c r="R19" s="1" t="s">
        <v>15</v>
      </c>
      <c r="S19" s="17">
        <f t="shared" ref="S19:AF19" si="11">SUM(C46:C49)</f>
        <v>252</v>
      </c>
      <c r="T19" s="17">
        <f t="shared" si="11"/>
        <v>24</v>
      </c>
      <c r="U19" s="17">
        <f t="shared" si="11"/>
        <v>55</v>
      </c>
      <c r="V19" s="17">
        <f t="shared" si="11"/>
        <v>56</v>
      </c>
      <c r="W19" s="17">
        <f t="shared" si="11"/>
        <v>10</v>
      </c>
      <c r="X19" s="17">
        <f t="shared" si="11"/>
        <v>0</v>
      </c>
      <c r="Y19" s="17">
        <f t="shared" si="11"/>
        <v>25</v>
      </c>
      <c r="Z19" s="17">
        <f t="shared" si="11"/>
        <v>20</v>
      </c>
      <c r="AA19" s="17">
        <f t="shared" si="11"/>
        <v>7</v>
      </c>
      <c r="AB19" s="17">
        <f t="shared" si="11"/>
        <v>13</v>
      </c>
      <c r="AC19" s="17">
        <f t="shared" si="11"/>
        <v>510</v>
      </c>
      <c r="AD19" s="17">
        <f t="shared" si="11"/>
        <v>1</v>
      </c>
      <c r="AE19" s="31">
        <f t="shared" si="11"/>
        <v>463</v>
      </c>
      <c r="AF19" s="31">
        <f t="shared" si="11"/>
        <v>973</v>
      </c>
    </row>
    <row r="20" spans="2:32" ht="23.1" customHeight="1" x14ac:dyDescent="0.25">
      <c r="B20" s="45" t="s">
        <v>47</v>
      </c>
      <c r="C20" s="50">
        <v>40</v>
      </c>
      <c r="D20" s="50">
        <v>13</v>
      </c>
      <c r="E20" s="50">
        <v>7</v>
      </c>
      <c r="F20" s="50">
        <v>25</v>
      </c>
      <c r="G20" s="50">
        <v>0</v>
      </c>
      <c r="H20" s="50">
        <v>0</v>
      </c>
      <c r="I20" s="50">
        <v>11</v>
      </c>
      <c r="J20" s="50">
        <v>3</v>
      </c>
      <c r="K20" s="50">
        <v>1</v>
      </c>
      <c r="L20" s="50">
        <v>2</v>
      </c>
      <c r="M20" s="50">
        <v>165</v>
      </c>
      <c r="N20" s="50">
        <v>0</v>
      </c>
      <c r="O20" s="15">
        <f t="shared" si="0"/>
        <v>102</v>
      </c>
      <c r="P20" s="15">
        <f t="shared" si="1"/>
        <v>267</v>
      </c>
      <c r="R20" s="1" t="s">
        <v>16</v>
      </c>
      <c r="S20" s="17">
        <f t="shared" ref="S20:AF20" si="12">SUM(C50:C53)</f>
        <v>264</v>
      </c>
      <c r="T20" s="17">
        <f t="shared" si="12"/>
        <v>35</v>
      </c>
      <c r="U20" s="17">
        <f t="shared" si="12"/>
        <v>35</v>
      </c>
      <c r="V20" s="17">
        <f t="shared" si="12"/>
        <v>69</v>
      </c>
      <c r="W20" s="17">
        <f t="shared" si="12"/>
        <v>12</v>
      </c>
      <c r="X20" s="17">
        <f t="shared" si="12"/>
        <v>0</v>
      </c>
      <c r="Y20" s="17">
        <f t="shared" si="12"/>
        <v>21</v>
      </c>
      <c r="Z20" s="17">
        <f t="shared" si="12"/>
        <v>16</v>
      </c>
      <c r="AA20" s="17">
        <f t="shared" si="12"/>
        <v>8</v>
      </c>
      <c r="AB20" s="17">
        <f t="shared" si="12"/>
        <v>16</v>
      </c>
      <c r="AC20" s="17">
        <f t="shared" si="12"/>
        <v>395</v>
      </c>
      <c r="AD20" s="17">
        <f t="shared" si="12"/>
        <v>1</v>
      </c>
      <c r="AE20" s="31">
        <f t="shared" si="12"/>
        <v>477</v>
      </c>
      <c r="AF20" s="31">
        <f t="shared" si="12"/>
        <v>872</v>
      </c>
    </row>
    <row r="21" spans="2:32" ht="23.1" customHeight="1" x14ac:dyDescent="0.25">
      <c r="B21" s="45" t="s">
        <v>48</v>
      </c>
      <c r="C21" s="50">
        <v>55</v>
      </c>
      <c r="D21" s="50">
        <v>12</v>
      </c>
      <c r="E21" s="50">
        <v>15</v>
      </c>
      <c r="F21" s="50">
        <v>25</v>
      </c>
      <c r="G21" s="50">
        <v>3</v>
      </c>
      <c r="H21" s="50">
        <v>0</v>
      </c>
      <c r="I21" s="50">
        <v>7</v>
      </c>
      <c r="J21" s="50">
        <v>8</v>
      </c>
      <c r="K21" s="50">
        <v>4</v>
      </c>
      <c r="L21" s="50">
        <v>3</v>
      </c>
      <c r="M21" s="50">
        <v>130</v>
      </c>
      <c r="N21" s="50">
        <v>0</v>
      </c>
      <c r="O21" s="15">
        <f t="shared" si="0"/>
        <v>132</v>
      </c>
      <c r="P21" s="15">
        <f t="shared" si="1"/>
        <v>262</v>
      </c>
      <c r="R21" s="36" t="s">
        <v>20</v>
      </c>
      <c r="S21" s="34">
        <f t="shared" ref="S21:AF21" si="13">SUM(C54:C57)</f>
        <v>309</v>
      </c>
      <c r="T21" s="17">
        <f t="shared" si="13"/>
        <v>31</v>
      </c>
      <c r="U21" s="17">
        <f t="shared" si="13"/>
        <v>26</v>
      </c>
      <c r="V21" s="17">
        <f t="shared" si="13"/>
        <v>61</v>
      </c>
      <c r="W21" s="17">
        <f t="shared" si="13"/>
        <v>9</v>
      </c>
      <c r="X21" s="17">
        <f t="shared" si="13"/>
        <v>0</v>
      </c>
      <c r="Y21" s="17">
        <f t="shared" si="13"/>
        <v>21</v>
      </c>
      <c r="Z21" s="17">
        <f t="shared" si="13"/>
        <v>17</v>
      </c>
      <c r="AA21" s="17">
        <f t="shared" si="13"/>
        <v>1</v>
      </c>
      <c r="AB21" s="17">
        <f t="shared" si="13"/>
        <v>10</v>
      </c>
      <c r="AC21" s="17">
        <f t="shared" si="13"/>
        <v>395</v>
      </c>
      <c r="AD21" s="17">
        <f t="shared" si="13"/>
        <v>1</v>
      </c>
      <c r="AE21" s="31">
        <f t="shared" si="13"/>
        <v>486</v>
      </c>
      <c r="AF21" s="31">
        <f t="shared" si="13"/>
        <v>881</v>
      </c>
    </row>
    <row r="22" spans="2:32" ht="23.1" customHeight="1" x14ac:dyDescent="0.25">
      <c r="B22" s="45" t="s">
        <v>49</v>
      </c>
      <c r="C22" s="50">
        <v>45</v>
      </c>
      <c r="D22" s="50">
        <v>7</v>
      </c>
      <c r="E22" s="50">
        <v>3</v>
      </c>
      <c r="F22" s="50">
        <v>5</v>
      </c>
      <c r="G22" s="50">
        <v>0</v>
      </c>
      <c r="H22" s="50">
        <v>0</v>
      </c>
      <c r="I22" s="50">
        <v>7</v>
      </c>
      <c r="J22" s="50">
        <v>2</v>
      </c>
      <c r="K22" s="50">
        <v>1</v>
      </c>
      <c r="L22" s="50">
        <v>1</v>
      </c>
      <c r="M22" s="50">
        <v>75</v>
      </c>
      <c r="N22" s="50">
        <v>0</v>
      </c>
      <c r="O22" s="15">
        <f t="shared" si="0"/>
        <v>71</v>
      </c>
      <c r="P22" s="15">
        <f t="shared" si="1"/>
        <v>146</v>
      </c>
      <c r="R22" s="36" t="s">
        <v>146</v>
      </c>
      <c r="S22" s="34">
        <f>SUM(C58:C61)</f>
        <v>252</v>
      </c>
      <c r="T22" s="34">
        <f t="shared" ref="T22:AF22" si="14">SUM(D58:D61)</f>
        <v>42</v>
      </c>
      <c r="U22" s="34">
        <f t="shared" si="14"/>
        <v>16</v>
      </c>
      <c r="V22" s="34">
        <f t="shared" si="14"/>
        <v>55</v>
      </c>
      <c r="W22" s="34">
        <f t="shared" si="14"/>
        <v>12</v>
      </c>
      <c r="X22" s="34">
        <f t="shared" si="14"/>
        <v>3</v>
      </c>
      <c r="Y22" s="34">
        <f t="shared" si="14"/>
        <v>22</v>
      </c>
      <c r="Z22" s="34">
        <f t="shared" si="14"/>
        <v>5</v>
      </c>
      <c r="AA22" s="34">
        <f t="shared" si="14"/>
        <v>5</v>
      </c>
      <c r="AB22" s="34">
        <f t="shared" si="14"/>
        <v>6</v>
      </c>
      <c r="AC22" s="34">
        <f t="shared" si="14"/>
        <v>732</v>
      </c>
      <c r="AD22" s="34">
        <f t="shared" si="14"/>
        <v>0</v>
      </c>
      <c r="AE22" s="31">
        <f t="shared" si="14"/>
        <v>418</v>
      </c>
      <c r="AF22" s="31">
        <f t="shared" si="14"/>
        <v>1150</v>
      </c>
    </row>
    <row r="23" spans="2:32" ht="23.1" customHeight="1" x14ac:dyDescent="0.25">
      <c r="B23" s="45" t="s">
        <v>50</v>
      </c>
      <c r="C23" s="50">
        <v>43</v>
      </c>
      <c r="D23" s="50">
        <v>3</v>
      </c>
      <c r="E23" s="50">
        <v>11</v>
      </c>
      <c r="F23" s="50">
        <v>22</v>
      </c>
      <c r="G23" s="50">
        <v>4</v>
      </c>
      <c r="H23" s="50">
        <v>0</v>
      </c>
      <c r="I23" s="50">
        <v>8</v>
      </c>
      <c r="J23" s="50">
        <v>6</v>
      </c>
      <c r="K23" s="50">
        <v>5</v>
      </c>
      <c r="L23" s="50">
        <v>5</v>
      </c>
      <c r="M23" s="50">
        <v>125</v>
      </c>
      <c r="N23" s="50">
        <v>0</v>
      </c>
      <c r="O23" s="15">
        <f t="shared" si="0"/>
        <v>107</v>
      </c>
      <c r="P23" s="15">
        <f t="shared" si="1"/>
        <v>232</v>
      </c>
      <c r="R23" s="36" t="s">
        <v>147</v>
      </c>
      <c r="S23" s="34">
        <f>SUM(C62:C65)</f>
        <v>257</v>
      </c>
      <c r="T23" s="34">
        <f t="shared" ref="T23:AF23" si="15">SUM(D62:D65)</f>
        <v>16</v>
      </c>
      <c r="U23" s="34">
        <f t="shared" si="15"/>
        <v>12</v>
      </c>
      <c r="V23" s="34">
        <f t="shared" si="15"/>
        <v>57</v>
      </c>
      <c r="W23" s="34">
        <f t="shared" si="15"/>
        <v>9</v>
      </c>
      <c r="X23" s="34">
        <f t="shared" si="15"/>
        <v>0</v>
      </c>
      <c r="Y23" s="34">
        <f t="shared" si="15"/>
        <v>13</v>
      </c>
      <c r="Z23" s="34">
        <f t="shared" si="15"/>
        <v>6</v>
      </c>
      <c r="AA23" s="34">
        <f t="shared" si="15"/>
        <v>2</v>
      </c>
      <c r="AB23" s="34">
        <f t="shared" si="15"/>
        <v>2</v>
      </c>
      <c r="AC23" s="34">
        <f t="shared" si="15"/>
        <v>932</v>
      </c>
      <c r="AD23" s="34">
        <f t="shared" si="15"/>
        <v>0</v>
      </c>
      <c r="AE23" s="31">
        <f t="shared" si="15"/>
        <v>374</v>
      </c>
      <c r="AF23" s="31">
        <f t="shared" si="15"/>
        <v>1306</v>
      </c>
    </row>
    <row r="24" spans="2:32" ht="23.1" customHeight="1" x14ac:dyDescent="0.25">
      <c r="B24" s="45" t="s">
        <v>51</v>
      </c>
      <c r="C24" s="50">
        <v>42</v>
      </c>
      <c r="D24" s="50">
        <v>14</v>
      </c>
      <c r="E24" s="50">
        <v>12</v>
      </c>
      <c r="F24" s="50">
        <v>20</v>
      </c>
      <c r="G24" s="50">
        <v>3</v>
      </c>
      <c r="H24" s="50">
        <v>0</v>
      </c>
      <c r="I24" s="50">
        <v>13</v>
      </c>
      <c r="J24" s="50">
        <v>6</v>
      </c>
      <c r="K24" s="50">
        <v>3</v>
      </c>
      <c r="L24" s="50">
        <v>5</v>
      </c>
      <c r="M24" s="50">
        <v>170</v>
      </c>
      <c r="N24" s="50">
        <v>0</v>
      </c>
      <c r="O24" s="15">
        <f t="shared" si="0"/>
        <v>118</v>
      </c>
      <c r="P24" s="15">
        <f t="shared" si="1"/>
        <v>288</v>
      </c>
      <c r="R24" s="36" t="s">
        <v>148</v>
      </c>
      <c r="S24" s="34">
        <f>SUM(C66:C69)</f>
        <v>310</v>
      </c>
      <c r="T24" s="34">
        <f t="shared" ref="T24:AF24" si="16">SUM(D66:D69)</f>
        <v>33</v>
      </c>
      <c r="U24" s="34">
        <f t="shared" si="16"/>
        <v>22</v>
      </c>
      <c r="V24" s="34">
        <f t="shared" si="16"/>
        <v>66</v>
      </c>
      <c r="W24" s="34">
        <f t="shared" si="16"/>
        <v>11</v>
      </c>
      <c r="X24" s="34">
        <f t="shared" si="16"/>
        <v>0</v>
      </c>
      <c r="Y24" s="34">
        <f t="shared" si="16"/>
        <v>23</v>
      </c>
      <c r="Z24" s="34">
        <f t="shared" si="16"/>
        <v>2</v>
      </c>
      <c r="AA24" s="34">
        <f t="shared" si="16"/>
        <v>5</v>
      </c>
      <c r="AB24" s="34">
        <f t="shared" si="16"/>
        <v>0</v>
      </c>
      <c r="AC24" s="34">
        <f t="shared" si="16"/>
        <v>685</v>
      </c>
      <c r="AD24" s="34">
        <f t="shared" si="16"/>
        <v>0</v>
      </c>
      <c r="AE24" s="31">
        <f t="shared" si="16"/>
        <v>472</v>
      </c>
      <c r="AF24" s="31">
        <f t="shared" si="16"/>
        <v>1157</v>
      </c>
    </row>
    <row r="25" spans="2:32" ht="23.1" customHeight="1" x14ac:dyDescent="0.25">
      <c r="B25" s="45" t="s">
        <v>52</v>
      </c>
      <c r="C25" s="50">
        <v>43</v>
      </c>
      <c r="D25" s="50">
        <v>9</v>
      </c>
      <c r="E25" s="50">
        <v>5</v>
      </c>
      <c r="F25" s="50">
        <v>10</v>
      </c>
      <c r="G25" s="50">
        <v>2</v>
      </c>
      <c r="H25" s="50">
        <v>0</v>
      </c>
      <c r="I25" s="50">
        <v>8</v>
      </c>
      <c r="J25" s="50">
        <v>2</v>
      </c>
      <c r="K25" s="50">
        <v>2</v>
      </c>
      <c r="L25" s="50">
        <v>7</v>
      </c>
      <c r="M25" s="50">
        <v>95</v>
      </c>
      <c r="N25" s="50">
        <v>0</v>
      </c>
      <c r="O25" s="15">
        <f t="shared" si="0"/>
        <v>88</v>
      </c>
      <c r="P25" s="15">
        <f t="shared" si="1"/>
        <v>183</v>
      </c>
      <c r="R25" s="36" t="s">
        <v>149</v>
      </c>
      <c r="S25" s="34">
        <f>SUM(C70:C73)</f>
        <v>392</v>
      </c>
      <c r="T25" s="34">
        <f t="shared" ref="T25:AF25" si="17">SUM(D70:D73)</f>
        <v>32</v>
      </c>
      <c r="U25" s="34">
        <f t="shared" si="17"/>
        <v>40</v>
      </c>
      <c r="V25" s="34">
        <f t="shared" si="17"/>
        <v>65</v>
      </c>
      <c r="W25" s="34">
        <f t="shared" si="17"/>
        <v>4</v>
      </c>
      <c r="X25" s="34">
        <f t="shared" si="17"/>
        <v>0</v>
      </c>
      <c r="Y25" s="34">
        <f t="shared" si="17"/>
        <v>22</v>
      </c>
      <c r="Z25" s="34">
        <f t="shared" si="17"/>
        <v>11</v>
      </c>
      <c r="AA25" s="34">
        <f t="shared" si="17"/>
        <v>4</v>
      </c>
      <c r="AB25" s="34">
        <f t="shared" si="17"/>
        <v>3</v>
      </c>
      <c r="AC25" s="34">
        <f t="shared" si="17"/>
        <v>686</v>
      </c>
      <c r="AD25" s="34">
        <f t="shared" si="17"/>
        <v>0</v>
      </c>
      <c r="AE25" s="31">
        <f t="shared" si="17"/>
        <v>573</v>
      </c>
      <c r="AF25" s="31">
        <f t="shared" si="17"/>
        <v>1259</v>
      </c>
    </row>
    <row r="26" spans="2:32" ht="23.1" customHeight="1" x14ac:dyDescent="0.25">
      <c r="B26" s="45" t="s">
        <v>53</v>
      </c>
      <c r="C26" s="50">
        <v>30</v>
      </c>
      <c r="D26" s="50">
        <v>11</v>
      </c>
      <c r="E26" s="50">
        <v>10</v>
      </c>
      <c r="F26" s="50">
        <v>11</v>
      </c>
      <c r="G26" s="50">
        <v>0</v>
      </c>
      <c r="H26" s="50">
        <v>0</v>
      </c>
      <c r="I26" s="50">
        <v>10</v>
      </c>
      <c r="J26" s="50">
        <v>3</v>
      </c>
      <c r="K26" s="50">
        <v>0</v>
      </c>
      <c r="L26" s="50">
        <v>3</v>
      </c>
      <c r="M26" s="50">
        <v>85</v>
      </c>
      <c r="N26" s="50">
        <v>0</v>
      </c>
      <c r="O26" s="15">
        <f t="shared" si="0"/>
        <v>78</v>
      </c>
      <c r="P26" s="15">
        <f t="shared" si="1"/>
        <v>163</v>
      </c>
      <c r="R26" s="36" t="s">
        <v>150</v>
      </c>
      <c r="S26" s="34">
        <f>SUM(C74:C77)</f>
        <v>203</v>
      </c>
      <c r="T26" s="34">
        <f t="shared" ref="T26:AF26" si="18">SUM(D74:D77)</f>
        <v>23</v>
      </c>
      <c r="U26" s="34">
        <f t="shared" si="18"/>
        <v>13</v>
      </c>
      <c r="V26" s="34">
        <f t="shared" si="18"/>
        <v>24</v>
      </c>
      <c r="W26" s="34">
        <f t="shared" si="18"/>
        <v>2</v>
      </c>
      <c r="X26" s="34">
        <f t="shared" si="18"/>
        <v>0</v>
      </c>
      <c r="Y26" s="34">
        <f t="shared" si="18"/>
        <v>13</v>
      </c>
      <c r="Z26" s="34">
        <f t="shared" si="18"/>
        <v>5</v>
      </c>
      <c r="AA26" s="34">
        <f t="shared" si="18"/>
        <v>0</v>
      </c>
      <c r="AB26" s="34">
        <f t="shared" si="18"/>
        <v>0</v>
      </c>
      <c r="AC26" s="34">
        <f t="shared" si="18"/>
        <v>490</v>
      </c>
      <c r="AD26" s="34">
        <f t="shared" si="18"/>
        <v>0</v>
      </c>
      <c r="AE26" s="31">
        <f t="shared" si="18"/>
        <v>283</v>
      </c>
      <c r="AF26" s="31">
        <f t="shared" si="18"/>
        <v>773</v>
      </c>
    </row>
    <row r="27" spans="2:32" ht="23.1" customHeight="1" x14ac:dyDescent="0.25">
      <c r="B27" s="45" t="s">
        <v>54</v>
      </c>
      <c r="C27" s="50">
        <v>32</v>
      </c>
      <c r="D27" s="50">
        <v>6</v>
      </c>
      <c r="E27" s="50">
        <v>6</v>
      </c>
      <c r="F27" s="50">
        <v>16</v>
      </c>
      <c r="G27" s="50">
        <v>1</v>
      </c>
      <c r="H27" s="50">
        <v>0</v>
      </c>
      <c r="I27" s="50">
        <v>10</v>
      </c>
      <c r="J27" s="50">
        <v>2</v>
      </c>
      <c r="K27" s="50">
        <v>5</v>
      </c>
      <c r="L27" s="50">
        <v>2</v>
      </c>
      <c r="M27" s="50">
        <v>105</v>
      </c>
      <c r="N27" s="50">
        <v>0</v>
      </c>
      <c r="O27" s="15">
        <f t="shared" si="0"/>
        <v>80</v>
      </c>
      <c r="P27" s="15">
        <f t="shared" si="1"/>
        <v>185</v>
      </c>
      <c r="R27" s="36" t="s">
        <v>151</v>
      </c>
      <c r="S27" s="34">
        <f>SUM(C78:C81)</f>
        <v>95</v>
      </c>
      <c r="T27" s="34">
        <f t="shared" ref="T27:AF27" si="19">SUM(D78:D81)</f>
        <v>8</v>
      </c>
      <c r="U27" s="34">
        <f t="shared" si="19"/>
        <v>10</v>
      </c>
      <c r="V27" s="34">
        <f t="shared" si="19"/>
        <v>18</v>
      </c>
      <c r="W27" s="34">
        <f t="shared" si="19"/>
        <v>0</v>
      </c>
      <c r="X27" s="34">
        <f t="shared" si="19"/>
        <v>0</v>
      </c>
      <c r="Y27" s="34">
        <f t="shared" si="19"/>
        <v>9</v>
      </c>
      <c r="Z27" s="34">
        <f t="shared" si="19"/>
        <v>0</v>
      </c>
      <c r="AA27" s="34">
        <f t="shared" si="19"/>
        <v>0</v>
      </c>
      <c r="AB27" s="34">
        <f t="shared" si="19"/>
        <v>3</v>
      </c>
      <c r="AC27" s="34">
        <f t="shared" si="19"/>
        <v>322</v>
      </c>
      <c r="AD27" s="34">
        <f t="shared" si="19"/>
        <v>0</v>
      </c>
      <c r="AE27" s="31">
        <f t="shared" si="19"/>
        <v>143</v>
      </c>
      <c r="AF27" s="31">
        <f t="shared" si="19"/>
        <v>465</v>
      </c>
    </row>
    <row r="28" spans="2:32" ht="23.1" customHeight="1" x14ac:dyDescent="0.25">
      <c r="B28" s="45" t="s">
        <v>55</v>
      </c>
      <c r="C28" s="50">
        <v>47</v>
      </c>
      <c r="D28" s="50">
        <v>4</v>
      </c>
      <c r="E28" s="50">
        <v>2</v>
      </c>
      <c r="F28" s="50">
        <v>16</v>
      </c>
      <c r="G28" s="50">
        <v>3</v>
      </c>
      <c r="H28" s="50">
        <v>0</v>
      </c>
      <c r="I28" s="50">
        <v>9</v>
      </c>
      <c r="J28" s="50">
        <v>1</v>
      </c>
      <c r="K28" s="50">
        <v>0</v>
      </c>
      <c r="L28" s="50">
        <v>2</v>
      </c>
      <c r="M28" s="50">
        <v>135</v>
      </c>
      <c r="N28" s="50">
        <v>0</v>
      </c>
      <c r="O28" s="15">
        <f t="shared" si="0"/>
        <v>84</v>
      </c>
      <c r="P28" s="15">
        <f t="shared" si="1"/>
        <v>219</v>
      </c>
      <c r="R28" s="36" t="s">
        <v>152</v>
      </c>
      <c r="S28" s="34">
        <f>SUM(C82:C85)</f>
        <v>82</v>
      </c>
      <c r="T28" s="34">
        <f t="shared" ref="T28:AF28" si="20">SUM(D82:D85)</f>
        <v>3</v>
      </c>
      <c r="U28" s="34">
        <f t="shared" si="20"/>
        <v>5</v>
      </c>
      <c r="V28" s="34">
        <f t="shared" si="20"/>
        <v>9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5</v>
      </c>
      <c r="AA28" s="34">
        <f t="shared" si="20"/>
        <v>2</v>
      </c>
      <c r="AB28" s="34">
        <f t="shared" si="20"/>
        <v>1</v>
      </c>
      <c r="AC28" s="34">
        <f t="shared" si="20"/>
        <v>197</v>
      </c>
      <c r="AD28" s="34">
        <f t="shared" si="20"/>
        <v>0</v>
      </c>
      <c r="AE28" s="31">
        <f t="shared" si="20"/>
        <v>110</v>
      </c>
      <c r="AF28" s="31">
        <f t="shared" si="20"/>
        <v>307</v>
      </c>
    </row>
    <row r="29" spans="2:32" ht="23.1" customHeight="1" x14ac:dyDescent="0.25">
      <c r="B29" s="45" t="s">
        <v>56</v>
      </c>
      <c r="C29" s="50">
        <v>27</v>
      </c>
      <c r="D29" s="50">
        <v>3</v>
      </c>
      <c r="E29" s="50">
        <v>4</v>
      </c>
      <c r="F29" s="50">
        <v>7</v>
      </c>
      <c r="G29" s="50">
        <v>1</v>
      </c>
      <c r="H29" s="50">
        <v>0</v>
      </c>
      <c r="I29" s="50">
        <v>8</v>
      </c>
      <c r="J29" s="50">
        <v>4</v>
      </c>
      <c r="K29" s="50">
        <v>0</v>
      </c>
      <c r="L29" s="50">
        <v>2</v>
      </c>
      <c r="M29" s="50">
        <v>95</v>
      </c>
      <c r="N29" s="50">
        <v>0</v>
      </c>
      <c r="O29" s="15">
        <f t="shared" si="0"/>
        <v>56</v>
      </c>
      <c r="P29" s="15">
        <f t="shared" si="1"/>
        <v>151</v>
      </c>
      <c r="R29" s="36" t="s">
        <v>153</v>
      </c>
      <c r="S29" s="34">
        <f>SUM(C86:C89)</f>
        <v>49</v>
      </c>
      <c r="T29" s="34">
        <f t="shared" ref="T29:AF29" si="21">SUM(D86:D89)</f>
        <v>9</v>
      </c>
      <c r="U29" s="34">
        <f t="shared" si="21"/>
        <v>2</v>
      </c>
      <c r="V29" s="34">
        <f t="shared" si="21"/>
        <v>12</v>
      </c>
      <c r="W29" s="34">
        <f t="shared" si="21"/>
        <v>0</v>
      </c>
      <c r="X29" s="34">
        <f t="shared" si="21"/>
        <v>0</v>
      </c>
      <c r="Y29" s="34">
        <f t="shared" si="21"/>
        <v>5</v>
      </c>
      <c r="Z29" s="34">
        <f t="shared" si="21"/>
        <v>6</v>
      </c>
      <c r="AA29" s="34">
        <f t="shared" si="21"/>
        <v>2</v>
      </c>
      <c r="AB29" s="34">
        <f t="shared" si="21"/>
        <v>0</v>
      </c>
      <c r="AC29" s="34">
        <f t="shared" si="21"/>
        <v>107</v>
      </c>
      <c r="AD29" s="34">
        <f t="shared" si="21"/>
        <v>0</v>
      </c>
      <c r="AE29" s="31">
        <f t="shared" si="21"/>
        <v>85</v>
      </c>
      <c r="AF29" s="31">
        <f t="shared" si="21"/>
        <v>192</v>
      </c>
    </row>
    <row r="30" spans="2:32" ht="23.1" customHeight="1" x14ac:dyDescent="0.25">
      <c r="B30" s="45" t="s">
        <v>57</v>
      </c>
      <c r="C30" s="50">
        <v>27</v>
      </c>
      <c r="D30" s="50">
        <v>3</v>
      </c>
      <c r="E30" s="50">
        <v>5</v>
      </c>
      <c r="F30" s="50">
        <v>15</v>
      </c>
      <c r="G30" s="50">
        <v>2</v>
      </c>
      <c r="H30" s="50">
        <v>0</v>
      </c>
      <c r="I30" s="50">
        <v>8</v>
      </c>
      <c r="J30" s="50">
        <v>6</v>
      </c>
      <c r="K30" s="50">
        <v>3</v>
      </c>
      <c r="L30" s="50">
        <v>1</v>
      </c>
      <c r="M30" s="50">
        <v>90</v>
      </c>
      <c r="N30" s="50">
        <v>0</v>
      </c>
      <c r="O30" s="15">
        <f t="shared" si="0"/>
        <v>70</v>
      </c>
      <c r="P30" s="15">
        <f t="shared" si="1"/>
        <v>160</v>
      </c>
      <c r="R30" s="36" t="s">
        <v>154</v>
      </c>
      <c r="S30" s="34">
        <f>SUM(C90:C93)</f>
        <v>38</v>
      </c>
      <c r="T30" s="34">
        <f t="shared" ref="T30:AF30" si="22">SUM(D90:D93)</f>
        <v>2</v>
      </c>
      <c r="U30" s="34">
        <f t="shared" si="22"/>
        <v>1</v>
      </c>
      <c r="V30" s="34">
        <f t="shared" si="22"/>
        <v>5</v>
      </c>
      <c r="W30" s="34">
        <f t="shared" si="22"/>
        <v>0</v>
      </c>
      <c r="X30" s="34">
        <f t="shared" si="22"/>
        <v>0</v>
      </c>
      <c r="Y30" s="34">
        <f t="shared" si="22"/>
        <v>6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94</v>
      </c>
      <c r="AD30" s="34">
        <f t="shared" si="22"/>
        <v>0</v>
      </c>
      <c r="AE30" s="31">
        <f t="shared" si="22"/>
        <v>53</v>
      </c>
      <c r="AF30" s="31">
        <f t="shared" si="22"/>
        <v>147</v>
      </c>
    </row>
    <row r="31" spans="2:32" ht="23.1" customHeight="1" x14ac:dyDescent="0.25">
      <c r="B31" s="46" t="s">
        <v>58</v>
      </c>
      <c r="C31" s="50">
        <v>33</v>
      </c>
      <c r="D31" s="50">
        <v>9</v>
      </c>
      <c r="E31" s="50">
        <v>2</v>
      </c>
      <c r="F31" s="50">
        <v>10</v>
      </c>
      <c r="G31" s="50">
        <v>2</v>
      </c>
      <c r="H31" s="50">
        <v>0</v>
      </c>
      <c r="I31" s="50">
        <v>1</v>
      </c>
      <c r="J31" s="50">
        <v>5</v>
      </c>
      <c r="K31" s="50">
        <v>0</v>
      </c>
      <c r="L31" s="50">
        <v>4</v>
      </c>
      <c r="M31" s="50">
        <v>91</v>
      </c>
      <c r="N31" s="50">
        <v>0</v>
      </c>
      <c r="O31" s="15">
        <f t="shared" si="0"/>
        <v>66</v>
      </c>
      <c r="P31" s="15">
        <f t="shared" si="1"/>
        <v>157</v>
      </c>
      <c r="R31" s="36" t="s">
        <v>155</v>
      </c>
      <c r="S31" s="34">
        <f>SUM(C94:C97)</f>
        <v>28</v>
      </c>
      <c r="T31" s="34">
        <f t="shared" ref="T31:AF31" si="23">SUM(D94:D97)</f>
        <v>2</v>
      </c>
      <c r="U31" s="34">
        <f t="shared" si="23"/>
        <v>2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2</v>
      </c>
      <c r="AA31" s="34">
        <f t="shared" si="23"/>
        <v>0</v>
      </c>
      <c r="AB31" s="34">
        <f t="shared" si="23"/>
        <v>0</v>
      </c>
      <c r="AC31" s="34">
        <f t="shared" si="23"/>
        <v>86</v>
      </c>
      <c r="AD31" s="34">
        <f t="shared" si="23"/>
        <v>0</v>
      </c>
      <c r="AE31" s="31">
        <f t="shared" si="23"/>
        <v>36</v>
      </c>
      <c r="AF31" s="31">
        <f t="shared" si="23"/>
        <v>122</v>
      </c>
    </row>
    <row r="32" spans="2:32" ht="23.1" customHeight="1" x14ac:dyDescent="0.25">
      <c r="B32" s="46" t="s">
        <v>59</v>
      </c>
      <c r="C32" s="50">
        <v>35</v>
      </c>
      <c r="D32" s="50">
        <v>3</v>
      </c>
      <c r="E32" s="50">
        <v>7</v>
      </c>
      <c r="F32" s="50">
        <v>10</v>
      </c>
      <c r="G32" s="50">
        <v>0</v>
      </c>
      <c r="H32" s="50">
        <v>0</v>
      </c>
      <c r="I32" s="50">
        <v>8</v>
      </c>
      <c r="J32" s="50">
        <v>2</v>
      </c>
      <c r="K32" s="50">
        <v>3</v>
      </c>
      <c r="L32" s="50">
        <v>6</v>
      </c>
      <c r="M32" s="50">
        <v>75</v>
      </c>
      <c r="N32" s="50">
        <v>0</v>
      </c>
      <c r="O32" s="15">
        <f t="shared" si="0"/>
        <v>74</v>
      </c>
      <c r="P32" s="15">
        <f t="shared" si="1"/>
        <v>149</v>
      </c>
      <c r="R32" s="33" t="s">
        <v>156</v>
      </c>
      <c r="S32" s="34">
        <f>SUM(C98:C101)</f>
        <v>25</v>
      </c>
      <c r="T32" s="34">
        <f t="shared" ref="T32:AF32" si="24">SUM(D98:D101)</f>
        <v>4</v>
      </c>
      <c r="U32" s="34">
        <f t="shared" si="24"/>
        <v>2</v>
      </c>
      <c r="V32" s="34">
        <f t="shared" si="24"/>
        <v>10</v>
      </c>
      <c r="W32" s="34">
        <f t="shared" si="24"/>
        <v>1</v>
      </c>
      <c r="X32" s="34">
        <f t="shared" si="24"/>
        <v>0</v>
      </c>
      <c r="Y32" s="34">
        <f t="shared" si="24"/>
        <v>1</v>
      </c>
      <c r="Z32" s="34">
        <f t="shared" si="24"/>
        <v>2</v>
      </c>
      <c r="AA32" s="34">
        <f t="shared" si="24"/>
        <v>0</v>
      </c>
      <c r="AB32" s="34">
        <f t="shared" si="24"/>
        <v>1</v>
      </c>
      <c r="AC32" s="34">
        <f t="shared" si="24"/>
        <v>126</v>
      </c>
      <c r="AD32" s="34">
        <f t="shared" si="24"/>
        <v>0</v>
      </c>
      <c r="AE32" s="31">
        <f t="shared" si="24"/>
        <v>46</v>
      </c>
      <c r="AF32" s="31">
        <f t="shared" si="24"/>
        <v>172</v>
      </c>
    </row>
    <row r="33" spans="2:32" ht="23.1" customHeight="1" x14ac:dyDescent="0.25">
      <c r="B33" s="45" t="s">
        <v>60</v>
      </c>
      <c r="C33" s="50">
        <v>50</v>
      </c>
      <c r="D33" s="50">
        <v>0</v>
      </c>
      <c r="E33" s="50">
        <v>8</v>
      </c>
      <c r="F33" s="50">
        <v>18</v>
      </c>
      <c r="G33" s="50">
        <v>2</v>
      </c>
      <c r="H33" s="50">
        <v>0</v>
      </c>
      <c r="I33" s="50">
        <v>6</v>
      </c>
      <c r="J33" s="50">
        <v>3</v>
      </c>
      <c r="K33" s="50">
        <v>2</v>
      </c>
      <c r="L33" s="50">
        <v>6</v>
      </c>
      <c r="M33" s="50">
        <v>110</v>
      </c>
      <c r="N33" s="50">
        <v>0</v>
      </c>
      <c r="O33" s="15">
        <f t="shared" si="0"/>
        <v>95</v>
      </c>
      <c r="P33" s="15">
        <f t="shared" si="1"/>
        <v>205</v>
      </c>
      <c r="R33" s="33" t="s">
        <v>157</v>
      </c>
      <c r="S33" s="34">
        <f>SUM(C102:C105)</f>
        <v>40</v>
      </c>
      <c r="T33" s="34">
        <f t="shared" ref="T33:AF33" si="25">SUM(D102:D105)</f>
        <v>6</v>
      </c>
      <c r="U33" s="34">
        <f t="shared" si="25"/>
        <v>6</v>
      </c>
      <c r="V33" s="34">
        <f t="shared" si="25"/>
        <v>27</v>
      </c>
      <c r="W33" s="34">
        <f t="shared" si="25"/>
        <v>0</v>
      </c>
      <c r="X33" s="34">
        <f t="shared" si="25"/>
        <v>0</v>
      </c>
      <c r="Y33" s="34">
        <f t="shared" si="25"/>
        <v>10</v>
      </c>
      <c r="Z33" s="34">
        <f t="shared" si="25"/>
        <v>7</v>
      </c>
      <c r="AA33" s="34">
        <f t="shared" si="25"/>
        <v>1</v>
      </c>
      <c r="AB33" s="34">
        <f t="shared" si="25"/>
        <v>1</v>
      </c>
      <c r="AC33" s="34">
        <f t="shared" si="25"/>
        <v>223</v>
      </c>
      <c r="AD33" s="34">
        <f t="shared" si="25"/>
        <v>0</v>
      </c>
      <c r="AE33" s="31">
        <f t="shared" si="25"/>
        <v>98</v>
      </c>
      <c r="AF33" s="31">
        <f t="shared" si="25"/>
        <v>321</v>
      </c>
    </row>
    <row r="34" spans="2:32" ht="23.1" customHeight="1" x14ac:dyDescent="0.25">
      <c r="B34" s="46" t="s">
        <v>61</v>
      </c>
      <c r="C34" s="50">
        <v>44</v>
      </c>
      <c r="D34" s="50">
        <v>7</v>
      </c>
      <c r="E34" s="50">
        <v>2</v>
      </c>
      <c r="F34" s="50">
        <v>8</v>
      </c>
      <c r="G34" s="50">
        <v>1</v>
      </c>
      <c r="H34" s="50">
        <v>0</v>
      </c>
      <c r="I34" s="50">
        <v>9</v>
      </c>
      <c r="J34" s="50">
        <v>5</v>
      </c>
      <c r="K34" s="50">
        <v>1</v>
      </c>
      <c r="L34" s="50">
        <v>6</v>
      </c>
      <c r="M34" s="50">
        <v>90</v>
      </c>
      <c r="N34" s="50">
        <v>0</v>
      </c>
      <c r="O34" s="15">
        <f t="shared" si="0"/>
        <v>83</v>
      </c>
      <c r="P34" s="15">
        <f t="shared" si="1"/>
        <v>173</v>
      </c>
      <c r="R34" s="38" t="s">
        <v>90</v>
      </c>
      <c r="S34" s="39">
        <f t="shared" ref="S34:AF34" si="26">MAX(S10:S12)</f>
        <v>179</v>
      </c>
      <c r="T34" s="39">
        <f t="shared" si="26"/>
        <v>44</v>
      </c>
      <c r="U34" s="39">
        <f t="shared" si="26"/>
        <v>33</v>
      </c>
      <c r="V34" s="39">
        <f t="shared" si="26"/>
        <v>82</v>
      </c>
      <c r="W34" s="39">
        <f t="shared" si="26"/>
        <v>7</v>
      </c>
      <c r="X34" s="39">
        <f t="shared" si="26"/>
        <v>0</v>
      </c>
      <c r="Y34" s="39">
        <f t="shared" si="26"/>
        <v>31</v>
      </c>
      <c r="Z34" s="39">
        <f t="shared" si="26"/>
        <v>21</v>
      </c>
      <c r="AA34" s="39">
        <f t="shared" si="26"/>
        <v>8</v>
      </c>
      <c r="AB34" s="39">
        <f t="shared" si="26"/>
        <v>9</v>
      </c>
      <c r="AC34" s="39">
        <f t="shared" si="26"/>
        <v>576</v>
      </c>
      <c r="AD34" s="39">
        <f t="shared" si="26"/>
        <v>0</v>
      </c>
      <c r="AE34" s="40">
        <f t="shared" si="26"/>
        <v>414</v>
      </c>
      <c r="AF34" s="40">
        <f t="shared" si="26"/>
        <v>990</v>
      </c>
    </row>
    <row r="35" spans="2:32" ht="23.1" customHeight="1" x14ac:dyDescent="0.25">
      <c r="B35" s="46" t="s">
        <v>62</v>
      </c>
      <c r="C35" s="50">
        <v>56</v>
      </c>
      <c r="D35" s="50">
        <v>1</v>
      </c>
      <c r="E35" s="50">
        <v>5</v>
      </c>
      <c r="F35" s="50">
        <v>16</v>
      </c>
      <c r="G35" s="50">
        <v>1</v>
      </c>
      <c r="H35" s="50">
        <v>0</v>
      </c>
      <c r="I35" s="50">
        <v>5</v>
      </c>
      <c r="J35" s="50">
        <v>5</v>
      </c>
      <c r="K35" s="50">
        <v>1</v>
      </c>
      <c r="L35" s="50">
        <v>4</v>
      </c>
      <c r="M35" s="50">
        <v>75</v>
      </c>
      <c r="N35" s="50">
        <v>0</v>
      </c>
      <c r="O35" s="15">
        <f t="shared" si="0"/>
        <v>94</v>
      </c>
      <c r="P35" s="15">
        <f t="shared" si="1"/>
        <v>169</v>
      </c>
      <c r="R35" s="38" t="s">
        <v>91</v>
      </c>
      <c r="S35" s="39">
        <f t="shared" ref="S35:AF35" si="27">MAX(S13:S18)</f>
        <v>263</v>
      </c>
      <c r="T35" s="39">
        <f t="shared" si="27"/>
        <v>33</v>
      </c>
      <c r="U35" s="39">
        <f t="shared" si="27"/>
        <v>42</v>
      </c>
      <c r="V35" s="39">
        <f t="shared" si="27"/>
        <v>84</v>
      </c>
      <c r="W35" s="39">
        <f t="shared" si="27"/>
        <v>10</v>
      </c>
      <c r="X35" s="39">
        <f t="shared" si="27"/>
        <v>1</v>
      </c>
      <c r="Y35" s="39">
        <f t="shared" si="27"/>
        <v>46</v>
      </c>
      <c r="Z35" s="39">
        <f t="shared" si="27"/>
        <v>26</v>
      </c>
      <c r="AA35" s="39">
        <f t="shared" si="27"/>
        <v>16</v>
      </c>
      <c r="AB35" s="39">
        <f t="shared" si="27"/>
        <v>31</v>
      </c>
      <c r="AC35" s="39">
        <f t="shared" si="27"/>
        <v>605</v>
      </c>
      <c r="AD35" s="39">
        <f t="shared" si="27"/>
        <v>0</v>
      </c>
      <c r="AE35" s="40">
        <f t="shared" si="27"/>
        <v>533</v>
      </c>
      <c r="AF35" s="40">
        <f t="shared" si="27"/>
        <v>1023</v>
      </c>
    </row>
    <row r="36" spans="2:32" ht="23.1" customHeight="1" x14ac:dyDescent="0.25">
      <c r="B36" s="46" t="s">
        <v>63</v>
      </c>
      <c r="C36" s="50">
        <v>43</v>
      </c>
      <c r="D36" s="50">
        <v>4</v>
      </c>
      <c r="E36" s="50">
        <v>4</v>
      </c>
      <c r="F36" s="50">
        <v>7</v>
      </c>
      <c r="G36" s="50">
        <v>2</v>
      </c>
      <c r="H36" s="50">
        <v>0</v>
      </c>
      <c r="I36" s="50">
        <v>3</v>
      </c>
      <c r="J36" s="50">
        <v>3</v>
      </c>
      <c r="K36" s="50">
        <v>6</v>
      </c>
      <c r="L36" s="50">
        <v>4</v>
      </c>
      <c r="M36" s="50">
        <v>125</v>
      </c>
      <c r="N36" s="50">
        <v>0</v>
      </c>
      <c r="O36" s="15">
        <f t="shared" si="0"/>
        <v>76</v>
      </c>
      <c r="P36" s="15">
        <f t="shared" si="1"/>
        <v>201</v>
      </c>
      <c r="R36" s="38" t="s">
        <v>92</v>
      </c>
      <c r="S36" s="39">
        <f t="shared" ref="S36:AF36" si="28">MAX(S19:S21)</f>
        <v>309</v>
      </c>
      <c r="T36" s="39">
        <f t="shared" si="28"/>
        <v>35</v>
      </c>
      <c r="U36" s="39">
        <f t="shared" si="28"/>
        <v>55</v>
      </c>
      <c r="V36" s="39">
        <f t="shared" si="28"/>
        <v>69</v>
      </c>
      <c r="W36" s="39">
        <f t="shared" si="28"/>
        <v>12</v>
      </c>
      <c r="X36" s="39">
        <f t="shared" si="28"/>
        <v>0</v>
      </c>
      <c r="Y36" s="39">
        <f t="shared" si="28"/>
        <v>25</v>
      </c>
      <c r="Z36" s="39">
        <f t="shared" si="28"/>
        <v>20</v>
      </c>
      <c r="AA36" s="39">
        <f t="shared" si="28"/>
        <v>8</v>
      </c>
      <c r="AB36" s="39">
        <f t="shared" si="28"/>
        <v>16</v>
      </c>
      <c r="AC36" s="39">
        <f t="shared" si="28"/>
        <v>510</v>
      </c>
      <c r="AD36" s="39">
        <f t="shared" si="28"/>
        <v>1</v>
      </c>
      <c r="AE36" s="40">
        <f t="shared" si="28"/>
        <v>486</v>
      </c>
      <c r="AF36" s="40">
        <f t="shared" si="28"/>
        <v>973</v>
      </c>
    </row>
    <row r="37" spans="2:32" ht="23.1" customHeight="1" x14ac:dyDescent="0.25">
      <c r="B37" s="45" t="s">
        <v>64</v>
      </c>
      <c r="C37" s="50">
        <v>51</v>
      </c>
      <c r="D37" s="50">
        <v>11</v>
      </c>
      <c r="E37" s="50">
        <v>5</v>
      </c>
      <c r="F37" s="50">
        <v>12</v>
      </c>
      <c r="G37" s="50">
        <v>0</v>
      </c>
      <c r="H37" s="50">
        <v>0</v>
      </c>
      <c r="I37" s="50">
        <v>6</v>
      </c>
      <c r="J37" s="50">
        <v>10</v>
      </c>
      <c r="K37" s="50">
        <v>2</v>
      </c>
      <c r="L37" s="50">
        <v>5</v>
      </c>
      <c r="M37" s="50">
        <v>105</v>
      </c>
      <c r="N37" s="50">
        <v>0</v>
      </c>
      <c r="O37" s="15">
        <f t="shared" si="0"/>
        <v>102</v>
      </c>
      <c r="P37" s="15">
        <f t="shared" si="1"/>
        <v>207</v>
      </c>
      <c r="R37" s="37" t="s">
        <v>85</v>
      </c>
      <c r="S37" s="35">
        <f t="shared" ref="S37:AF37" si="29">SUM(S10:S12)</f>
        <v>399</v>
      </c>
      <c r="T37" s="16">
        <f t="shared" si="29"/>
        <v>74</v>
      </c>
      <c r="U37" s="16">
        <f t="shared" si="29"/>
        <v>60</v>
      </c>
      <c r="V37" s="16">
        <f t="shared" si="29"/>
        <v>195</v>
      </c>
      <c r="W37" s="16">
        <f t="shared" si="29"/>
        <v>17</v>
      </c>
      <c r="X37" s="16">
        <f t="shared" si="29"/>
        <v>0</v>
      </c>
      <c r="Y37" s="16">
        <f t="shared" si="29"/>
        <v>67</v>
      </c>
      <c r="Z37" s="16">
        <f t="shared" si="29"/>
        <v>42</v>
      </c>
      <c r="AA37" s="16">
        <f t="shared" si="29"/>
        <v>11</v>
      </c>
      <c r="AB37" s="16">
        <f t="shared" si="29"/>
        <v>11</v>
      </c>
      <c r="AC37" s="16">
        <f t="shared" si="29"/>
        <v>1158</v>
      </c>
      <c r="AD37" s="16">
        <f t="shared" si="29"/>
        <v>0</v>
      </c>
      <c r="AE37" s="32">
        <f t="shared" si="29"/>
        <v>876</v>
      </c>
      <c r="AF37" s="32">
        <f t="shared" si="29"/>
        <v>2034</v>
      </c>
    </row>
    <row r="38" spans="2:32" ht="23.1" customHeight="1" x14ac:dyDescent="0.25">
      <c r="B38" s="46" t="s">
        <v>65</v>
      </c>
      <c r="C38" s="50">
        <v>50</v>
      </c>
      <c r="D38" s="50">
        <v>5</v>
      </c>
      <c r="E38" s="50">
        <v>10</v>
      </c>
      <c r="F38" s="50">
        <v>13</v>
      </c>
      <c r="G38" s="50">
        <v>1</v>
      </c>
      <c r="H38" s="50">
        <v>0</v>
      </c>
      <c r="I38" s="50">
        <v>11</v>
      </c>
      <c r="J38" s="50">
        <v>8</v>
      </c>
      <c r="K38" s="50">
        <v>4</v>
      </c>
      <c r="L38" s="50">
        <v>8</v>
      </c>
      <c r="M38" s="50">
        <v>160</v>
      </c>
      <c r="N38" s="50">
        <v>0</v>
      </c>
      <c r="O38" s="15">
        <f t="shared" si="0"/>
        <v>110</v>
      </c>
      <c r="P38" s="15">
        <f t="shared" si="1"/>
        <v>270</v>
      </c>
      <c r="R38" s="28" t="s">
        <v>86</v>
      </c>
      <c r="S38" s="16">
        <f t="shared" ref="S38:AF38" si="30">SUM(S13:S18)</f>
        <v>1100</v>
      </c>
      <c r="T38" s="16">
        <f t="shared" si="30"/>
        <v>148</v>
      </c>
      <c r="U38" s="16">
        <f t="shared" si="30"/>
        <v>166</v>
      </c>
      <c r="V38" s="16">
        <f t="shared" si="30"/>
        <v>351</v>
      </c>
      <c r="W38" s="16">
        <f t="shared" si="30"/>
        <v>38</v>
      </c>
      <c r="X38" s="16">
        <f t="shared" si="30"/>
        <v>1</v>
      </c>
      <c r="Y38" s="16">
        <f t="shared" si="30"/>
        <v>198</v>
      </c>
      <c r="Z38" s="16">
        <f t="shared" si="30"/>
        <v>113</v>
      </c>
      <c r="AA38" s="16">
        <f t="shared" si="30"/>
        <v>60</v>
      </c>
      <c r="AB38" s="16">
        <f t="shared" si="30"/>
        <v>113</v>
      </c>
      <c r="AC38" s="16">
        <f t="shared" si="30"/>
        <v>2741</v>
      </c>
      <c r="AD38" s="16">
        <f t="shared" si="30"/>
        <v>0</v>
      </c>
      <c r="AE38" s="32">
        <f t="shared" si="30"/>
        <v>2288</v>
      </c>
      <c r="AF38" s="32">
        <f t="shared" si="30"/>
        <v>5029</v>
      </c>
    </row>
    <row r="39" spans="2:32" ht="23.1" customHeight="1" x14ac:dyDescent="0.25">
      <c r="B39" s="46" t="s">
        <v>66</v>
      </c>
      <c r="C39" s="50">
        <v>49</v>
      </c>
      <c r="D39" s="50">
        <v>7</v>
      </c>
      <c r="E39" s="50">
        <v>9</v>
      </c>
      <c r="F39" s="50">
        <v>17</v>
      </c>
      <c r="G39" s="50">
        <v>1</v>
      </c>
      <c r="H39" s="50">
        <v>0</v>
      </c>
      <c r="I39" s="50">
        <v>12</v>
      </c>
      <c r="J39" s="50">
        <v>4</v>
      </c>
      <c r="K39" s="50">
        <v>3</v>
      </c>
      <c r="L39" s="50">
        <v>2</v>
      </c>
      <c r="M39" s="50">
        <v>140</v>
      </c>
      <c r="N39" s="50">
        <v>0</v>
      </c>
      <c r="O39" s="15">
        <f t="shared" si="0"/>
        <v>104</v>
      </c>
      <c r="P39" s="15">
        <f t="shared" si="1"/>
        <v>244</v>
      </c>
      <c r="R39" s="29" t="s">
        <v>87</v>
      </c>
      <c r="S39" s="16">
        <f t="shared" ref="S39:AF39" si="31">SUM(S19:S21)</f>
        <v>825</v>
      </c>
      <c r="T39" s="16">
        <f t="shared" si="31"/>
        <v>90</v>
      </c>
      <c r="U39" s="16">
        <f t="shared" si="31"/>
        <v>116</v>
      </c>
      <c r="V39" s="16">
        <f t="shared" si="31"/>
        <v>186</v>
      </c>
      <c r="W39" s="16">
        <f t="shared" si="31"/>
        <v>31</v>
      </c>
      <c r="X39" s="16">
        <f t="shared" si="31"/>
        <v>0</v>
      </c>
      <c r="Y39" s="16">
        <f t="shared" si="31"/>
        <v>67</v>
      </c>
      <c r="Z39" s="16">
        <f t="shared" si="31"/>
        <v>53</v>
      </c>
      <c r="AA39" s="16">
        <f t="shared" si="31"/>
        <v>16</v>
      </c>
      <c r="AB39" s="16">
        <f t="shared" si="31"/>
        <v>39</v>
      </c>
      <c r="AC39" s="16">
        <f t="shared" si="31"/>
        <v>1300</v>
      </c>
      <c r="AD39" s="16">
        <f t="shared" si="31"/>
        <v>3</v>
      </c>
      <c r="AE39" s="32">
        <f t="shared" si="31"/>
        <v>1426</v>
      </c>
      <c r="AF39" s="32">
        <f t="shared" si="31"/>
        <v>2726</v>
      </c>
    </row>
    <row r="40" spans="2:32" ht="23.1" customHeight="1" x14ac:dyDescent="0.25">
      <c r="B40" s="46" t="s">
        <v>67</v>
      </c>
      <c r="C40" s="50">
        <v>44</v>
      </c>
      <c r="D40" s="50">
        <v>4</v>
      </c>
      <c r="E40" s="50">
        <v>4</v>
      </c>
      <c r="F40" s="50">
        <v>22</v>
      </c>
      <c r="G40" s="50">
        <v>1</v>
      </c>
      <c r="H40" s="50">
        <v>0</v>
      </c>
      <c r="I40" s="50">
        <v>12</v>
      </c>
      <c r="J40" s="50">
        <v>4</v>
      </c>
      <c r="K40" s="50">
        <v>3</v>
      </c>
      <c r="L40" s="50">
        <v>2</v>
      </c>
      <c r="M40" s="50">
        <v>150</v>
      </c>
      <c r="N40" s="50">
        <v>0</v>
      </c>
      <c r="O40" s="15">
        <f t="shared" si="0"/>
        <v>96</v>
      </c>
      <c r="P40" s="15">
        <f t="shared" si="1"/>
        <v>246</v>
      </c>
      <c r="R40" s="5" t="s">
        <v>17</v>
      </c>
      <c r="S40" s="16">
        <f t="shared" ref="S40:AF40" si="32">SUM(S10:S21)</f>
        <v>2324</v>
      </c>
      <c r="T40" s="16">
        <f t="shared" si="32"/>
        <v>312</v>
      </c>
      <c r="U40" s="16">
        <f t="shared" si="32"/>
        <v>342</v>
      </c>
      <c r="V40" s="16">
        <f t="shared" si="32"/>
        <v>732</v>
      </c>
      <c r="W40" s="16">
        <f t="shared" si="32"/>
        <v>86</v>
      </c>
      <c r="X40" s="16">
        <f t="shared" si="32"/>
        <v>1</v>
      </c>
      <c r="Y40" s="16">
        <f t="shared" si="32"/>
        <v>332</v>
      </c>
      <c r="Z40" s="16">
        <f t="shared" si="32"/>
        <v>208</v>
      </c>
      <c r="AA40" s="16">
        <f t="shared" si="32"/>
        <v>87</v>
      </c>
      <c r="AB40" s="16">
        <f t="shared" si="32"/>
        <v>163</v>
      </c>
      <c r="AC40" s="16">
        <f t="shared" si="32"/>
        <v>5199</v>
      </c>
      <c r="AD40" s="16">
        <f t="shared" si="32"/>
        <v>3</v>
      </c>
      <c r="AE40" s="32">
        <f t="shared" si="32"/>
        <v>4590</v>
      </c>
      <c r="AF40" s="32">
        <f t="shared" si="32"/>
        <v>9789</v>
      </c>
    </row>
    <row r="41" spans="2:32" ht="23.1" customHeight="1" x14ac:dyDescent="0.25">
      <c r="B41" s="45" t="s">
        <v>68</v>
      </c>
      <c r="C41" s="50">
        <v>46</v>
      </c>
      <c r="D41" s="50">
        <v>4</v>
      </c>
      <c r="E41" s="50">
        <v>10</v>
      </c>
      <c r="F41" s="50">
        <v>12</v>
      </c>
      <c r="G41" s="50">
        <v>1</v>
      </c>
      <c r="H41" s="50">
        <v>0</v>
      </c>
      <c r="I41" s="50">
        <v>11</v>
      </c>
      <c r="J41" s="50">
        <v>6</v>
      </c>
      <c r="K41" s="50">
        <v>6</v>
      </c>
      <c r="L41" s="50">
        <v>7</v>
      </c>
      <c r="M41" s="50">
        <v>155</v>
      </c>
      <c r="N41" s="50">
        <v>0</v>
      </c>
      <c r="O41" s="15">
        <f t="shared" si="0"/>
        <v>103</v>
      </c>
      <c r="P41" s="15">
        <f t="shared" si="1"/>
        <v>258</v>
      </c>
      <c r="R41" s="5" t="s">
        <v>159</v>
      </c>
      <c r="S41" s="16">
        <f>SUM(S10:S33)</f>
        <v>4095</v>
      </c>
      <c r="T41" s="16">
        <f t="shared" ref="T41:AF41" si="33">SUM(T10:T33)</f>
        <v>492</v>
      </c>
      <c r="U41" s="16">
        <f t="shared" si="33"/>
        <v>473</v>
      </c>
      <c r="V41" s="16">
        <f t="shared" si="33"/>
        <v>1082</v>
      </c>
      <c r="W41" s="16">
        <f t="shared" si="33"/>
        <v>125</v>
      </c>
      <c r="X41" s="16">
        <f t="shared" si="33"/>
        <v>4</v>
      </c>
      <c r="Y41" s="16">
        <f t="shared" si="33"/>
        <v>459</v>
      </c>
      <c r="Z41" s="16">
        <f t="shared" si="33"/>
        <v>260</v>
      </c>
      <c r="AA41" s="16">
        <f t="shared" si="33"/>
        <v>108</v>
      </c>
      <c r="AB41" s="16">
        <f t="shared" si="33"/>
        <v>180</v>
      </c>
      <c r="AC41" s="16">
        <f t="shared" si="33"/>
        <v>9879</v>
      </c>
      <c r="AD41" s="16">
        <f t="shared" si="33"/>
        <v>3</v>
      </c>
      <c r="AE41" s="32">
        <f t="shared" si="33"/>
        <v>7281</v>
      </c>
      <c r="AF41" s="32">
        <f t="shared" si="33"/>
        <v>17160</v>
      </c>
    </row>
    <row r="42" spans="2:32" ht="23.1" customHeight="1" x14ac:dyDescent="0.25">
      <c r="B42" s="46" t="s">
        <v>69</v>
      </c>
      <c r="C42" s="50">
        <v>67</v>
      </c>
      <c r="D42" s="50">
        <v>10</v>
      </c>
      <c r="E42" s="50">
        <v>11</v>
      </c>
      <c r="F42" s="50">
        <v>16</v>
      </c>
      <c r="G42" s="50">
        <v>0</v>
      </c>
      <c r="H42" s="50">
        <v>0</v>
      </c>
      <c r="I42" s="50">
        <v>13</v>
      </c>
      <c r="J42" s="50">
        <v>7</v>
      </c>
      <c r="K42" s="50">
        <v>0</v>
      </c>
      <c r="L42" s="50">
        <v>10</v>
      </c>
      <c r="M42" s="50">
        <v>164</v>
      </c>
      <c r="N42" s="50">
        <v>0</v>
      </c>
      <c r="O42" s="15">
        <f t="shared" si="0"/>
        <v>134</v>
      </c>
      <c r="P42" s="15">
        <f t="shared" si="1"/>
        <v>298</v>
      </c>
      <c r="R42" s="5" t="s">
        <v>160</v>
      </c>
      <c r="S42" s="48">
        <f>S41/S40</f>
        <v>1.7620481927710843</v>
      </c>
      <c r="T42" s="48">
        <f t="shared" ref="T42:AF42" si="34">T41/T40</f>
        <v>1.5769230769230769</v>
      </c>
      <c r="U42" s="48">
        <f t="shared" si="34"/>
        <v>1.3830409356725146</v>
      </c>
      <c r="V42" s="48">
        <f t="shared" si="34"/>
        <v>1.4781420765027322</v>
      </c>
      <c r="W42" s="48">
        <f t="shared" si="34"/>
        <v>1.4534883720930232</v>
      </c>
      <c r="X42" s="48">
        <f t="shared" si="34"/>
        <v>4</v>
      </c>
      <c r="Y42" s="48">
        <f t="shared" si="34"/>
        <v>1.3825301204819278</v>
      </c>
      <c r="Z42" s="48">
        <f t="shared" si="34"/>
        <v>1.25</v>
      </c>
      <c r="AA42" s="48">
        <f t="shared" si="34"/>
        <v>1.2413793103448276</v>
      </c>
      <c r="AB42" s="48">
        <f t="shared" si="34"/>
        <v>1.1042944785276074</v>
      </c>
      <c r="AC42" s="48">
        <f t="shared" si="34"/>
        <v>1.9001731102135027</v>
      </c>
      <c r="AD42" s="48">
        <f t="shared" si="34"/>
        <v>1</v>
      </c>
      <c r="AE42" s="48">
        <f t="shared" si="34"/>
        <v>1.5862745098039215</v>
      </c>
      <c r="AF42" s="48">
        <f t="shared" si="34"/>
        <v>1.7529880478087649</v>
      </c>
    </row>
    <row r="43" spans="2:32" ht="23.1" customHeight="1" x14ac:dyDescent="0.25">
      <c r="B43" s="45" t="s">
        <v>70</v>
      </c>
      <c r="C43" s="50">
        <v>52</v>
      </c>
      <c r="D43" s="50">
        <v>10</v>
      </c>
      <c r="E43" s="50">
        <v>10</v>
      </c>
      <c r="F43" s="50">
        <v>24</v>
      </c>
      <c r="G43" s="50">
        <v>3</v>
      </c>
      <c r="H43" s="50">
        <v>0</v>
      </c>
      <c r="I43" s="50">
        <v>5</v>
      </c>
      <c r="J43" s="50">
        <v>9</v>
      </c>
      <c r="K43" s="50">
        <v>2</v>
      </c>
      <c r="L43" s="50">
        <v>9</v>
      </c>
      <c r="M43" s="50">
        <v>125</v>
      </c>
      <c r="N43" s="50">
        <v>0</v>
      </c>
      <c r="O43" s="15">
        <f t="shared" si="0"/>
        <v>124</v>
      </c>
      <c r="P43" s="15">
        <f t="shared" si="1"/>
        <v>249</v>
      </c>
    </row>
    <row r="44" spans="2:32" ht="23.1" customHeight="1" x14ac:dyDescent="0.25">
      <c r="B44" s="47" t="s">
        <v>71</v>
      </c>
      <c r="C44" s="50">
        <v>66</v>
      </c>
      <c r="D44" s="50">
        <v>4</v>
      </c>
      <c r="E44" s="50">
        <v>9</v>
      </c>
      <c r="F44" s="50">
        <v>22</v>
      </c>
      <c r="G44" s="50">
        <v>5</v>
      </c>
      <c r="H44" s="50">
        <v>0</v>
      </c>
      <c r="I44" s="50">
        <v>6</v>
      </c>
      <c r="J44" s="50">
        <v>8</v>
      </c>
      <c r="K44" s="50">
        <v>4</v>
      </c>
      <c r="L44" s="50">
        <v>7</v>
      </c>
      <c r="M44" s="50">
        <v>145</v>
      </c>
      <c r="N44" s="50">
        <v>0</v>
      </c>
      <c r="O44" s="15">
        <f t="shared" si="0"/>
        <v>131</v>
      </c>
      <c r="P44" s="15">
        <f t="shared" si="1"/>
        <v>276</v>
      </c>
    </row>
    <row r="45" spans="2:32" ht="23.1" customHeight="1" x14ac:dyDescent="0.25">
      <c r="B45" s="45" t="s">
        <v>72</v>
      </c>
      <c r="C45" s="50">
        <v>78</v>
      </c>
      <c r="D45" s="50">
        <v>9</v>
      </c>
      <c r="E45" s="50">
        <v>12</v>
      </c>
      <c r="F45" s="50">
        <v>22</v>
      </c>
      <c r="G45" s="50">
        <v>2</v>
      </c>
      <c r="H45" s="50">
        <v>1</v>
      </c>
      <c r="I45" s="50">
        <v>9</v>
      </c>
      <c r="J45" s="50">
        <v>2</v>
      </c>
      <c r="K45" s="50">
        <v>4</v>
      </c>
      <c r="L45" s="50">
        <v>5</v>
      </c>
      <c r="M45" s="50">
        <v>56</v>
      </c>
      <c r="N45" s="50">
        <v>0</v>
      </c>
      <c r="O45" s="15">
        <f t="shared" si="0"/>
        <v>144</v>
      </c>
      <c r="P45" s="15">
        <f t="shared" si="1"/>
        <v>200</v>
      </c>
    </row>
    <row r="46" spans="2:32" ht="23.1" customHeight="1" x14ac:dyDescent="0.25">
      <c r="B46" s="46" t="s">
        <v>73</v>
      </c>
      <c r="C46" s="50">
        <v>56</v>
      </c>
      <c r="D46" s="50">
        <v>4</v>
      </c>
      <c r="E46" s="50">
        <v>15</v>
      </c>
      <c r="F46" s="50">
        <v>12</v>
      </c>
      <c r="G46" s="50">
        <v>2</v>
      </c>
      <c r="H46" s="50">
        <v>0</v>
      </c>
      <c r="I46" s="50">
        <v>3</v>
      </c>
      <c r="J46" s="50">
        <v>3</v>
      </c>
      <c r="K46" s="50">
        <v>0</v>
      </c>
      <c r="L46" s="50">
        <v>2</v>
      </c>
      <c r="M46" s="50">
        <v>125</v>
      </c>
      <c r="N46" s="50">
        <v>0</v>
      </c>
      <c r="O46" s="15">
        <f t="shared" si="0"/>
        <v>97</v>
      </c>
      <c r="P46" s="15">
        <f t="shared" si="1"/>
        <v>222</v>
      </c>
      <c r="R46" s="8"/>
      <c r="T46"/>
    </row>
    <row r="47" spans="2:32" ht="23.1" customHeight="1" x14ac:dyDescent="0.25">
      <c r="B47" s="46" t="s">
        <v>74</v>
      </c>
      <c r="C47" s="50">
        <v>61</v>
      </c>
      <c r="D47" s="50">
        <v>10</v>
      </c>
      <c r="E47" s="50">
        <v>16</v>
      </c>
      <c r="F47" s="50">
        <v>21</v>
      </c>
      <c r="G47" s="50">
        <v>1</v>
      </c>
      <c r="H47" s="50">
        <v>0</v>
      </c>
      <c r="I47" s="50">
        <v>11</v>
      </c>
      <c r="J47" s="50">
        <v>5</v>
      </c>
      <c r="K47" s="50">
        <v>4</v>
      </c>
      <c r="L47" s="50">
        <v>4</v>
      </c>
      <c r="M47" s="50">
        <v>150</v>
      </c>
      <c r="N47" s="50">
        <v>0</v>
      </c>
      <c r="O47" s="15">
        <f t="shared" si="0"/>
        <v>133</v>
      </c>
      <c r="P47" s="15">
        <f t="shared" si="1"/>
        <v>283</v>
      </c>
      <c r="R47" s="8"/>
      <c r="T47"/>
    </row>
    <row r="48" spans="2:32" ht="23.1" customHeight="1" x14ac:dyDescent="0.25">
      <c r="B48" s="46" t="s">
        <v>75</v>
      </c>
      <c r="C48" s="50">
        <v>60</v>
      </c>
      <c r="D48" s="50">
        <v>7</v>
      </c>
      <c r="E48" s="50">
        <v>12</v>
      </c>
      <c r="F48" s="50">
        <v>14</v>
      </c>
      <c r="G48" s="50">
        <v>4</v>
      </c>
      <c r="H48" s="50">
        <v>0</v>
      </c>
      <c r="I48" s="50">
        <v>6</v>
      </c>
      <c r="J48" s="50">
        <v>9</v>
      </c>
      <c r="K48" s="50">
        <v>2</v>
      </c>
      <c r="L48" s="50">
        <v>5</v>
      </c>
      <c r="M48" s="50">
        <v>130</v>
      </c>
      <c r="N48" s="50">
        <v>1</v>
      </c>
      <c r="O48" s="15">
        <f t="shared" si="0"/>
        <v>120</v>
      </c>
      <c r="P48" s="15">
        <f t="shared" si="1"/>
        <v>250</v>
      </c>
      <c r="R48" s="8"/>
      <c r="T48"/>
    </row>
    <row r="49" spans="2:20" ht="23.1" customHeight="1" x14ac:dyDescent="0.25">
      <c r="B49" s="45" t="s">
        <v>76</v>
      </c>
      <c r="C49" s="50">
        <v>75</v>
      </c>
      <c r="D49" s="50">
        <v>3</v>
      </c>
      <c r="E49" s="50">
        <v>12</v>
      </c>
      <c r="F49" s="50">
        <v>9</v>
      </c>
      <c r="G49" s="50">
        <v>3</v>
      </c>
      <c r="H49" s="50">
        <v>0</v>
      </c>
      <c r="I49" s="50">
        <v>5</v>
      </c>
      <c r="J49" s="50">
        <v>3</v>
      </c>
      <c r="K49" s="50">
        <v>1</v>
      </c>
      <c r="L49" s="50">
        <v>2</v>
      </c>
      <c r="M49" s="50">
        <v>105</v>
      </c>
      <c r="N49" s="50">
        <v>0</v>
      </c>
      <c r="O49" s="15">
        <f t="shared" si="0"/>
        <v>113</v>
      </c>
      <c r="P49" s="15">
        <f t="shared" si="1"/>
        <v>218</v>
      </c>
      <c r="R49" s="8"/>
      <c r="T49"/>
    </row>
    <row r="50" spans="2:20" ht="23.1" customHeight="1" x14ac:dyDescent="0.25">
      <c r="B50" s="46" t="s">
        <v>77</v>
      </c>
      <c r="C50" s="50">
        <v>43</v>
      </c>
      <c r="D50" s="50">
        <v>8</v>
      </c>
      <c r="E50" s="50">
        <v>4</v>
      </c>
      <c r="F50" s="50">
        <v>8</v>
      </c>
      <c r="G50" s="50">
        <v>1</v>
      </c>
      <c r="H50" s="50">
        <v>0</v>
      </c>
      <c r="I50" s="50">
        <v>3</v>
      </c>
      <c r="J50" s="50">
        <v>2</v>
      </c>
      <c r="K50" s="50">
        <v>3</v>
      </c>
      <c r="L50" s="50">
        <v>5</v>
      </c>
      <c r="M50" s="50">
        <v>50</v>
      </c>
      <c r="N50" s="50">
        <v>1</v>
      </c>
      <c r="O50" s="15">
        <f t="shared" si="0"/>
        <v>78</v>
      </c>
      <c r="P50" s="15">
        <f t="shared" si="1"/>
        <v>128</v>
      </c>
      <c r="R50" s="8"/>
      <c r="T50"/>
    </row>
    <row r="51" spans="2:20" ht="23.1" customHeight="1" x14ac:dyDescent="0.25">
      <c r="B51" s="46" t="s">
        <v>78</v>
      </c>
      <c r="C51" s="50">
        <v>95</v>
      </c>
      <c r="D51" s="50">
        <v>20</v>
      </c>
      <c r="E51" s="50">
        <v>10</v>
      </c>
      <c r="F51" s="50">
        <v>40</v>
      </c>
      <c r="G51" s="50">
        <v>3</v>
      </c>
      <c r="H51" s="50">
        <v>0</v>
      </c>
      <c r="I51" s="50">
        <v>12</v>
      </c>
      <c r="J51" s="50">
        <v>8</v>
      </c>
      <c r="K51" s="50">
        <v>4</v>
      </c>
      <c r="L51" s="50">
        <v>4</v>
      </c>
      <c r="M51" s="50">
        <v>125</v>
      </c>
      <c r="N51" s="50">
        <v>0</v>
      </c>
      <c r="O51" s="15">
        <f t="shared" si="0"/>
        <v>196</v>
      </c>
      <c r="P51" s="15">
        <f t="shared" si="1"/>
        <v>321</v>
      </c>
      <c r="R51" s="8"/>
      <c r="T51"/>
    </row>
    <row r="52" spans="2:20" ht="23.1" customHeight="1" x14ac:dyDescent="0.25">
      <c r="B52" s="46" t="s">
        <v>79</v>
      </c>
      <c r="C52" s="50">
        <v>71</v>
      </c>
      <c r="D52" s="50">
        <v>1</v>
      </c>
      <c r="E52" s="50">
        <v>10</v>
      </c>
      <c r="F52" s="50">
        <v>8</v>
      </c>
      <c r="G52" s="50">
        <v>5</v>
      </c>
      <c r="H52" s="50">
        <v>0</v>
      </c>
      <c r="I52" s="50">
        <v>2</v>
      </c>
      <c r="J52" s="50">
        <v>1</v>
      </c>
      <c r="K52" s="50">
        <v>1</v>
      </c>
      <c r="L52" s="50">
        <v>1</v>
      </c>
      <c r="M52" s="50">
        <v>90</v>
      </c>
      <c r="N52" s="50">
        <v>0</v>
      </c>
      <c r="O52" s="15">
        <f t="shared" si="0"/>
        <v>100</v>
      </c>
      <c r="P52" s="15">
        <f t="shared" si="1"/>
        <v>190</v>
      </c>
      <c r="R52" s="8"/>
      <c r="T52"/>
    </row>
    <row r="53" spans="2:20" ht="23.1" customHeight="1" x14ac:dyDescent="0.25">
      <c r="B53" s="45" t="s">
        <v>80</v>
      </c>
      <c r="C53" s="50">
        <v>55</v>
      </c>
      <c r="D53" s="50">
        <v>6</v>
      </c>
      <c r="E53" s="50">
        <v>11</v>
      </c>
      <c r="F53" s="50">
        <v>13</v>
      </c>
      <c r="G53" s="50">
        <v>3</v>
      </c>
      <c r="H53" s="50">
        <v>0</v>
      </c>
      <c r="I53" s="50">
        <v>4</v>
      </c>
      <c r="J53" s="50">
        <v>5</v>
      </c>
      <c r="K53" s="50">
        <v>0</v>
      </c>
      <c r="L53" s="50">
        <v>6</v>
      </c>
      <c r="M53" s="50">
        <v>130</v>
      </c>
      <c r="N53" s="50">
        <v>0</v>
      </c>
      <c r="O53" s="15">
        <f t="shared" si="0"/>
        <v>103</v>
      </c>
      <c r="P53" s="15">
        <f t="shared" si="1"/>
        <v>233</v>
      </c>
      <c r="R53" s="8"/>
      <c r="T53"/>
    </row>
    <row r="54" spans="2:20" ht="23.1" customHeight="1" x14ac:dyDescent="0.25">
      <c r="B54" s="45" t="s">
        <v>81</v>
      </c>
      <c r="C54" s="50">
        <v>95</v>
      </c>
      <c r="D54" s="50">
        <v>12</v>
      </c>
      <c r="E54" s="50">
        <v>9</v>
      </c>
      <c r="F54" s="50">
        <v>20</v>
      </c>
      <c r="G54" s="50">
        <v>3</v>
      </c>
      <c r="H54" s="50">
        <v>0</v>
      </c>
      <c r="I54" s="50">
        <v>5</v>
      </c>
      <c r="J54" s="50">
        <v>5</v>
      </c>
      <c r="K54" s="50">
        <v>0</v>
      </c>
      <c r="L54" s="50">
        <v>5</v>
      </c>
      <c r="M54" s="50">
        <v>110</v>
      </c>
      <c r="N54" s="50">
        <v>0</v>
      </c>
      <c r="O54" s="15">
        <f t="shared" si="0"/>
        <v>154</v>
      </c>
      <c r="P54" s="15">
        <f t="shared" si="1"/>
        <v>264</v>
      </c>
      <c r="R54" s="8"/>
      <c r="T54"/>
    </row>
    <row r="55" spans="2:20" ht="23.1" customHeight="1" x14ac:dyDescent="0.25">
      <c r="B55" s="45" t="s">
        <v>82</v>
      </c>
      <c r="C55" s="50">
        <v>65</v>
      </c>
      <c r="D55" s="50">
        <v>3</v>
      </c>
      <c r="E55" s="50">
        <v>6</v>
      </c>
      <c r="F55" s="50">
        <v>15</v>
      </c>
      <c r="G55" s="50">
        <v>1</v>
      </c>
      <c r="H55" s="50">
        <v>0</v>
      </c>
      <c r="I55" s="50">
        <v>6</v>
      </c>
      <c r="J55" s="50">
        <v>5</v>
      </c>
      <c r="K55" s="50">
        <v>0</v>
      </c>
      <c r="L55" s="50">
        <v>1</v>
      </c>
      <c r="M55" s="50">
        <v>105</v>
      </c>
      <c r="N55" s="50">
        <v>1</v>
      </c>
      <c r="O55" s="15">
        <f t="shared" si="0"/>
        <v>103</v>
      </c>
      <c r="P55" s="15">
        <f t="shared" si="1"/>
        <v>208</v>
      </c>
      <c r="R55" s="8"/>
      <c r="T55"/>
    </row>
    <row r="56" spans="2:20" ht="23.1" customHeight="1" x14ac:dyDescent="0.25">
      <c r="B56" s="45" t="s">
        <v>83</v>
      </c>
      <c r="C56" s="50">
        <v>89</v>
      </c>
      <c r="D56" s="50">
        <v>11</v>
      </c>
      <c r="E56" s="50">
        <v>7</v>
      </c>
      <c r="F56" s="50">
        <v>7</v>
      </c>
      <c r="G56" s="50">
        <v>5</v>
      </c>
      <c r="H56" s="50">
        <v>0</v>
      </c>
      <c r="I56" s="50">
        <v>6</v>
      </c>
      <c r="J56" s="50">
        <v>4</v>
      </c>
      <c r="K56" s="50">
        <v>1</v>
      </c>
      <c r="L56" s="50">
        <v>2</v>
      </c>
      <c r="M56" s="50">
        <v>75</v>
      </c>
      <c r="N56" s="50">
        <v>0</v>
      </c>
      <c r="O56" s="15">
        <f t="shared" si="0"/>
        <v>132</v>
      </c>
      <c r="P56" s="15">
        <f t="shared" si="1"/>
        <v>207</v>
      </c>
      <c r="R56" s="8"/>
      <c r="T56"/>
    </row>
    <row r="57" spans="2:20" ht="23.1" customHeight="1" x14ac:dyDescent="0.25">
      <c r="B57" s="45" t="s">
        <v>84</v>
      </c>
      <c r="C57" s="50">
        <v>60</v>
      </c>
      <c r="D57" s="50">
        <v>5</v>
      </c>
      <c r="E57" s="50">
        <v>4</v>
      </c>
      <c r="F57" s="50">
        <v>19</v>
      </c>
      <c r="G57" s="50">
        <v>0</v>
      </c>
      <c r="H57" s="50">
        <v>0</v>
      </c>
      <c r="I57" s="50">
        <v>4</v>
      </c>
      <c r="J57" s="50">
        <v>3</v>
      </c>
      <c r="K57" s="50">
        <v>0</v>
      </c>
      <c r="L57" s="50">
        <v>2</v>
      </c>
      <c r="M57" s="50">
        <v>105</v>
      </c>
      <c r="N57" s="50">
        <v>0</v>
      </c>
      <c r="O57" s="15">
        <f t="shared" si="0"/>
        <v>97</v>
      </c>
      <c r="P57" s="15">
        <f t="shared" si="1"/>
        <v>202</v>
      </c>
      <c r="R57" s="8"/>
      <c r="T57"/>
    </row>
    <row r="58" spans="2:20" ht="23.1" customHeight="1" x14ac:dyDescent="0.25">
      <c r="B58" s="45" t="s">
        <v>99</v>
      </c>
      <c r="C58" s="50">
        <v>52</v>
      </c>
      <c r="D58" s="50">
        <v>9</v>
      </c>
      <c r="E58" s="50">
        <v>2</v>
      </c>
      <c r="F58" s="50">
        <v>15</v>
      </c>
      <c r="G58" s="50">
        <v>5</v>
      </c>
      <c r="H58" s="50">
        <v>1</v>
      </c>
      <c r="I58" s="50">
        <v>4</v>
      </c>
      <c r="J58" s="50">
        <v>2</v>
      </c>
      <c r="K58" s="50">
        <v>1</v>
      </c>
      <c r="L58" s="50">
        <v>1</v>
      </c>
      <c r="M58" s="50">
        <v>90</v>
      </c>
      <c r="N58" s="50">
        <v>0</v>
      </c>
      <c r="O58" s="15">
        <f t="shared" si="0"/>
        <v>92</v>
      </c>
      <c r="P58" s="15">
        <f t="shared" si="1"/>
        <v>182</v>
      </c>
      <c r="R58" s="8"/>
      <c r="T58"/>
    </row>
    <row r="59" spans="2:20" ht="23.1" customHeight="1" x14ac:dyDescent="0.25">
      <c r="B59" s="45" t="s">
        <v>100</v>
      </c>
      <c r="C59" s="50">
        <v>39</v>
      </c>
      <c r="D59" s="50">
        <v>11</v>
      </c>
      <c r="E59" s="50">
        <v>3</v>
      </c>
      <c r="F59" s="50">
        <v>8</v>
      </c>
      <c r="G59" s="50">
        <v>1</v>
      </c>
      <c r="H59" s="50">
        <v>0</v>
      </c>
      <c r="I59" s="50">
        <v>6</v>
      </c>
      <c r="J59" s="50">
        <v>1</v>
      </c>
      <c r="K59" s="50">
        <v>1</v>
      </c>
      <c r="L59" s="50">
        <v>1</v>
      </c>
      <c r="M59" s="50">
        <v>156</v>
      </c>
      <c r="N59" s="50">
        <v>0</v>
      </c>
      <c r="O59" s="15">
        <f t="shared" si="0"/>
        <v>71</v>
      </c>
      <c r="P59" s="15">
        <f t="shared" si="1"/>
        <v>227</v>
      </c>
      <c r="R59" s="8"/>
      <c r="T59"/>
    </row>
    <row r="60" spans="2:20" ht="23.1" customHeight="1" x14ac:dyDescent="0.25">
      <c r="B60" s="45" t="s">
        <v>101</v>
      </c>
      <c r="C60" s="50">
        <v>66</v>
      </c>
      <c r="D60" s="50">
        <v>12</v>
      </c>
      <c r="E60" s="50">
        <v>5</v>
      </c>
      <c r="F60" s="50">
        <v>12</v>
      </c>
      <c r="G60" s="50">
        <v>3</v>
      </c>
      <c r="H60" s="50">
        <v>1</v>
      </c>
      <c r="I60" s="50">
        <v>7</v>
      </c>
      <c r="J60" s="50">
        <v>0</v>
      </c>
      <c r="K60" s="50">
        <v>3</v>
      </c>
      <c r="L60" s="50">
        <v>2</v>
      </c>
      <c r="M60" s="50">
        <v>155</v>
      </c>
      <c r="N60" s="50">
        <v>0</v>
      </c>
      <c r="O60" s="15">
        <f t="shared" si="0"/>
        <v>111</v>
      </c>
      <c r="P60" s="15">
        <f t="shared" si="1"/>
        <v>266</v>
      </c>
      <c r="R60" s="8"/>
      <c r="T60"/>
    </row>
    <row r="61" spans="2:20" ht="23.1" customHeight="1" x14ac:dyDescent="0.25">
      <c r="B61" s="45" t="s">
        <v>102</v>
      </c>
      <c r="C61" s="50">
        <v>95</v>
      </c>
      <c r="D61" s="50">
        <v>10</v>
      </c>
      <c r="E61" s="50">
        <v>6</v>
      </c>
      <c r="F61" s="50">
        <v>20</v>
      </c>
      <c r="G61" s="50">
        <v>3</v>
      </c>
      <c r="H61" s="50">
        <v>1</v>
      </c>
      <c r="I61" s="50">
        <v>5</v>
      </c>
      <c r="J61" s="50">
        <v>2</v>
      </c>
      <c r="K61" s="50">
        <v>0</v>
      </c>
      <c r="L61" s="50">
        <v>2</v>
      </c>
      <c r="M61" s="50">
        <v>331</v>
      </c>
      <c r="N61" s="50">
        <v>0</v>
      </c>
      <c r="O61" s="15">
        <f t="shared" si="0"/>
        <v>144</v>
      </c>
      <c r="P61" s="15">
        <f t="shared" si="1"/>
        <v>475</v>
      </c>
      <c r="R61" s="8"/>
      <c r="T61"/>
    </row>
    <row r="62" spans="2:20" ht="23.1" customHeight="1" x14ac:dyDescent="0.25">
      <c r="B62" s="45" t="s">
        <v>107</v>
      </c>
      <c r="C62" s="50">
        <v>93</v>
      </c>
      <c r="D62" s="50">
        <v>9</v>
      </c>
      <c r="E62" s="50">
        <v>6</v>
      </c>
      <c r="F62" s="50">
        <v>22</v>
      </c>
      <c r="G62" s="50">
        <v>7</v>
      </c>
      <c r="H62" s="50">
        <v>0</v>
      </c>
      <c r="I62" s="50">
        <v>4</v>
      </c>
      <c r="J62" s="50">
        <v>0</v>
      </c>
      <c r="K62" s="50">
        <v>1</v>
      </c>
      <c r="L62" s="50">
        <v>1</v>
      </c>
      <c r="M62" s="50">
        <v>202</v>
      </c>
      <c r="N62" s="50">
        <v>0</v>
      </c>
      <c r="O62" s="15">
        <f t="shared" si="0"/>
        <v>143</v>
      </c>
      <c r="P62" s="15">
        <f t="shared" si="1"/>
        <v>345</v>
      </c>
      <c r="R62" s="8"/>
      <c r="T62"/>
    </row>
    <row r="63" spans="2:20" ht="23.1" customHeight="1" x14ac:dyDescent="0.25">
      <c r="B63" s="45" t="s">
        <v>108</v>
      </c>
      <c r="C63" s="50">
        <v>63</v>
      </c>
      <c r="D63" s="50">
        <v>1</v>
      </c>
      <c r="E63" s="50">
        <v>1</v>
      </c>
      <c r="F63" s="50">
        <v>7</v>
      </c>
      <c r="G63" s="50">
        <v>0</v>
      </c>
      <c r="H63" s="50">
        <v>0</v>
      </c>
      <c r="I63" s="50">
        <v>3</v>
      </c>
      <c r="J63" s="50">
        <v>0</v>
      </c>
      <c r="K63" s="50">
        <v>0</v>
      </c>
      <c r="L63" s="50">
        <v>0</v>
      </c>
      <c r="M63" s="50">
        <v>265</v>
      </c>
      <c r="N63" s="50">
        <v>0</v>
      </c>
      <c r="O63" s="15">
        <f t="shared" si="0"/>
        <v>75</v>
      </c>
      <c r="P63" s="15">
        <f t="shared" si="1"/>
        <v>340</v>
      </c>
      <c r="R63" s="8"/>
      <c r="T63"/>
    </row>
    <row r="64" spans="2:20" ht="23.1" customHeight="1" x14ac:dyDescent="0.25">
      <c r="B64" s="45" t="s">
        <v>109</v>
      </c>
      <c r="C64" s="50">
        <v>51</v>
      </c>
      <c r="D64" s="50">
        <v>2</v>
      </c>
      <c r="E64" s="50">
        <v>3</v>
      </c>
      <c r="F64" s="50">
        <v>8</v>
      </c>
      <c r="G64" s="50">
        <v>2</v>
      </c>
      <c r="H64" s="50">
        <v>0</v>
      </c>
      <c r="I64" s="50">
        <v>3</v>
      </c>
      <c r="J64" s="50">
        <v>2</v>
      </c>
      <c r="K64" s="50">
        <v>0</v>
      </c>
      <c r="L64" s="50">
        <v>1</v>
      </c>
      <c r="M64" s="50">
        <v>265</v>
      </c>
      <c r="N64" s="50">
        <v>0</v>
      </c>
      <c r="O64" s="15">
        <f t="shared" si="0"/>
        <v>72</v>
      </c>
      <c r="P64" s="15">
        <f t="shared" si="1"/>
        <v>337</v>
      </c>
      <c r="R64" s="8"/>
      <c r="T64"/>
    </row>
    <row r="65" spans="2:20" ht="23.1" customHeight="1" x14ac:dyDescent="0.25">
      <c r="B65" s="45" t="s">
        <v>158</v>
      </c>
      <c r="C65" s="50">
        <v>50</v>
      </c>
      <c r="D65" s="50">
        <v>4</v>
      </c>
      <c r="E65" s="50">
        <v>2</v>
      </c>
      <c r="F65" s="50">
        <v>20</v>
      </c>
      <c r="G65" s="50">
        <v>0</v>
      </c>
      <c r="H65" s="50">
        <v>0</v>
      </c>
      <c r="I65" s="50">
        <v>3</v>
      </c>
      <c r="J65" s="50">
        <v>4</v>
      </c>
      <c r="K65" s="50">
        <v>1</v>
      </c>
      <c r="L65" s="50">
        <v>0</v>
      </c>
      <c r="M65" s="50">
        <v>200</v>
      </c>
      <c r="N65" s="50">
        <v>0</v>
      </c>
      <c r="O65" s="15">
        <f t="shared" si="0"/>
        <v>84</v>
      </c>
      <c r="P65" s="15">
        <f t="shared" si="1"/>
        <v>284</v>
      </c>
      <c r="R65" s="8"/>
      <c r="T65"/>
    </row>
    <row r="66" spans="2:20" ht="23.1" customHeight="1" x14ac:dyDescent="0.25">
      <c r="B66" s="45" t="s">
        <v>103</v>
      </c>
      <c r="C66" s="50">
        <v>37</v>
      </c>
      <c r="D66" s="50">
        <v>6</v>
      </c>
      <c r="E66" s="50">
        <v>6</v>
      </c>
      <c r="F66" s="50">
        <v>13</v>
      </c>
      <c r="G66" s="50">
        <v>1</v>
      </c>
      <c r="H66" s="50">
        <v>0</v>
      </c>
      <c r="I66" s="50">
        <v>4</v>
      </c>
      <c r="J66" s="50">
        <v>1</v>
      </c>
      <c r="K66" s="50">
        <v>0</v>
      </c>
      <c r="L66" s="50">
        <v>0</v>
      </c>
      <c r="M66" s="50">
        <v>210</v>
      </c>
      <c r="N66" s="50">
        <v>0</v>
      </c>
      <c r="O66" s="15">
        <f t="shared" si="0"/>
        <v>68</v>
      </c>
      <c r="P66" s="15">
        <f t="shared" si="1"/>
        <v>278</v>
      </c>
      <c r="R66" s="8"/>
      <c r="T66"/>
    </row>
    <row r="67" spans="2:20" ht="23.1" customHeight="1" x14ac:dyDescent="0.25">
      <c r="B67" s="45" t="s">
        <v>104</v>
      </c>
      <c r="C67" s="50">
        <v>63</v>
      </c>
      <c r="D67" s="50">
        <v>7</v>
      </c>
      <c r="E67" s="50">
        <v>4</v>
      </c>
      <c r="F67" s="50">
        <v>12</v>
      </c>
      <c r="G67" s="50">
        <v>3</v>
      </c>
      <c r="H67" s="50">
        <v>0</v>
      </c>
      <c r="I67" s="50">
        <v>4</v>
      </c>
      <c r="J67" s="50">
        <v>0</v>
      </c>
      <c r="K67" s="50">
        <v>2</v>
      </c>
      <c r="L67" s="50">
        <v>0</v>
      </c>
      <c r="M67" s="50">
        <v>165</v>
      </c>
      <c r="N67" s="50">
        <v>0</v>
      </c>
      <c r="O67" s="15">
        <f t="shared" si="0"/>
        <v>95</v>
      </c>
      <c r="P67" s="15">
        <f t="shared" si="1"/>
        <v>260</v>
      </c>
      <c r="R67" s="8"/>
      <c r="T67"/>
    </row>
    <row r="68" spans="2:20" ht="23.1" customHeight="1" x14ac:dyDescent="0.25">
      <c r="B68" s="45" t="s">
        <v>105</v>
      </c>
      <c r="C68" s="50">
        <v>71</v>
      </c>
      <c r="D68" s="50">
        <v>6</v>
      </c>
      <c r="E68" s="50">
        <v>5</v>
      </c>
      <c r="F68" s="50">
        <v>25</v>
      </c>
      <c r="G68" s="50">
        <v>5</v>
      </c>
      <c r="H68" s="50">
        <v>0</v>
      </c>
      <c r="I68" s="50">
        <v>9</v>
      </c>
      <c r="J68" s="50">
        <v>0</v>
      </c>
      <c r="K68" s="50">
        <v>2</v>
      </c>
      <c r="L68" s="50">
        <v>0</v>
      </c>
      <c r="M68" s="50">
        <v>140</v>
      </c>
      <c r="N68" s="50">
        <v>0</v>
      </c>
      <c r="O68" s="15">
        <f t="shared" si="0"/>
        <v>123</v>
      </c>
      <c r="P68" s="15">
        <f t="shared" si="1"/>
        <v>263</v>
      </c>
      <c r="R68" s="8"/>
      <c r="T68"/>
    </row>
    <row r="69" spans="2:20" ht="23.1" customHeight="1" x14ac:dyDescent="0.25">
      <c r="B69" s="45" t="s">
        <v>106</v>
      </c>
      <c r="C69" s="50">
        <v>139</v>
      </c>
      <c r="D69" s="50">
        <v>14</v>
      </c>
      <c r="E69" s="50">
        <v>7</v>
      </c>
      <c r="F69" s="50">
        <v>16</v>
      </c>
      <c r="G69" s="50">
        <v>2</v>
      </c>
      <c r="H69" s="50">
        <v>0</v>
      </c>
      <c r="I69" s="50">
        <v>6</v>
      </c>
      <c r="J69" s="50">
        <v>1</v>
      </c>
      <c r="K69" s="50">
        <v>1</v>
      </c>
      <c r="L69" s="50">
        <v>0</v>
      </c>
      <c r="M69" s="50">
        <v>170</v>
      </c>
      <c r="N69" s="50">
        <v>0</v>
      </c>
      <c r="O69" s="15">
        <f t="shared" si="0"/>
        <v>186</v>
      </c>
      <c r="P69" s="15">
        <f t="shared" si="1"/>
        <v>356</v>
      </c>
      <c r="R69" s="8"/>
      <c r="T69"/>
    </row>
    <row r="70" spans="2:20" ht="23.1" customHeight="1" x14ac:dyDescent="0.25">
      <c r="B70" s="45" t="s">
        <v>110</v>
      </c>
      <c r="C70" s="50">
        <v>105</v>
      </c>
      <c r="D70" s="50">
        <v>12</v>
      </c>
      <c r="E70" s="50">
        <v>8</v>
      </c>
      <c r="F70" s="50">
        <v>15</v>
      </c>
      <c r="G70" s="50">
        <v>0</v>
      </c>
      <c r="H70" s="50">
        <v>0</v>
      </c>
      <c r="I70" s="50">
        <v>8</v>
      </c>
      <c r="J70" s="50">
        <v>2</v>
      </c>
      <c r="K70" s="50">
        <v>0</v>
      </c>
      <c r="L70" s="50">
        <v>0</v>
      </c>
      <c r="M70" s="50">
        <v>175</v>
      </c>
      <c r="N70" s="50">
        <v>0</v>
      </c>
      <c r="O70" s="15">
        <f t="shared" si="0"/>
        <v>150</v>
      </c>
      <c r="P70" s="15">
        <f t="shared" si="1"/>
        <v>325</v>
      </c>
      <c r="R70" s="8"/>
      <c r="T70"/>
    </row>
    <row r="71" spans="2:20" ht="23.1" customHeight="1" x14ac:dyDescent="0.25">
      <c r="B71" s="45" t="s">
        <v>111</v>
      </c>
      <c r="C71" s="50">
        <v>104</v>
      </c>
      <c r="D71" s="50">
        <v>6</v>
      </c>
      <c r="E71" s="50">
        <v>16</v>
      </c>
      <c r="F71" s="50">
        <v>23</v>
      </c>
      <c r="G71" s="50">
        <v>0</v>
      </c>
      <c r="H71" s="50">
        <v>0</v>
      </c>
      <c r="I71" s="50">
        <v>5</v>
      </c>
      <c r="J71" s="50">
        <v>5</v>
      </c>
      <c r="K71" s="50">
        <v>2</v>
      </c>
      <c r="L71" s="50">
        <v>1</v>
      </c>
      <c r="M71" s="50">
        <v>158</v>
      </c>
      <c r="N71" s="50">
        <v>0</v>
      </c>
      <c r="O71" s="15">
        <f t="shared" si="0"/>
        <v>162</v>
      </c>
      <c r="P71" s="15">
        <f t="shared" si="1"/>
        <v>320</v>
      </c>
      <c r="R71" s="8"/>
      <c r="T71"/>
    </row>
    <row r="72" spans="2:20" ht="23.1" customHeight="1" x14ac:dyDescent="0.25">
      <c r="B72" s="45" t="s">
        <v>112</v>
      </c>
      <c r="C72" s="50">
        <v>114</v>
      </c>
      <c r="D72" s="50">
        <v>7</v>
      </c>
      <c r="E72" s="50">
        <v>11</v>
      </c>
      <c r="F72" s="50">
        <v>16</v>
      </c>
      <c r="G72" s="50">
        <v>2</v>
      </c>
      <c r="H72" s="50">
        <v>0</v>
      </c>
      <c r="I72" s="50">
        <v>5</v>
      </c>
      <c r="J72" s="50">
        <v>4</v>
      </c>
      <c r="K72" s="50">
        <v>1</v>
      </c>
      <c r="L72" s="50">
        <v>1</v>
      </c>
      <c r="M72" s="50">
        <v>175</v>
      </c>
      <c r="N72" s="50">
        <v>0</v>
      </c>
      <c r="O72" s="15">
        <f t="shared" si="0"/>
        <v>161</v>
      </c>
      <c r="P72" s="15">
        <f t="shared" si="1"/>
        <v>336</v>
      </c>
      <c r="R72" s="8"/>
      <c r="T72"/>
    </row>
    <row r="73" spans="2:20" ht="23.1" customHeight="1" x14ac:dyDescent="0.25">
      <c r="B73" s="45" t="s">
        <v>113</v>
      </c>
      <c r="C73" s="50">
        <v>69</v>
      </c>
      <c r="D73" s="50">
        <v>7</v>
      </c>
      <c r="E73" s="50">
        <v>5</v>
      </c>
      <c r="F73" s="50">
        <v>11</v>
      </c>
      <c r="G73" s="50">
        <v>2</v>
      </c>
      <c r="H73" s="50">
        <v>0</v>
      </c>
      <c r="I73" s="50">
        <v>4</v>
      </c>
      <c r="J73" s="50">
        <v>0</v>
      </c>
      <c r="K73" s="50">
        <v>1</v>
      </c>
      <c r="L73" s="50">
        <v>1</v>
      </c>
      <c r="M73" s="50">
        <v>178</v>
      </c>
      <c r="N73" s="50">
        <v>0</v>
      </c>
      <c r="O73" s="15">
        <f t="shared" si="0"/>
        <v>100</v>
      </c>
      <c r="P73" s="15">
        <f t="shared" si="1"/>
        <v>278</v>
      </c>
      <c r="R73" s="8"/>
      <c r="T73"/>
    </row>
    <row r="74" spans="2:20" ht="23.1" customHeight="1" x14ac:dyDescent="0.25">
      <c r="B74" s="45" t="s">
        <v>114</v>
      </c>
      <c r="C74" s="50">
        <v>53</v>
      </c>
      <c r="D74" s="50">
        <v>4</v>
      </c>
      <c r="E74" s="50">
        <v>2</v>
      </c>
      <c r="F74" s="50">
        <v>6</v>
      </c>
      <c r="G74" s="50">
        <v>0</v>
      </c>
      <c r="H74" s="50">
        <v>0</v>
      </c>
      <c r="I74" s="50">
        <v>1</v>
      </c>
      <c r="J74" s="50">
        <v>1</v>
      </c>
      <c r="K74" s="50">
        <v>0</v>
      </c>
      <c r="L74" s="50">
        <v>0</v>
      </c>
      <c r="M74" s="50">
        <v>111</v>
      </c>
      <c r="N74" s="50">
        <v>0</v>
      </c>
      <c r="O74" s="15">
        <f t="shared" ref="O74:O105" si="35">SUM(C74:L74,N74)</f>
        <v>67</v>
      </c>
      <c r="P74" s="15">
        <f t="shared" ref="P74:P105" si="36">SUM(C74:N74)</f>
        <v>178</v>
      </c>
      <c r="R74" s="8"/>
      <c r="T74"/>
    </row>
    <row r="75" spans="2:20" ht="23.1" customHeight="1" x14ac:dyDescent="0.25">
      <c r="B75" s="45" t="s">
        <v>115</v>
      </c>
      <c r="C75" s="50">
        <v>50</v>
      </c>
      <c r="D75" s="50">
        <v>5</v>
      </c>
      <c r="E75" s="50">
        <v>9</v>
      </c>
      <c r="F75" s="50">
        <v>7</v>
      </c>
      <c r="G75" s="50">
        <v>2</v>
      </c>
      <c r="H75" s="50">
        <v>0</v>
      </c>
      <c r="I75" s="50">
        <v>2</v>
      </c>
      <c r="J75" s="50">
        <v>1</v>
      </c>
      <c r="K75" s="50">
        <v>0</v>
      </c>
      <c r="L75" s="50">
        <v>0</v>
      </c>
      <c r="M75" s="50">
        <v>144</v>
      </c>
      <c r="N75" s="50">
        <v>0</v>
      </c>
      <c r="O75" s="15">
        <f t="shared" si="35"/>
        <v>76</v>
      </c>
      <c r="P75" s="15">
        <f t="shared" si="36"/>
        <v>220</v>
      </c>
      <c r="R75" s="8"/>
      <c r="T75"/>
    </row>
    <row r="76" spans="2:20" ht="23.1" customHeight="1" x14ac:dyDescent="0.25">
      <c r="B76" s="45" t="s">
        <v>116</v>
      </c>
      <c r="C76" s="50">
        <v>58</v>
      </c>
      <c r="D76" s="50">
        <v>6</v>
      </c>
      <c r="E76" s="50">
        <v>1</v>
      </c>
      <c r="F76" s="50">
        <v>5</v>
      </c>
      <c r="G76" s="50">
        <v>0</v>
      </c>
      <c r="H76" s="50">
        <v>0</v>
      </c>
      <c r="I76" s="50">
        <v>8</v>
      </c>
      <c r="J76" s="50">
        <v>2</v>
      </c>
      <c r="K76" s="50">
        <v>0</v>
      </c>
      <c r="L76" s="50">
        <v>0</v>
      </c>
      <c r="M76" s="50">
        <v>127</v>
      </c>
      <c r="N76" s="50">
        <v>0</v>
      </c>
      <c r="O76" s="15">
        <f t="shared" si="35"/>
        <v>80</v>
      </c>
      <c r="P76" s="15">
        <f t="shared" si="36"/>
        <v>207</v>
      </c>
      <c r="R76" s="8"/>
      <c r="T76"/>
    </row>
    <row r="77" spans="2:20" ht="23.1" customHeight="1" x14ac:dyDescent="0.25">
      <c r="B77" s="45" t="s">
        <v>117</v>
      </c>
      <c r="C77" s="50">
        <v>42</v>
      </c>
      <c r="D77" s="50">
        <v>8</v>
      </c>
      <c r="E77" s="50">
        <v>1</v>
      </c>
      <c r="F77" s="50">
        <v>6</v>
      </c>
      <c r="G77" s="50">
        <v>0</v>
      </c>
      <c r="H77" s="50">
        <v>0</v>
      </c>
      <c r="I77" s="50">
        <v>2</v>
      </c>
      <c r="J77" s="50">
        <v>1</v>
      </c>
      <c r="K77" s="50">
        <v>0</v>
      </c>
      <c r="L77" s="50">
        <v>0</v>
      </c>
      <c r="M77" s="50">
        <v>108</v>
      </c>
      <c r="N77" s="50">
        <v>0</v>
      </c>
      <c r="O77" s="15">
        <f t="shared" si="35"/>
        <v>60</v>
      </c>
      <c r="P77" s="15">
        <f t="shared" si="36"/>
        <v>168</v>
      </c>
      <c r="R77" s="8"/>
      <c r="T77"/>
    </row>
    <row r="78" spans="2:20" ht="23.1" customHeight="1" x14ac:dyDescent="0.25">
      <c r="B78" s="46" t="s">
        <v>118</v>
      </c>
      <c r="C78" s="50">
        <v>21</v>
      </c>
      <c r="D78" s="50">
        <v>4</v>
      </c>
      <c r="E78" s="50">
        <v>4</v>
      </c>
      <c r="F78" s="50">
        <v>6</v>
      </c>
      <c r="G78" s="50">
        <v>0</v>
      </c>
      <c r="H78" s="50">
        <v>0</v>
      </c>
      <c r="I78" s="50">
        <v>2</v>
      </c>
      <c r="J78" s="50">
        <v>0</v>
      </c>
      <c r="K78" s="50">
        <v>0</v>
      </c>
      <c r="L78" s="50">
        <v>0</v>
      </c>
      <c r="M78" s="50">
        <v>87</v>
      </c>
      <c r="N78" s="50">
        <v>0</v>
      </c>
      <c r="O78" s="15">
        <f t="shared" si="35"/>
        <v>37</v>
      </c>
      <c r="P78" s="15">
        <f t="shared" si="36"/>
        <v>124</v>
      </c>
      <c r="R78" s="8"/>
      <c r="T78"/>
    </row>
    <row r="79" spans="2:20" ht="23.1" customHeight="1" x14ac:dyDescent="0.25">
      <c r="B79" s="45" t="s">
        <v>119</v>
      </c>
      <c r="C79" s="50">
        <v>32</v>
      </c>
      <c r="D79" s="50">
        <v>1</v>
      </c>
      <c r="E79" s="50">
        <v>2</v>
      </c>
      <c r="F79" s="50">
        <v>5</v>
      </c>
      <c r="G79" s="50">
        <v>0</v>
      </c>
      <c r="H79" s="50">
        <v>0</v>
      </c>
      <c r="I79" s="50">
        <v>3</v>
      </c>
      <c r="J79" s="50">
        <v>0</v>
      </c>
      <c r="K79" s="50">
        <v>0</v>
      </c>
      <c r="L79" s="50">
        <v>1</v>
      </c>
      <c r="M79" s="50">
        <v>95</v>
      </c>
      <c r="N79" s="50">
        <v>0</v>
      </c>
      <c r="O79" s="15">
        <f t="shared" si="35"/>
        <v>44</v>
      </c>
      <c r="P79" s="15">
        <f t="shared" si="36"/>
        <v>139</v>
      </c>
      <c r="R79" s="8"/>
      <c r="T79"/>
    </row>
    <row r="80" spans="2:20" ht="23.1" customHeight="1" x14ac:dyDescent="0.25">
      <c r="B80" s="47" t="s">
        <v>120</v>
      </c>
      <c r="C80" s="50">
        <v>26</v>
      </c>
      <c r="D80" s="50">
        <v>3</v>
      </c>
      <c r="E80" s="50">
        <v>2</v>
      </c>
      <c r="F80" s="50">
        <v>4</v>
      </c>
      <c r="G80" s="50">
        <v>0</v>
      </c>
      <c r="H80" s="50">
        <v>0</v>
      </c>
      <c r="I80" s="50">
        <v>3</v>
      </c>
      <c r="J80" s="50">
        <v>0</v>
      </c>
      <c r="K80" s="50">
        <v>0</v>
      </c>
      <c r="L80" s="50">
        <v>1</v>
      </c>
      <c r="M80" s="50">
        <v>74</v>
      </c>
      <c r="N80" s="50">
        <v>0</v>
      </c>
      <c r="O80" s="15">
        <f t="shared" si="35"/>
        <v>39</v>
      </c>
      <c r="P80" s="15">
        <f t="shared" si="36"/>
        <v>113</v>
      </c>
      <c r="R80" s="8"/>
      <c r="T80"/>
    </row>
    <row r="81" spans="2:20" ht="23.1" customHeight="1" x14ac:dyDescent="0.25">
      <c r="B81" s="45" t="s">
        <v>121</v>
      </c>
      <c r="C81" s="50">
        <v>16</v>
      </c>
      <c r="D81" s="50">
        <v>0</v>
      </c>
      <c r="E81" s="50">
        <v>2</v>
      </c>
      <c r="F81" s="50">
        <v>3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1</v>
      </c>
      <c r="M81" s="50">
        <v>66</v>
      </c>
      <c r="N81" s="50">
        <v>0</v>
      </c>
      <c r="O81" s="15">
        <f t="shared" si="35"/>
        <v>23</v>
      </c>
      <c r="P81" s="15">
        <f t="shared" si="36"/>
        <v>89</v>
      </c>
      <c r="R81" s="8"/>
      <c r="T81"/>
    </row>
    <row r="82" spans="2:20" ht="23.1" customHeight="1" x14ac:dyDescent="0.25">
      <c r="B82" s="46" t="s">
        <v>122</v>
      </c>
      <c r="C82" s="50">
        <v>20</v>
      </c>
      <c r="D82" s="50">
        <v>0</v>
      </c>
      <c r="E82" s="50">
        <v>2</v>
      </c>
      <c r="F82" s="50">
        <v>2</v>
      </c>
      <c r="G82" s="50">
        <v>0</v>
      </c>
      <c r="H82" s="50">
        <v>0</v>
      </c>
      <c r="I82" s="50">
        <v>2</v>
      </c>
      <c r="J82" s="50">
        <v>0</v>
      </c>
      <c r="K82" s="50">
        <v>0</v>
      </c>
      <c r="L82" s="50">
        <v>1</v>
      </c>
      <c r="M82" s="50">
        <v>55</v>
      </c>
      <c r="N82" s="50">
        <v>0</v>
      </c>
      <c r="O82" s="15">
        <f t="shared" si="35"/>
        <v>27</v>
      </c>
      <c r="P82" s="15">
        <f t="shared" si="36"/>
        <v>82</v>
      </c>
      <c r="R82" s="8"/>
      <c r="T82"/>
    </row>
    <row r="83" spans="2:20" ht="23.1" customHeight="1" x14ac:dyDescent="0.25">
      <c r="B83" s="45" t="s">
        <v>123</v>
      </c>
      <c r="C83" s="50">
        <v>18</v>
      </c>
      <c r="D83" s="50">
        <v>2</v>
      </c>
      <c r="E83" s="50">
        <v>0</v>
      </c>
      <c r="F83" s="50">
        <v>2</v>
      </c>
      <c r="G83" s="50">
        <v>0</v>
      </c>
      <c r="H83" s="50">
        <v>0</v>
      </c>
      <c r="I83" s="50">
        <v>0</v>
      </c>
      <c r="J83" s="50">
        <v>1</v>
      </c>
      <c r="K83" s="50">
        <v>0</v>
      </c>
      <c r="L83" s="50">
        <v>0</v>
      </c>
      <c r="M83" s="50">
        <v>56</v>
      </c>
      <c r="N83" s="50">
        <v>0</v>
      </c>
      <c r="O83" s="15">
        <f t="shared" si="35"/>
        <v>23</v>
      </c>
      <c r="P83" s="15">
        <f t="shared" si="36"/>
        <v>79</v>
      </c>
      <c r="R83" s="8"/>
      <c r="T83"/>
    </row>
    <row r="84" spans="2:20" ht="23.1" customHeight="1" x14ac:dyDescent="0.25">
      <c r="B84" s="47" t="s">
        <v>124</v>
      </c>
      <c r="C84" s="50">
        <v>25</v>
      </c>
      <c r="D84" s="50">
        <v>1</v>
      </c>
      <c r="E84" s="50">
        <v>1</v>
      </c>
      <c r="F84" s="50">
        <v>4</v>
      </c>
      <c r="G84" s="50">
        <v>0</v>
      </c>
      <c r="H84" s="50">
        <v>0</v>
      </c>
      <c r="I84" s="50">
        <v>1</v>
      </c>
      <c r="J84" s="50">
        <v>3</v>
      </c>
      <c r="K84" s="50">
        <v>0</v>
      </c>
      <c r="L84" s="50">
        <v>0</v>
      </c>
      <c r="M84" s="50">
        <v>40</v>
      </c>
      <c r="N84" s="50">
        <v>0</v>
      </c>
      <c r="O84" s="15">
        <f t="shared" si="35"/>
        <v>35</v>
      </c>
      <c r="P84" s="15">
        <f t="shared" si="36"/>
        <v>75</v>
      </c>
      <c r="R84" s="8"/>
      <c r="T84"/>
    </row>
    <row r="85" spans="2:20" ht="23.1" customHeight="1" x14ac:dyDescent="0.25">
      <c r="B85" s="45" t="s">
        <v>125</v>
      </c>
      <c r="C85" s="50">
        <v>19</v>
      </c>
      <c r="D85" s="50">
        <v>0</v>
      </c>
      <c r="E85" s="50">
        <v>2</v>
      </c>
      <c r="F85" s="50">
        <v>1</v>
      </c>
      <c r="G85" s="50">
        <v>0</v>
      </c>
      <c r="H85" s="50">
        <v>0</v>
      </c>
      <c r="I85" s="50">
        <v>0</v>
      </c>
      <c r="J85" s="50">
        <v>1</v>
      </c>
      <c r="K85" s="50">
        <v>2</v>
      </c>
      <c r="L85" s="50">
        <v>0</v>
      </c>
      <c r="M85" s="50">
        <v>46</v>
      </c>
      <c r="N85" s="50">
        <v>0</v>
      </c>
      <c r="O85" s="15">
        <f t="shared" si="35"/>
        <v>25</v>
      </c>
      <c r="P85" s="15">
        <f t="shared" si="36"/>
        <v>71</v>
      </c>
      <c r="R85" s="8"/>
      <c r="T85"/>
    </row>
    <row r="86" spans="2:20" ht="23.1" customHeight="1" x14ac:dyDescent="0.25">
      <c r="B86" s="46" t="s">
        <v>126</v>
      </c>
      <c r="C86" s="50">
        <v>10</v>
      </c>
      <c r="D86" s="50">
        <v>0</v>
      </c>
      <c r="E86" s="50">
        <v>0</v>
      </c>
      <c r="F86" s="50">
        <v>3</v>
      </c>
      <c r="G86" s="50">
        <v>0</v>
      </c>
      <c r="H86" s="50">
        <v>0</v>
      </c>
      <c r="I86" s="50">
        <v>2</v>
      </c>
      <c r="J86" s="50">
        <v>2</v>
      </c>
      <c r="K86" s="50">
        <v>1</v>
      </c>
      <c r="L86" s="50">
        <v>0</v>
      </c>
      <c r="M86" s="50">
        <v>28</v>
      </c>
      <c r="N86" s="50">
        <v>0</v>
      </c>
      <c r="O86" s="15">
        <f t="shared" si="35"/>
        <v>18</v>
      </c>
      <c r="P86" s="15">
        <f t="shared" si="36"/>
        <v>46</v>
      </c>
      <c r="R86" s="8"/>
      <c r="T86"/>
    </row>
    <row r="87" spans="2:20" ht="23.1" customHeight="1" x14ac:dyDescent="0.25">
      <c r="B87" s="45" t="s">
        <v>127</v>
      </c>
      <c r="C87" s="50">
        <v>13</v>
      </c>
      <c r="D87" s="50">
        <v>4</v>
      </c>
      <c r="E87" s="50">
        <v>1</v>
      </c>
      <c r="F87" s="50">
        <v>2</v>
      </c>
      <c r="G87" s="50">
        <v>0</v>
      </c>
      <c r="H87" s="50">
        <v>0</v>
      </c>
      <c r="I87" s="50">
        <v>0</v>
      </c>
      <c r="J87" s="50">
        <v>1</v>
      </c>
      <c r="K87" s="50">
        <v>1</v>
      </c>
      <c r="L87" s="50">
        <v>0</v>
      </c>
      <c r="M87" s="50">
        <v>31</v>
      </c>
      <c r="N87" s="50">
        <v>0</v>
      </c>
      <c r="O87" s="15">
        <f t="shared" si="35"/>
        <v>22</v>
      </c>
      <c r="P87" s="15">
        <f t="shared" si="36"/>
        <v>53</v>
      </c>
      <c r="R87" s="8"/>
      <c r="T87"/>
    </row>
    <row r="88" spans="2:20" ht="23.1" customHeight="1" x14ac:dyDescent="0.25">
      <c r="B88" s="47" t="s">
        <v>128</v>
      </c>
      <c r="C88" s="50">
        <v>17</v>
      </c>
      <c r="D88" s="50">
        <v>2</v>
      </c>
      <c r="E88" s="50">
        <v>1</v>
      </c>
      <c r="F88" s="50">
        <v>1</v>
      </c>
      <c r="G88" s="50">
        <v>0</v>
      </c>
      <c r="H88" s="50">
        <v>0</v>
      </c>
      <c r="I88" s="50">
        <v>1</v>
      </c>
      <c r="J88" s="50">
        <v>1</v>
      </c>
      <c r="K88" s="50">
        <v>0</v>
      </c>
      <c r="L88" s="50">
        <v>0</v>
      </c>
      <c r="M88" s="50">
        <v>26</v>
      </c>
      <c r="N88" s="50">
        <v>0</v>
      </c>
      <c r="O88" s="15">
        <f t="shared" si="35"/>
        <v>23</v>
      </c>
      <c r="P88" s="15">
        <f t="shared" si="36"/>
        <v>49</v>
      </c>
      <c r="R88" s="8"/>
      <c r="T88"/>
    </row>
    <row r="89" spans="2:20" ht="23.1" customHeight="1" x14ac:dyDescent="0.25">
      <c r="B89" s="45" t="s">
        <v>129</v>
      </c>
      <c r="C89" s="50">
        <v>9</v>
      </c>
      <c r="D89" s="50">
        <v>3</v>
      </c>
      <c r="E89" s="50">
        <v>0</v>
      </c>
      <c r="F89" s="50">
        <v>6</v>
      </c>
      <c r="G89" s="50">
        <v>0</v>
      </c>
      <c r="H89" s="50">
        <v>0</v>
      </c>
      <c r="I89" s="50">
        <v>2</v>
      </c>
      <c r="J89" s="50">
        <v>2</v>
      </c>
      <c r="K89" s="50">
        <v>0</v>
      </c>
      <c r="L89" s="50">
        <v>0</v>
      </c>
      <c r="M89" s="50">
        <v>22</v>
      </c>
      <c r="N89" s="50">
        <v>0</v>
      </c>
      <c r="O89" s="15">
        <f t="shared" si="35"/>
        <v>22</v>
      </c>
      <c r="P89" s="15">
        <f t="shared" si="36"/>
        <v>44</v>
      </c>
      <c r="R89" s="8"/>
      <c r="T89"/>
    </row>
    <row r="90" spans="2:20" ht="23.1" customHeight="1" x14ac:dyDescent="0.25">
      <c r="B90" s="46" t="s">
        <v>130</v>
      </c>
      <c r="C90" s="50">
        <v>10</v>
      </c>
      <c r="D90" s="50">
        <v>1</v>
      </c>
      <c r="E90" s="50">
        <v>0</v>
      </c>
      <c r="F90" s="50">
        <v>1</v>
      </c>
      <c r="G90" s="50">
        <v>0</v>
      </c>
      <c r="H90" s="50">
        <v>0</v>
      </c>
      <c r="I90" s="50">
        <v>1</v>
      </c>
      <c r="J90" s="50">
        <v>0</v>
      </c>
      <c r="K90" s="50">
        <v>0</v>
      </c>
      <c r="L90" s="50">
        <v>0</v>
      </c>
      <c r="M90" s="50">
        <v>37</v>
      </c>
      <c r="N90" s="50">
        <v>0</v>
      </c>
      <c r="O90" s="15">
        <f t="shared" si="35"/>
        <v>13</v>
      </c>
      <c r="P90" s="15">
        <f t="shared" si="36"/>
        <v>50</v>
      </c>
      <c r="R90" s="8"/>
      <c r="T90"/>
    </row>
    <row r="91" spans="2:20" ht="23.1" customHeight="1" x14ac:dyDescent="0.25">
      <c r="B91" s="45" t="s">
        <v>131</v>
      </c>
      <c r="C91" s="50">
        <v>11</v>
      </c>
      <c r="D91" s="50">
        <v>0</v>
      </c>
      <c r="E91" s="50">
        <v>0</v>
      </c>
      <c r="F91" s="50">
        <v>1</v>
      </c>
      <c r="G91" s="50">
        <v>0</v>
      </c>
      <c r="H91" s="50">
        <v>0</v>
      </c>
      <c r="I91" s="50">
        <v>2</v>
      </c>
      <c r="J91" s="50">
        <v>0</v>
      </c>
      <c r="K91" s="50">
        <v>0</v>
      </c>
      <c r="L91" s="50">
        <v>0</v>
      </c>
      <c r="M91" s="50">
        <v>16</v>
      </c>
      <c r="N91" s="50">
        <v>0</v>
      </c>
      <c r="O91" s="15">
        <f t="shared" si="35"/>
        <v>14</v>
      </c>
      <c r="P91" s="15">
        <f t="shared" si="36"/>
        <v>30</v>
      </c>
      <c r="R91" s="8"/>
      <c r="T91"/>
    </row>
    <row r="92" spans="2:20" ht="23.1" customHeight="1" x14ac:dyDescent="0.25">
      <c r="B92" s="47" t="s">
        <v>132</v>
      </c>
      <c r="C92" s="50">
        <v>8</v>
      </c>
      <c r="D92" s="50">
        <v>1</v>
      </c>
      <c r="E92" s="50">
        <v>1</v>
      </c>
      <c r="F92" s="50">
        <v>1</v>
      </c>
      <c r="G92" s="50">
        <v>0</v>
      </c>
      <c r="H92" s="50">
        <v>0</v>
      </c>
      <c r="I92" s="50">
        <v>2</v>
      </c>
      <c r="J92" s="50">
        <v>1</v>
      </c>
      <c r="K92" s="50">
        <v>0</v>
      </c>
      <c r="L92" s="50">
        <v>0</v>
      </c>
      <c r="M92" s="50">
        <v>18</v>
      </c>
      <c r="N92" s="50">
        <v>0</v>
      </c>
      <c r="O92" s="15">
        <f t="shared" si="35"/>
        <v>14</v>
      </c>
      <c r="P92" s="15">
        <f t="shared" si="36"/>
        <v>32</v>
      </c>
      <c r="R92" s="8"/>
      <c r="T92"/>
    </row>
    <row r="93" spans="2:20" ht="23.1" customHeight="1" x14ac:dyDescent="0.25">
      <c r="B93" s="45" t="s">
        <v>133</v>
      </c>
      <c r="C93" s="50">
        <v>9</v>
      </c>
      <c r="D93" s="50">
        <v>0</v>
      </c>
      <c r="E93" s="50">
        <v>0</v>
      </c>
      <c r="F93" s="50">
        <v>2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23</v>
      </c>
      <c r="N93" s="50">
        <v>0</v>
      </c>
      <c r="O93" s="15">
        <f t="shared" si="35"/>
        <v>12</v>
      </c>
      <c r="P93" s="15">
        <f t="shared" si="36"/>
        <v>35</v>
      </c>
      <c r="R93" s="8"/>
      <c r="T93"/>
    </row>
    <row r="94" spans="2:20" ht="23.1" customHeight="1" x14ac:dyDescent="0.25">
      <c r="B94" s="46" t="s">
        <v>134</v>
      </c>
      <c r="C94" s="50">
        <v>6</v>
      </c>
      <c r="D94" s="50">
        <v>1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1</v>
      </c>
      <c r="K94" s="50">
        <v>0</v>
      </c>
      <c r="L94" s="50">
        <v>0</v>
      </c>
      <c r="M94" s="50">
        <v>15</v>
      </c>
      <c r="N94" s="50">
        <v>0</v>
      </c>
      <c r="O94" s="15">
        <f t="shared" si="35"/>
        <v>8</v>
      </c>
      <c r="P94" s="15">
        <f t="shared" si="36"/>
        <v>23</v>
      </c>
      <c r="R94" s="8"/>
      <c r="T94"/>
    </row>
    <row r="95" spans="2:20" ht="23.1" customHeight="1" x14ac:dyDescent="0.25">
      <c r="B95" s="45" t="s">
        <v>135</v>
      </c>
      <c r="C95" s="50">
        <v>6</v>
      </c>
      <c r="D95" s="50">
        <v>1</v>
      </c>
      <c r="E95" s="50">
        <v>0</v>
      </c>
      <c r="F95" s="50">
        <v>1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25</v>
      </c>
      <c r="N95" s="50">
        <v>0</v>
      </c>
      <c r="O95" s="15">
        <f t="shared" si="35"/>
        <v>8</v>
      </c>
      <c r="P95" s="15">
        <f t="shared" si="36"/>
        <v>33</v>
      </c>
      <c r="R95" s="8"/>
      <c r="T95"/>
    </row>
    <row r="96" spans="2:20" ht="23.1" customHeight="1" x14ac:dyDescent="0.25">
      <c r="B96" s="47" t="s">
        <v>136</v>
      </c>
      <c r="C96" s="50">
        <v>7</v>
      </c>
      <c r="D96" s="50">
        <v>0</v>
      </c>
      <c r="E96" s="50">
        <v>1</v>
      </c>
      <c r="F96" s="50">
        <v>1</v>
      </c>
      <c r="G96" s="50">
        <v>0</v>
      </c>
      <c r="H96" s="50">
        <v>0</v>
      </c>
      <c r="I96" s="50">
        <v>0</v>
      </c>
      <c r="J96" s="50">
        <v>1</v>
      </c>
      <c r="K96" s="50">
        <v>0</v>
      </c>
      <c r="L96" s="50">
        <v>0</v>
      </c>
      <c r="M96" s="50">
        <v>17</v>
      </c>
      <c r="N96" s="50">
        <v>0</v>
      </c>
      <c r="O96" s="15">
        <f t="shared" si="35"/>
        <v>10</v>
      </c>
      <c r="P96" s="15">
        <f t="shared" si="36"/>
        <v>27</v>
      </c>
      <c r="R96" s="8"/>
      <c r="T96"/>
    </row>
    <row r="97" spans="2:20" ht="23.1" customHeight="1" x14ac:dyDescent="0.25">
      <c r="B97" s="45" t="s">
        <v>137</v>
      </c>
      <c r="C97" s="50">
        <v>9</v>
      </c>
      <c r="D97" s="50">
        <v>0</v>
      </c>
      <c r="E97" s="50">
        <v>1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29</v>
      </c>
      <c r="N97" s="50">
        <v>0</v>
      </c>
      <c r="O97" s="15">
        <f t="shared" si="35"/>
        <v>10</v>
      </c>
      <c r="P97" s="15">
        <f t="shared" si="36"/>
        <v>39</v>
      </c>
      <c r="R97" s="8"/>
      <c r="T97"/>
    </row>
    <row r="98" spans="2:20" ht="23.1" customHeight="1" x14ac:dyDescent="0.25">
      <c r="B98" s="46" t="s">
        <v>138</v>
      </c>
      <c r="C98" s="50">
        <v>7</v>
      </c>
      <c r="D98" s="50">
        <v>1</v>
      </c>
      <c r="E98" s="50">
        <v>1</v>
      </c>
      <c r="F98" s="50">
        <v>0</v>
      </c>
      <c r="G98" s="50">
        <v>1</v>
      </c>
      <c r="H98" s="50"/>
      <c r="I98" s="50">
        <v>1</v>
      </c>
      <c r="J98" s="50">
        <v>1</v>
      </c>
      <c r="K98" s="50">
        <v>0</v>
      </c>
      <c r="L98" s="50">
        <v>0</v>
      </c>
      <c r="M98" s="50">
        <v>23</v>
      </c>
      <c r="N98" s="50">
        <v>0</v>
      </c>
      <c r="O98" s="15">
        <f t="shared" si="35"/>
        <v>12</v>
      </c>
      <c r="P98" s="15">
        <f t="shared" si="36"/>
        <v>35</v>
      </c>
      <c r="R98" s="8"/>
      <c r="T98"/>
    </row>
    <row r="99" spans="2:20" ht="23.1" customHeight="1" x14ac:dyDescent="0.25">
      <c r="B99" s="45" t="s">
        <v>139</v>
      </c>
      <c r="C99" s="50">
        <v>8</v>
      </c>
      <c r="D99" s="50">
        <v>1</v>
      </c>
      <c r="E99" s="50">
        <v>0</v>
      </c>
      <c r="F99" s="50">
        <v>3</v>
      </c>
      <c r="G99" s="50">
        <v>0</v>
      </c>
      <c r="H99" s="50">
        <v>0</v>
      </c>
      <c r="I99" s="50">
        <v>0</v>
      </c>
      <c r="J99" s="50">
        <v>1</v>
      </c>
      <c r="K99" s="50">
        <v>0</v>
      </c>
      <c r="L99" s="50">
        <v>0</v>
      </c>
      <c r="M99" s="50">
        <v>27</v>
      </c>
      <c r="N99" s="50">
        <v>0</v>
      </c>
      <c r="O99" s="15">
        <f t="shared" si="35"/>
        <v>13</v>
      </c>
      <c r="P99" s="15">
        <f t="shared" si="36"/>
        <v>40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1</v>
      </c>
      <c r="E100" s="50">
        <v>1</v>
      </c>
      <c r="F100" s="50">
        <v>4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1</v>
      </c>
      <c r="M100" s="50">
        <v>40</v>
      </c>
      <c r="N100" s="50">
        <v>0</v>
      </c>
      <c r="O100" s="15">
        <f t="shared" si="35"/>
        <v>9</v>
      </c>
      <c r="P100" s="15">
        <f t="shared" si="36"/>
        <v>49</v>
      </c>
      <c r="R100" s="8"/>
      <c r="T100"/>
    </row>
    <row r="101" spans="2:20" ht="23.1" customHeight="1" x14ac:dyDescent="0.25">
      <c r="B101" s="45" t="s">
        <v>141</v>
      </c>
      <c r="C101" s="50">
        <v>8</v>
      </c>
      <c r="D101" s="50">
        <v>1</v>
      </c>
      <c r="E101" s="50">
        <v>0</v>
      </c>
      <c r="F101" s="50">
        <v>3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36</v>
      </c>
      <c r="N101" s="50">
        <v>0</v>
      </c>
      <c r="O101" s="15">
        <f t="shared" si="35"/>
        <v>12</v>
      </c>
      <c r="P101" s="15">
        <f t="shared" si="36"/>
        <v>48</v>
      </c>
      <c r="R101" s="8"/>
      <c r="T101"/>
    </row>
    <row r="102" spans="2:20" ht="23.1" customHeight="1" x14ac:dyDescent="0.25">
      <c r="B102" s="46" t="s">
        <v>142</v>
      </c>
      <c r="C102" s="50">
        <v>10</v>
      </c>
      <c r="D102" s="50">
        <v>1</v>
      </c>
      <c r="E102" s="50">
        <v>2</v>
      </c>
      <c r="F102" s="50">
        <v>5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37</v>
      </c>
      <c r="N102" s="50">
        <v>0</v>
      </c>
      <c r="O102" s="15">
        <f t="shared" si="35"/>
        <v>18</v>
      </c>
      <c r="P102" s="15">
        <f t="shared" si="36"/>
        <v>55</v>
      </c>
      <c r="R102" s="8"/>
      <c r="T102"/>
    </row>
    <row r="103" spans="2:20" ht="23.1" customHeight="1" x14ac:dyDescent="0.25">
      <c r="B103" s="45" t="s">
        <v>143</v>
      </c>
      <c r="C103" s="50">
        <v>10</v>
      </c>
      <c r="D103" s="50">
        <v>2</v>
      </c>
      <c r="E103" s="50">
        <v>2</v>
      </c>
      <c r="F103" s="50">
        <v>5</v>
      </c>
      <c r="G103" s="50">
        <v>0</v>
      </c>
      <c r="H103" s="50">
        <v>0</v>
      </c>
      <c r="I103" s="50">
        <v>3</v>
      </c>
      <c r="J103" s="50">
        <v>0</v>
      </c>
      <c r="K103" s="50">
        <v>0</v>
      </c>
      <c r="L103" s="50">
        <v>0</v>
      </c>
      <c r="M103" s="50">
        <v>59</v>
      </c>
      <c r="N103" s="50">
        <v>0</v>
      </c>
      <c r="O103" s="15">
        <f t="shared" si="35"/>
        <v>22</v>
      </c>
      <c r="P103" s="15">
        <f t="shared" si="36"/>
        <v>81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2</v>
      </c>
      <c r="E104" s="50">
        <v>1</v>
      </c>
      <c r="F104" s="50">
        <v>7</v>
      </c>
      <c r="G104" s="50">
        <v>0</v>
      </c>
      <c r="H104" s="50">
        <v>0</v>
      </c>
      <c r="I104" s="50">
        <v>3</v>
      </c>
      <c r="J104" s="50">
        <v>3</v>
      </c>
      <c r="K104" s="50">
        <v>1</v>
      </c>
      <c r="L104" s="50">
        <v>1</v>
      </c>
      <c r="M104" s="50">
        <v>53</v>
      </c>
      <c r="N104" s="50">
        <v>0</v>
      </c>
      <c r="O104" s="15">
        <f t="shared" si="35"/>
        <v>23</v>
      </c>
      <c r="P104" s="15">
        <f t="shared" si="36"/>
        <v>76</v>
      </c>
      <c r="R104" s="8"/>
      <c r="T104"/>
    </row>
    <row r="105" spans="2:20" ht="23.1" customHeight="1" x14ac:dyDescent="0.25">
      <c r="B105" s="45" t="s">
        <v>145</v>
      </c>
      <c r="C105" s="50">
        <v>15</v>
      </c>
      <c r="D105" s="50">
        <v>1</v>
      </c>
      <c r="E105" s="50">
        <v>1</v>
      </c>
      <c r="F105" s="50">
        <v>10</v>
      </c>
      <c r="G105" s="50">
        <v>0</v>
      </c>
      <c r="H105" s="50">
        <v>0</v>
      </c>
      <c r="I105" s="50">
        <v>4</v>
      </c>
      <c r="J105" s="50">
        <v>4</v>
      </c>
      <c r="K105" s="50">
        <v>0</v>
      </c>
      <c r="L105" s="50">
        <v>0</v>
      </c>
      <c r="M105" s="50">
        <v>74</v>
      </c>
      <c r="N105" s="50">
        <v>0</v>
      </c>
      <c r="O105" s="15">
        <f t="shared" si="35"/>
        <v>35</v>
      </c>
      <c r="P105" s="15">
        <f t="shared" si="36"/>
        <v>109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4095</v>
      </c>
      <c r="D106" s="16">
        <f t="shared" ref="D106:P106" si="37">SUM(D10:D105)</f>
        <v>492</v>
      </c>
      <c r="E106" s="16">
        <f t="shared" si="37"/>
        <v>473</v>
      </c>
      <c r="F106" s="16">
        <f t="shared" si="37"/>
        <v>1082</v>
      </c>
      <c r="G106" s="16">
        <f t="shared" si="37"/>
        <v>125</v>
      </c>
      <c r="H106" s="16">
        <f t="shared" si="37"/>
        <v>4</v>
      </c>
      <c r="I106" s="16">
        <f t="shared" si="37"/>
        <v>459</v>
      </c>
      <c r="J106" s="16">
        <f t="shared" si="37"/>
        <v>260</v>
      </c>
      <c r="K106" s="16">
        <f t="shared" si="37"/>
        <v>108</v>
      </c>
      <c r="L106" s="16">
        <f t="shared" si="37"/>
        <v>180</v>
      </c>
      <c r="M106" s="16">
        <f t="shared" si="37"/>
        <v>9879</v>
      </c>
      <c r="N106" s="16">
        <f t="shared" si="37"/>
        <v>3</v>
      </c>
      <c r="O106" s="16">
        <f t="shared" si="37"/>
        <v>7281</v>
      </c>
      <c r="P106" s="16">
        <f t="shared" si="37"/>
        <v>17160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0.23863636363636365</v>
      </c>
      <c r="D107" s="43">
        <f t="shared" si="38"/>
        <v>2.8671328671328673E-2</v>
      </c>
      <c r="E107" s="43">
        <f t="shared" si="38"/>
        <v>2.7564102564102563E-2</v>
      </c>
      <c r="F107" s="43">
        <f t="shared" si="38"/>
        <v>6.3053613053613053E-2</v>
      </c>
      <c r="G107" s="43">
        <f t="shared" si="38"/>
        <v>7.2843822843822841E-3</v>
      </c>
      <c r="H107" s="43">
        <f t="shared" si="38"/>
        <v>2.331002331002331E-4</v>
      </c>
      <c r="I107" s="43">
        <f t="shared" si="38"/>
        <v>2.6748251748251749E-2</v>
      </c>
      <c r="J107" s="43">
        <f t="shared" si="38"/>
        <v>1.5151515151515152E-2</v>
      </c>
      <c r="K107" s="43">
        <f t="shared" si="38"/>
        <v>6.2937062937062941E-3</v>
      </c>
      <c r="L107" s="43">
        <f t="shared" si="38"/>
        <v>1.048951048951049E-2</v>
      </c>
      <c r="M107" s="43">
        <f t="shared" si="38"/>
        <v>0.57569930069930075</v>
      </c>
      <c r="N107" s="43">
        <f t="shared" si="38"/>
        <v>1.7482517482517483E-4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0.56242274412855375</v>
      </c>
      <c r="D108" s="44">
        <f t="shared" ref="D108:N108" si="39">D106/$O$106</f>
        <v>6.7573135558302425E-2</v>
      </c>
      <c r="E108" s="44">
        <f t="shared" si="39"/>
        <v>6.4963603900563105E-2</v>
      </c>
      <c r="F108" s="44">
        <f t="shared" si="39"/>
        <v>0.14860596071968135</v>
      </c>
      <c r="G108" s="44">
        <f t="shared" si="39"/>
        <v>1.7167971432495537E-2</v>
      </c>
      <c r="H108" s="44">
        <f t="shared" si="39"/>
        <v>5.493750858398572E-4</v>
      </c>
      <c r="I108" s="44">
        <f t="shared" si="39"/>
        <v>6.3040791100123603E-2</v>
      </c>
      <c r="J108" s="44">
        <f t="shared" si="39"/>
        <v>3.5709380579590715E-2</v>
      </c>
      <c r="K108" s="44">
        <f t="shared" si="39"/>
        <v>1.4833127317676144E-2</v>
      </c>
      <c r="L108" s="44">
        <f t="shared" si="39"/>
        <v>2.4721878862793572E-2</v>
      </c>
      <c r="M108" s="44"/>
      <c r="N108" s="44">
        <f t="shared" si="39"/>
        <v>4.1203131437989287E-4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6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Kinawataka-Kireka'!C3:G3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'03.08 Kinawataka-Kireka-24h'!D5</f>
        <v>03.08.19</v>
      </c>
      <c r="E5" s="3"/>
      <c r="F5" s="41" t="s">
        <v>1</v>
      </c>
      <c r="G5" s="63" t="str">
        <f>'03.08 Kinawataka-Kireka-24h'!G5:H5</f>
        <v>Kireka road</v>
      </c>
      <c r="H5" s="64"/>
      <c r="I5" s="14"/>
      <c r="J5" s="2" t="s">
        <v>5</v>
      </c>
      <c r="K5" s="63" t="s">
        <v>173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Kireka-Kinawataka'!D6:E6</f>
        <v>Kireka</v>
      </c>
      <c r="E6" s="64"/>
      <c r="F6" s="2" t="s">
        <v>2</v>
      </c>
      <c r="G6" s="63" t="str">
        <f>'29.07 Kireka-Kinawataka'!G6:H6</f>
        <v>Kinawataka</v>
      </c>
      <c r="H6" s="64"/>
      <c r="J6" s="2" t="s">
        <v>21</v>
      </c>
      <c r="K6" s="63" t="str">
        <f>'03.08 Kinawataka-Kireka-24h'!K6:L6</f>
        <v>Batrice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40</v>
      </c>
      <c r="D10" s="50">
        <v>13</v>
      </c>
      <c r="E10" s="50">
        <v>2</v>
      </c>
      <c r="F10" s="50">
        <v>22</v>
      </c>
      <c r="G10" s="50">
        <v>1</v>
      </c>
      <c r="H10" s="50">
        <v>0</v>
      </c>
      <c r="I10" s="50">
        <v>5</v>
      </c>
      <c r="J10" s="50">
        <v>3</v>
      </c>
      <c r="K10" s="50">
        <v>0</v>
      </c>
      <c r="L10" s="50">
        <v>3</v>
      </c>
      <c r="M10" s="50">
        <v>43</v>
      </c>
      <c r="N10" s="50">
        <v>0</v>
      </c>
      <c r="O10" s="15">
        <f t="shared" ref="O10:O73" si="0">SUM(C10:L10,N10)</f>
        <v>89</v>
      </c>
      <c r="P10" s="15">
        <f t="shared" ref="P10:P73" si="1">SUM(C10:N10)</f>
        <v>132</v>
      </c>
      <c r="R10" s="1" t="s">
        <v>6</v>
      </c>
      <c r="S10" s="17">
        <f t="shared" ref="S10:AF10" si="2">SUM(C10:C13)</f>
        <v>157</v>
      </c>
      <c r="T10" s="17">
        <f t="shared" si="2"/>
        <v>100</v>
      </c>
      <c r="U10" s="17">
        <f t="shared" si="2"/>
        <v>22</v>
      </c>
      <c r="V10" s="17">
        <f t="shared" si="2"/>
        <v>109</v>
      </c>
      <c r="W10" s="17">
        <f t="shared" si="2"/>
        <v>3</v>
      </c>
      <c r="X10" s="17">
        <f t="shared" si="2"/>
        <v>0</v>
      </c>
      <c r="Y10" s="17">
        <f t="shared" si="2"/>
        <v>17</v>
      </c>
      <c r="Z10" s="17">
        <f t="shared" si="2"/>
        <v>27</v>
      </c>
      <c r="AA10" s="17">
        <f t="shared" si="2"/>
        <v>2</v>
      </c>
      <c r="AB10" s="17">
        <f t="shared" si="2"/>
        <v>8</v>
      </c>
      <c r="AC10" s="17">
        <f t="shared" si="2"/>
        <v>268</v>
      </c>
      <c r="AD10" s="17">
        <f t="shared" si="2"/>
        <v>0</v>
      </c>
      <c r="AE10" s="31">
        <f t="shared" si="2"/>
        <v>445</v>
      </c>
      <c r="AF10" s="31">
        <f t="shared" si="2"/>
        <v>713</v>
      </c>
    </row>
    <row r="11" spans="2:32" s="6" customFormat="1" ht="23.1" customHeight="1" x14ac:dyDescent="0.25">
      <c r="B11" s="45" t="s">
        <v>38</v>
      </c>
      <c r="C11" s="50">
        <v>45</v>
      </c>
      <c r="D11" s="50">
        <v>35</v>
      </c>
      <c r="E11" s="50">
        <v>6</v>
      </c>
      <c r="F11" s="50">
        <v>25</v>
      </c>
      <c r="G11" s="50">
        <v>0</v>
      </c>
      <c r="H11" s="50">
        <v>0</v>
      </c>
      <c r="I11" s="50">
        <v>6</v>
      </c>
      <c r="J11" s="50">
        <v>10</v>
      </c>
      <c r="K11" s="50">
        <v>1</v>
      </c>
      <c r="L11" s="50">
        <v>2</v>
      </c>
      <c r="M11" s="50">
        <v>55</v>
      </c>
      <c r="N11" s="50">
        <v>0</v>
      </c>
      <c r="O11" s="15">
        <f t="shared" si="0"/>
        <v>130</v>
      </c>
      <c r="P11" s="15">
        <f t="shared" si="1"/>
        <v>185</v>
      </c>
      <c r="R11" s="1" t="s">
        <v>7</v>
      </c>
      <c r="S11" s="17">
        <f t="shared" ref="S11:AF11" si="3">SUM(C14:C17)</f>
        <v>231</v>
      </c>
      <c r="T11" s="17">
        <f t="shared" si="3"/>
        <v>147</v>
      </c>
      <c r="U11" s="17">
        <f t="shared" si="3"/>
        <v>27</v>
      </c>
      <c r="V11" s="17">
        <f t="shared" si="3"/>
        <v>115</v>
      </c>
      <c r="W11" s="17">
        <f t="shared" si="3"/>
        <v>6</v>
      </c>
      <c r="X11" s="17">
        <f t="shared" si="3"/>
        <v>2</v>
      </c>
      <c r="Y11" s="17">
        <f t="shared" si="3"/>
        <v>20</v>
      </c>
      <c r="Z11" s="17">
        <f t="shared" si="3"/>
        <v>28</v>
      </c>
      <c r="AA11" s="17">
        <f t="shared" si="3"/>
        <v>4</v>
      </c>
      <c r="AB11" s="17">
        <f t="shared" si="3"/>
        <v>5</v>
      </c>
      <c r="AC11" s="17">
        <f t="shared" si="3"/>
        <v>600</v>
      </c>
      <c r="AD11" s="17">
        <f t="shared" si="3"/>
        <v>0</v>
      </c>
      <c r="AE11" s="31">
        <f t="shared" si="3"/>
        <v>585</v>
      </c>
      <c r="AF11" s="31">
        <f t="shared" si="3"/>
        <v>1185</v>
      </c>
    </row>
    <row r="12" spans="2:32" ht="23.1" customHeight="1" x14ac:dyDescent="0.25">
      <c r="B12" s="45" t="s">
        <v>39</v>
      </c>
      <c r="C12" s="50">
        <v>34</v>
      </c>
      <c r="D12" s="50">
        <v>31</v>
      </c>
      <c r="E12" s="50">
        <v>9</v>
      </c>
      <c r="F12" s="50">
        <v>30</v>
      </c>
      <c r="G12" s="50">
        <v>1</v>
      </c>
      <c r="H12" s="50">
        <v>0</v>
      </c>
      <c r="I12" s="50">
        <v>1</v>
      </c>
      <c r="J12" s="50">
        <v>7</v>
      </c>
      <c r="K12" s="50">
        <v>1</v>
      </c>
      <c r="L12" s="50">
        <v>0</v>
      </c>
      <c r="M12" s="50">
        <v>84</v>
      </c>
      <c r="N12" s="50">
        <v>0</v>
      </c>
      <c r="O12" s="15">
        <f t="shared" si="0"/>
        <v>114</v>
      </c>
      <c r="P12" s="15">
        <f t="shared" si="1"/>
        <v>198</v>
      </c>
      <c r="R12" s="1" t="s">
        <v>8</v>
      </c>
      <c r="S12" s="17">
        <f t="shared" ref="S12:AF12" si="4">SUM(C18:C21)</f>
        <v>155</v>
      </c>
      <c r="T12" s="17">
        <f t="shared" si="4"/>
        <v>90</v>
      </c>
      <c r="U12" s="17">
        <f t="shared" si="4"/>
        <v>28</v>
      </c>
      <c r="V12" s="17">
        <f t="shared" si="4"/>
        <v>74</v>
      </c>
      <c r="W12" s="17">
        <f t="shared" si="4"/>
        <v>6</v>
      </c>
      <c r="X12" s="17">
        <f t="shared" si="4"/>
        <v>1</v>
      </c>
      <c r="Y12" s="17">
        <f t="shared" si="4"/>
        <v>12</v>
      </c>
      <c r="Z12" s="17">
        <f t="shared" si="4"/>
        <v>20</v>
      </c>
      <c r="AA12" s="17">
        <f t="shared" si="4"/>
        <v>7</v>
      </c>
      <c r="AB12" s="17">
        <f t="shared" si="4"/>
        <v>8</v>
      </c>
      <c r="AC12" s="17">
        <f t="shared" si="4"/>
        <v>505</v>
      </c>
      <c r="AD12" s="17">
        <f t="shared" si="4"/>
        <v>0</v>
      </c>
      <c r="AE12" s="31">
        <f t="shared" si="4"/>
        <v>401</v>
      </c>
      <c r="AF12" s="31">
        <f t="shared" si="4"/>
        <v>906</v>
      </c>
    </row>
    <row r="13" spans="2:32" ht="23.1" customHeight="1" x14ac:dyDescent="0.25">
      <c r="B13" s="45" t="s">
        <v>40</v>
      </c>
      <c r="C13" s="50">
        <v>38</v>
      </c>
      <c r="D13" s="50">
        <v>21</v>
      </c>
      <c r="E13" s="50">
        <v>5</v>
      </c>
      <c r="F13" s="50">
        <v>32</v>
      </c>
      <c r="G13" s="50">
        <v>1</v>
      </c>
      <c r="H13" s="50">
        <v>0</v>
      </c>
      <c r="I13" s="50">
        <v>5</v>
      </c>
      <c r="J13" s="50">
        <v>7</v>
      </c>
      <c r="K13" s="50">
        <v>0</v>
      </c>
      <c r="L13" s="50">
        <v>3</v>
      </c>
      <c r="M13" s="50">
        <v>86</v>
      </c>
      <c r="N13" s="50">
        <v>0</v>
      </c>
      <c r="O13" s="15">
        <f t="shared" si="0"/>
        <v>112</v>
      </c>
      <c r="P13" s="15">
        <f t="shared" si="1"/>
        <v>198</v>
      </c>
      <c r="R13" s="1" t="s">
        <v>9</v>
      </c>
      <c r="S13" s="17">
        <f t="shared" ref="S13:AF13" si="5">SUM(C22:C25)</f>
        <v>170</v>
      </c>
      <c r="T13" s="17">
        <f t="shared" si="5"/>
        <v>133</v>
      </c>
      <c r="U13" s="17">
        <f t="shared" si="5"/>
        <v>29</v>
      </c>
      <c r="V13" s="17">
        <f t="shared" si="5"/>
        <v>77</v>
      </c>
      <c r="W13" s="17">
        <f t="shared" si="5"/>
        <v>4</v>
      </c>
      <c r="X13" s="17">
        <f t="shared" si="5"/>
        <v>0</v>
      </c>
      <c r="Y13" s="17">
        <f t="shared" si="5"/>
        <v>24</v>
      </c>
      <c r="Z13" s="17">
        <f t="shared" si="5"/>
        <v>32</v>
      </c>
      <c r="AA13" s="17">
        <f t="shared" si="5"/>
        <v>15</v>
      </c>
      <c r="AB13" s="17">
        <f t="shared" si="5"/>
        <v>12</v>
      </c>
      <c r="AC13" s="17">
        <f t="shared" si="5"/>
        <v>678</v>
      </c>
      <c r="AD13" s="17">
        <f t="shared" si="5"/>
        <v>0</v>
      </c>
      <c r="AE13" s="31">
        <f t="shared" si="5"/>
        <v>496</v>
      </c>
      <c r="AF13" s="31">
        <f t="shared" si="5"/>
        <v>1174</v>
      </c>
    </row>
    <row r="14" spans="2:32" ht="23.1" customHeight="1" x14ac:dyDescent="0.25">
      <c r="B14" s="45" t="s">
        <v>41</v>
      </c>
      <c r="C14" s="50">
        <v>68</v>
      </c>
      <c r="D14" s="50">
        <v>36</v>
      </c>
      <c r="E14" s="50">
        <v>9</v>
      </c>
      <c r="F14" s="50">
        <v>30</v>
      </c>
      <c r="G14" s="50">
        <v>1</v>
      </c>
      <c r="H14" s="50">
        <v>1</v>
      </c>
      <c r="I14" s="50">
        <v>7</v>
      </c>
      <c r="J14" s="50">
        <v>11</v>
      </c>
      <c r="K14" s="50">
        <v>1</v>
      </c>
      <c r="L14" s="50">
        <v>1</v>
      </c>
      <c r="M14" s="50">
        <v>135</v>
      </c>
      <c r="N14" s="50">
        <v>0</v>
      </c>
      <c r="O14" s="15">
        <f t="shared" si="0"/>
        <v>165</v>
      </c>
      <c r="P14" s="15">
        <f t="shared" si="1"/>
        <v>300</v>
      </c>
      <c r="R14" s="1" t="s">
        <v>10</v>
      </c>
      <c r="S14" s="17">
        <f t="shared" ref="S14:AF14" si="6">SUM(C26:C29)</f>
        <v>156</v>
      </c>
      <c r="T14" s="17">
        <f t="shared" si="6"/>
        <v>106</v>
      </c>
      <c r="U14" s="17">
        <f t="shared" si="6"/>
        <v>23</v>
      </c>
      <c r="V14" s="17">
        <f t="shared" si="6"/>
        <v>57</v>
      </c>
      <c r="W14" s="17">
        <f t="shared" si="6"/>
        <v>1</v>
      </c>
      <c r="X14" s="17">
        <f t="shared" si="6"/>
        <v>0</v>
      </c>
      <c r="Y14" s="17">
        <f t="shared" si="6"/>
        <v>22</v>
      </c>
      <c r="Z14" s="17">
        <f t="shared" si="6"/>
        <v>17</v>
      </c>
      <c r="AA14" s="17">
        <f t="shared" si="6"/>
        <v>15</v>
      </c>
      <c r="AB14" s="17">
        <f t="shared" si="6"/>
        <v>7</v>
      </c>
      <c r="AC14" s="17">
        <f t="shared" si="6"/>
        <v>546</v>
      </c>
      <c r="AD14" s="17">
        <f t="shared" si="6"/>
        <v>1</v>
      </c>
      <c r="AE14" s="31">
        <f t="shared" si="6"/>
        <v>405</v>
      </c>
      <c r="AF14" s="31">
        <f t="shared" si="6"/>
        <v>951</v>
      </c>
    </row>
    <row r="15" spans="2:32" ht="23.1" customHeight="1" x14ac:dyDescent="0.25">
      <c r="B15" s="45" t="s">
        <v>42</v>
      </c>
      <c r="C15" s="50">
        <v>42</v>
      </c>
      <c r="D15" s="50">
        <v>26</v>
      </c>
      <c r="E15" s="50">
        <v>7</v>
      </c>
      <c r="F15" s="50">
        <v>21</v>
      </c>
      <c r="G15" s="50">
        <v>1</v>
      </c>
      <c r="H15" s="50">
        <v>1</v>
      </c>
      <c r="I15" s="50">
        <v>1</v>
      </c>
      <c r="J15" s="50">
        <v>3</v>
      </c>
      <c r="K15" s="50">
        <v>0</v>
      </c>
      <c r="L15" s="50">
        <v>0</v>
      </c>
      <c r="M15" s="50">
        <v>140</v>
      </c>
      <c r="N15" s="50">
        <v>0</v>
      </c>
      <c r="O15" s="15">
        <f t="shared" si="0"/>
        <v>102</v>
      </c>
      <c r="P15" s="15">
        <f t="shared" si="1"/>
        <v>242</v>
      </c>
      <c r="R15" s="1" t="s">
        <v>11</v>
      </c>
      <c r="S15" s="17">
        <f t="shared" ref="S15:AF15" si="7">SUM(C30:C33)</f>
        <v>123</v>
      </c>
      <c r="T15" s="17">
        <f t="shared" si="7"/>
        <v>80</v>
      </c>
      <c r="U15" s="17">
        <f t="shared" si="7"/>
        <v>30</v>
      </c>
      <c r="V15" s="17">
        <f t="shared" si="7"/>
        <v>52</v>
      </c>
      <c r="W15" s="17">
        <f t="shared" si="7"/>
        <v>0</v>
      </c>
      <c r="X15" s="17">
        <f t="shared" si="7"/>
        <v>2</v>
      </c>
      <c r="Y15" s="17">
        <f t="shared" si="7"/>
        <v>27</v>
      </c>
      <c r="Z15" s="17">
        <f t="shared" si="7"/>
        <v>17</v>
      </c>
      <c r="AA15" s="17">
        <f t="shared" si="7"/>
        <v>9</v>
      </c>
      <c r="AB15" s="17">
        <f t="shared" si="7"/>
        <v>15</v>
      </c>
      <c r="AC15" s="17">
        <f t="shared" si="7"/>
        <v>493</v>
      </c>
      <c r="AD15" s="17">
        <f t="shared" si="7"/>
        <v>0</v>
      </c>
      <c r="AE15" s="31">
        <f t="shared" si="7"/>
        <v>355</v>
      </c>
      <c r="AF15" s="31">
        <f t="shared" si="7"/>
        <v>848</v>
      </c>
    </row>
    <row r="16" spans="2:32" ht="23.1" customHeight="1" x14ac:dyDescent="0.25">
      <c r="B16" s="45" t="s">
        <v>43</v>
      </c>
      <c r="C16" s="50">
        <v>57</v>
      </c>
      <c r="D16" s="50">
        <v>36</v>
      </c>
      <c r="E16" s="50">
        <v>3</v>
      </c>
      <c r="F16" s="50">
        <v>34</v>
      </c>
      <c r="G16" s="50">
        <v>1</v>
      </c>
      <c r="H16" s="50">
        <v>0</v>
      </c>
      <c r="I16" s="50">
        <v>3</v>
      </c>
      <c r="J16" s="50">
        <v>8</v>
      </c>
      <c r="K16" s="50">
        <v>0</v>
      </c>
      <c r="L16" s="50">
        <v>3</v>
      </c>
      <c r="M16" s="50">
        <v>165</v>
      </c>
      <c r="N16" s="50">
        <v>0</v>
      </c>
      <c r="O16" s="15">
        <f t="shared" si="0"/>
        <v>145</v>
      </c>
      <c r="P16" s="15">
        <f t="shared" si="1"/>
        <v>310</v>
      </c>
      <c r="R16" s="1" t="s">
        <v>12</v>
      </c>
      <c r="S16" s="17">
        <f t="shared" ref="S16:AF16" si="8">SUM(C34:C37)</f>
        <v>151</v>
      </c>
      <c r="T16" s="17">
        <f t="shared" si="8"/>
        <v>91</v>
      </c>
      <c r="U16" s="17">
        <f t="shared" si="8"/>
        <v>21</v>
      </c>
      <c r="V16" s="17">
        <f t="shared" si="8"/>
        <v>51</v>
      </c>
      <c r="W16" s="17">
        <f t="shared" si="8"/>
        <v>0</v>
      </c>
      <c r="X16" s="17">
        <f t="shared" si="8"/>
        <v>0</v>
      </c>
      <c r="Y16" s="17">
        <f t="shared" si="8"/>
        <v>20</v>
      </c>
      <c r="Z16" s="17">
        <f t="shared" si="8"/>
        <v>21</v>
      </c>
      <c r="AA16" s="17">
        <f t="shared" si="8"/>
        <v>23</v>
      </c>
      <c r="AB16" s="17">
        <f t="shared" si="8"/>
        <v>21</v>
      </c>
      <c r="AC16" s="17">
        <f t="shared" si="8"/>
        <v>356</v>
      </c>
      <c r="AD16" s="17">
        <f t="shared" si="8"/>
        <v>1</v>
      </c>
      <c r="AE16" s="31">
        <f t="shared" si="8"/>
        <v>400</v>
      </c>
      <c r="AF16" s="31">
        <f t="shared" si="8"/>
        <v>756</v>
      </c>
    </row>
    <row r="17" spans="2:32" ht="23.1" customHeight="1" x14ac:dyDescent="0.25">
      <c r="B17" s="45" t="s">
        <v>44</v>
      </c>
      <c r="C17" s="50">
        <v>64</v>
      </c>
      <c r="D17" s="50">
        <v>49</v>
      </c>
      <c r="E17" s="50">
        <v>8</v>
      </c>
      <c r="F17" s="50">
        <v>30</v>
      </c>
      <c r="G17" s="50">
        <v>3</v>
      </c>
      <c r="H17" s="50">
        <v>0</v>
      </c>
      <c r="I17" s="50">
        <v>9</v>
      </c>
      <c r="J17" s="50">
        <v>6</v>
      </c>
      <c r="K17" s="50">
        <v>3</v>
      </c>
      <c r="L17" s="50">
        <v>1</v>
      </c>
      <c r="M17" s="50">
        <v>160</v>
      </c>
      <c r="N17" s="50">
        <v>0</v>
      </c>
      <c r="O17" s="15">
        <f t="shared" si="0"/>
        <v>173</v>
      </c>
      <c r="P17" s="15">
        <f t="shared" si="1"/>
        <v>333</v>
      </c>
      <c r="R17" s="1" t="s">
        <v>13</v>
      </c>
      <c r="S17" s="17">
        <f t="shared" ref="S17:AF17" si="9">SUM(C38:C41)</f>
        <v>124</v>
      </c>
      <c r="T17" s="17">
        <f t="shared" si="9"/>
        <v>90</v>
      </c>
      <c r="U17" s="17">
        <f t="shared" si="9"/>
        <v>18</v>
      </c>
      <c r="V17" s="17">
        <f t="shared" si="9"/>
        <v>47</v>
      </c>
      <c r="W17" s="17">
        <f t="shared" si="9"/>
        <v>1</v>
      </c>
      <c r="X17" s="17">
        <f t="shared" si="9"/>
        <v>0</v>
      </c>
      <c r="Y17" s="17">
        <f t="shared" si="9"/>
        <v>15</v>
      </c>
      <c r="Z17" s="17">
        <f t="shared" si="9"/>
        <v>30</v>
      </c>
      <c r="AA17" s="17">
        <f t="shared" si="9"/>
        <v>10</v>
      </c>
      <c r="AB17" s="17">
        <f t="shared" si="9"/>
        <v>7</v>
      </c>
      <c r="AC17" s="17">
        <f t="shared" si="9"/>
        <v>367</v>
      </c>
      <c r="AD17" s="17">
        <f t="shared" si="9"/>
        <v>0</v>
      </c>
      <c r="AE17" s="31">
        <f t="shared" si="9"/>
        <v>342</v>
      </c>
      <c r="AF17" s="31">
        <f t="shared" si="9"/>
        <v>709</v>
      </c>
    </row>
    <row r="18" spans="2:32" ht="23.1" customHeight="1" x14ac:dyDescent="0.25">
      <c r="B18" s="45" t="s">
        <v>45</v>
      </c>
      <c r="C18" s="50">
        <v>35</v>
      </c>
      <c r="D18" s="50">
        <v>19</v>
      </c>
      <c r="E18" s="50">
        <v>8</v>
      </c>
      <c r="F18" s="50">
        <v>19</v>
      </c>
      <c r="G18" s="50">
        <v>3</v>
      </c>
      <c r="H18" s="50">
        <v>0</v>
      </c>
      <c r="I18" s="50">
        <v>2</v>
      </c>
      <c r="J18" s="50">
        <v>5</v>
      </c>
      <c r="K18" s="50">
        <v>2</v>
      </c>
      <c r="L18" s="50">
        <v>1</v>
      </c>
      <c r="M18" s="50">
        <v>135</v>
      </c>
      <c r="N18" s="50">
        <v>0</v>
      </c>
      <c r="O18" s="15">
        <f t="shared" si="0"/>
        <v>94</v>
      </c>
      <c r="P18" s="15">
        <f t="shared" si="1"/>
        <v>229</v>
      </c>
      <c r="R18" s="1" t="s">
        <v>14</v>
      </c>
      <c r="S18" s="17">
        <f t="shared" ref="S18:AF18" si="10">SUM(C42:C45)</f>
        <v>170</v>
      </c>
      <c r="T18" s="17">
        <f t="shared" si="10"/>
        <v>119</v>
      </c>
      <c r="U18" s="17">
        <f t="shared" si="10"/>
        <v>34</v>
      </c>
      <c r="V18" s="17">
        <f t="shared" si="10"/>
        <v>66</v>
      </c>
      <c r="W18" s="17">
        <f t="shared" si="10"/>
        <v>2</v>
      </c>
      <c r="X18" s="17">
        <f t="shared" si="10"/>
        <v>5</v>
      </c>
      <c r="Y18" s="17">
        <f t="shared" si="10"/>
        <v>25</v>
      </c>
      <c r="Z18" s="17">
        <f t="shared" si="10"/>
        <v>32</v>
      </c>
      <c r="AA18" s="17">
        <f t="shared" si="10"/>
        <v>9</v>
      </c>
      <c r="AB18" s="17">
        <f t="shared" si="10"/>
        <v>16</v>
      </c>
      <c r="AC18" s="17">
        <f t="shared" si="10"/>
        <v>392</v>
      </c>
      <c r="AD18" s="17">
        <f t="shared" si="10"/>
        <v>0</v>
      </c>
      <c r="AE18" s="31">
        <f t="shared" si="10"/>
        <v>478</v>
      </c>
      <c r="AF18" s="31">
        <f t="shared" si="10"/>
        <v>870</v>
      </c>
    </row>
    <row r="19" spans="2:32" ht="23.1" customHeight="1" x14ac:dyDescent="0.25">
      <c r="B19" s="45" t="s">
        <v>46</v>
      </c>
      <c r="C19" s="50">
        <v>42</v>
      </c>
      <c r="D19" s="50">
        <v>15</v>
      </c>
      <c r="E19" s="50">
        <v>1</v>
      </c>
      <c r="F19" s="50">
        <v>5</v>
      </c>
      <c r="G19" s="50">
        <v>0</v>
      </c>
      <c r="H19" s="50">
        <v>0</v>
      </c>
      <c r="I19" s="50">
        <v>0</v>
      </c>
      <c r="J19" s="50">
        <v>6</v>
      </c>
      <c r="K19" s="50">
        <v>1</v>
      </c>
      <c r="L19" s="50">
        <v>3</v>
      </c>
      <c r="M19" s="50">
        <v>95</v>
      </c>
      <c r="N19" s="50">
        <v>0</v>
      </c>
      <c r="O19" s="15">
        <f t="shared" si="0"/>
        <v>73</v>
      </c>
      <c r="P19" s="15">
        <f t="shared" si="1"/>
        <v>168</v>
      </c>
      <c r="R19" s="1" t="s">
        <v>15</v>
      </c>
      <c r="S19" s="17">
        <f t="shared" ref="S19:AF19" si="11">SUM(C46:C49)</f>
        <v>205</v>
      </c>
      <c r="T19" s="17">
        <f t="shared" si="11"/>
        <v>119</v>
      </c>
      <c r="U19" s="17">
        <f t="shared" si="11"/>
        <v>34</v>
      </c>
      <c r="V19" s="17">
        <f t="shared" si="11"/>
        <v>88</v>
      </c>
      <c r="W19" s="17">
        <f t="shared" si="11"/>
        <v>1</v>
      </c>
      <c r="X19" s="17">
        <f t="shared" si="11"/>
        <v>0</v>
      </c>
      <c r="Y19" s="17">
        <f t="shared" si="11"/>
        <v>36</v>
      </c>
      <c r="Z19" s="17">
        <f t="shared" si="11"/>
        <v>31</v>
      </c>
      <c r="AA19" s="17">
        <f t="shared" si="11"/>
        <v>12</v>
      </c>
      <c r="AB19" s="17">
        <f t="shared" si="11"/>
        <v>4</v>
      </c>
      <c r="AC19" s="17">
        <f t="shared" si="11"/>
        <v>432</v>
      </c>
      <c r="AD19" s="17">
        <f t="shared" si="11"/>
        <v>0</v>
      </c>
      <c r="AE19" s="31">
        <f t="shared" si="11"/>
        <v>530</v>
      </c>
      <c r="AF19" s="31">
        <f t="shared" si="11"/>
        <v>962</v>
      </c>
    </row>
    <row r="20" spans="2:32" ht="23.1" customHeight="1" x14ac:dyDescent="0.25">
      <c r="B20" s="45" t="s">
        <v>47</v>
      </c>
      <c r="C20" s="50">
        <v>25</v>
      </c>
      <c r="D20" s="50">
        <v>18</v>
      </c>
      <c r="E20" s="50">
        <v>6</v>
      </c>
      <c r="F20" s="50">
        <v>22</v>
      </c>
      <c r="G20" s="50">
        <v>2</v>
      </c>
      <c r="H20" s="50">
        <v>1</v>
      </c>
      <c r="I20" s="50">
        <v>4</v>
      </c>
      <c r="J20" s="50">
        <v>4</v>
      </c>
      <c r="K20" s="50">
        <v>3</v>
      </c>
      <c r="L20" s="50">
        <v>3</v>
      </c>
      <c r="M20" s="50">
        <v>120</v>
      </c>
      <c r="N20" s="50">
        <v>0</v>
      </c>
      <c r="O20" s="15">
        <f t="shared" si="0"/>
        <v>88</v>
      </c>
      <c r="P20" s="15">
        <f t="shared" si="1"/>
        <v>208</v>
      </c>
      <c r="R20" s="1" t="s">
        <v>16</v>
      </c>
      <c r="S20" s="17">
        <f t="shared" ref="S20:AF20" si="12">SUM(C50:C53)</f>
        <v>154</v>
      </c>
      <c r="T20" s="17">
        <f t="shared" si="12"/>
        <v>109</v>
      </c>
      <c r="U20" s="17">
        <f t="shared" si="12"/>
        <v>26</v>
      </c>
      <c r="V20" s="17">
        <f t="shared" si="12"/>
        <v>83</v>
      </c>
      <c r="W20" s="17">
        <f t="shared" si="12"/>
        <v>2</v>
      </c>
      <c r="X20" s="17">
        <f t="shared" si="12"/>
        <v>0</v>
      </c>
      <c r="Y20" s="17">
        <f t="shared" si="12"/>
        <v>32</v>
      </c>
      <c r="Z20" s="17">
        <f t="shared" si="12"/>
        <v>35</v>
      </c>
      <c r="AA20" s="17">
        <f t="shared" si="12"/>
        <v>10</v>
      </c>
      <c r="AB20" s="17">
        <f t="shared" si="12"/>
        <v>4</v>
      </c>
      <c r="AC20" s="17">
        <f t="shared" si="12"/>
        <v>478</v>
      </c>
      <c r="AD20" s="17">
        <f t="shared" si="12"/>
        <v>0</v>
      </c>
      <c r="AE20" s="31">
        <f t="shared" si="12"/>
        <v>455</v>
      </c>
      <c r="AF20" s="31">
        <f t="shared" si="12"/>
        <v>933</v>
      </c>
    </row>
    <row r="21" spans="2:32" ht="23.1" customHeight="1" x14ac:dyDescent="0.25">
      <c r="B21" s="45" t="s">
        <v>48</v>
      </c>
      <c r="C21" s="50">
        <v>53</v>
      </c>
      <c r="D21" s="50">
        <v>38</v>
      </c>
      <c r="E21" s="50">
        <v>13</v>
      </c>
      <c r="F21" s="50">
        <v>28</v>
      </c>
      <c r="G21" s="50">
        <v>1</v>
      </c>
      <c r="H21" s="50">
        <v>0</v>
      </c>
      <c r="I21" s="50">
        <v>6</v>
      </c>
      <c r="J21" s="50">
        <v>5</v>
      </c>
      <c r="K21" s="50">
        <v>1</v>
      </c>
      <c r="L21" s="50">
        <v>1</v>
      </c>
      <c r="M21" s="50">
        <v>155</v>
      </c>
      <c r="N21" s="50">
        <v>0</v>
      </c>
      <c r="O21" s="15">
        <f t="shared" si="0"/>
        <v>146</v>
      </c>
      <c r="P21" s="15">
        <f t="shared" si="1"/>
        <v>301</v>
      </c>
      <c r="R21" s="36" t="s">
        <v>20</v>
      </c>
      <c r="S21" s="34">
        <f t="shared" ref="S21:AF21" si="13">SUM(C54:C57)</f>
        <v>165</v>
      </c>
      <c r="T21" s="17">
        <f t="shared" si="13"/>
        <v>115</v>
      </c>
      <c r="U21" s="17">
        <f t="shared" si="13"/>
        <v>39</v>
      </c>
      <c r="V21" s="17">
        <f t="shared" si="13"/>
        <v>118</v>
      </c>
      <c r="W21" s="17">
        <f t="shared" si="13"/>
        <v>2</v>
      </c>
      <c r="X21" s="17">
        <f t="shared" si="13"/>
        <v>0</v>
      </c>
      <c r="Y21" s="17">
        <f t="shared" si="13"/>
        <v>34</v>
      </c>
      <c r="Z21" s="17">
        <f t="shared" si="13"/>
        <v>54</v>
      </c>
      <c r="AA21" s="17">
        <f t="shared" si="13"/>
        <v>5</v>
      </c>
      <c r="AB21" s="17">
        <f t="shared" si="13"/>
        <v>10</v>
      </c>
      <c r="AC21" s="17">
        <f t="shared" si="13"/>
        <v>742</v>
      </c>
      <c r="AD21" s="17">
        <f t="shared" si="13"/>
        <v>0</v>
      </c>
      <c r="AE21" s="31">
        <f t="shared" si="13"/>
        <v>542</v>
      </c>
      <c r="AF21" s="31">
        <f t="shared" si="13"/>
        <v>1284</v>
      </c>
    </row>
    <row r="22" spans="2:32" ht="23.1" customHeight="1" x14ac:dyDescent="0.25">
      <c r="B22" s="45" t="s">
        <v>49</v>
      </c>
      <c r="C22" s="50">
        <v>38</v>
      </c>
      <c r="D22" s="50">
        <v>35</v>
      </c>
      <c r="E22" s="50">
        <v>5</v>
      </c>
      <c r="F22" s="50">
        <v>18</v>
      </c>
      <c r="G22" s="50">
        <v>0</v>
      </c>
      <c r="H22" s="50">
        <v>0</v>
      </c>
      <c r="I22" s="50">
        <v>3</v>
      </c>
      <c r="J22" s="50">
        <v>11</v>
      </c>
      <c r="K22" s="50">
        <v>1</v>
      </c>
      <c r="L22" s="50">
        <v>5</v>
      </c>
      <c r="M22" s="50">
        <v>179</v>
      </c>
      <c r="N22" s="50">
        <v>0</v>
      </c>
      <c r="O22" s="15">
        <f t="shared" si="0"/>
        <v>116</v>
      </c>
      <c r="P22" s="15">
        <f t="shared" si="1"/>
        <v>295</v>
      </c>
      <c r="R22" s="36" t="s">
        <v>146</v>
      </c>
      <c r="S22" s="34">
        <f>SUM(C58:C61)</f>
        <v>158</v>
      </c>
      <c r="T22" s="34">
        <f t="shared" ref="T22:AF22" si="14">SUM(D58:D61)</f>
        <v>26</v>
      </c>
      <c r="U22" s="34">
        <f t="shared" si="14"/>
        <v>22</v>
      </c>
      <c r="V22" s="34">
        <f t="shared" si="14"/>
        <v>58</v>
      </c>
      <c r="W22" s="34">
        <f t="shared" si="14"/>
        <v>0</v>
      </c>
      <c r="X22" s="34">
        <f t="shared" si="14"/>
        <v>0</v>
      </c>
      <c r="Y22" s="34">
        <f t="shared" si="14"/>
        <v>19</v>
      </c>
      <c r="Z22" s="34">
        <f t="shared" si="14"/>
        <v>15</v>
      </c>
      <c r="AA22" s="34">
        <f t="shared" si="14"/>
        <v>2</v>
      </c>
      <c r="AB22" s="34">
        <f t="shared" si="14"/>
        <v>0</v>
      </c>
      <c r="AC22" s="34">
        <f t="shared" si="14"/>
        <v>745</v>
      </c>
      <c r="AD22" s="34">
        <f t="shared" si="14"/>
        <v>0</v>
      </c>
      <c r="AE22" s="31">
        <f t="shared" si="14"/>
        <v>300</v>
      </c>
      <c r="AF22" s="31">
        <f t="shared" si="14"/>
        <v>1045</v>
      </c>
    </row>
    <row r="23" spans="2:32" ht="23.1" customHeight="1" x14ac:dyDescent="0.25">
      <c r="B23" s="45" t="s">
        <v>50</v>
      </c>
      <c r="C23" s="50">
        <v>44</v>
      </c>
      <c r="D23" s="50">
        <v>42</v>
      </c>
      <c r="E23" s="50">
        <v>7</v>
      </c>
      <c r="F23" s="50">
        <v>24</v>
      </c>
      <c r="G23" s="50">
        <v>0</v>
      </c>
      <c r="H23" s="50">
        <v>0</v>
      </c>
      <c r="I23" s="50">
        <v>7</v>
      </c>
      <c r="J23" s="50">
        <v>8</v>
      </c>
      <c r="K23" s="50">
        <v>3</v>
      </c>
      <c r="L23" s="50">
        <v>3</v>
      </c>
      <c r="M23" s="50">
        <v>124</v>
      </c>
      <c r="N23" s="50">
        <v>0</v>
      </c>
      <c r="O23" s="15">
        <f t="shared" si="0"/>
        <v>138</v>
      </c>
      <c r="P23" s="15">
        <f t="shared" si="1"/>
        <v>262</v>
      </c>
      <c r="R23" s="36" t="s">
        <v>147</v>
      </c>
      <c r="S23" s="34">
        <f>SUM(C62:C65)</f>
        <v>148</v>
      </c>
      <c r="T23" s="34">
        <f t="shared" ref="T23:AF23" si="15">SUM(D62:D65)</f>
        <v>30</v>
      </c>
      <c r="U23" s="34">
        <f t="shared" si="15"/>
        <v>30</v>
      </c>
      <c r="V23" s="34">
        <f t="shared" si="15"/>
        <v>71</v>
      </c>
      <c r="W23" s="34">
        <f t="shared" si="15"/>
        <v>3</v>
      </c>
      <c r="X23" s="34">
        <f t="shared" si="15"/>
        <v>0</v>
      </c>
      <c r="Y23" s="34">
        <f t="shared" si="15"/>
        <v>26</v>
      </c>
      <c r="Z23" s="34">
        <f t="shared" si="15"/>
        <v>12</v>
      </c>
      <c r="AA23" s="34">
        <f t="shared" si="15"/>
        <v>2</v>
      </c>
      <c r="AB23" s="34">
        <f t="shared" si="15"/>
        <v>1</v>
      </c>
      <c r="AC23" s="34">
        <f t="shared" si="15"/>
        <v>625</v>
      </c>
      <c r="AD23" s="34">
        <f t="shared" si="15"/>
        <v>0</v>
      </c>
      <c r="AE23" s="31">
        <f t="shared" si="15"/>
        <v>323</v>
      </c>
      <c r="AF23" s="31">
        <f t="shared" si="15"/>
        <v>948</v>
      </c>
    </row>
    <row r="24" spans="2:32" ht="23.1" customHeight="1" x14ac:dyDescent="0.25">
      <c r="B24" s="45" t="s">
        <v>51</v>
      </c>
      <c r="C24" s="50">
        <v>53</v>
      </c>
      <c r="D24" s="50">
        <v>25</v>
      </c>
      <c r="E24" s="50">
        <v>8</v>
      </c>
      <c r="F24" s="50">
        <v>16</v>
      </c>
      <c r="G24" s="50">
        <v>4</v>
      </c>
      <c r="H24" s="50">
        <v>0</v>
      </c>
      <c r="I24" s="50">
        <v>9</v>
      </c>
      <c r="J24" s="50">
        <v>8</v>
      </c>
      <c r="K24" s="50">
        <v>5</v>
      </c>
      <c r="L24" s="50">
        <v>3</v>
      </c>
      <c r="M24" s="50">
        <v>183</v>
      </c>
      <c r="N24" s="50">
        <v>0</v>
      </c>
      <c r="O24" s="15">
        <f t="shared" si="0"/>
        <v>131</v>
      </c>
      <c r="P24" s="15">
        <f t="shared" si="1"/>
        <v>314</v>
      </c>
      <c r="R24" s="36" t="s">
        <v>148</v>
      </c>
      <c r="S24" s="34">
        <f>SUM(C66:C69)</f>
        <v>212</v>
      </c>
      <c r="T24" s="34">
        <f t="shared" ref="T24:AF24" si="16">SUM(D66:D69)</f>
        <v>50</v>
      </c>
      <c r="U24" s="34">
        <f t="shared" si="16"/>
        <v>26</v>
      </c>
      <c r="V24" s="34">
        <f t="shared" si="16"/>
        <v>100</v>
      </c>
      <c r="W24" s="34">
        <f t="shared" si="16"/>
        <v>4</v>
      </c>
      <c r="X24" s="34">
        <f t="shared" si="16"/>
        <v>1</v>
      </c>
      <c r="Y24" s="34">
        <f t="shared" si="16"/>
        <v>29</v>
      </c>
      <c r="Z24" s="34">
        <f t="shared" si="16"/>
        <v>9</v>
      </c>
      <c r="AA24" s="34">
        <f t="shared" si="16"/>
        <v>1</v>
      </c>
      <c r="AB24" s="34">
        <f t="shared" si="16"/>
        <v>5</v>
      </c>
      <c r="AC24" s="34">
        <f t="shared" si="16"/>
        <v>842</v>
      </c>
      <c r="AD24" s="34">
        <f t="shared" si="16"/>
        <v>0</v>
      </c>
      <c r="AE24" s="31">
        <f t="shared" si="16"/>
        <v>437</v>
      </c>
      <c r="AF24" s="31">
        <f t="shared" si="16"/>
        <v>1279</v>
      </c>
    </row>
    <row r="25" spans="2:32" ht="23.1" customHeight="1" x14ac:dyDescent="0.25">
      <c r="B25" s="45" t="s">
        <v>52</v>
      </c>
      <c r="C25" s="50">
        <v>35</v>
      </c>
      <c r="D25" s="50">
        <v>31</v>
      </c>
      <c r="E25" s="50">
        <v>9</v>
      </c>
      <c r="F25" s="50">
        <v>19</v>
      </c>
      <c r="G25" s="50">
        <v>0</v>
      </c>
      <c r="H25" s="50">
        <v>0</v>
      </c>
      <c r="I25" s="50">
        <v>5</v>
      </c>
      <c r="J25" s="50">
        <v>5</v>
      </c>
      <c r="K25" s="50">
        <v>6</v>
      </c>
      <c r="L25" s="50">
        <v>1</v>
      </c>
      <c r="M25" s="50">
        <v>192</v>
      </c>
      <c r="N25" s="50">
        <v>0</v>
      </c>
      <c r="O25" s="15">
        <f t="shared" si="0"/>
        <v>111</v>
      </c>
      <c r="P25" s="15">
        <f t="shared" si="1"/>
        <v>303</v>
      </c>
      <c r="R25" s="36" t="s">
        <v>149</v>
      </c>
      <c r="S25" s="34">
        <f>SUM(C70:C73)</f>
        <v>176</v>
      </c>
      <c r="T25" s="34">
        <f t="shared" ref="T25:AF25" si="17">SUM(D70:D73)</f>
        <v>25</v>
      </c>
      <c r="U25" s="34">
        <f t="shared" si="17"/>
        <v>13</v>
      </c>
      <c r="V25" s="34">
        <f t="shared" si="17"/>
        <v>48</v>
      </c>
      <c r="W25" s="34">
        <f t="shared" si="17"/>
        <v>5</v>
      </c>
      <c r="X25" s="34">
        <f t="shared" si="17"/>
        <v>0</v>
      </c>
      <c r="Y25" s="34">
        <f t="shared" si="17"/>
        <v>10</v>
      </c>
      <c r="Z25" s="34">
        <f t="shared" si="17"/>
        <v>7</v>
      </c>
      <c r="AA25" s="34">
        <f t="shared" si="17"/>
        <v>0</v>
      </c>
      <c r="AB25" s="34">
        <f t="shared" si="17"/>
        <v>1</v>
      </c>
      <c r="AC25" s="34">
        <f t="shared" si="17"/>
        <v>640</v>
      </c>
      <c r="AD25" s="34">
        <f t="shared" si="17"/>
        <v>0</v>
      </c>
      <c r="AE25" s="31">
        <f t="shared" si="17"/>
        <v>285</v>
      </c>
      <c r="AF25" s="31">
        <f t="shared" si="17"/>
        <v>925</v>
      </c>
    </row>
    <row r="26" spans="2:32" ht="23.1" customHeight="1" x14ac:dyDescent="0.25">
      <c r="B26" s="45" t="s">
        <v>53</v>
      </c>
      <c r="C26" s="50">
        <v>52</v>
      </c>
      <c r="D26" s="50">
        <v>13</v>
      </c>
      <c r="E26" s="50">
        <v>4</v>
      </c>
      <c r="F26" s="50">
        <v>17</v>
      </c>
      <c r="G26" s="50">
        <v>0</v>
      </c>
      <c r="H26" s="50">
        <v>0</v>
      </c>
      <c r="I26" s="50">
        <v>2</v>
      </c>
      <c r="J26" s="50">
        <v>2</v>
      </c>
      <c r="K26" s="50">
        <v>2</v>
      </c>
      <c r="L26" s="50">
        <v>1</v>
      </c>
      <c r="M26" s="50">
        <v>170</v>
      </c>
      <c r="N26" s="50">
        <v>1</v>
      </c>
      <c r="O26" s="15">
        <f t="shared" si="0"/>
        <v>94</v>
      </c>
      <c r="P26" s="15">
        <f t="shared" si="1"/>
        <v>264</v>
      </c>
      <c r="R26" s="36" t="s">
        <v>150</v>
      </c>
      <c r="S26" s="34">
        <f>SUM(C74:C77)</f>
        <v>147</v>
      </c>
      <c r="T26" s="34">
        <f t="shared" ref="T26:AF26" si="18">SUM(D74:D77)</f>
        <v>15</v>
      </c>
      <c r="U26" s="34">
        <f t="shared" si="18"/>
        <v>22</v>
      </c>
      <c r="V26" s="34">
        <f t="shared" si="18"/>
        <v>28</v>
      </c>
      <c r="W26" s="34">
        <f t="shared" si="18"/>
        <v>0</v>
      </c>
      <c r="X26" s="34">
        <f t="shared" si="18"/>
        <v>1</v>
      </c>
      <c r="Y26" s="34">
        <f t="shared" si="18"/>
        <v>12</v>
      </c>
      <c r="Z26" s="34">
        <f t="shared" si="18"/>
        <v>5</v>
      </c>
      <c r="AA26" s="34">
        <f t="shared" si="18"/>
        <v>0</v>
      </c>
      <c r="AB26" s="34">
        <f t="shared" si="18"/>
        <v>0</v>
      </c>
      <c r="AC26" s="34">
        <f t="shared" si="18"/>
        <v>403</v>
      </c>
      <c r="AD26" s="34">
        <f t="shared" si="18"/>
        <v>1</v>
      </c>
      <c r="AE26" s="31">
        <f t="shared" si="18"/>
        <v>231</v>
      </c>
      <c r="AF26" s="31">
        <f t="shared" si="18"/>
        <v>634</v>
      </c>
    </row>
    <row r="27" spans="2:32" ht="23.1" customHeight="1" x14ac:dyDescent="0.25">
      <c r="B27" s="45" t="s">
        <v>54</v>
      </c>
      <c r="C27" s="50">
        <v>39</v>
      </c>
      <c r="D27" s="50">
        <v>18</v>
      </c>
      <c r="E27" s="50">
        <v>5</v>
      </c>
      <c r="F27" s="50">
        <v>5</v>
      </c>
      <c r="G27" s="50">
        <v>1</v>
      </c>
      <c r="H27" s="50">
        <v>0</v>
      </c>
      <c r="I27" s="50">
        <v>10</v>
      </c>
      <c r="J27" s="50">
        <v>4</v>
      </c>
      <c r="K27" s="50">
        <v>7</v>
      </c>
      <c r="L27" s="50">
        <v>1</v>
      </c>
      <c r="M27" s="50">
        <v>147</v>
      </c>
      <c r="N27" s="50">
        <v>0</v>
      </c>
      <c r="O27" s="15">
        <f t="shared" si="0"/>
        <v>90</v>
      </c>
      <c r="P27" s="15">
        <f t="shared" si="1"/>
        <v>237</v>
      </c>
      <c r="R27" s="36" t="s">
        <v>151</v>
      </c>
      <c r="S27" s="34">
        <f>SUM(C78:C81)</f>
        <v>78</v>
      </c>
      <c r="T27" s="34">
        <f t="shared" ref="T27:AF27" si="19">SUM(D78:D81)</f>
        <v>16</v>
      </c>
      <c r="U27" s="34">
        <f t="shared" si="19"/>
        <v>7</v>
      </c>
      <c r="V27" s="34">
        <f t="shared" si="19"/>
        <v>12</v>
      </c>
      <c r="W27" s="34">
        <f t="shared" si="19"/>
        <v>2</v>
      </c>
      <c r="X27" s="34">
        <f t="shared" si="19"/>
        <v>0</v>
      </c>
      <c r="Y27" s="34">
        <f t="shared" si="19"/>
        <v>6</v>
      </c>
      <c r="Z27" s="34">
        <f t="shared" si="19"/>
        <v>6</v>
      </c>
      <c r="AA27" s="34">
        <f t="shared" si="19"/>
        <v>0</v>
      </c>
      <c r="AB27" s="34">
        <f t="shared" si="19"/>
        <v>2</v>
      </c>
      <c r="AC27" s="34">
        <f t="shared" si="19"/>
        <v>249</v>
      </c>
      <c r="AD27" s="34">
        <f t="shared" si="19"/>
        <v>0</v>
      </c>
      <c r="AE27" s="31">
        <f t="shared" si="19"/>
        <v>129</v>
      </c>
      <c r="AF27" s="31">
        <f t="shared" si="19"/>
        <v>378</v>
      </c>
    </row>
    <row r="28" spans="2:32" ht="23.1" customHeight="1" x14ac:dyDescent="0.25">
      <c r="B28" s="45" t="s">
        <v>55</v>
      </c>
      <c r="C28" s="50">
        <v>35</v>
      </c>
      <c r="D28" s="50">
        <v>33</v>
      </c>
      <c r="E28" s="50">
        <v>7</v>
      </c>
      <c r="F28" s="50">
        <v>15</v>
      </c>
      <c r="G28" s="50">
        <v>0</v>
      </c>
      <c r="H28" s="50">
        <v>0</v>
      </c>
      <c r="I28" s="50">
        <v>4</v>
      </c>
      <c r="J28" s="50">
        <v>6</v>
      </c>
      <c r="K28" s="50">
        <v>4</v>
      </c>
      <c r="L28" s="50">
        <v>2</v>
      </c>
      <c r="M28" s="50">
        <v>125</v>
      </c>
      <c r="N28" s="50">
        <v>0</v>
      </c>
      <c r="O28" s="15">
        <f t="shared" si="0"/>
        <v>106</v>
      </c>
      <c r="P28" s="15">
        <f t="shared" si="1"/>
        <v>231</v>
      </c>
      <c r="R28" s="36" t="s">
        <v>152</v>
      </c>
      <c r="S28" s="34">
        <f>SUM(C82:C85)</f>
        <v>59</v>
      </c>
      <c r="T28" s="34">
        <f t="shared" ref="T28:AF28" si="20">SUM(D82:D85)</f>
        <v>7</v>
      </c>
      <c r="U28" s="34">
        <f t="shared" si="20"/>
        <v>7</v>
      </c>
      <c r="V28" s="34">
        <f t="shared" si="20"/>
        <v>5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5</v>
      </c>
      <c r="AA28" s="34">
        <f t="shared" si="20"/>
        <v>2</v>
      </c>
      <c r="AB28" s="34">
        <f t="shared" si="20"/>
        <v>3</v>
      </c>
      <c r="AC28" s="34">
        <f t="shared" si="20"/>
        <v>157</v>
      </c>
      <c r="AD28" s="34">
        <f t="shared" si="20"/>
        <v>0</v>
      </c>
      <c r="AE28" s="31">
        <f t="shared" si="20"/>
        <v>90</v>
      </c>
      <c r="AF28" s="31">
        <f t="shared" si="20"/>
        <v>247</v>
      </c>
    </row>
    <row r="29" spans="2:32" ht="23.1" customHeight="1" x14ac:dyDescent="0.25">
      <c r="B29" s="45" t="s">
        <v>56</v>
      </c>
      <c r="C29" s="50">
        <v>30</v>
      </c>
      <c r="D29" s="50">
        <v>42</v>
      </c>
      <c r="E29" s="50">
        <v>7</v>
      </c>
      <c r="F29" s="50">
        <v>20</v>
      </c>
      <c r="G29" s="50">
        <v>0</v>
      </c>
      <c r="H29" s="50">
        <v>0</v>
      </c>
      <c r="I29" s="50">
        <v>6</v>
      </c>
      <c r="J29" s="50">
        <v>5</v>
      </c>
      <c r="K29" s="50">
        <v>2</v>
      </c>
      <c r="L29" s="50">
        <v>3</v>
      </c>
      <c r="M29" s="50">
        <v>104</v>
      </c>
      <c r="N29" s="50">
        <v>0</v>
      </c>
      <c r="O29" s="15">
        <f t="shared" si="0"/>
        <v>115</v>
      </c>
      <c r="P29" s="15">
        <f t="shared" si="1"/>
        <v>219</v>
      </c>
      <c r="R29" s="36" t="s">
        <v>153</v>
      </c>
      <c r="S29" s="34">
        <f>SUM(C86:C89)</f>
        <v>25</v>
      </c>
      <c r="T29" s="34">
        <f t="shared" ref="T29:AF29" si="21">SUM(D86:D89)</f>
        <v>5</v>
      </c>
      <c r="U29" s="34">
        <f t="shared" si="21"/>
        <v>1</v>
      </c>
      <c r="V29" s="34">
        <f t="shared" si="21"/>
        <v>8</v>
      </c>
      <c r="W29" s="34">
        <f t="shared" si="21"/>
        <v>2</v>
      </c>
      <c r="X29" s="34">
        <f t="shared" si="21"/>
        <v>0</v>
      </c>
      <c r="Y29" s="34">
        <f t="shared" si="21"/>
        <v>1</v>
      </c>
      <c r="Z29" s="34">
        <f t="shared" si="21"/>
        <v>1</v>
      </c>
      <c r="AA29" s="34">
        <f t="shared" si="21"/>
        <v>0</v>
      </c>
      <c r="AB29" s="34">
        <f t="shared" si="21"/>
        <v>1</v>
      </c>
      <c r="AC29" s="34">
        <f t="shared" si="21"/>
        <v>115</v>
      </c>
      <c r="AD29" s="34">
        <f t="shared" si="21"/>
        <v>0</v>
      </c>
      <c r="AE29" s="31">
        <f t="shared" si="21"/>
        <v>44</v>
      </c>
      <c r="AF29" s="31">
        <f t="shared" si="21"/>
        <v>159</v>
      </c>
    </row>
    <row r="30" spans="2:32" ht="23.1" customHeight="1" x14ac:dyDescent="0.25">
      <c r="B30" s="45" t="s">
        <v>57</v>
      </c>
      <c r="C30" s="50">
        <v>30</v>
      </c>
      <c r="D30" s="50">
        <v>22</v>
      </c>
      <c r="E30" s="50">
        <v>11</v>
      </c>
      <c r="F30" s="50">
        <v>17</v>
      </c>
      <c r="G30" s="50">
        <v>0</v>
      </c>
      <c r="H30" s="50">
        <v>1</v>
      </c>
      <c r="I30" s="50">
        <v>10</v>
      </c>
      <c r="J30" s="50">
        <v>1</v>
      </c>
      <c r="K30" s="50">
        <v>0</v>
      </c>
      <c r="L30" s="50">
        <v>5</v>
      </c>
      <c r="M30" s="50">
        <v>125</v>
      </c>
      <c r="N30" s="50">
        <v>0</v>
      </c>
      <c r="O30" s="15">
        <f t="shared" si="0"/>
        <v>97</v>
      </c>
      <c r="P30" s="15">
        <f t="shared" si="1"/>
        <v>222</v>
      </c>
      <c r="R30" s="36" t="s">
        <v>154</v>
      </c>
      <c r="S30" s="34">
        <f>SUM(C90:C93)</f>
        <v>30</v>
      </c>
      <c r="T30" s="34">
        <f t="shared" ref="T30:AF30" si="22">SUM(D90:D93)</f>
        <v>2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1</v>
      </c>
      <c r="AA30" s="34">
        <f t="shared" si="22"/>
        <v>0</v>
      </c>
      <c r="AB30" s="34">
        <f t="shared" si="22"/>
        <v>1</v>
      </c>
      <c r="AC30" s="34">
        <f t="shared" si="22"/>
        <v>90</v>
      </c>
      <c r="AD30" s="34">
        <f t="shared" si="22"/>
        <v>0</v>
      </c>
      <c r="AE30" s="31">
        <f t="shared" si="22"/>
        <v>41</v>
      </c>
      <c r="AF30" s="31">
        <f t="shared" si="22"/>
        <v>131</v>
      </c>
    </row>
    <row r="31" spans="2:32" ht="23.1" customHeight="1" x14ac:dyDescent="0.25">
      <c r="B31" s="46" t="s">
        <v>58</v>
      </c>
      <c r="C31" s="50">
        <v>42</v>
      </c>
      <c r="D31" s="50">
        <v>20</v>
      </c>
      <c r="E31" s="50">
        <v>7</v>
      </c>
      <c r="F31" s="50">
        <v>20</v>
      </c>
      <c r="G31" s="50">
        <v>0</v>
      </c>
      <c r="H31" s="50">
        <v>0</v>
      </c>
      <c r="I31" s="50">
        <v>9</v>
      </c>
      <c r="J31" s="50">
        <v>5</v>
      </c>
      <c r="K31" s="50">
        <v>4</v>
      </c>
      <c r="L31" s="50">
        <v>4</v>
      </c>
      <c r="M31" s="50">
        <v>85</v>
      </c>
      <c r="N31" s="50">
        <v>0</v>
      </c>
      <c r="O31" s="15">
        <f t="shared" si="0"/>
        <v>111</v>
      </c>
      <c r="P31" s="15">
        <f t="shared" si="1"/>
        <v>196</v>
      </c>
      <c r="R31" s="36" t="s">
        <v>155</v>
      </c>
      <c r="S31" s="34">
        <f>SUM(C94:C97)</f>
        <v>28</v>
      </c>
      <c r="T31" s="34">
        <f t="shared" ref="T31:AF31" si="23">SUM(D94:D97)</f>
        <v>2</v>
      </c>
      <c r="U31" s="34">
        <f t="shared" si="23"/>
        <v>1</v>
      </c>
      <c r="V31" s="34">
        <f t="shared" si="23"/>
        <v>4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2</v>
      </c>
      <c r="AA31" s="34">
        <f t="shared" si="23"/>
        <v>0</v>
      </c>
      <c r="AB31" s="34">
        <f t="shared" si="23"/>
        <v>1</v>
      </c>
      <c r="AC31" s="34">
        <f t="shared" si="23"/>
        <v>89</v>
      </c>
      <c r="AD31" s="34">
        <f t="shared" si="23"/>
        <v>0</v>
      </c>
      <c r="AE31" s="31">
        <f t="shared" si="23"/>
        <v>38</v>
      </c>
      <c r="AF31" s="31">
        <f t="shared" si="23"/>
        <v>127</v>
      </c>
    </row>
    <row r="32" spans="2:32" ht="23.1" customHeight="1" x14ac:dyDescent="0.25">
      <c r="B32" s="46" t="s">
        <v>59</v>
      </c>
      <c r="C32" s="50">
        <v>24</v>
      </c>
      <c r="D32" s="50">
        <v>18</v>
      </c>
      <c r="E32" s="50">
        <v>8</v>
      </c>
      <c r="F32" s="50">
        <v>11</v>
      </c>
      <c r="G32" s="50">
        <v>0</v>
      </c>
      <c r="H32" s="50">
        <v>0</v>
      </c>
      <c r="I32" s="50">
        <v>5</v>
      </c>
      <c r="J32" s="50">
        <v>9</v>
      </c>
      <c r="K32" s="50">
        <v>1</v>
      </c>
      <c r="L32" s="50">
        <v>4</v>
      </c>
      <c r="M32" s="50">
        <v>145</v>
      </c>
      <c r="N32" s="50">
        <v>0</v>
      </c>
      <c r="O32" s="15">
        <f t="shared" si="0"/>
        <v>80</v>
      </c>
      <c r="P32" s="15">
        <f t="shared" si="1"/>
        <v>225</v>
      </c>
      <c r="R32" s="33" t="s">
        <v>156</v>
      </c>
      <c r="S32" s="34">
        <f>SUM(C98:C101)</f>
        <v>18</v>
      </c>
      <c r="T32" s="34">
        <f t="shared" ref="T32:AF32" si="24">SUM(D98:D101)</f>
        <v>2</v>
      </c>
      <c r="U32" s="34">
        <f t="shared" si="24"/>
        <v>5</v>
      </c>
      <c r="V32" s="34">
        <f t="shared" si="24"/>
        <v>35</v>
      </c>
      <c r="W32" s="34">
        <f t="shared" si="24"/>
        <v>1</v>
      </c>
      <c r="X32" s="34">
        <f t="shared" si="24"/>
        <v>0</v>
      </c>
      <c r="Y32" s="34">
        <f t="shared" si="24"/>
        <v>2</v>
      </c>
      <c r="Z32" s="34">
        <f t="shared" si="24"/>
        <v>2</v>
      </c>
      <c r="AA32" s="34">
        <f t="shared" si="24"/>
        <v>0</v>
      </c>
      <c r="AB32" s="34">
        <f t="shared" si="24"/>
        <v>1</v>
      </c>
      <c r="AC32" s="34">
        <f t="shared" si="24"/>
        <v>136</v>
      </c>
      <c r="AD32" s="34">
        <f t="shared" si="24"/>
        <v>0</v>
      </c>
      <c r="AE32" s="31">
        <f t="shared" si="24"/>
        <v>66</v>
      </c>
      <c r="AF32" s="31">
        <f t="shared" si="24"/>
        <v>202</v>
      </c>
    </row>
    <row r="33" spans="2:32" ht="23.1" customHeight="1" x14ac:dyDescent="0.25">
      <c r="B33" s="45" t="s">
        <v>60</v>
      </c>
      <c r="C33" s="50">
        <v>27</v>
      </c>
      <c r="D33" s="50">
        <v>20</v>
      </c>
      <c r="E33" s="50">
        <v>4</v>
      </c>
      <c r="F33" s="50">
        <v>4</v>
      </c>
      <c r="G33" s="50">
        <v>0</v>
      </c>
      <c r="H33" s="50">
        <v>1</v>
      </c>
      <c r="I33" s="50">
        <v>3</v>
      </c>
      <c r="J33" s="50">
        <v>2</v>
      </c>
      <c r="K33" s="50">
        <v>4</v>
      </c>
      <c r="L33" s="50">
        <v>2</v>
      </c>
      <c r="M33" s="50">
        <v>138</v>
      </c>
      <c r="N33" s="50">
        <v>0</v>
      </c>
      <c r="O33" s="15">
        <f t="shared" si="0"/>
        <v>67</v>
      </c>
      <c r="P33" s="15">
        <f t="shared" si="1"/>
        <v>205</v>
      </c>
      <c r="R33" s="33" t="s">
        <v>157</v>
      </c>
      <c r="S33" s="34">
        <f>SUM(C102:C105)</f>
        <v>65</v>
      </c>
      <c r="T33" s="34">
        <f t="shared" ref="T33:AF33" si="25">SUM(D102:D105)</f>
        <v>10</v>
      </c>
      <c r="U33" s="34">
        <f t="shared" si="25"/>
        <v>7</v>
      </c>
      <c r="V33" s="34">
        <f t="shared" si="25"/>
        <v>60</v>
      </c>
      <c r="W33" s="34">
        <f t="shared" si="25"/>
        <v>0</v>
      </c>
      <c r="X33" s="34">
        <f t="shared" si="25"/>
        <v>0</v>
      </c>
      <c r="Y33" s="34">
        <f t="shared" si="25"/>
        <v>11</v>
      </c>
      <c r="Z33" s="34">
        <f t="shared" si="25"/>
        <v>7</v>
      </c>
      <c r="AA33" s="34">
        <f t="shared" si="25"/>
        <v>0</v>
      </c>
      <c r="AB33" s="34">
        <f t="shared" si="25"/>
        <v>4</v>
      </c>
      <c r="AC33" s="34">
        <f t="shared" si="25"/>
        <v>232</v>
      </c>
      <c r="AD33" s="34">
        <f t="shared" si="25"/>
        <v>0</v>
      </c>
      <c r="AE33" s="31">
        <f t="shared" si="25"/>
        <v>164</v>
      </c>
      <c r="AF33" s="31">
        <f t="shared" si="25"/>
        <v>396</v>
      </c>
    </row>
    <row r="34" spans="2:32" ht="23.1" customHeight="1" x14ac:dyDescent="0.25">
      <c r="B34" s="46" t="s">
        <v>61</v>
      </c>
      <c r="C34" s="50">
        <v>21</v>
      </c>
      <c r="D34" s="50">
        <v>24</v>
      </c>
      <c r="E34" s="50">
        <v>5</v>
      </c>
      <c r="F34" s="50">
        <v>7</v>
      </c>
      <c r="G34" s="50">
        <v>0</v>
      </c>
      <c r="H34" s="50">
        <v>0</v>
      </c>
      <c r="I34" s="50">
        <v>0</v>
      </c>
      <c r="J34" s="50">
        <v>6</v>
      </c>
      <c r="K34" s="50">
        <v>7</v>
      </c>
      <c r="L34" s="50">
        <v>6</v>
      </c>
      <c r="M34" s="50">
        <v>125</v>
      </c>
      <c r="N34" s="50">
        <v>0</v>
      </c>
      <c r="O34" s="15">
        <f t="shared" si="0"/>
        <v>76</v>
      </c>
      <c r="P34" s="15">
        <f t="shared" si="1"/>
        <v>201</v>
      </c>
      <c r="R34" s="38" t="s">
        <v>90</v>
      </c>
      <c r="S34" s="39">
        <f t="shared" ref="S34:AF34" si="26">MAX(S10:S12)</f>
        <v>231</v>
      </c>
      <c r="T34" s="39">
        <f t="shared" si="26"/>
        <v>147</v>
      </c>
      <c r="U34" s="39">
        <f t="shared" si="26"/>
        <v>28</v>
      </c>
      <c r="V34" s="39">
        <f t="shared" si="26"/>
        <v>115</v>
      </c>
      <c r="W34" s="39">
        <f t="shared" si="26"/>
        <v>6</v>
      </c>
      <c r="X34" s="39">
        <f t="shared" si="26"/>
        <v>2</v>
      </c>
      <c r="Y34" s="39">
        <f t="shared" si="26"/>
        <v>20</v>
      </c>
      <c r="Z34" s="39">
        <f t="shared" si="26"/>
        <v>28</v>
      </c>
      <c r="AA34" s="39">
        <f t="shared" si="26"/>
        <v>7</v>
      </c>
      <c r="AB34" s="39">
        <f t="shared" si="26"/>
        <v>8</v>
      </c>
      <c r="AC34" s="39">
        <f t="shared" si="26"/>
        <v>600</v>
      </c>
      <c r="AD34" s="39">
        <f t="shared" si="26"/>
        <v>0</v>
      </c>
      <c r="AE34" s="40">
        <f t="shared" si="26"/>
        <v>585</v>
      </c>
      <c r="AF34" s="40">
        <f t="shared" si="26"/>
        <v>1185</v>
      </c>
    </row>
    <row r="35" spans="2:32" ht="23.1" customHeight="1" x14ac:dyDescent="0.25">
      <c r="B35" s="46" t="s">
        <v>62</v>
      </c>
      <c r="C35" s="50">
        <v>33</v>
      </c>
      <c r="D35" s="50">
        <v>15</v>
      </c>
      <c r="E35" s="50">
        <v>7</v>
      </c>
      <c r="F35" s="50">
        <v>10</v>
      </c>
      <c r="G35" s="50">
        <v>0</v>
      </c>
      <c r="H35" s="50">
        <v>0</v>
      </c>
      <c r="I35" s="50">
        <v>10</v>
      </c>
      <c r="J35" s="50">
        <v>6</v>
      </c>
      <c r="K35" s="50">
        <v>7</v>
      </c>
      <c r="L35" s="50">
        <v>6</v>
      </c>
      <c r="M35" s="50">
        <v>86</v>
      </c>
      <c r="N35" s="50">
        <v>1</v>
      </c>
      <c r="O35" s="15">
        <f t="shared" si="0"/>
        <v>95</v>
      </c>
      <c r="P35" s="15">
        <f t="shared" si="1"/>
        <v>181</v>
      </c>
      <c r="R35" s="38" t="s">
        <v>91</v>
      </c>
      <c r="S35" s="39">
        <f t="shared" ref="S35:AF35" si="27">MAX(S13:S18)</f>
        <v>170</v>
      </c>
      <c r="T35" s="39">
        <f t="shared" si="27"/>
        <v>133</v>
      </c>
      <c r="U35" s="39">
        <f t="shared" si="27"/>
        <v>34</v>
      </c>
      <c r="V35" s="39">
        <f t="shared" si="27"/>
        <v>77</v>
      </c>
      <c r="W35" s="39">
        <f t="shared" si="27"/>
        <v>4</v>
      </c>
      <c r="X35" s="39">
        <f t="shared" si="27"/>
        <v>5</v>
      </c>
      <c r="Y35" s="39">
        <f t="shared" si="27"/>
        <v>27</v>
      </c>
      <c r="Z35" s="39">
        <f t="shared" si="27"/>
        <v>32</v>
      </c>
      <c r="AA35" s="39">
        <f t="shared" si="27"/>
        <v>23</v>
      </c>
      <c r="AB35" s="39">
        <f t="shared" si="27"/>
        <v>21</v>
      </c>
      <c r="AC35" s="39">
        <f t="shared" si="27"/>
        <v>678</v>
      </c>
      <c r="AD35" s="39">
        <f t="shared" si="27"/>
        <v>1</v>
      </c>
      <c r="AE35" s="40">
        <f t="shared" si="27"/>
        <v>496</v>
      </c>
      <c r="AF35" s="40">
        <f t="shared" si="27"/>
        <v>1174</v>
      </c>
    </row>
    <row r="36" spans="2:32" ht="23.1" customHeight="1" x14ac:dyDescent="0.25">
      <c r="B36" s="46" t="s">
        <v>63</v>
      </c>
      <c r="C36" s="50">
        <v>35</v>
      </c>
      <c r="D36" s="50">
        <v>26</v>
      </c>
      <c r="E36" s="50">
        <v>4</v>
      </c>
      <c r="F36" s="50">
        <v>18</v>
      </c>
      <c r="G36" s="50">
        <v>0</v>
      </c>
      <c r="H36" s="50">
        <v>0</v>
      </c>
      <c r="I36" s="50">
        <v>5</v>
      </c>
      <c r="J36" s="50">
        <v>7</v>
      </c>
      <c r="K36" s="50">
        <v>4</v>
      </c>
      <c r="L36" s="50">
        <v>6</v>
      </c>
      <c r="M36" s="50">
        <v>90</v>
      </c>
      <c r="N36" s="50">
        <v>0</v>
      </c>
      <c r="O36" s="15">
        <f t="shared" si="0"/>
        <v>105</v>
      </c>
      <c r="P36" s="15">
        <f t="shared" si="1"/>
        <v>195</v>
      </c>
      <c r="R36" s="38" t="s">
        <v>92</v>
      </c>
      <c r="S36" s="39">
        <f t="shared" ref="S36:AF36" si="28">MAX(S19:S21)</f>
        <v>205</v>
      </c>
      <c r="T36" s="39">
        <f t="shared" si="28"/>
        <v>119</v>
      </c>
      <c r="U36" s="39">
        <f t="shared" si="28"/>
        <v>39</v>
      </c>
      <c r="V36" s="39">
        <f t="shared" si="28"/>
        <v>118</v>
      </c>
      <c r="W36" s="39">
        <f t="shared" si="28"/>
        <v>2</v>
      </c>
      <c r="X36" s="39">
        <f t="shared" si="28"/>
        <v>0</v>
      </c>
      <c r="Y36" s="39">
        <f t="shared" si="28"/>
        <v>36</v>
      </c>
      <c r="Z36" s="39">
        <f t="shared" si="28"/>
        <v>54</v>
      </c>
      <c r="AA36" s="39">
        <f t="shared" si="28"/>
        <v>12</v>
      </c>
      <c r="AB36" s="39">
        <f t="shared" si="28"/>
        <v>10</v>
      </c>
      <c r="AC36" s="39">
        <f t="shared" si="28"/>
        <v>742</v>
      </c>
      <c r="AD36" s="39">
        <f t="shared" si="28"/>
        <v>0</v>
      </c>
      <c r="AE36" s="40">
        <f t="shared" si="28"/>
        <v>542</v>
      </c>
      <c r="AF36" s="40">
        <f t="shared" si="28"/>
        <v>1284</v>
      </c>
    </row>
    <row r="37" spans="2:32" ht="23.1" customHeight="1" x14ac:dyDescent="0.25">
      <c r="B37" s="45" t="s">
        <v>64</v>
      </c>
      <c r="C37" s="50">
        <v>62</v>
      </c>
      <c r="D37" s="50">
        <v>26</v>
      </c>
      <c r="E37" s="50">
        <v>5</v>
      </c>
      <c r="F37" s="50">
        <v>16</v>
      </c>
      <c r="G37" s="50">
        <v>0</v>
      </c>
      <c r="H37" s="50">
        <v>0</v>
      </c>
      <c r="I37" s="50">
        <v>5</v>
      </c>
      <c r="J37" s="50">
        <v>2</v>
      </c>
      <c r="K37" s="50">
        <v>5</v>
      </c>
      <c r="L37" s="50">
        <v>3</v>
      </c>
      <c r="M37" s="50">
        <v>55</v>
      </c>
      <c r="N37" s="50">
        <v>0</v>
      </c>
      <c r="O37" s="15">
        <f t="shared" si="0"/>
        <v>124</v>
      </c>
      <c r="P37" s="15">
        <f t="shared" si="1"/>
        <v>179</v>
      </c>
      <c r="R37" s="37" t="s">
        <v>85</v>
      </c>
      <c r="S37" s="35">
        <f t="shared" ref="S37:AF37" si="29">SUM(S10:S12)</f>
        <v>543</v>
      </c>
      <c r="T37" s="16">
        <f t="shared" si="29"/>
        <v>337</v>
      </c>
      <c r="U37" s="16">
        <f t="shared" si="29"/>
        <v>77</v>
      </c>
      <c r="V37" s="16">
        <f t="shared" si="29"/>
        <v>298</v>
      </c>
      <c r="W37" s="16">
        <f t="shared" si="29"/>
        <v>15</v>
      </c>
      <c r="X37" s="16">
        <f t="shared" si="29"/>
        <v>3</v>
      </c>
      <c r="Y37" s="16">
        <f t="shared" si="29"/>
        <v>49</v>
      </c>
      <c r="Z37" s="16">
        <f t="shared" si="29"/>
        <v>75</v>
      </c>
      <c r="AA37" s="16">
        <f t="shared" si="29"/>
        <v>13</v>
      </c>
      <c r="AB37" s="16">
        <f t="shared" si="29"/>
        <v>21</v>
      </c>
      <c r="AC37" s="16">
        <f t="shared" si="29"/>
        <v>1373</v>
      </c>
      <c r="AD37" s="16">
        <f t="shared" si="29"/>
        <v>0</v>
      </c>
      <c r="AE37" s="32">
        <f t="shared" si="29"/>
        <v>1431</v>
      </c>
      <c r="AF37" s="32">
        <f t="shared" si="29"/>
        <v>2804</v>
      </c>
    </row>
    <row r="38" spans="2:32" ht="23.1" customHeight="1" x14ac:dyDescent="0.25">
      <c r="B38" s="46" t="s">
        <v>65</v>
      </c>
      <c r="C38" s="50">
        <v>14</v>
      </c>
      <c r="D38" s="50">
        <v>10</v>
      </c>
      <c r="E38" s="50">
        <v>6</v>
      </c>
      <c r="F38" s="50">
        <v>6</v>
      </c>
      <c r="G38" s="50">
        <v>0</v>
      </c>
      <c r="H38" s="50">
        <v>0</v>
      </c>
      <c r="I38" s="50">
        <v>4</v>
      </c>
      <c r="J38" s="50">
        <v>1</v>
      </c>
      <c r="K38" s="50">
        <v>1</v>
      </c>
      <c r="L38" s="50">
        <v>2</v>
      </c>
      <c r="M38" s="50">
        <v>70</v>
      </c>
      <c r="N38" s="50">
        <v>0</v>
      </c>
      <c r="O38" s="15">
        <f t="shared" si="0"/>
        <v>44</v>
      </c>
      <c r="P38" s="15">
        <f t="shared" si="1"/>
        <v>114</v>
      </c>
      <c r="R38" s="28" t="s">
        <v>86</v>
      </c>
      <c r="S38" s="16">
        <f t="shared" ref="S38:AF38" si="30">SUM(S13:S18)</f>
        <v>894</v>
      </c>
      <c r="T38" s="16">
        <f t="shared" si="30"/>
        <v>619</v>
      </c>
      <c r="U38" s="16">
        <f t="shared" si="30"/>
        <v>155</v>
      </c>
      <c r="V38" s="16">
        <f t="shared" si="30"/>
        <v>350</v>
      </c>
      <c r="W38" s="16">
        <f t="shared" si="30"/>
        <v>8</v>
      </c>
      <c r="X38" s="16">
        <f t="shared" si="30"/>
        <v>7</v>
      </c>
      <c r="Y38" s="16">
        <f t="shared" si="30"/>
        <v>133</v>
      </c>
      <c r="Z38" s="16">
        <f t="shared" si="30"/>
        <v>149</v>
      </c>
      <c r="AA38" s="16">
        <f t="shared" si="30"/>
        <v>81</v>
      </c>
      <c r="AB38" s="16">
        <f t="shared" si="30"/>
        <v>78</v>
      </c>
      <c r="AC38" s="16">
        <f t="shared" si="30"/>
        <v>2832</v>
      </c>
      <c r="AD38" s="16">
        <f t="shared" si="30"/>
        <v>2</v>
      </c>
      <c r="AE38" s="32">
        <f t="shared" si="30"/>
        <v>2476</v>
      </c>
      <c r="AF38" s="32">
        <f t="shared" si="30"/>
        <v>5308</v>
      </c>
    </row>
    <row r="39" spans="2:32" ht="23.1" customHeight="1" x14ac:dyDescent="0.25">
      <c r="B39" s="46" t="s">
        <v>66</v>
      </c>
      <c r="C39" s="50">
        <v>37</v>
      </c>
      <c r="D39" s="50">
        <v>22</v>
      </c>
      <c r="E39" s="50">
        <v>6</v>
      </c>
      <c r="F39" s="50">
        <v>13</v>
      </c>
      <c r="G39" s="50">
        <v>1</v>
      </c>
      <c r="H39" s="50">
        <v>0</v>
      </c>
      <c r="I39" s="50">
        <v>3</v>
      </c>
      <c r="J39" s="50">
        <v>7</v>
      </c>
      <c r="K39" s="50">
        <v>3</v>
      </c>
      <c r="L39" s="50">
        <v>4</v>
      </c>
      <c r="M39" s="50">
        <v>93</v>
      </c>
      <c r="N39" s="50">
        <v>0</v>
      </c>
      <c r="O39" s="15">
        <f t="shared" si="0"/>
        <v>96</v>
      </c>
      <c r="P39" s="15">
        <f t="shared" si="1"/>
        <v>189</v>
      </c>
      <c r="R39" s="29" t="s">
        <v>87</v>
      </c>
      <c r="S39" s="16">
        <f t="shared" ref="S39:AF39" si="31">SUM(S19:S21)</f>
        <v>524</v>
      </c>
      <c r="T39" s="16">
        <f t="shared" si="31"/>
        <v>343</v>
      </c>
      <c r="U39" s="16">
        <f t="shared" si="31"/>
        <v>99</v>
      </c>
      <c r="V39" s="16">
        <f t="shared" si="31"/>
        <v>289</v>
      </c>
      <c r="W39" s="16">
        <f t="shared" si="31"/>
        <v>5</v>
      </c>
      <c r="X39" s="16">
        <f t="shared" si="31"/>
        <v>0</v>
      </c>
      <c r="Y39" s="16">
        <f t="shared" si="31"/>
        <v>102</v>
      </c>
      <c r="Z39" s="16">
        <f t="shared" si="31"/>
        <v>120</v>
      </c>
      <c r="AA39" s="16">
        <f t="shared" si="31"/>
        <v>27</v>
      </c>
      <c r="AB39" s="16">
        <f t="shared" si="31"/>
        <v>18</v>
      </c>
      <c r="AC39" s="16">
        <f t="shared" si="31"/>
        <v>1652</v>
      </c>
      <c r="AD39" s="16">
        <f t="shared" si="31"/>
        <v>0</v>
      </c>
      <c r="AE39" s="32">
        <f t="shared" si="31"/>
        <v>1527</v>
      </c>
      <c r="AF39" s="32">
        <f t="shared" si="31"/>
        <v>3179</v>
      </c>
    </row>
    <row r="40" spans="2:32" ht="23.1" customHeight="1" x14ac:dyDescent="0.25">
      <c r="B40" s="46" t="s">
        <v>67</v>
      </c>
      <c r="C40" s="50">
        <v>34</v>
      </c>
      <c r="D40" s="50">
        <v>22</v>
      </c>
      <c r="E40" s="50">
        <v>1</v>
      </c>
      <c r="F40" s="50">
        <v>15</v>
      </c>
      <c r="G40" s="50">
        <v>0</v>
      </c>
      <c r="H40" s="50">
        <v>0</v>
      </c>
      <c r="I40" s="50">
        <v>2</v>
      </c>
      <c r="J40" s="50">
        <v>8</v>
      </c>
      <c r="K40" s="50">
        <v>0</v>
      </c>
      <c r="L40" s="50">
        <v>1</v>
      </c>
      <c r="M40" s="50">
        <v>75</v>
      </c>
      <c r="N40" s="50">
        <v>0</v>
      </c>
      <c r="O40" s="15">
        <f t="shared" si="0"/>
        <v>83</v>
      </c>
      <c r="P40" s="15">
        <f t="shared" si="1"/>
        <v>158</v>
      </c>
      <c r="R40" s="5" t="s">
        <v>17</v>
      </c>
      <c r="S40" s="16">
        <f t="shared" ref="S40:AF40" si="32">SUM(S10:S21)</f>
        <v>1961</v>
      </c>
      <c r="T40" s="16">
        <f t="shared" si="32"/>
        <v>1299</v>
      </c>
      <c r="U40" s="16">
        <f t="shared" si="32"/>
        <v>331</v>
      </c>
      <c r="V40" s="16">
        <f t="shared" si="32"/>
        <v>937</v>
      </c>
      <c r="W40" s="16">
        <f t="shared" si="32"/>
        <v>28</v>
      </c>
      <c r="X40" s="16">
        <f t="shared" si="32"/>
        <v>10</v>
      </c>
      <c r="Y40" s="16">
        <f t="shared" si="32"/>
        <v>284</v>
      </c>
      <c r="Z40" s="16">
        <f t="shared" si="32"/>
        <v>344</v>
      </c>
      <c r="AA40" s="16">
        <f t="shared" si="32"/>
        <v>121</v>
      </c>
      <c r="AB40" s="16">
        <f t="shared" si="32"/>
        <v>117</v>
      </c>
      <c r="AC40" s="16">
        <f t="shared" si="32"/>
        <v>5857</v>
      </c>
      <c r="AD40" s="16">
        <f t="shared" si="32"/>
        <v>2</v>
      </c>
      <c r="AE40" s="32">
        <f t="shared" si="32"/>
        <v>5434</v>
      </c>
      <c r="AF40" s="32">
        <f t="shared" si="32"/>
        <v>11291</v>
      </c>
    </row>
    <row r="41" spans="2:32" ht="23.1" customHeight="1" x14ac:dyDescent="0.25">
      <c r="B41" s="45" t="s">
        <v>68</v>
      </c>
      <c r="C41" s="50">
        <v>39</v>
      </c>
      <c r="D41" s="50">
        <v>36</v>
      </c>
      <c r="E41" s="50">
        <v>5</v>
      </c>
      <c r="F41" s="50">
        <v>13</v>
      </c>
      <c r="G41" s="50">
        <v>0</v>
      </c>
      <c r="H41" s="50">
        <v>0</v>
      </c>
      <c r="I41" s="50">
        <v>6</v>
      </c>
      <c r="J41" s="50">
        <v>14</v>
      </c>
      <c r="K41" s="50">
        <v>6</v>
      </c>
      <c r="L41" s="50">
        <v>0</v>
      </c>
      <c r="M41" s="50">
        <v>129</v>
      </c>
      <c r="N41" s="50">
        <v>0</v>
      </c>
      <c r="O41" s="15">
        <f t="shared" si="0"/>
        <v>119</v>
      </c>
      <c r="P41" s="15">
        <f t="shared" si="1"/>
        <v>248</v>
      </c>
      <c r="R41" s="5" t="s">
        <v>159</v>
      </c>
      <c r="S41" s="16">
        <f>SUM(S10:S33)</f>
        <v>3105</v>
      </c>
      <c r="T41" s="16">
        <f t="shared" ref="T41:AF41" si="33">SUM(T10:T33)</f>
        <v>1489</v>
      </c>
      <c r="U41" s="16">
        <f t="shared" si="33"/>
        <v>474</v>
      </c>
      <c r="V41" s="16">
        <f t="shared" si="33"/>
        <v>1368</v>
      </c>
      <c r="W41" s="16">
        <f t="shared" si="33"/>
        <v>45</v>
      </c>
      <c r="X41" s="16">
        <f t="shared" si="33"/>
        <v>12</v>
      </c>
      <c r="Y41" s="16">
        <f t="shared" si="33"/>
        <v>405</v>
      </c>
      <c r="Z41" s="16">
        <f t="shared" si="33"/>
        <v>416</v>
      </c>
      <c r="AA41" s="16">
        <f t="shared" si="33"/>
        <v>128</v>
      </c>
      <c r="AB41" s="16">
        <f t="shared" si="33"/>
        <v>137</v>
      </c>
      <c r="AC41" s="16">
        <f t="shared" si="33"/>
        <v>10180</v>
      </c>
      <c r="AD41" s="16">
        <f t="shared" si="33"/>
        <v>3</v>
      </c>
      <c r="AE41" s="32">
        <f t="shared" si="33"/>
        <v>7582</v>
      </c>
      <c r="AF41" s="32">
        <f t="shared" si="33"/>
        <v>17762</v>
      </c>
    </row>
    <row r="42" spans="2:32" ht="23.1" customHeight="1" x14ac:dyDescent="0.25">
      <c r="B42" s="46" t="s">
        <v>69</v>
      </c>
      <c r="C42" s="50">
        <v>42</v>
      </c>
      <c r="D42" s="50">
        <v>25</v>
      </c>
      <c r="E42" s="50">
        <v>8</v>
      </c>
      <c r="F42" s="50">
        <v>19</v>
      </c>
      <c r="G42" s="50">
        <v>0</v>
      </c>
      <c r="H42" s="50">
        <v>1</v>
      </c>
      <c r="I42" s="50">
        <v>3</v>
      </c>
      <c r="J42" s="50">
        <v>8</v>
      </c>
      <c r="K42" s="50">
        <v>2</v>
      </c>
      <c r="L42" s="50">
        <v>4</v>
      </c>
      <c r="M42" s="50">
        <v>85</v>
      </c>
      <c r="N42" s="50">
        <v>0</v>
      </c>
      <c r="O42" s="15">
        <f t="shared" si="0"/>
        <v>112</v>
      </c>
      <c r="P42" s="15">
        <f t="shared" si="1"/>
        <v>197</v>
      </c>
      <c r="R42" s="5" t="s">
        <v>160</v>
      </c>
      <c r="S42" s="48">
        <f>S41/S40</f>
        <v>1.5833758286588475</v>
      </c>
      <c r="T42" s="48">
        <f t="shared" ref="T42:AF42" si="34">T41/T40</f>
        <v>1.1462663587374904</v>
      </c>
      <c r="U42" s="48">
        <f t="shared" si="34"/>
        <v>1.4320241691842901</v>
      </c>
      <c r="V42" s="48">
        <f t="shared" si="34"/>
        <v>1.4599786552828176</v>
      </c>
      <c r="W42" s="48">
        <f t="shared" si="34"/>
        <v>1.6071428571428572</v>
      </c>
      <c r="X42" s="48">
        <f t="shared" si="34"/>
        <v>1.2</v>
      </c>
      <c r="Y42" s="48">
        <f t="shared" si="34"/>
        <v>1.426056338028169</v>
      </c>
      <c r="Z42" s="48">
        <f t="shared" si="34"/>
        <v>1.2093023255813953</v>
      </c>
      <c r="AA42" s="48">
        <f t="shared" si="34"/>
        <v>1.0578512396694215</v>
      </c>
      <c r="AB42" s="48">
        <f t="shared" si="34"/>
        <v>1.170940170940171</v>
      </c>
      <c r="AC42" s="48">
        <f t="shared" si="34"/>
        <v>1.738091172955438</v>
      </c>
      <c r="AD42" s="48">
        <f t="shared" si="34"/>
        <v>1.5</v>
      </c>
      <c r="AE42" s="48">
        <f t="shared" si="34"/>
        <v>1.3952889216047111</v>
      </c>
      <c r="AF42" s="48">
        <f t="shared" si="34"/>
        <v>1.573111327606058</v>
      </c>
    </row>
    <row r="43" spans="2:32" ht="23.1" customHeight="1" x14ac:dyDescent="0.25">
      <c r="B43" s="45" t="s">
        <v>70</v>
      </c>
      <c r="C43" s="50">
        <v>55</v>
      </c>
      <c r="D43" s="50">
        <v>50</v>
      </c>
      <c r="E43" s="50">
        <v>14</v>
      </c>
      <c r="F43" s="50">
        <v>16</v>
      </c>
      <c r="G43" s="50">
        <v>2</v>
      </c>
      <c r="H43" s="50">
        <v>1</v>
      </c>
      <c r="I43" s="50">
        <v>11</v>
      </c>
      <c r="J43" s="50">
        <v>17</v>
      </c>
      <c r="K43" s="50">
        <v>3</v>
      </c>
      <c r="L43" s="50">
        <v>5</v>
      </c>
      <c r="M43" s="50">
        <v>100</v>
      </c>
      <c r="N43" s="50">
        <v>0</v>
      </c>
      <c r="O43" s="15">
        <f t="shared" si="0"/>
        <v>174</v>
      </c>
      <c r="P43" s="15">
        <f t="shared" si="1"/>
        <v>274</v>
      </c>
    </row>
    <row r="44" spans="2:32" ht="23.1" customHeight="1" x14ac:dyDescent="0.25">
      <c r="B44" s="47" t="s">
        <v>71</v>
      </c>
      <c r="C44" s="50">
        <v>29</v>
      </c>
      <c r="D44" s="50">
        <v>18</v>
      </c>
      <c r="E44" s="50">
        <v>6</v>
      </c>
      <c r="F44" s="50">
        <v>13</v>
      </c>
      <c r="G44" s="50">
        <v>0</v>
      </c>
      <c r="H44" s="50">
        <v>1</v>
      </c>
      <c r="I44" s="50">
        <v>7</v>
      </c>
      <c r="J44" s="50">
        <v>1</v>
      </c>
      <c r="K44" s="50">
        <v>3</v>
      </c>
      <c r="L44" s="50">
        <v>3</v>
      </c>
      <c r="M44" s="50">
        <v>127</v>
      </c>
      <c r="N44" s="50">
        <v>0</v>
      </c>
      <c r="O44" s="15">
        <f t="shared" si="0"/>
        <v>81</v>
      </c>
      <c r="P44" s="15">
        <f t="shared" si="1"/>
        <v>208</v>
      </c>
    </row>
    <row r="45" spans="2:32" ht="23.1" customHeight="1" x14ac:dyDescent="0.25">
      <c r="B45" s="45" t="s">
        <v>72</v>
      </c>
      <c r="C45" s="50">
        <v>44</v>
      </c>
      <c r="D45" s="50">
        <v>26</v>
      </c>
      <c r="E45" s="50">
        <v>6</v>
      </c>
      <c r="F45" s="50">
        <v>18</v>
      </c>
      <c r="G45" s="50">
        <v>0</v>
      </c>
      <c r="H45" s="50">
        <v>2</v>
      </c>
      <c r="I45" s="50">
        <v>4</v>
      </c>
      <c r="J45" s="50">
        <v>6</v>
      </c>
      <c r="K45" s="50">
        <v>1</v>
      </c>
      <c r="L45" s="50">
        <v>4</v>
      </c>
      <c r="M45" s="50">
        <v>80</v>
      </c>
      <c r="N45" s="50">
        <v>0</v>
      </c>
      <c r="O45" s="15">
        <f t="shared" si="0"/>
        <v>111</v>
      </c>
      <c r="P45" s="15">
        <f t="shared" si="1"/>
        <v>191</v>
      </c>
    </row>
    <row r="46" spans="2:32" ht="23.1" customHeight="1" x14ac:dyDescent="0.25">
      <c r="B46" s="46" t="s">
        <v>73</v>
      </c>
      <c r="C46" s="50">
        <v>60</v>
      </c>
      <c r="D46" s="50">
        <v>25</v>
      </c>
      <c r="E46" s="50">
        <v>11</v>
      </c>
      <c r="F46" s="50">
        <v>18</v>
      </c>
      <c r="G46" s="50">
        <v>0</v>
      </c>
      <c r="H46" s="50">
        <v>0</v>
      </c>
      <c r="I46" s="50">
        <v>11</v>
      </c>
      <c r="J46" s="50">
        <v>8</v>
      </c>
      <c r="K46" s="50">
        <v>4</v>
      </c>
      <c r="L46" s="50">
        <v>2</v>
      </c>
      <c r="M46" s="50">
        <v>85</v>
      </c>
      <c r="N46" s="50">
        <v>0</v>
      </c>
      <c r="O46" s="15">
        <f t="shared" si="0"/>
        <v>139</v>
      </c>
      <c r="P46" s="15">
        <f t="shared" si="1"/>
        <v>224</v>
      </c>
      <c r="R46" s="8"/>
      <c r="T46"/>
    </row>
    <row r="47" spans="2:32" ht="23.1" customHeight="1" x14ac:dyDescent="0.25">
      <c r="B47" s="46" t="s">
        <v>74</v>
      </c>
      <c r="C47" s="50">
        <v>64</v>
      </c>
      <c r="D47" s="50">
        <v>35</v>
      </c>
      <c r="E47" s="50">
        <v>10</v>
      </c>
      <c r="F47" s="50">
        <v>37</v>
      </c>
      <c r="G47" s="50">
        <v>0</v>
      </c>
      <c r="H47" s="50">
        <v>0</v>
      </c>
      <c r="I47" s="50">
        <v>12</v>
      </c>
      <c r="J47" s="50">
        <v>8</v>
      </c>
      <c r="K47" s="50">
        <v>2</v>
      </c>
      <c r="L47" s="50">
        <v>1</v>
      </c>
      <c r="M47" s="50">
        <v>113</v>
      </c>
      <c r="N47" s="50">
        <v>0</v>
      </c>
      <c r="O47" s="15">
        <f t="shared" si="0"/>
        <v>169</v>
      </c>
      <c r="P47" s="15">
        <f t="shared" si="1"/>
        <v>282</v>
      </c>
      <c r="R47" s="8"/>
      <c r="T47"/>
    </row>
    <row r="48" spans="2:32" ht="23.1" customHeight="1" x14ac:dyDescent="0.25">
      <c r="B48" s="46" t="s">
        <v>75</v>
      </c>
      <c r="C48" s="50">
        <v>29</v>
      </c>
      <c r="D48" s="50">
        <v>26</v>
      </c>
      <c r="E48" s="50">
        <v>5</v>
      </c>
      <c r="F48" s="50">
        <v>10</v>
      </c>
      <c r="G48" s="50">
        <v>0</v>
      </c>
      <c r="H48" s="50">
        <v>0</v>
      </c>
      <c r="I48" s="50">
        <v>7</v>
      </c>
      <c r="J48" s="50">
        <v>8</v>
      </c>
      <c r="K48" s="50">
        <v>2</v>
      </c>
      <c r="L48" s="50">
        <v>1</v>
      </c>
      <c r="M48" s="50">
        <v>120</v>
      </c>
      <c r="N48" s="50">
        <v>0</v>
      </c>
      <c r="O48" s="15">
        <f t="shared" si="0"/>
        <v>88</v>
      </c>
      <c r="P48" s="15">
        <f t="shared" si="1"/>
        <v>208</v>
      </c>
      <c r="R48" s="8"/>
      <c r="T48"/>
    </row>
    <row r="49" spans="2:20" ht="23.1" customHeight="1" x14ac:dyDescent="0.25">
      <c r="B49" s="45" t="s">
        <v>76</v>
      </c>
      <c r="C49" s="50">
        <v>52</v>
      </c>
      <c r="D49" s="50">
        <v>33</v>
      </c>
      <c r="E49" s="50">
        <v>8</v>
      </c>
      <c r="F49" s="50">
        <v>23</v>
      </c>
      <c r="G49" s="50">
        <v>1</v>
      </c>
      <c r="H49" s="50">
        <v>0</v>
      </c>
      <c r="I49" s="50">
        <v>6</v>
      </c>
      <c r="J49" s="50">
        <v>7</v>
      </c>
      <c r="K49" s="50">
        <v>4</v>
      </c>
      <c r="L49" s="50">
        <v>0</v>
      </c>
      <c r="M49" s="50">
        <v>114</v>
      </c>
      <c r="N49" s="50">
        <v>0</v>
      </c>
      <c r="O49" s="15">
        <f t="shared" si="0"/>
        <v>134</v>
      </c>
      <c r="P49" s="15">
        <f t="shared" si="1"/>
        <v>248</v>
      </c>
      <c r="R49" s="8"/>
      <c r="T49"/>
    </row>
    <row r="50" spans="2:20" ht="23.1" customHeight="1" x14ac:dyDescent="0.25">
      <c r="B50" s="46" t="s">
        <v>77</v>
      </c>
      <c r="C50" s="50">
        <v>31</v>
      </c>
      <c r="D50" s="50">
        <v>27</v>
      </c>
      <c r="E50" s="50">
        <v>7</v>
      </c>
      <c r="F50" s="50">
        <v>23</v>
      </c>
      <c r="G50" s="50">
        <v>0</v>
      </c>
      <c r="H50" s="50">
        <v>0</v>
      </c>
      <c r="I50" s="50">
        <v>8</v>
      </c>
      <c r="J50" s="50">
        <v>8</v>
      </c>
      <c r="K50" s="50">
        <v>3</v>
      </c>
      <c r="L50" s="50">
        <v>1</v>
      </c>
      <c r="M50" s="50">
        <v>89</v>
      </c>
      <c r="N50" s="50">
        <v>0</v>
      </c>
      <c r="O50" s="15">
        <f t="shared" si="0"/>
        <v>108</v>
      </c>
      <c r="P50" s="15">
        <f t="shared" si="1"/>
        <v>197</v>
      </c>
      <c r="R50" s="8"/>
      <c r="T50"/>
    </row>
    <row r="51" spans="2:20" ht="23.1" customHeight="1" x14ac:dyDescent="0.25">
      <c r="B51" s="46" t="s">
        <v>78</v>
      </c>
      <c r="C51" s="50">
        <v>42</v>
      </c>
      <c r="D51" s="50">
        <v>24</v>
      </c>
      <c r="E51" s="50">
        <v>7</v>
      </c>
      <c r="F51" s="50">
        <v>21</v>
      </c>
      <c r="G51" s="50">
        <v>0</v>
      </c>
      <c r="H51" s="50">
        <v>0</v>
      </c>
      <c r="I51" s="50">
        <v>13</v>
      </c>
      <c r="J51" s="50">
        <v>7</v>
      </c>
      <c r="K51" s="50">
        <v>2</v>
      </c>
      <c r="L51" s="50">
        <v>2</v>
      </c>
      <c r="M51" s="50">
        <v>120</v>
      </c>
      <c r="N51" s="50">
        <v>0</v>
      </c>
      <c r="O51" s="15">
        <f t="shared" si="0"/>
        <v>118</v>
      </c>
      <c r="P51" s="15">
        <f t="shared" si="1"/>
        <v>238</v>
      </c>
      <c r="R51" s="8"/>
      <c r="T51"/>
    </row>
    <row r="52" spans="2:20" ht="23.1" customHeight="1" x14ac:dyDescent="0.25">
      <c r="B52" s="46" t="s">
        <v>79</v>
      </c>
      <c r="C52" s="50">
        <v>42</v>
      </c>
      <c r="D52" s="50">
        <v>25</v>
      </c>
      <c r="E52" s="50">
        <v>6</v>
      </c>
      <c r="F52" s="50">
        <v>16</v>
      </c>
      <c r="G52" s="50">
        <v>0</v>
      </c>
      <c r="H52" s="50">
        <v>0</v>
      </c>
      <c r="I52" s="50">
        <v>4</v>
      </c>
      <c r="J52" s="50">
        <v>10</v>
      </c>
      <c r="K52" s="50">
        <v>3</v>
      </c>
      <c r="L52" s="50">
        <v>1</v>
      </c>
      <c r="M52" s="50">
        <v>144</v>
      </c>
      <c r="N52" s="50">
        <v>0</v>
      </c>
      <c r="O52" s="15">
        <f t="shared" si="0"/>
        <v>107</v>
      </c>
      <c r="P52" s="15">
        <f t="shared" si="1"/>
        <v>251</v>
      </c>
      <c r="R52" s="8"/>
      <c r="T52"/>
    </row>
    <row r="53" spans="2:20" ht="23.1" customHeight="1" x14ac:dyDescent="0.25">
      <c r="B53" s="45" t="s">
        <v>80</v>
      </c>
      <c r="C53" s="50">
        <v>39</v>
      </c>
      <c r="D53" s="50">
        <v>33</v>
      </c>
      <c r="E53" s="50">
        <v>6</v>
      </c>
      <c r="F53" s="50">
        <v>23</v>
      </c>
      <c r="G53" s="50">
        <v>2</v>
      </c>
      <c r="H53" s="50">
        <v>0</v>
      </c>
      <c r="I53" s="50">
        <v>7</v>
      </c>
      <c r="J53" s="50">
        <v>10</v>
      </c>
      <c r="K53" s="50">
        <v>2</v>
      </c>
      <c r="L53" s="50">
        <v>0</v>
      </c>
      <c r="M53" s="50">
        <v>125</v>
      </c>
      <c r="N53" s="50">
        <v>0</v>
      </c>
      <c r="O53" s="15">
        <f t="shared" si="0"/>
        <v>122</v>
      </c>
      <c r="P53" s="15">
        <f t="shared" si="1"/>
        <v>247</v>
      </c>
      <c r="R53" s="8"/>
      <c r="T53"/>
    </row>
    <row r="54" spans="2:20" ht="23.1" customHeight="1" x14ac:dyDescent="0.25">
      <c r="B54" s="45" t="s">
        <v>81</v>
      </c>
      <c r="C54" s="50">
        <v>19</v>
      </c>
      <c r="D54" s="50">
        <v>9</v>
      </c>
      <c r="E54" s="50">
        <v>6</v>
      </c>
      <c r="F54" s="50">
        <v>17</v>
      </c>
      <c r="G54" s="50">
        <v>0</v>
      </c>
      <c r="H54" s="50">
        <v>0</v>
      </c>
      <c r="I54" s="50">
        <v>6</v>
      </c>
      <c r="J54" s="50">
        <v>5</v>
      </c>
      <c r="K54" s="50">
        <v>0</v>
      </c>
      <c r="L54" s="50">
        <v>0</v>
      </c>
      <c r="M54" s="50">
        <v>110</v>
      </c>
      <c r="N54" s="50">
        <v>0</v>
      </c>
      <c r="O54" s="15">
        <f t="shared" si="0"/>
        <v>62</v>
      </c>
      <c r="P54" s="15">
        <f t="shared" si="1"/>
        <v>172</v>
      </c>
      <c r="R54" s="8"/>
      <c r="T54"/>
    </row>
    <row r="55" spans="2:20" ht="23.1" customHeight="1" x14ac:dyDescent="0.25">
      <c r="B55" s="45" t="s">
        <v>82</v>
      </c>
      <c r="C55" s="50">
        <v>41</v>
      </c>
      <c r="D55" s="50">
        <v>30</v>
      </c>
      <c r="E55" s="50">
        <v>5</v>
      </c>
      <c r="F55" s="50">
        <v>16</v>
      </c>
      <c r="G55" s="50">
        <v>0</v>
      </c>
      <c r="H55" s="50">
        <v>0</v>
      </c>
      <c r="I55" s="50">
        <v>8</v>
      </c>
      <c r="J55" s="50">
        <v>7</v>
      </c>
      <c r="K55" s="50">
        <v>1</v>
      </c>
      <c r="L55" s="50">
        <v>0</v>
      </c>
      <c r="M55" s="50">
        <v>207</v>
      </c>
      <c r="N55" s="50">
        <v>0</v>
      </c>
      <c r="O55" s="15">
        <f t="shared" si="0"/>
        <v>108</v>
      </c>
      <c r="P55" s="15">
        <f t="shared" si="1"/>
        <v>315</v>
      </c>
      <c r="R55" s="8"/>
      <c r="T55"/>
    </row>
    <row r="56" spans="2:20" ht="23.1" customHeight="1" x14ac:dyDescent="0.25">
      <c r="B56" s="45" t="s">
        <v>83</v>
      </c>
      <c r="C56" s="50">
        <v>52</v>
      </c>
      <c r="D56" s="50">
        <v>35</v>
      </c>
      <c r="E56" s="50">
        <v>12</v>
      </c>
      <c r="F56" s="50">
        <v>54</v>
      </c>
      <c r="G56" s="50">
        <v>2</v>
      </c>
      <c r="H56" s="50">
        <v>0</v>
      </c>
      <c r="I56" s="50">
        <v>10</v>
      </c>
      <c r="J56" s="50">
        <v>30</v>
      </c>
      <c r="K56" s="50">
        <v>3</v>
      </c>
      <c r="L56" s="50">
        <v>7</v>
      </c>
      <c r="M56" s="50">
        <v>205</v>
      </c>
      <c r="N56" s="50">
        <v>0</v>
      </c>
      <c r="O56" s="15">
        <f t="shared" si="0"/>
        <v>205</v>
      </c>
      <c r="P56" s="15">
        <f t="shared" si="1"/>
        <v>410</v>
      </c>
      <c r="R56" s="8"/>
      <c r="T56"/>
    </row>
    <row r="57" spans="2:20" ht="23.1" customHeight="1" x14ac:dyDescent="0.25">
      <c r="B57" s="45" t="s">
        <v>84</v>
      </c>
      <c r="C57" s="50">
        <v>53</v>
      </c>
      <c r="D57" s="50">
        <v>41</v>
      </c>
      <c r="E57" s="50">
        <v>16</v>
      </c>
      <c r="F57" s="50">
        <v>31</v>
      </c>
      <c r="G57" s="50">
        <v>0</v>
      </c>
      <c r="H57" s="50">
        <v>0</v>
      </c>
      <c r="I57" s="50">
        <v>10</v>
      </c>
      <c r="J57" s="50">
        <v>12</v>
      </c>
      <c r="K57" s="50">
        <v>1</v>
      </c>
      <c r="L57" s="50">
        <v>3</v>
      </c>
      <c r="M57" s="50">
        <v>220</v>
      </c>
      <c r="N57" s="50">
        <v>0</v>
      </c>
      <c r="O57" s="15">
        <f t="shared" si="0"/>
        <v>167</v>
      </c>
      <c r="P57" s="15">
        <f t="shared" si="1"/>
        <v>387</v>
      </c>
      <c r="R57" s="8"/>
      <c r="T57"/>
    </row>
    <row r="58" spans="2:20" ht="23.1" customHeight="1" x14ac:dyDescent="0.25">
      <c r="B58" s="45" t="s">
        <v>99</v>
      </c>
      <c r="C58" s="50">
        <v>33</v>
      </c>
      <c r="D58" s="50">
        <v>6</v>
      </c>
      <c r="E58" s="50">
        <v>9</v>
      </c>
      <c r="F58" s="50">
        <v>15</v>
      </c>
      <c r="G58" s="50">
        <v>0</v>
      </c>
      <c r="H58" s="50">
        <v>0</v>
      </c>
      <c r="I58" s="50">
        <v>6</v>
      </c>
      <c r="J58" s="50">
        <v>0</v>
      </c>
      <c r="K58" s="50">
        <v>2</v>
      </c>
      <c r="L58" s="50">
        <v>0</v>
      </c>
      <c r="M58" s="50">
        <v>155</v>
      </c>
      <c r="N58" s="50">
        <v>0</v>
      </c>
      <c r="O58" s="15">
        <f t="shared" si="0"/>
        <v>71</v>
      </c>
      <c r="P58" s="15">
        <f t="shared" si="1"/>
        <v>226</v>
      </c>
      <c r="R58" s="8"/>
      <c r="T58"/>
    </row>
    <row r="59" spans="2:20" ht="23.1" customHeight="1" x14ac:dyDescent="0.25">
      <c r="B59" s="45" t="s">
        <v>100</v>
      </c>
      <c r="C59" s="50">
        <v>41</v>
      </c>
      <c r="D59" s="50">
        <v>6</v>
      </c>
      <c r="E59" s="50">
        <v>5</v>
      </c>
      <c r="F59" s="50">
        <v>12</v>
      </c>
      <c r="G59" s="50">
        <v>0</v>
      </c>
      <c r="H59" s="50">
        <v>0</v>
      </c>
      <c r="I59" s="50">
        <v>4</v>
      </c>
      <c r="J59" s="50">
        <v>5</v>
      </c>
      <c r="K59" s="50">
        <v>0</v>
      </c>
      <c r="L59" s="50">
        <v>0</v>
      </c>
      <c r="M59" s="50">
        <v>180</v>
      </c>
      <c r="N59" s="50">
        <v>0</v>
      </c>
      <c r="O59" s="15">
        <f t="shared" si="0"/>
        <v>73</v>
      </c>
      <c r="P59" s="15">
        <f t="shared" si="1"/>
        <v>253</v>
      </c>
      <c r="R59" s="8"/>
      <c r="T59"/>
    </row>
    <row r="60" spans="2:20" ht="23.1" customHeight="1" x14ac:dyDescent="0.25">
      <c r="B60" s="45" t="s">
        <v>101</v>
      </c>
      <c r="C60" s="50">
        <v>40</v>
      </c>
      <c r="D60" s="50">
        <v>8</v>
      </c>
      <c r="E60" s="50">
        <v>2</v>
      </c>
      <c r="F60" s="50">
        <v>24</v>
      </c>
      <c r="G60" s="50">
        <v>0</v>
      </c>
      <c r="H60" s="50">
        <v>0</v>
      </c>
      <c r="I60" s="50">
        <v>4</v>
      </c>
      <c r="J60" s="50">
        <v>5</v>
      </c>
      <c r="K60" s="50">
        <v>0</v>
      </c>
      <c r="L60" s="50">
        <v>0</v>
      </c>
      <c r="M60" s="50">
        <v>180</v>
      </c>
      <c r="N60" s="50">
        <v>0</v>
      </c>
      <c r="O60" s="15">
        <f t="shared" si="0"/>
        <v>83</v>
      </c>
      <c r="P60" s="15">
        <f t="shared" si="1"/>
        <v>263</v>
      </c>
      <c r="R60" s="8"/>
      <c r="T60"/>
    </row>
    <row r="61" spans="2:20" ht="23.1" customHeight="1" x14ac:dyDescent="0.25">
      <c r="B61" s="45" t="s">
        <v>102</v>
      </c>
      <c r="C61" s="50">
        <v>44</v>
      </c>
      <c r="D61" s="50">
        <v>6</v>
      </c>
      <c r="E61" s="50">
        <v>6</v>
      </c>
      <c r="F61" s="50">
        <v>7</v>
      </c>
      <c r="G61" s="50">
        <v>0</v>
      </c>
      <c r="H61" s="50">
        <v>0</v>
      </c>
      <c r="I61" s="50">
        <v>5</v>
      </c>
      <c r="J61" s="50">
        <v>5</v>
      </c>
      <c r="K61" s="50">
        <v>0</v>
      </c>
      <c r="L61" s="50">
        <v>0</v>
      </c>
      <c r="M61" s="50">
        <v>230</v>
      </c>
      <c r="N61" s="50">
        <v>0</v>
      </c>
      <c r="O61" s="15">
        <f t="shared" si="0"/>
        <v>73</v>
      </c>
      <c r="P61" s="15">
        <f t="shared" si="1"/>
        <v>303</v>
      </c>
      <c r="R61" s="8"/>
      <c r="T61"/>
    </row>
    <row r="62" spans="2:20" ht="23.1" customHeight="1" x14ac:dyDescent="0.25">
      <c r="B62" s="45" t="s">
        <v>107</v>
      </c>
      <c r="C62" s="50">
        <v>58</v>
      </c>
      <c r="D62" s="50">
        <v>4</v>
      </c>
      <c r="E62" s="50">
        <v>10</v>
      </c>
      <c r="F62" s="50">
        <v>32</v>
      </c>
      <c r="G62" s="50">
        <v>1</v>
      </c>
      <c r="H62" s="50">
        <v>0</v>
      </c>
      <c r="I62" s="50">
        <v>8</v>
      </c>
      <c r="J62" s="50">
        <v>3</v>
      </c>
      <c r="K62" s="50">
        <v>1</v>
      </c>
      <c r="L62" s="50">
        <v>1</v>
      </c>
      <c r="M62" s="50">
        <v>215</v>
      </c>
      <c r="N62" s="50">
        <v>0</v>
      </c>
      <c r="O62" s="15">
        <f t="shared" si="0"/>
        <v>118</v>
      </c>
      <c r="P62" s="15">
        <f t="shared" si="1"/>
        <v>333</v>
      </c>
      <c r="R62" s="8"/>
      <c r="T62"/>
    </row>
    <row r="63" spans="2:20" ht="23.1" customHeight="1" x14ac:dyDescent="0.25">
      <c r="B63" s="45" t="s">
        <v>108</v>
      </c>
      <c r="C63" s="50">
        <v>24</v>
      </c>
      <c r="D63" s="50">
        <v>6</v>
      </c>
      <c r="E63" s="50">
        <v>2</v>
      </c>
      <c r="F63" s="50">
        <v>10</v>
      </c>
      <c r="G63" s="50">
        <v>0</v>
      </c>
      <c r="H63" s="50">
        <v>0</v>
      </c>
      <c r="I63" s="50">
        <v>5</v>
      </c>
      <c r="J63" s="50">
        <v>2</v>
      </c>
      <c r="K63" s="50">
        <v>0</v>
      </c>
      <c r="L63" s="50">
        <v>0</v>
      </c>
      <c r="M63" s="50">
        <v>140</v>
      </c>
      <c r="N63" s="50">
        <v>0</v>
      </c>
      <c r="O63" s="15">
        <f t="shared" si="0"/>
        <v>49</v>
      </c>
      <c r="P63" s="15">
        <f t="shared" si="1"/>
        <v>189</v>
      </c>
      <c r="R63" s="8"/>
      <c r="T63"/>
    </row>
    <row r="64" spans="2:20" ht="23.1" customHeight="1" x14ac:dyDescent="0.25">
      <c r="B64" s="45" t="s">
        <v>109</v>
      </c>
      <c r="C64" s="50">
        <v>8</v>
      </c>
      <c r="D64" s="50">
        <v>2</v>
      </c>
      <c r="E64" s="50">
        <v>1</v>
      </c>
      <c r="F64" s="50">
        <v>3</v>
      </c>
      <c r="G64" s="50">
        <v>0</v>
      </c>
      <c r="H64" s="50">
        <v>0</v>
      </c>
      <c r="I64" s="50">
        <v>2</v>
      </c>
      <c r="J64" s="50">
        <v>2</v>
      </c>
      <c r="K64" s="50">
        <v>0</v>
      </c>
      <c r="L64" s="50">
        <v>0</v>
      </c>
      <c r="M64" s="50">
        <v>90</v>
      </c>
      <c r="N64" s="50">
        <v>0</v>
      </c>
      <c r="O64" s="15">
        <f t="shared" si="0"/>
        <v>18</v>
      </c>
      <c r="P64" s="15">
        <f t="shared" si="1"/>
        <v>108</v>
      </c>
      <c r="R64" s="8"/>
      <c r="T64"/>
    </row>
    <row r="65" spans="2:20" ht="23.1" customHeight="1" x14ac:dyDescent="0.25">
      <c r="B65" s="45" t="s">
        <v>158</v>
      </c>
      <c r="C65" s="50">
        <v>58</v>
      </c>
      <c r="D65" s="50">
        <v>18</v>
      </c>
      <c r="E65" s="50">
        <v>17</v>
      </c>
      <c r="F65" s="50">
        <v>26</v>
      </c>
      <c r="G65" s="50">
        <v>2</v>
      </c>
      <c r="H65" s="50">
        <v>0</v>
      </c>
      <c r="I65" s="50">
        <v>11</v>
      </c>
      <c r="J65" s="50">
        <v>5</v>
      </c>
      <c r="K65" s="50">
        <v>1</v>
      </c>
      <c r="L65" s="50">
        <v>0</v>
      </c>
      <c r="M65" s="50">
        <v>180</v>
      </c>
      <c r="N65" s="50">
        <v>0</v>
      </c>
      <c r="O65" s="15">
        <f t="shared" si="0"/>
        <v>138</v>
      </c>
      <c r="P65" s="15">
        <f t="shared" si="1"/>
        <v>318</v>
      </c>
      <c r="R65" s="8"/>
      <c r="T65"/>
    </row>
    <row r="66" spans="2:20" ht="23.1" customHeight="1" x14ac:dyDescent="0.25">
      <c r="B66" s="45" t="s">
        <v>103</v>
      </c>
      <c r="C66" s="50">
        <v>63</v>
      </c>
      <c r="D66" s="50">
        <v>25</v>
      </c>
      <c r="E66" s="50">
        <v>9</v>
      </c>
      <c r="F66" s="50">
        <v>25</v>
      </c>
      <c r="G66" s="50">
        <v>0</v>
      </c>
      <c r="H66" s="50">
        <v>0</v>
      </c>
      <c r="I66" s="50">
        <v>6</v>
      </c>
      <c r="J66" s="50">
        <v>4</v>
      </c>
      <c r="K66" s="50">
        <v>1</v>
      </c>
      <c r="L66" s="50">
        <v>0</v>
      </c>
      <c r="M66" s="50">
        <v>220</v>
      </c>
      <c r="N66" s="50">
        <v>0</v>
      </c>
      <c r="O66" s="15">
        <f t="shared" si="0"/>
        <v>133</v>
      </c>
      <c r="P66" s="15">
        <f t="shared" si="1"/>
        <v>353</v>
      </c>
      <c r="R66" s="8"/>
      <c r="T66"/>
    </row>
    <row r="67" spans="2:20" ht="23.1" customHeight="1" x14ac:dyDescent="0.25">
      <c r="B67" s="45" t="s">
        <v>104</v>
      </c>
      <c r="C67" s="50">
        <v>45</v>
      </c>
      <c r="D67" s="50">
        <v>8</v>
      </c>
      <c r="E67" s="50">
        <v>5</v>
      </c>
      <c r="F67" s="50">
        <v>22</v>
      </c>
      <c r="G67" s="50">
        <v>1</v>
      </c>
      <c r="H67" s="50">
        <v>1</v>
      </c>
      <c r="I67" s="50">
        <v>13</v>
      </c>
      <c r="J67" s="50">
        <v>1</v>
      </c>
      <c r="K67" s="50">
        <v>0</v>
      </c>
      <c r="L67" s="50">
        <v>5</v>
      </c>
      <c r="M67" s="50">
        <v>220</v>
      </c>
      <c r="N67" s="50">
        <v>0</v>
      </c>
      <c r="O67" s="15">
        <f t="shared" si="0"/>
        <v>101</v>
      </c>
      <c r="P67" s="15">
        <f t="shared" si="1"/>
        <v>321</v>
      </c>
      <c r="R67" s="8"/>
      <c r="T67"/>
    </row>
    <row r="68" spans="2:20" ht="23.1" customHeight="1" x14ac:dyDescent="0.25">
      <c r="B68" s="45" t="s">
        <v>105</v>
      </c>
      <c r="C68" s="50">
        <v>71</v>
      </c>
      <c r="D68" s="50">
        <v>10</v>
      </c>
      <c r="E68" s="50">
        <v>8</v>
      </c>
      <c r="F68" s="50">
        <v>25</v>
      </c>
      <c r="G68" s="50">
        <v>2</v>
      </c>
      <c r="H68" s="50">
        <v>0</v>
      </c>
      <c r="I68" s="50">
        <v>8</v>
      </c>
      <c r="J68" s="50">
        <v>2</v>
      </c>
      <c r="K68" s="50">
        <v>0</v>
      </c>
      <c r="L68" s="50">
        <v>0</v>
      </c>
      <c r="M68" s="50">
        <v>217</v>
      </c>
      <c r="N68" s="50">
        <v>0</v>
      </c>
      <c r="O68" s="15">
        <f t="shared" si="0"/>
        <v>126</v>
      </c>
      <c r="P68" s="15">
        <f t="shared" si="1"/>
        <v>343</v>
      </c>
      <c r="R68" s="8"/>
      <c r="T68"/>
    </row>
    <row r="69" spans="2:20" ht="23.1" customHeight="1" x14ac:dyDescent="0.25">
      <c r="B69" s="45" t="s">
        <v>106</v>
      </c>
      <c r="C69" s="50">
        <v>33</v>
      </c>
      <c r="D69" s="50">
        <v>7</v>
      </c>
      <c r="E69" s="50">
        <v>4</v>
      </c>
      <c r="F69" s="50">
        <v>28</v>
      </c>
      <c r="G69" s="50">
        <v>1</v>
      </c>
      <c r="H69" s="50">
        <v>0</v>
      </c>
      <c r="I69" s="50">
        <v>2</v>
      </c>
      <c r="J69" s="50">
        <v>2</v>
      </c>
      <c r="K69" s="50">
        <v>0</v>
      </c>
      <c r="L69" s="50">
        <v>0</v>
      </c>
      <c r="M69" s="50">
        <v>185</v>
      </c>
      <c r="N69" s="50">
        <v>0</v>
      </c>
      <c r="O69" s="15">
        <f t="shared" si="0"/>
        <v>77</v>
      </c>
      <c r="P69" s="15">
        <f t="shared" si="1"/>
        <v>262</v>
      </c>
      <c r="R69" s="8"/>
      <c r="T69"/>
    </row>
    <row r="70" spans="2:20" ht="23.1" customHeight="1" x14ac:dyDescent="0.25">
      <c r="B70" s="45" t="s">
        <v>110</v>
      </c>
      <c r="C70" s="50">
        <v>53</v>
      </c>
      <c r="D70" s="50">
        <v>15</v>
      </c>
      <c r="E70" s="50">
        <v>1</v>
      </c>
      <c r="F70" s="50">
        <v>14</v>
      </c>
      <c r="G70" s="50">
        <v>4</v>
      </c>
      <c r="H70" s="50">
        <v>0</v>
      </c>
      <c r="I70" s="50">
        <v>4</v>
      </c>
      <c r="J70" s="50">
        <v>3</v>
      </c>
      <c r="K70" s="50">
        <v>0</v>
      </c>
      <c r="L70" s="50">
        <v>1</v>
      </c>
      <c r="M70" s="50">
        <v>190</v>
      </c>
      <c r="N70" s="50">
        <v>0</v>
      </c>
      <c r="O70" s="15">
        <f t="shared" si="0"/>
        <v>95</v>
      </c>
      <c r="P70" s="15">
        <f t="shared" si="1"/>
        <v>285</v>
      </c>
      <c r="R70" s="8"/>
      <c r="T70"/>
    </row>
    <row r="71" spans="2:20" ht="23.1" customHeight="1" x14ac:dyDescent="0.25">
      <c r="B71" s="45" t="s">
        <v>111</v>
      </c>
      <c r="C71" s="50">
        <v>37</v>
      </c>
      <c r="D71" s="50">
        <v>2</v>
      </c>
      <c r="E71" s="50">
        <v>2</v>
      </c>
      <c r="F71" s="50">
        <v>12</v>
      </c>
      <c r="G71" s="50">
        <v>0</v>
      </c>
      <c r="H71" s="50">
        <v>0</v>
      </c>
      <c r="I71" s="50">
        <v>2</v>
      </c>
      <c r="J71" s="50">
        <v>2</v>
      </c>
      <c r="K71" s="50">
        <v>0</v>
      </c>
      <c r="L71" s="50">
        <v>0</v>
      </c>
      <c r="M71" s="50">
        <v>130</v>
      </c>
      <c r="N71" s="50">
        <v>0</v>
      </c>
      <c r="O71" s="15">
        <f t="shared" si="0"/>
        <v>57</v>
      </c>
      <c r="P71" s="15">
        <f t="shared" si="1"/>
        <v>187</v>
      </c>
      <c r="R71" s="8"/>
      <c r="T71"/>
    </row>
    <row r="72" spans="2:20" ht="23.1" customHeight="1" x14ac:dyDescent="0.25">
      <c r="B72" s="45" t="s">
        <v>112</v>
      </c>
      <c r="C72" s="50">
        <v>33</v>
      </c>
      <c r="D72" s="50">
        <v>4</v>
      </c>
      <c r="E72" s="50">
        <v>5</v>
      </c>
      <c r="F72" s="50">
        <v>9</v>
      </c>
      <c r="G72" s="50">
        <v>0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190</v>
      </c>
      <c r="N72" s="50">
        <v>0</v>
      </c>
      <c r="O72" s="15">
        <f t="shared" si="0"/>
        <v>53</v>
      </c>
      <c r="P72" s="15">
        <f t="shared" si="1"/>
        <v>243</v>
      </c>
      <c r="R72" s="8"/>
      <c r="T72"/>
    </row>
    <row r="73" spans="2:20" ht="23.1" customHeight="1" x14ac:dyDescent="0.25">
      <c r="B73" s="45" t="s">
        <v>113</v>
      </c>
      <c r="C73" s="50">
        <v>53</v>
      </c>
      <c r="D73" s="50">
        <v>4</v>
      </c>
      <c r="E73" s="50">
        <v>5</v>
      </c>
      <c r="F73" s="50">
        <v>13</v>
      </c>
      <c r="G73" s="50">
        <v>1</v>
      </c>
      <c r="H73" s="50">
        <v>0</v>
      </c>
      <c r="I73" s="50">
        <v>2</v>
      </c>
      <c r="J73" s="50">
        <v>2</v>
      </c>
      <c r="K73" s="50">
        <v>0</v>
      </c>
      <c r="L73" s="50">
        <v>0</v>
      </c>
      <c r="M73" s="50">
        <v>130</v>
      </c>
      <c r="N73" s="50">
        <v>0</v>
      </c>
      <c r="O73" s="15">
        <f t="shared" si="0"/>
        <v>80</v>
      </c>
      <c r="P73" s="15">
        <f t="shared" si="1"/>
        <v>210</v>
      </c>
      <c r="R73" s="8"/>
      <c r="T73"/>
    </row>
    <row r="74" spans="2:20" ht="23.1" customHeight="1" x14ac:dyDescent="0.25">
      <c r="B74" s="45" t="s">
        <v>114</v>
      </c>
      <c r="C74" s="50">
        <v>67</v>
      </c>
      <c r="D74" s="50">
        <v>6</v>
      </c>
      <c r="E74" s="50">
        <v>11</v>
      </c>
      <c r="F74" s="50">
        <v>11</v>
      </c>
      <c r="G74" s="50">
        <v>0</v>
      </c>
      <c r="H74" s="50">
        <v>0</v>
      </c>
      <c r="I74" s="50">
        <v>2</v>
      </c>
      <c r="J74" s="50">
        <v>0</v>
      </c>
      <c r="K74" s="50">
        <v>0</v>
      </c>
      <c r="L74" s="50">
        <v>0</v>
      </c>
      <c r="M74" s="50">
        <v>96</v>
      </c>
      <c r="N74" s="50">
        <v>1</v>
      </c>
      <c r="O74" s="15">
        <f t="shared" ref="O74:O105" si="35">SUM(C74:L74,N74)</f>
        <v>98</v>
      </c>
      <c r="P74" s="15">
        <f t="shared" ref="P74:P105" si="36">SUM(C74:N74)</f>
        <v>194</v>
      </c>
      <c r="R74" s="8"/>
      <c r="T74"/>
    </row>
    <row r="75" spans="2:20" ht="23.1" customHeight="1" x14ac:dyDescent="0.25">
      <c r="B75" s="45" t="s">
        <v>115</v>
      </c>
      <c r="C75" s="50">
        <v>29</v>
      </c>
      <c r="D75" s="50">
        <v>2</v>
      </c>
      <c r="E75" s="50">
        <v>5</v>
      </c>
      <c r="F75" s="50">
        <v>8</v>
      </c>
      <c r="G75" s="50">
        <v>0</v>
      </c>
      <c r="H75" s="50">
        <v>1</v>
      </c>
      <c r="I75" s="50">
        <v>2</v>
      </c>
      <c r="J75" s="50">
        <v>2</v>
      </c>
      <c r="K75" s="50">
        <v>0</v>
      </c>
      <c r="L75" s="50">
        <v>0</v>
      </c>
      <c r="M75" s="50">
        <v>100</v>
      </c>
      <c r="N75" s="50">
        <v>0</v>
      </c>
      <c r="O75" s="15">
        <f t="shared" si="35"/>
        <v>49</v>
      </c>
      <c r="P75" s="15">
        <f t="shared" si="36"/>
        <v>149</v>
      </c>
      <c r="R75" s="8"/>
      <c r="T75"/>
    </row>
    <row r="76" spans="2:20" ht="23.1" customHeight="1" x14ac:dyDescent="0.25">
      <c r="B76" s="45" t="s">
        <v>116</v>
      </c>
      <c r="C76" s="50">
        <v>21</v>
      </c>
      <c r="D76" s="50">
        <v>3</v>
      </c>
      <c r="E76" s="50">
        <v>4</v>
      </c>
      <c r="F76" s="50">
        <v>2</v>
      </c>
      <c r="G76" s="50">
        <v>0</v>
      </c>
      <c r="H76" s="50">
        <v>0</v>
      </c>
      <c r="I76" s="50">
        <v>4</v>
      </c>
      <c r="J76" s="50">
        <v>2</v>
      </c>
      <c r="K76" s="50">
        <v>0</v>
      </c>
      <c r="L76" s="50">
        <v>0</v>
      </c>
      <c r="M76" s="50">
        <v>120</v>
      </c>
      <c r="N76" s="50">
        <v>0</v>
      </c>
      <c r="O76" s="15">
        <f t="shared" si="35"/>
        <v>36</v>
      </c>
      <c r="P76" s="15">
        <f t="shared" si="36"/>
        <v>156</v>
      </c>
      <c r="R76" s="8"/>
      <c r="T76"/>
    </row>
    <row r="77" spans="2:20" ht="23.1" customHeight="1" x14ac:dyDescent="0.25">
      <c r="B77" s="45" t="s">
        <v>117</v>
      </c>
      <c r="C77" s="50">
        <v>30</v>
      </c>
      <c r="D77" s="50">
        <v>4</v>
      </c>
      <c r="E77" s="50">
        <v>2</v>
      </c>
      <c r="F77" s="50">
        <v>7</v>
      </c>
      <c r="G77" s="50">
        <v>0</v>
      </c>
      <c r="H77" s="50">
        <v>0</v>
      </c>
      <c r="I77" s="50">
        <v>4</v>
      </c>
      <c r="J77" s="50">
        <v>1</v>
      </c>
      <c r="K77" s="50">
        <v>0</v>
      </c>
      <c r="L77" s="50">
        <v>0</v>
      </c>
      <c r="M77" s="50">
        <v>87</v>
      </c>
      <c r="N77" s="50">
        <v>0</v>
      </c>
      <c r="O77" s="15">
        <f t="shared" si="35"/>
        <v>48</v>
      </c>
      <c r="P77" s="15">
        <f t="shared" si="36"/>
        <v>135</v>
      </c>
      <c r="R77" s="8"/>
      <c r="T77"/>
    </row>
    <row r="78" spans="2:20" ht="23.1" customHeight="1" x14ac:dyDescent="0.25">
      <c r="B78" s="46" t="s">
        <v>118</v>
      </c>
      <c r="C78" s="50">
        <v>17</v>
      </c>
      <c r="D78" s="50">
        <v>4</v>
      </c>
      <c r="E78" s="50">
        <v>0</v>
      </c>
      <c r="F78" s="50">
        <v>3</v>
      </c>
      <c r="G78" s="50">
        <v>0</v>
      </c>
      <c r="H78" s="50">
        <v>0</v>
      </c>
      <c r="I78" s="50">
        <v>2</v>
      </c>
      <c r="J78" s="50">
        <v>0</v>
      </c>
      <c r="K78" s="50">
        <v>0</v>
      </c>
      <c r="L78" s="50">
        <v>0</v>
      </c>
      <c r="M78" s="50">
        <v>85</v>
      </c>
      <c r="N78" s="50">
        <v>0</v>
      </c>
      <c r="O78" s="15">
        <f t="shared" si="35"/>
        <v>26</v>
      </c>
      <c r="P78" s="15">
        <f t="shared" si="36"/>
        <v>111</v>
      </c>
      <c r="R78" s="8"/>
      <c r="T78"/>
    </row>
    <row r="79" spans="2:20" ht="23.1" customHeight="1" x14ac:dyDescent="0.25">
      <c r="B79" s="45" t="s">
        <v>119</v>
      </c>
      <c r="C79" s="50">
        <v>31</v>
      </c>
      <c r="D79" s="50">
        <v>5</v>
      </c>
      <c r="E79" s="50">
        <v>6</v>
      </c>
      <c r="F79" s="50">
        <v>2</v>
      </c>
      <c r="G79" s="50">
        <v>0</v>
      </c>
      <c r="H79" s="50">
        <v>0</v>
      </c>
      <c r="I79" s="50">
        <v>2</v>
      </c>
      <c r="J79" s="50">
        <v>2</v>
      </c>
      <c r="K79" s="50">
        <v>0</v>
      </c>
      <c r="L79" s="50">
        <v>0</v>
      </c>
      <c r="M79" s="50">
        <v>60</v>
      </c>
      <c r="N79" s="50">
        <v>0</v>
      </c>
      <c r="O79" s="15">
        <f t="shared" si="35"/>
        <v>48</v>
      </c>
      <c r="P79" s="15">
        <f t="shared" si="36"/>
        <v>108</v>
      </c>
      <c r="R79" s="8"/>
      <c r="T79"/>
    </row>
    <row r="80" spans="2:20" ht="23.1" customHeight="1" x14ac:dyDescent="0.25">
      <c r="B80" s="47" t="s">
        <v>120</v>
      </c>
      <c r="C80" s="50">
        <v>21</v>
      </c>
      <c r="D80" s="50">
        <v>4</v>
      </c>
      <c r="E80" s="50">
        <v>1</v>
      </c>
      <c r="F80" s="50">
        <v>5</v>
      </c>
      <c r="G80" s="50">
        <v>1</v>
      </c>
      <c r="H80" s="50">
        <v>0</v>
      </c>
      <c r="I80" s="50">
        <v>2</v>
      </c>
      <c r="J80" s="50">
        <v>2</v>
      </c>
      <c r="K80" s="50">
        <v>0</v>
      </c>
      <c r="L80" s="50">
        <v>0</v>
      </c>
      <c r="M80" s="50">
        <v>49</v>
      </c>
      <c r="N80" s="50">
        <v>0</v>
      </c>
      <c r="O80" s="15">
        <f t="shared" si="35"/>
        <v>36</v>
      </c>
      <c r="P80" s="15">
        <f t="shared" si="36"/>
        <v>85</v>
      </c>
      <c r="R80" s="8"/>
      <c r="T80"/>
    </row>
    <row r="81" spans="2:20" ht="23.1" customHeight="1" x14ac:dyDescent="0.25">
      <c r="B81" s="45" t="s">
        <v>121</v>
      </c>
      <c r="C81" s="50">
        <v>9</v>
      </c>
      <c r="D81" s="50">
        <v>3</v>
      </c>
      <c r="E81" s="50">
        <v>0</v>
      </c>
      <c r="F81" s="50">
        <v>2</v>
      </c>
      <c r="G81" s="50">
        <v>1</v>
      </c>
      <c r="H81" s="50">
        <v>0</v>
      </c>
      <c r="I81" s="50">
        <v>0</v>
      </c>
      <c r="J81" s="50">
        <v>2</v>
      </c>
      <c r="K81" s="50">
        <v>0</v>
      </c>
      <c r="L81" s="50">
        <v>2</v>
      </c>
      <c r="M81" s="50">
        <v>55</v>
      </c>
      <c r="N81" s="50">
        <v>0</v>
      </c>
      <c r="O81" s="15">
        <f t="shared" si="35"/>
        <v>19</v>
      </c>
      <c r="P81" s="15">
        <f t="shared" si="36"/>
        <v>74</v>
      </c>
      <c r="R81" s="8"/>
      <c r="T81"/>
    </row>
    <row r="82" spans="2:20" ht="23.1" customHeight="1" x14ac:dyDescent="0.25">
      <c r="B82" s="46" t="s">
        <v>122</v>
      </c>
      <c r="C82" s="50">
        <v>12</v>
      </c>
      <c r="D82" s="50">
        <v>1</v>
      </c>
      <c r="E82" s="50">
        <v>3</v>
      </c>
      <c r="F82" s="50">
        <v>1</v>
      </c>
      <c r="G82" s="50">
        <v>0</v>
      </c>
      <c r="H82" s="50">
        <v>0</v>
      </c>
      <c r="I82" s="50">
        <v>0</v>
      </c>
      <c r="J82" s="50">
        <v>2</v>
      </c>
      <c r="K82" s="50">
        <v>0</v>
      </c>
      <c r="L82" s="50">
        <v>0</v>
      </c>
      <c r="M82" s="50">
        <v>44</v>
      </c>
      <c r="N82" s="50">
        <v>0</v>
      </c>
      <c r="O82" s="15">
        <f t="shared" si="35"/>
        <v>19</v>
      </c>
      <c r="P82" s="15">
        <f t="shared" si="36"/>
        <v>63</v>
      </c>
      <c r="R82" s="8"/>
      <c r="T82"/>
    </row>
    <row r="83" spans="2:20" ht="23.1" customHeight="1" x14ac:dyDescent="0.25">
      <c r="B83" s="45" t="s">
        <v>123</v>
      </c>
      <c r="C83" s="50">
        <v>14</v>
      </c>
      <c r="D83" s="50">
        <v>1</v>
      </c>
      <c r="E83" s="50">
        <v>1</v>
      </c>
      <c r="F83" s="50">
        <v>4</v>
      </c>
      <c r="G83" s="50">
        <v>0</v>
      </c>
      <c r="H83" s="50">
        <v>0</v>
      </c>
      <c r="I83" s="50">
        <v>1</v>
      </c>
      <c r="J83" s="50">
        <v>1</v>
      </c>
      <c r="K83" s="50">
        <v>1</v>
      </c>
      <c r="L83" s="50">
        <v>0</v>
      </c>
      <c r="M83" s="50">
        <v>49</v>
      </c>
      <c r="N83" s="50">
        <v>0</v>
      </c>
      <c r="O83" s="15">
        <f t="shared" si="35"/>
        <v>23</v>
      </c>
      <c r="P83" s="15">
        <f t="shared" si="36"/>
        <v>72</v>
      </c>
      <c r="R83" s="8"/>
      <c r="T83"/>
    </row>
    <row r="84" spans="2:20" ht="23.1" customHeight="1" x14ac:dyDescent="0.25">
      <c r="B84" s="47" t="s">
        <v>124</v>
      </c>
      <c r="C84" s="50">
        <v>12</v>
      </c>
      <c r="D84" s="50">
        <v>2</v>
      </c>
      <c r="E84" s="50">
        <v>3</v>
      </c>
      <c r="F84" s="50">
        <v>0</v>
      </c>
      <c r="G84" s="50">
        <v>0</v>
      </c>
      <c r="H84" s="50">
        <v>0</v>
      </c>
      <c r="I84" s="50">
        <v>1</v>
      </c>
      <c r="J84" s="50">
        <v>1</v>
      </c>
      <c r="K84" s="50">
        <v>0</v>
      </c>
      <c r="L84" s="50">
        <v>0</v>
      </c>
      <c r="M84" s="50">
        <v>32</v>
      </c>
      <c r="N84" s="50">
        <v>0</v>
      </c>
      <c r="O84" s="15">
        <f t="shared" si="35"/>
        <v>19</v>
      </c>
      <c r="P84" s="15">
        <f t="shared" si="36"/>
        <v>51</v>
      </c>
      <c r="R84" s="8"/>
      <c r="T84"/>
    </row>
    <row r="85" spans="2:20" ht="23.1" customHeight="1" x14ac:dyDescent="0.25">
      <c r="B85" s="45" t="s">
        <v>125</v>
      </c>
      <c r="C85" s="50">
        <v>21</v>
      </c>
      <c r="D85" s="50">
        <v>3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1</v>
      </c>
      <c r="K85" s="50">
        <v>1</v>
      </c>
      <c r="L85" s="50">
        <v>3</v>
      </c>
      <c r="M85" s="50">
        <v>32</v>
      </c>
      <c r="N85" s="50">
        <v>0</v>
      </c>
      <c r="O85" s="15">
        <f t="shared" si="35"/>
        <v>29</v>
      </c>
      <c r="P85" s="15">
        <f t="shared" si="36"/>
        <v>61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1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38</v>
      </c>
      <c r="N86" s="50">
        <v>0</v>
      </c>
      <c r="O86" s="15">
        <f t="shared" si="35"/>
        <v>6</v>
      </c>
      <c r="P86" s="15">
        <f t="shared" si="36"/>
        <v>44</v>
      </c>
      <c r="R86" s="8"/>
      <c r="T86"/>
    </row>
    <row r="87" spans="2:20" ht="23.1" customHeight="1" x14ac:dyDescent="0.25">
      <c r="B87" s="45" t="s">
        <v>127</v>
      </c>
      <c r="C87" s="50">
        <v>6</v>
      </c>
      <c r="D87" s="50">
        <v>1</v>
      </c>
      <c r="E87" s="50">
        <v>1</v>
      </c>
      <c r="F87" s="50">
        <v>4</v>
      </c>
      <c r="G87" s="50">
        <v>0</v>
      </c>
      <c r="H87" s="50">
        <v>0</v>
      </c>
      <c r="I87" s="50">
        <v>0</v>
      </c>
      <c r="J87" s="50">
        <v>1</v>
      </c>
      <c r="K87" s="50">
        <v>0</v>
      </c>
      <c r="L87" s="50">
        <v>1</v>
      </c>
      <c r="M87" s="50">
        <v>28</v>
      </c>
      <c r="N87" s="50">
        <v>0</v>
      </c>
      <c r="O87" s="15">
        <f t="shared" si="35"/>
        <v>14</v>
      </c>
      <c r="P87" s="15">
        <f t="shared" si="36"/>
        <v>42</v>
      </c>
      <c r="R87" s="8"/>
      <c r="T87"/>
    </row>
    <row r="88" spans="2:20" ht="23.1" customHeight="1" x14ac:dyDescent="0.25">
      <c r="B88" s="47" t="s">
        <v>128</v>
      </c>
      <c r="C88" s="50">
        <v>6</v>
      </c>
      <c r="D88" s="50">
        <v>0</v>
      </c>
      <c r="E88" s="50">
        <v>0</v>
      </c>
      <c r="F88" s="50">
        <v>4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27</v>
      </c>
      <c r="N88" s="50">
        <v>0</v>
      </c>
      <c r="O88" s="15">
        <f t="shared" si="35"/>
        <v>11</v>
      </c>
      <c r="P88" s="15">
        <f t="shared" si="36"/>
        <v>38</v>
      </c>
      <c r="R88" s="8"/>
      <c r="T88"/>
    </row>
    <row r="89" spans="2:20" ht="23.1" customHeight="1" x14ac:dyDescent="0.25">
      <c r="B89" s="45" t="s">
        <v>129</v>
      </c>
      <c r="C89" s="50">
        <v>8</v>
      </c>
      <c r="D89" s="50">
        <v>3</v>
      </c>
      <c r="E89" s="50">
        <v>0</v>
      </c>
      <c r="F89" s="50">
        <v>0</v>
      </c>
      <c r="G89" s="50">
        <v>2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22</v>
      </c>
      <c r="N89" s="50">
        <v>0</v>
      </c>
      <c r="O89" s="15">
        <f t="shared" si="35"/>
        <v>13</v>
      </c>
      <c r="P89" s="15">
        <f t="shared" si="36"/>
        <v>35</v>
      </c>
      <c r="R89" s="8"/>
      <c r="T89"/>
    </row>
    <row r="90" spans="2:20" ht="23.1" customHeight="1" x14ac:dyDescent="0.25">
      <c r="B90" s="46" t="s">
        <v>130</v>
      </c>
      <c r="C90" s="50">
        <v>10</v>
      </c>
      <c r="D90" s="50">
        <v>0</v>
      </c>
      <c r="E90" s="50">
        <v>1</v>
      </c>
      <c r="F90" s="50">
        <v>1</v>
      </c>
      <c r="G90" s="50">
        <v>0</v>
      </c>
      <c r="H90" s="50">
        <v>0</v>
      </c>
      <c r="I90" s="50">
        <v>2</v>
      </c>
      <c r="J90" s="50">
        <v>0</v>
      </c>
      <c r="K90" s="50">
        <v>0</v>
      </c>
      <c r="L90" s="50">
        <v>1</v>
      </c>
      <c r="M90" s="50">
        <v>41</v>
      </c>
      <c r="N90" s="50">
        <v>0</v>
      </c>
      <c r="O90" s="15">
        <f t="shared" si="35"/>
        <v>15</v>
      </c>
      <c r="P90" s="15">
        <f t="shared" si="36"/>
        <v>56</v>
      </c>
      <c r="R90" s="8"/>
      <c r="T90"/>
    </row>
    <row r="91" spans="2:20" ht="23.1" customHeight="1" x14ac:dyDescent="0.25">
      <c r="B91" s="45" t="s">
        <v>131</v>
      </c>
      <c r="C91" s="50">
        <v>12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17</v>
      </c>
      <c r="N91" s="50">
        <v>0</v>
      </c>
      <c r="O91" s="15">
        <f t="shared" si="35"/>
        <v>14</v>
      </c>
      <c r="P91" s="15">
        <f t="shared" si="36"/>
        <v>31</v>
      </c>
      <c r="R91" s="8"/>
      <c r="T91"/>
    </row>
    <row r="92" spans="2:20" ht="23.1" customHeight="1" x14ac:dyDescent="0.25">
      <c r="B92" s="47" t="s">
        <v>132</v>
      </c>
      <c r="C92" s="50">
        <v>6</v>
      </c>
      <c r="D92" s="50">
        <v>0</v>
      </c>
      <c r="E92" s="50">
        <v>1</v>
      </c>
      <c r="F92" s="50">
        <v>1</v>
      </c>
      <c r="G92" s="50">
        <v>0</v>
      </c>
      <c r="H92" s="50">
        <v>0</v>
      </c>
      <c r="I92" s="50">
        <v>0</v>
      </c>
      <c r="J92" s="50">
        <v>1</v>
      </c>
      <c r="K92" s="50">
        <v>0</v>
      </c>
      <c r="L92" s="50">
        <v>0</v>
      </c>
      <c r="M92" s="50">
        <v>12</v>
      </c>
      <c r="N92" s="50">
        <v>0</v>
      </c>
      <c r="O92" s="15">
        <f t="shared" si="35"/>
        <v>9</v>
      </c>
      <c r="P92" s="15">
        <f t="shared" si="36"/>
        <v>21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1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20</v>
      </c>
      <c r="N93" s="50">
        <v>0</v>
      </c>
      <c r="O93" s="15">
        <f t="shared" si="35"/>
        <v>3</v>
      </c>
      <c r="P93" s="15">
        <f t="shared" si="36"/>
        <v>23</v>
      </c>
      <c r="R93" s="8"/>
      <c r="T93"/>
    </row>
    <row r="94" spans="2:20" ht="23.1" customHeight="1" x14ac:dyDescent="0.25">
      <c r="B94" s="46" t="s">
        <v>134</v>
      </c>
      <c r="C94" s="50">
        <v>10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28</v>
      </c>
      <c r="N94" s="50">
        <v>0</v>
      </c>
      <c r="O94" s="15">
        <f t="shared" si="35"/>
        <v>10</v>
      </c>
      <c r="P94" s="15">
        <f t="shared" si="36"/>
        <v>38</v>
      </c>
      <c r="R94" s="8"/>
      <c r="T94"/>
    </row>
    <row r="95" spans="2:20" ht="23.1" customHeight="1" x14ac:dyDescent="0.25">
      <c r="B95" s="45" t="s">
        <v>135</v>
      </c>
      <c r="C95" s="50">
        <v>4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11</v>
      </c>
      <c r="N95" s="50">
        <v>0</v>
      </c>
      <c r="O95" s="15">
        <f t="shared" si="35"/>
        <v>4</v>
      </c>
      <c r="P95" s="15">
        <f t="shared" si="36"/>
        <v>15</v>
      </c>
      <c r="R95" s="8"/>
      <c r="T95"/>
    </row>
    <row r="96" spans="2:20" ht="23.1" customHeight="1" x14ac:dyDescent="0.25">
      <c r="B96" s="47" t="s">
        <v>136</v>
      </c>
      <c r="C96" s="50">
        <v>8</v>
      </c>
      <c r="D96" s="50">
        <v>2</v>
      </c>
      <c r="E96" s="50">
        <v>0</v>
      </c>
      <c r="F96" s="50">
        <v>1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28</v>
      </c>
      <c r="N96" s="50">
        <v>0</v>
      </c>
      <c r="O96" s="15">
        <f t="shared" si="35"/>
        <v>11</v>
      </c>
      <c r="P96" s="15">
        <f t="shared" si="36"/>
        <v>39</v>
      </c>
      <c r="R96" s="8"/>
      <c r="T96"/>
    </row>
    <row r="97" spans="2:20" ht="23.1" customHeight="1" x14ac:dyDescent="0.25">
      <c r="B97" s="45" t="s">
        <v>137</v>
      </c>
      <c r="C97" s="50">
        <v>6</v>
      </c>
      <c r="D97" s="50">
        <v>0</v>
      </c>
      <c r="E97" s="50">
        <v>1</v>
      </c>
      <c r="F97" s="50">
        <v>3</v>
      </c>
      <c r="G97" s="50">
        <v>0</v>
      </c>
      <c r="H97" s="50">
        <v>0</v>
      </c>
      <c r="I97" s="50">
        <v>0</v>
      </c>
      <c r="J97" s="50">
        <v>2</v>
      </c>
      <c r="K97" s="50">
        <v>0</v>
      </c>
      <c r="L97" s="50">
        <v>1</v>
      </c>
      <c r="M97" s="50">
        <v>22</v>
      </c>
      <c r="N97" s="50">
        <v>0</v>
      </c>
      <c r="O97" s="15">
        <f t="shared" si="35"/>
        <v>13</v>
      </c>
      <c r="P97" s="15">
        <f t="shared" si="36"/>
        <v>35</v>
      </c>
      <c r="R97" s="8"/>
      <c r="T97"/>
    </row>
    <row r="98" spans="2:20" ht="23.1" customHeight="1" x14ac:dyDescent="0.25">
      <c r="B98" s="46" t="s">
        <v>138</v>
      </c>
      <c r="C98" s="50">
        <v>5</v>
      </c>
      <c r="D98" s="50">
        <v>0</v>
      </c>
      <c r="E98" s="50">
        <v>1</v>
      </c>
      <c r="F98" s="50">
        <v>4</v>
      </c>
      <c r="G98" s="50">
        <v>1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36</v>
      </c>
      <c r="N98" s="50">
        <v>0</v>
      </c>
      <c r="O98" s="15">
        <f t="shared" si="35"/>
        <v>11</v>
      </c>
      <c r="P98" s="15">
        <f t="shared" si="36"/>
        <v>47</v>
      </c>
      <c r="R98" s="8"/>
      <c r="T98"/>
    </row>
    <row r="99" spans="2:20" ht="23.1" customHeight="1" x14ac:dyDescent="0.25">
      <c r="B99" s="45" t="s">
        <v>139</v>
      </c>
      <c r="C99" s="50">
        <v>3</v>
      </c>
      <c r="D99" s="50">
        <v>1</v>
      </c>
      <c r="E99" s="50">
        <v>1</v>
      </c>
      <c r="F99" s="50">
        <v>9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25</v>
      </c>
      <c r="N99" s="50">
        <v>0</v>
      </c>
      <c r="O99" s="15">
        <f t="shared" si="35"/>
        <v>14</v>
      </c>
      <c r="P99" s="15">
        <f t="shared" si="36"/>
        <v>39</v>
      </c>
      <c r="R99" s="8"/>
      <c r="T99"/>
    </row>
    <row r="100" spans="2:20" ht="23.1" customHeight="1" x14ac:dyDescent="0.25">
      <c r="B100" s="47" t="s">
        <v>140</v>
      </c>
      <c r="C100" s="50">
        <v>3</v>
      </c>
      <c r="D100" s="50">
        <v>1</v>
      </c>
      <c r="E100" s="50">
        <v>1</v>
      </c>
      <c r="F100" s="50">
        <v>9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30</v>
      </c>
      <c r="N100" s="50">
        <v>0</v>
      </c>
      <c r="O100" s="15">
        <f t="shared" si="35"/>
        <v>15</v>
      </c>
      <c r="P100" s="15">
        <f t="shared" si="36"/>
        <v>45</v>
      </c>
      <c r="R100" s="8"/>
      <c r="T100"/>
    </row>
    <row r="101" spans="2:20" ht="23.1" customHeight="1" x14ac:dyDescent="0.25">
      <c r="B101" s="45" t="s">
        <v>141</v>
      </c>
      <c r="C101" s="50">
        <v>7</v>
      </c>
      <c r="D101" s="50">
        <v>0</v>
      </c>
      <c r="E101" s="50">
        <v>2</v>
      </c>
      <c r="F101" s="50">
        <v>13</v>
      </c>
      <c r="G101" s="50">
        <v>0</v>
      </c>
      <c r="H101" s="50">
        <v>0</v>
      </c>
      <c r="I101" s="50">
        <v>2</v>
      </c>
      <c r="J101" s="50">
        <v>1</v>
      </c>
      <c r="K101" s="50">
        <v>0</v>
      </c>
      <c r="L101" s="50">
        <v>1</v>
      </c>
      <c r="M101" s="50">
        <v>45</v>
      </c>
      <c r="N101" s="50">
        <v>0</v>
      </c>
      <c r="O101" s="15">
        <f t="shared" si="35"/>
        <v>26</v>
      </c>
      <c r="P101" s="15">
        <f t="shared" si="36"/>
        <v>71</v>
      </c>
      <c r="R101" s="8"/>
      <c r="T101"/>
    </row>
    <row r="102" spans="2:20" ht="23.1" customHeight="1" x14ac:dyDescent="0.25">
      <c r="B102" s="46" t="s">
        <v>142</v>
      </c>
      <c r="C102" s="50">
        <v>10</v>
      </c>
      <c r="D102" s="50">
        <v>0</v>
      </c>
      <c r="E102" s="50">
        <v>0</v>
      </c>
      <c r="F102" s="50">
        <v>11</v>
      </c>
      <c r="G102" s="50">
        <v>0</v>
      </c>
      <c r="H102" s="50">
        <v>0</v>
      </c>
      <c r="I102" s="50">
        <v>3</v>
      </c>
      <c r="J102" s="50">
        <v>2</v>
      </c>
      <c r="K102" s="50">
        <v>0</v>
      </c>
      <c r="L102" s="50">
        <v>0</v>
      </c>
      <c r="M102" s="50">
        <v>40</v>
      </c>
      <c r="N102" s="50">
        <v>0</v>
      </c>
      <c r="O102" s="15">
        <f t="shared" si="35"/>
        <v>26</v>
      </c>
      <c r="P102" s="15">
        <f t="shared" si="36"/>
        <v>66</v>
      </c>
      <c r="R102" s="8"/>
      <c r="T102"/>
    </row>
    <row r="103" spans="2:20" ht="23.1" customHeight="1" x14ac:dyDescent="0.25">
      <c r="B103" s="45" t="s">
        <v>143</v>
      </c>
      <c r="C103" s="50">
        <v>20</v>
      </c>
      <c r="D103" s="50">
        <v>1</v>
      </c>
      <c r="E103" s="50">
        <v>2</v>
      </c>
      <c r="F103" s="50">
        <v>15</v>
      </c>
      <c r="G103" s="50">
        <v>0</v>
      </c>
      <c r="H103" s="50">
        <v>0</v>
      </c>
      <c r="I103" s="50">
        <v>3</v>
      </c>
      <c r="J103" s="50">
        <v>1</v>
      </c>
      <c r="K103" s="50">
        <v>0</v>
      </c>
      <c r="L103" s="50">
        <v>0</v>
      </c>
      <c r="M103" s="50">
        <v>51</v>
      </c>
      <c r="N103" s="50">
        <v>0</v>
      </c>
      <c r="O103" s="15">
        <f t="shared" si="35"/>
        <v>42</v>
      </c>
      <c r="P103" s="15">
        <f t="shared" si="36"/>
        <v>93</v>
      </c>
      <c r="R103" s="8"/>
      <c r="T103"/>
    </row>
    <row r="104" spans="2:20" ht="23.1" customHeight="1" x14ac:dyDescent="0.25">
      <c r="B104" s="47" t="s">
        <v>144</v>
      </c>
      <c r="C104" s="50">
        <v>13</v>
      </c>
      <c r="D104" s="50">
        <v>4</v>
      </c>
      <c r="E104" s="50">
        <v>2</v>
      </c>
      <c r="F104" s="50">
        <v>17</v>
      </c>
      <c r="G104" s="50">
        <v>0</v>
      </c>
      <c r="H104" s="50">
        <v>0</v>
      </c>
      <c r="I104" s="50">
        <v>1</v>
      </c>
      <c r="J104" s="50">
        <v>3</v>
      </c>
      <c r="K104" s="50">
        <v>0</v>
      </c>
      <c r="L104" s="50">
        <v>3</v>
      </c>
      <c r="M104" s="50">
        <v>61</v>
      </c>
      <c r="N104" s="50">
        <v>0</v>
      </c>
      <c r="O104" s="15">
        <f t="shared" si="35"/>
        <v>43</v>
      </c>
      <c r="P104" s="15">
        <f t="shared" si="36"/>
        <v>104</v>
      </c>
      <c r="R104" s="8"/>
      <c r="T104"/>
    </row>
    <row r="105" spans="2:20" ht="23.1" customHeight="1" x14ac:dyDescent="0.25">
      <c r="B105" s="45" t="s">
        <v>145</v>
      </c>
      <c r="C105" s="50">
        <v>22</v>
      </c>
      <c r="D105" s="50">
        <v>5</v>
      </c>
      <c r="E105" s="50">
        <v>3</v>
      </c>
      <c r="F105" s="50">
        <v>17</v>
      </c>
      <c r="G105" s="50">
        <v>0</v>
      </c>
      <c r="H105" s="50">
        <v>0</v>
      </c>
      <c r="I105" s="50">
        <v>4</v>
      </c>
      <c r="J105" s="50">
        <v>1</v>
      </c>
      <c r="K105" s="50">
        <v>0</v>
      </c>
      <c r="L105" s="50">
        <v>1</v>
      </c>
      <c r="M105" s="50">
        <v>80</v>
      </c>
      <c r="N105" s="50">
        <v>0</v>
      </c>
      <c r="O105" s="15">
        <f t="shared" si="35"/>
        <v>53</v>
      </c>
      <c r="P105" s="15">
        <f t="shared" si="36"/>
        <v>133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3105</v>
      </c>
      <c r="D106" s="16">
        <f t="shared" ref="D106:P106" si="37">SUM(D10:D105)</f>
        <v>1489</v>
      </c>
      <c r="E106" s="16">
        <f t="shared" si="37"/>
        <v>474</v>
      </c>
      <c r="F106" s="16">
        <f t="shared" si="37"/>
        <v>1368</v>
      </c>
      <c r="G106" s="16">
        <f t="shared" si="37"/>
        <v>45</v>
      </c>
      <c r="H106" s="16">
        <f t="shared" si="37"/>
        <v>12</v>
      </c>
      <c r="I106" s="16">
        <f t="shared" si="37"/>
        <v>405</v>
      </c>
      <c r="J106" s="16">
        <f t="shared" si="37"/>
        <v>416</v>
      </c>
      <c r="K106" s="16">
        <f t="shared" si="37"/>
        <v>128</v>
      </c>
      <c r="L106" s="16">
        <f t="shared" si="37"/>
        <v>137</v>
      </c>
      <c r="M106" s="16">
        <f t="shared" si="37"/>
        <v>10180</v>
      </c>
      <c r="N106" s="16">
        <f t="shared" si="37"/>
        <v>3</v>
      </c>
      <c r="O106" s="16">
        <f t="shared" si="37"/>
        <v>7582</v>
      </c>
      <c r="P106" s="16">
        <f t="shared" si="37"/>
        <v>17762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0.17481139511316293</v>
      </c>
      <c r="D107" s="43">
        <f t="shared" si="38"/>
        <v>8.383064970161018E-2</v>
      </c>
      <c r="E107" s="43">
        <f t="shared" si="38"/>
        <v>2.6686183988289609E-2</v>
      </c>
      <c r="F107" s="43">
        <f t="shared" si="38"/>
        <v>7.701835378898772E-2</v>
      </c>
      <c r="G107" s="43">
        <f t="shared" si="38"/>
        <v>2.5334984799009119E-3</v>
      </c>
      <c r="H107" s="43">
        <f t="shared" si="38"/>
        <v>6.7559959464024322E-4</v>
      </c>
      <c r="I107" s="43">
        <f t="shared" si="38"/>
        <v>2.2801486319108208E-2</v>
      </c>
      <c r="J107" s="43">
        <f t="shared" si="38"/>
        <v>2.342078594752843E-2</v>
      </c>
      <c r="K107" s="43">
        <f t="shared" si="38"/>
        <v>7.2063956761625947E-3</v>
      </c>
      <c r="L107" s="43">
        <f t="shared" si="38"/>
        <v>7.7130953721427763E-3</v>
      </c>
      <c r="M107" s="43">
        <f t="shared" si="38"/>
        <v>0.57313365611980638</v>
      </c>
      <c r="N107" s="43">
        <f t="shared" si="38"/>
        <v>1.6889989866006081E-4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0.4095225534159852</v>
      </c>
      <c r="D108" s="44">
        <f t="shared" ref="D108:N108" si="39">D106/$O$106</f>
        <v>0.19638617778950146</v>
      </c>
      <c r="E108" s="44">
        <f t="shared" si="39"/>
        <v>6.2516486415193875E-2</v>
      </c>
      <c r="F108" s="44">
        <f t="shared" si="39"/>
        <v>0.18042732788182539</v>
      </c>
      <c r="G108" s="44">
        <f t="shared" si="39"/>
        <v>5.9351094697968872E-3</v>
      </c>
      <c r="H108" s="44">
        <f t="shared" si="39"/>
        <v>1.5826958586125032E-3</v>
      </c>
      <c r="I108" s="44">
        <f t="shared" si="39"/>
        <v>5.3415985228171987E-2</v>
      </c>
      <c r="J108" s="44">
        <f t="shared" si="39"/>
        <v>5.4866789765233445E-2</v>
      </c>
      <c r="K108" s="44">
        <f t="shared" si="39"/>
        <v>1.688208915853337E-2</v>
      </c>
      <c r="L108" s="44">
        <f t="shared" si="39"/>
        <v>1.8069111052492745E-2</v>
      </c>
      <c r="M108" s="44"/>
      <c r="N108" s="44">
        <f t="shared" si="39"/>
        <v>3.956739646531258E-4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49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Kinawataka-Kireka'!C3:G3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179</v>
      </c>
      <c r="E5" s="3"/>
      <c r="F5" s="41" t="s">
        <v>1</v>
      </c>
      <c r="G5" s="63" t="str">
        <f>'03.08 Kireka-Kinawataka-24h'!G5:H5</f>
        <v>Kireka road</v>
      </c>
      <c r="H5" s="64"/>
      <c r="I5" s="14"/>
      <c r="J5" s="2" t="s">
        <v>5</v>
      </c>
      <c r="K5" s="63" t="s">
        <v>166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Kinawataka-Kireka'!D6:E6</f>
        <v>Kinawataka</v>
      </c>
      <c r="E6" s="64"/>
      <c r="F6" s="2" t="s">
        <v>2</v>
      </c>
      <c r="G6" s="63" t="str">
        <f>'29.07 Kinawataka-Kireka'!G6:H6</f>
        <v xml:space="preserve">Kireka </v>
      </c>
      <c r="H6" s="64"/>
      <c r="J6" s="2" t="s">
        <v>21</v>
      </c>
      <c r="K6" s="63" t="str">
        <f>'03.08 Kireka-Kinawataka-24h'!K6:L6</f>
        <v>Batrice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15</v>
      </c>
      <c r="D10" s="50">
        <v>1</v>
      </c>
      <c r="E10" s="50">
        <v>4</v>
      </c>
      <c r="F10" s="50">
        <v>20</v>
      </c>
      <c r="G10" s="50">
        <v>1</v>
      </c>
      <c r="H10" s="50">
        <v>0</v>
      </c>
      <c r="I10" s="50">
        <v>4</v>
      </c>
      <c r="J10" s="50">
        <v>2</v>
      </c>
      <c r="K10" s="50">
        <v>2</v>
      </c>
      <c r="L10" s="50">
        <v>0</v>
      </c>
      <c r="M10" s="50">
        <v>124</v>
      </c>
      <c r="N10" s="50">
        <v>0</v>
      </c>
      <c r="O10" s="15">
        <f t="shared" ref="O10:O57" si="0">SUM(C10:L10,N10)</f>
        <v>49</v>
      </c>
      <c r="P10" s="15">
        <f t="shared" ref="P10:P57" si="1">SUM(C10:N10)</f>
        <v>173</v>
      </c>
      <c r="R10" s="1" t="s">
        <v>6</v>
      </c>
      <c r="S10" s="17">
        <f t="shared" ref="S10:AF10" si="2">SUM(C10:C13)</f>
        <v>77</v>
      </c>
      <c r="T10" s="17">
        <f t="shared" si="2"/>
        <v>8</v>
      </c>
      <c r="U10" s="17">
        <f t="shared" si="2"/>
        <v>9</v>
      </c>
      <c r="V10" s="17">
        <f t="shared" si="2"/>
        <v>58</v>
      </c>
      <c r="W10" s="17">
        <f t="shared" si="2"/>
        <v>1</v>
      </c>
      <c r="X10" s="17">
        <f t="shared" si="2"/>
        <v>0</v>
      </c>
      <c r="Y10" s="17">
        <f t="shared" si="2"/>
        <v>13</v>
      </c>
      <c r="Z10" s="17">
        <f t="shared" si="2"/>
        <v>5</v>
      </c>
      <c r="AA10" s="17">
        <f t="shared" si="2"/>
        <v>3</v>
      </c>
      <c r="AB10" s="17">
        <f t="shared" si="2"/>
        <v>3</v>
      </c>
      <c r="AC10" s="17">
        <f t="shared" si="2"/>
        <v>469</v>
      </c>
      <c r="AD10" s="17">
        <f t="shared" si="2"/>
        <v>0</v>
      </c>
      <c r="AE10" s="31">
        <f t="shared" si="2"/>
        <v>177</v>
      </c>
      <c r="AF10" s="31">
        <f t="shared" si="2"/>
        <v>646</v>
      </c>
    </row>
    <row r="11" spans="2:32" s="6" customFormat="1" ht="23.1" customHeight="1" x14ac:dyDescent="0.25">
      <c r="B11" s="23" t="s">
        <v>38</v>
      </c>
      <c r="C11" s="50">
        <v>27</v>
      </c>
      <c r="D11" s="50">
        <v>2</v>
      </c>
      <c r="E11" s="50">
        <v>1</v>
      </c>
      <c r="F11" s="50">
        <v>14</v>
      </c>
      <c r="G11" s="50">
        <v>0</v>
      </c>
      <c r="H11" s="50">
        <v>0</v>
      </c>
      <c r="I11" s="50">
        <v>3</v>
      </c>
      <c r="J11" s="50">
        <v>0</v>
      </c>
      <c r="K11" s="50">
        <v>1</v>
      </c>
      <c r="L11" s="50">
        <v>2</v>
      </c>
      <c r="M11" s="50">
        <v>125</v>
      </c>
      <c r="N11" s="50">
        <v>0</v>
      </c>
      <c r="O11" s="15">
        <f t="shared" si="0"/>
        <v>50</v>
      </c>
      <c r="P11" s="15">
        <f t="shared" si="1"/>
        <v>175</v>
      </c>
      <c r="R11" s="1" t="s">
        <v>7</v>
      </c>
      <c r="S11" s="17">
        <f t="shared" ref="S11:AF11" si="3">SUM(C14:C17)</f>
        <v>95</v>
      </c>
      <c r="T11" s="17">
        <f t="shared" si="3"/>
        <v>13</v>
      </c>
      <c r="U11" s="17">
        <f t="shared" si="3"/>
        <v>22</v>
      </c>
      <c r="V11" s="17">
        <f t="shared" si="3"/>
        <v>44</v>
      </c>
      <c r="W11" s="17">
        <f t="shared" si="3"/>
        <v>2</v>
      </c>
      <c r="X11" s="17">
        <f t="shared" si="3"/>
        <v>0</v>
      </c>
      <c r="Y11" s="17">
        <f t="shared" si="3"/>
        <v>18</v>
      </c>
      <c r="Z11" s="17">
        <f t="shared" si="3"/>
        <v>8</v>
      </c>
      <c r="AA11" s="17">
        <f t="shared" si="3"/>
        <v>5</v>
      </c>
      <c r="AB11" s="17">
        <f t="shared" si="3"/>
        <v>3</v>
      </c>
      <c r="AC11" s="17">
        <f t="shared" si="3"/>
        <v>604</v>
      </c>
      <c r="AD11" s="17">
        <f t="shared" si="3"/>
        <v>0</v>
      </c>
      <c r="AE11" s="31">
        <f t="shared" si="3"/>
        <v>210</v>
      </c>
      <c r="AF11" s="31">
        <f t="shared" si="3"/>
        <v>814</v>
      </c>
    </row>
    <row r="12" spans="2:32" ht="23.1" customHeight="1" x14ac:dyDescent="0.25">
      <c r="B12" s="23" t="s">
        <v>39</v>
      </c>
      <c r="C12" s="50">
        <v>13</v>
      </c>
      <c r="D12" s="50">
        <v>2</v>
      </c>
      <c r="E12" s="50">
        <v>2</v>
      </c>
      <c r="F12" s="50">
        <v>11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1</v>
      </c>
      <c r="M12" s="50">
        <v>120</v>
      </c>
      <c r="N12" s="50">
        <v>0</v>
      </c>
      <c r="O12" s="15">
        <f t="shared" si="0"/>
        <v>30</v>
      </c>
      <c r="P12" s="15">
        <f t="shared" si="1"/>
        <v>150</v>
      </c>
      <c r="R12" s="1" t="s">
        <v>8</v>
      </c>
      <c r="S12" s="17">
        <f t="shared" ref="S12:AF12" si="4">SUM(C18:C21)</f>
        <v>116</v>
      </c>
      <c r="T12" s="17">
        <f t="shared" si="4"/>
        <v>18</v>
      </c>
      <c r="U12" s="17">
        <f t="shared" si="4"/>
        <v>17</v>
      </c>
      <c r="V12" s="17">
        <f t="shared" si="4"/>
        <v>54</v>
      </c>
      <c r="W12" s="17">
        <f t="shared" si="4"/>
        <v>2</v>
      </c>
      <c r="X12" s="17">
        <f t="shared" si="4"/>
        <v>0</v>
      </c>
      <c r="Y12" s="17">
        <f t="shared" si="4"/>
        <v>23</v>
      </c>
      <c r="Z12" s="17">
        <f t="shared" si="4"/>
        <v>8</v>
      </c>
      <c r="AA12" s="17">
        <f t="shared" si="4"/>
        <v>5</v>
      </c>
      <c r="AB12" s="17">
        <f t="shared" si="4"/>
        <v>7</v>
      </c>
      <c r="AC12" s="17">
        <f t="shared" si="4"/>
        <v>637</v>
      </c>
      <c r="AD12" s="17">
        <f t="shared" si="4"/>
        <v>0</v>
      </c>
      <c r="AE12" s="31">
        <f t="shared" si="4"/>
        <v>250</v>
      </c>
      <c r="AF12" s="31">
        <f t="shared" si="4"/>
        <v>887</v>
      </c>
    </row>
    <row r="13" spans="2:32" ht="23.1" customHeight="1" x14ac:dyDescent="0.25">
      <c r="B13" s="23" t="s">
        <v>40</v>
      </c>
      <c r="C13" s="50">
        <v>22</v>
      </c>
      <c r="D13" s="50">
        <v>3</v>
      </c>
      <c r="E13" s="50">
        <v>2</v>
      </c>
      <c r="F13" s="50">
        <v>13</v>
      </c>
      <c r="G13" s="50">
        <v>0</v>
      </c>
      <c r="H13" s="50">
        <v>0</v>
      </c>
      <c r="I13" s="50">
        <v>5</v>
      </c>
      <c r="J13" s="50">
        <v>3</v>
      </c>
      <c r="K13" s="50">
        <v>0</v>
      </c>
      <c r="L13" s="50">
        <v>0</v>
      </c>
      <c r="M13" s="50">
        <v>100</v>
      </c>
      <c r="N13" s="50">
        <v>0</v>
      </c>
      <c r="O13" s="15">
        <f t="shared" si="0"/>
        <v>48</v>
      </c>
      <c r="P13" s="15">
        <f t="shared" si="1"/>
        <v>148</v>
      </c>
      <c r="R13" s="1" t="s">
        <v>9</v>
      </c>
      <c r="S13" s="17">
        <f t="shared" ref="S13:AF13" si="5">SUM(C22:C25)</f>
        <v>216</v>
      </c>
      <c r="T13" s="17">
        <f t="shared" si="5"/>
        <v>14</v>
      </c>
      <c r="U13" s="17">
        <f t="shared" si="5"/>
        <v>22</v>
      </c>
      <c r="V13" s="17">
        <f t="shared" si="5"/>
        <v>26</v>
      </c>
      <c r="W13" s="17">
        <f t="shared" si="5"/>
        <v>5</v>
      </c>
      <c r="X13" s="17">
        <f t="shared" si="5"/>
        <v>0</v>
      </c>
      <c r="Y13" s="17">
        <f t="shared" si="5"/>
        <v>16</v>
      </c>
      <c r="Z13" s="17">
        <f t="shared" si="5"/>
        <v>18</v>
      </c>
      <c r="AA13" s="17">
        <f t="shared" si="5"/>
        <v>11</v>
      </c>
      <c r="AB13" s="17">
        <f t="shared" si="5"/>
        <v>1</v>
      </c>
      <c r="AC13" s="17">
        <f t="shared" si="5"/>
        <v>560</v>
      </c>
      <c r="AD13" s="17">
        <f t="shared" si="5"/>
        <v>0</v>
      </c>
      <c r="AE13" s="31">
        <f t="shared" si="5"/>
        <v>329</v>
      </c>
      <c r="AF13" s="31">
        <f t="shared" si="5"/>
        <v>889</v>
      </c>
    </row>
    <row r="14" spans="2:32" ht="23.1" customHeight="1" x14ac:dyDescent="0.25">
      <c r="B14" s="23" t="s">
        <v>41</v>
      </c>
      <c r="C14" s="50">
        <v>22</v>
      </c>
      <c r="D14" s="50">
        <v>5</v>
      </c>
      <c r="E14" s="50">
        <v>3</v>
      </c>
      <c r="F14" s="50">
        <v>8</v>
      </c>
      <c r="G14" s="50">
        <v>1</v>
      </c>
      <c r="H14" s="50">
        <v>0</v>
      </c>
      <c r="I14" s="50">
        <v>5</v>
      </c>
      <c r="J14" s="50">
        <v>2</v>
      </c>
      <c r="K14" s="50">
        <v>0</v>
      </c>
      <c r="L14" s="50">
        <v>2</v>
      </c>
      <c r="M14" s="50">
        <v>145</v>
      </c>
      <c r="N14" s="50">
        <v>0</v>
      </c>
      <c r="O14" s="15">
        <f t="shared" si="0"/>
        <v>48</v>
      </c>
      <c r="P14" s="15">
        <f t="shared" si="1"/>
        <v>193</v>
      </c>
      <c r="R14" s="1" t="s">
        <v>10</v>
      </c>
      <c r="S14" s="17">
        <f t="shared" ref="S14:AF14" si="6">SUM(C26:C29)</f>
        <v>165</v>
      </c>
      <c r="T14" s="17">
        <f t="shared" si="6"/>
        <v>17</v>
      </c>
      <c r="U14" s="17">
        <f t="shared" si="6"/>
        <v>21</v>
      </c>
      <c r="V14" s="17">
        <f t="shared" si="6"/>
        <v>44</v>
      </c>
      <c r="W14" s="17">
        <f t="shared" si="6"/>
        <v>4</v>
      </c>
      <c r="X14" s="17">
        <f t="shared" si="6"/>
        <v>0</v>
      </c>
      <c r="Y14" s="17">
        <f t="shared" si="6"/>
        <v>14</v>
      </c>
      <c r="Z14" s="17">
        <f t="shared" si="6"/>
        <v>13</v>
      </c>
      <c r="AA14" s="17">
        <f t="shared" si="6"/>
        <v>6</v>
      </c>
      <c r="AB14" s="17">
        <f t="shared" si="6"/>
        <v>1</v>
      </c>
      <c r="AC14" s="17">
        <f t="shared" si="6"/>
        <v>468</v>
      </c>
      <c r="AD14" s="17">
        <f t="shared" si="6"/>
        <v>0</v>
      </c>
      <c r="AE14" s="31">
        <f t="shared" si="6"/>
        <v>285</v>
      </c>
      <c r="AF14" s="31">
        <f t="shared" si="6"/>
        <v>753</v>
      </c>
    </row>
    <row r="15" spans="2:32" ht="23.1" customHeight="1" x14ac:dyDescent="0.25">
      <c r="B15" s="23" t="s">
        <v>42</v>
      </c>
      <c r="C15" s="50">
        <v>24</v>
      </c>
      <c r="D15" s="50">
        <v>1</v>
      </c>
      <c r="E15" s="50">
        <v>3</v>
      </c>
      <c r="F15" s="50">
        <v>14</v>
      </c>
      <c r="G15" s="50">
        <v>0</v>
      </c>
      <c r="H15" s="50">
        <v>0</v>
      </c>
      <c r="I15" s="50">
        <v>6</v>
      </c>
      <c r="J15" s="50">
        <v>4</v>
      </c>
      <c r="K15" s="50">
        <v>0</v>
      </c>
      <c r="L15" s="50">
        <v>1</v>
      </c>
      <c r="M15" s="50">
        <v>154</v>
      </c>
      <c r="N15" s="50">
        <v>0</v>
      </c>
      <c r="O15" s="15">
        <f t="shared" si="0"/>
        <v>53</v>
      </c>
      <c r="P15" s="15">
        <f t="shared" si="1"/>
        <v>207</v>
      </c>
      <c r="R15" s="1" t="s">
        <v>11</v>
      </c>
      <c r="S15" s="17">
        <f t="shared" ref="S15:AF15" si="7">SUM(C30:C33)</f>
        <v>201</v>
      </c>
      <c r="T15" s="17">
        <f t="shared" si="7"/>
        <v>35</v>
      </c>
      <c r="U15" s="17">
        <f t="shared" si="7"/>
        <v>24</v>
      </c>
      <c r="V15" s="17">
        <f t="shared" si="7"/>
        <v>50</v>
      </c>
      <c r="W15" s="17">
        <f t="shared" si="7"/>
        <v>3</v>
      </c>
      <c r="X15" s="17">
        <f t="shared" si="7"/>
        <v>1</v>
      </c>
      <c r="Y15" s="17">
        <f t="shared" si="7"/>
        <v>13</v>
      </c>
      <c r="Z15" s="17">
        <f t="shared" si="7"/>
        <v>6</v>
      </c>
      <c r="AA15" s="17">
        <f t="shared" si="7"/>
        <v>21</v>
      </c>
      <c r="AB15" s="17">
        <f t="shared" si="7"/>
        <v>7</v>
      </c>
      <c r="AC15" s="17">
        <f t="shared" si="7"/>
        <v>517</v>
      </c>
      <c r="AD15" s="17">
        <f t="shared" si="7"/>
        <v>0</v>
      </c>
      <c r="AE15" s="31">
        <f t="shared" si="7"/>
        <v>361</v>
      </c>
      <c r="AF15" s="31">
        <f t="shared" si="7"/>
        <v>878</v>
      </c>
    </row>
    <row r="16" spans="2:32" ht="23.1" customHeight="1" x14ac:dyDescent="0.25">
      <c r="B16" s="23" t="s">
        <v>43</v>
      </c>
      <c r="C16" s="50">
        <v>32</v>
      </c>
      <c r="D16" s="50">
        <v>5</v>
      </c>
      <c r="E16" s="50">
        <v>6</v>
      </c>
      <c r="F16" s="50">
        <v>12</v>
      </c>
      <c r="G16" s="50">
        <v>1</v>
      </c>
      <c r="H16" s="50">
        <v>0</v>
      </c>
      <c r="I16" s="50">
        <v>4</v>
      </c>
      <c r="J16" s="50">
        <v>0</v>
      </c>
      <c r="K16" s="50">
        <v>1</v>
      </c>
      <c r="L16" s="50">
        <v>0</v>
      </c>
      <c r="M16" s="50">
        <v>165</v>
      </c>
      <c r="N16" s="50">
        <v>0</v>
      </c>
      <c r="O16" s="15">
        <f t="shared" si="0"/>
        <v>61</v>
      </c>
      <c r="P16" s="15">
        <f t="shared" si="1"/>
        <v>226</v>
      </c>
      <c r="R16" s="1" t="s">
        <v>12</v>
      </c>
      <c r="S16" s="17">
        <f t="shared" ref="S16:AF16" si="8">SUM(C34:C37)</f>
        <v>269</v>
      </c>
      <c r="T16" s="17">
        <f t="shared" si="8"/>
        <v>24</v>
      </c>
      <c r="U16" s="17">
        <f t="shared" si="8"/>
        <v>29</v>
      </c>
      <c r="V16" s="17">
        <f t="shared" si="8"/>
        <v>48</v>
      </c>
      <c r="W16" s="17">
        <f t="shared" si="8"/>
        <v>3</v>
      </c>
      <c r="X16" s="17">
        <f t="shared" si="8"/>
        <v>0</v>
      </c>
      <c r="Y16" s="17">
        <f t="shared" si="8"/>
        <v>18</v>
      </c>
      <c r="Z16" s="17">
        <f t="shared" si="8"/>
        <v>3</v>
      </c>
      <c r="AA16" s="17">
        <f t="shared" si="8"/>
        <v>8</v>
      </c>
      <c r="AB16" s="17">
        <f t="shared" si="8"/>
        <v>2</v>
      </c>
      <c r="AC16" s="17">
        <f t="shared" si="8"/>
        <v>560</v>
      </c>
      <c r="AD16" s="17">
        <f t="shared" si="8"/>
        <v>0</v>
      </c>
      <c r="AE16" s="31">
        <f t="shared" si="8"/>
        <v>404</v>
      </c>
      <c r="AF16" s="31">
        <f t="shared" si="8"/>
        <v>964</v>
      </c>
    </row>
    <row r="17" spans="2:32" ht="23.1" customHeight="1" x14ac:dyDescent="0.25">
      <c r="B17" s="23" t="s">
        <v>44</v>
      </c>
      <c r="C17" s="50">
        <v>17</v>
      </c>
      <c r="D17" s="50">
        <v>2</v>
      </c>
      <c r="E17" s="50">
        <v>10</v>
      </c>
      <c r="F17" s="50">
        <v>10</v>
      </c>
      <c r="G17" s="50">
        <v>0</v>
      </c>
      <c r="H17" s="50">
        <v>0</v>
      </c>
      <c r="I17" s="50">
        <v>3</v>
      </c>
      <c r="J17" s="50">
        <v>2</v>
      </c>
      <c r="K17" s="50">
        <v>4</v>
      </c>
      <c r="L17" s="50">
        <v>0</v>
      </c>
      <c r="M17" s="50">
        <v>140</v>
      </c>
      <c r="N17" s="50">
        <v>0</v>
      </c>
      <c r="O17" s="15">
        <f t="shared" si="0"/>
        <v>48</v>
      </c>
      <c r="P17" s="15">
        <f t="shared" si="1"/>
        <v>188</v>
      </c>
      <c r="R17" s="1" t="s">
        <v>13</v>
      </c>
      <c r="S17" s="17">
        <f t="shared" ref="S17:AF17" si="9">SUM(C38:C41)</f>
        <v>277</v>
      </c>
      <c r="T17" s="17">
        <f t="shared" si="9"/>
        <v>36</v>
      </c>
      <c r="U17" s="17">
        <f t="shared" si="9"/>
        <v>20</v>
      </c>
      <c r="V17" s="17">
        <f t="shared" si="9"/>
        <v>27</v>
      </c>
      <c r="W17" s="17">
        <f t="shared" si="9"/>
        <v>6</v>
      </c>
      <c r="X17" s="17">
        <f t="shared" si="9"/>
        <v>1</v>
      </c>
      <c r="Y17" s="17">
        <f t="shared" si="9"/>
        <v>8</v>
      </c>
      <c r="Z17" s="17">
        <f t="shared" si="9"/>
        <v>6</v>
      </c>
      <c r="AA17" s="17">
        <f t="shared" si="9"/>
        <v>9</v>
      </c>
      <c r="AB17" s="17">
        <f t="shared" si="9"/>
        <v>2</v>
      </c>
      <c r="AC17" s="17">
        <f t="shared" si="9"/>
        <v>331</v>
      </c>
      <c r="AD17" s="17">
        <f t="shared" si="9"/>
        <v>0</v>
      </c>
      <c r="AE17" s="31">
        <f t="shared" si="9"/>
        <v>392</v>
      </c>
      <c r="AF17" s="31">
        <f t="shared" si="9"/>
        <v>723</v>
      </c>
    </row>
    <row r="18" spans="2:32" ht="23.1" customHeight="1" x14ac:dyDescent="0.25">
      <c r="B18" s="23" t="s">
        <v>45</v>
      </c>
      <c r="C18" s="50">
        <v>25</v>
      </c>
      <c r="D18" s="50">
        <v>5</v>
      </c>
      <c r="E18" s="50">
        <v>3</v>
      </c>
      <c r="F18" s="50">
        <v>14</v>
      </c>
      <c r="G18" s="50">
        <v>0</v>
      </c>
      <c r="H18" s="50">
        <v>0</v>
      </c>
      <c r="I18" s="50">
        <v>10</v>
      </c>
      <c r="J18" s="50">
        <v>1</v>
      </c>
      <c r="K18" s="50">
        <v>3</v>
      </c>
      <c r="L18" s="50">
        <v>3</v>
      </c>
      <c r="M18" s="50">
        <v>150</v>
      </c>
      <c r="N18" s="50">
        <v>0</v>
      </c>
      <c r="O18" s="15">
        <f t="shared" si="0"/>
        <v>64</v>
      </c>
      <c r="P18" s="15">
        <f t="shared" si="1"/>
        <v>214</v>
      </c>
      <c r="R18" s="1" t="s">
        <v>14</v>
      </c>
      <c r="S18" s="17">
        <f t="shared" ref="S18:AF18" si="10">SUM(C42:C45)</f>
        <v>317</v>
      </c>
      <c r="T18" s="17">
        <f t="shared" si="10"/>
        <v>35</v>
      </c>
      <c r="U18" s="17">
        <f t="shared" si="10"/>
        <v>20</v>
      </c>
      <c r="V18" s="17">
        <f t="shared" si="10"/>
        <v>49</v>
      </c>
      <c r="W18" s="17">
        <f t="shared" si="10"/>
        <v>2</v>
      </c>
      <c r="X18" s="17">
        <f t="shared" si="10"/>
        <v>0</v>
      </c>
      <c r="Y18" s="17">
        <f t="shared" si="10"/>
        <v>31</v>
      </c>
      <c r="Z18" s="17">
        <f t="shared" si="10"/>
        <v>3</v>
      </c>
      <c r="AA18" s="17">
        <f t="shared" si="10"/>
        <v>2</v>
      </c>
      <c r="AB18" s="17">
        <f t="shared" si="10"/>
        <v>3</v>
      </c>
      <c r="AC18" s="17">
        <f t="shared" si="10"/>
        <v>518</v>
      </c>
      <c r="AD18" s="17">
        <f t="shared" si="10"/>
        <v>0</v>
      </c>
      <c r="AE18" s="31">
        <f t="shared" si="10"/>
        <v>462</v>
      </c>
      <c r="AF18" s="31">
        <f t="shared" si="10"/>
        <v>980</v>
      </c>
    </row>
    <row r="19" spans="2:32" ht="23.1" customHeight="1" x14ac:dyDescent="0.25">
      <c r="B19" s="23" t="s">
        <v>46</v>
      </c>
      <c r="C19" s="50">
        <v>50</v>
      </c>
      <c r="D19" s="50">
        <v>3</v>
      </c>
      <c r="E19" s="50">
        <v>3</v>
      </c>
      <c r="F19" s="50">
        <v>14</v>
      </c>
      <c r="G19" s="50">
        <v>1</v>
      </c>
      <c r="H19" s="50">
        <v>0</v>
      </c>
      <c r="I19" s="50">
        <v>7</v>
      </c>
      <c r="J19" s="50">
        <v>0</v>
      </c>
      <c r="K19" s="50">
        <v>1</v>
      </c>
      <c r="L19" s="50">
        <v>1</v>
      </c>
      <c r="M19" s="50">
        <v>120</v>
      </c>
      <c r="N19" s="50">
        <v>0</v>
      </c>
      <c r="O19" s="15">
        <f t="shared" si="0"/>
        <v>80</v>
      </c>
      <c r="P19" s="15">
        <f t="shared" si="1"/>
        <v>200</v>
      </c>
      <c r="R19" s="1" t="s">
        <v>15</v>
      </c>
      <c r="S19" s="17">
        <f t="shared" ref="S19:AF19" si="11">SUM(C46:C49)</f>
        <v>300</v>
      </c>
      <c r="T19" s="17">
        <f t="shared" si="11"/>
        <v>29</v>
      </c>
      <c r="U19" s="17">
        <f t="shared" si="11"/>
        <v>27</v>
      </c>
      <c r="V19" s="17">
        <f t="shared" si="11"/>
        <v>58</v>
      </c>
      <c r="W19" s="17">
        <f t="shared" si="11"/>
        <v>4</v>
      </c>
      <c r="X19" s="17">
        <f t="shared" si="11"/>
        <v>2</v>
      </c>
      <c r="Y19" s="17">
        <f t="shared" si="11"/>
        <v>14</v>
      </c>
      <c r="Z19" s="17">
        <f t="shared" si="11"/>
        <v>10</v>
      </c>
      <c r="AA19" s="17">
        <f t="shared" si="11"/>
        <v>29</v>
      </c>
      <c r="AB19" s="17">
        <f t="shared" si="11"/>
        <v>3</v>
      </c>
      <c r="AC19" s="17">
        <f t="shared" si="11"/>
        <v>610</v>
      </c>
      <c r="AD19" s="17">
        <f t="shared" si="11"/>
        <v>0</v>
      </c>
      <c r="AE19" s="31">
        <f t="shared" si="11"/>
        <v>476</v>
      </c>
      <c r="AF19" s="31">
        <f t="shared" si="11"/>
        <v>1086</v>
      </c>
    </row>
    <row r="20" spans="2:32" ht="23.1" customHeight="1" x14ac:dyDescent="0.25">
      <c r="B20" s="23" t="s">
        <v>47</v>
      </c>
      <c r="C20" s="50">
        <v>26</v>
      </c>
      <c r="D20" s="50">
        <v>5</v>
      </c>
      <c r="E20" s="50">
        <v>7</v>
      </c>
      <c r="F20" s="50">
        <v>12</v>
      </c>
      <c r="G20" s="50">
        <v>1</v>
      </c>
      <c r="H20" s="50">
        <v>0</v>
      </c>
      <c r="I20" s="50">
        <v>2</v>
      </c>
      <c r="J20" s="50">
        <v>4</v>
      </c>
      <c r="K20" s="50">
        <v>1</v>
      </c>
      <c r="L20" s="50">
        <v>3</v>
      </c>
      <c r="M20" s="50">
        <v>182</v>
      </c>
      <c r="N20" s="50">
        <v>0</v>
      </c>
      <c r="O20" s="15">
        <f t="shared" si="0"/>
        <v>61</v>
      </c>
      <c r="P20" s="15">
        <f t="shared" si="1"/>
        <v>243</v>
      </c>
      <c r="R20" s="1" t="s">
        <v>16</v>
      </c>
      <c r="S20" s="17">
        <f t="shared" ref="S20:AF20" si="12">SUM(C50:C53)</f>
        <v>274</v>
      </c>
      <c r="T20" s="17">
        <f t="shared" si="12"/>
        <v>30</v>
      </c>
      <c r="U20" s="17">
        <f t="shared" si="12"/>
        <v>34</v>
      </c>
      <c r="V20" s="17">
        <f t="shared" si="12"/>
        <v>55</v>
      </c>
      <c r="W20" s="17">
        <f t="shared" si="12"/>
        <v>2</v>
      </c>
      <c r="X20" s="17">
        <f t="shared" si="12"/>
        <v>1</v>
      </c>
      <c r="Y20" s="17">
        <f t="shared" si="12"/>
        <v>16</v>
      </c>
      <c r="Z20" s="17">
        <f t="shared" si="12"/>
        <v>10</v>
      </c>
      <c r="AA20" s="17">
        <f t="shared" si="12"/>
        <v>7</v>
      </c>
      <c r="AB20" s="17">
        <f t="shared" si="12"/>
        <v>4</v>
      </c>
      <c r="AC20" s="17">
        <f t="shared" si="12"/>
        <v>571</v>
      </c>
      <c r="AD20" s="17">
        <f t="shared" si="12"/>
        <v>0</v>
      </c>
      <c r="AE20" s="31">
        <f t="shared" si="12"/>
        <v>433</v>
      </c>
      <c r="AF20" s="31">
        <f t="shared" si="12"/>
        <v>1004</v>
      </c>
    </row>
    <row r="21" spans="2:32" ht="23.1" customHeight="1" x14ac:dyDescent="0.25">
      <c r="B21" s="23" t="s">
        <v>48</v>
      </c>
      <c r="C21" s="50">
        <v>15</v>
      </c>
      <c r="D21" s="50">
        <v>5</v>
      </c>
      <c r="E21" s="50">
        <v>4</v>
      </c>
      <c r="F21" s="50">
        <v>14</v>
      </c>
      <c r="G21" s="50">
        <v>0</v>
      </c>
      <c r="H21" s="50">
        <v>0</v>
      </c>
      <c r="I21" s="50">
        <v>4</v>
      </c>
      <c r="J21" s="50">
        <v>3</v>
      </c>
      <c r="K21" s="50">
        <v>0</v>
      </c>
      <c r="L21" s="50">
        <v>0</v>
      </c>
      <c r="M21" s="50">
        <v>185</v>
      </c>
      <c r="N21" s="50">
        <v>0</v>
      </c>
      <c r="O21" s="15">
        <f t="shared" si="0"/>
        <v>45</v>
      </c>
      <c r="P21" s="15">
        <f t="shared" si="1"/>
        <v>230</v>
      </c>
      <c r="R21" s="36" t="s">
        <v>20</v>
      </c>
      <c r="S21" s="34">
        <f t="shared" ref="S21:AF21" si="13">SUM(C54:C57)</f>
        <v>269</v>
      </c>
      <c r="T21" s="17">
        <f t="shared" si="13"/>
        <v>30</v>
      </c>
      <c r="U21" s="17">
        <f t="shared" si="13"/>
        <v>19</v>
      </c>
      <c r="V21" s="17">
        <f t="shared" si="13"/>
        <v>73</v>
      </c>
      <c r="W21" s="17">
        <f t="shared" si="13"/>
        <v>7</v>
      </c>
      <c r="X21" s="17">
        <f t="shared" si="13"/>
        <v>1</v>
      </c>
      <c r="Y21" s="17">
        <f t="shared" si="13"/>
        <v>20</v>
      </c>
      <c r="Z21" s="17">
        <f t="shared" si="13"/>
        <v>10</v>
      </c>
      <c r="AA21" s="17">
        <f t="shared" si="13"/>
        <v>5</v>
      </c>
      <c r="AB21" s="17">
        <f t="shared" si="13"/>
        <v>3</v>
      </c>
      <c r="AC21" s="17">
        <f t="shared" si="13"/>
        <v>536</v>
      </c>
      <c r="AD21" s="17">
        <f t="shared" si="13"/>
        <v>0</v>
      </c>
      <c r="AE21" s="31">
        <f t="shared" si="13"/>
        <v>437</v>
      </c>
      <c r="AF21" s="31">
        <f t="shared" si="13"/>
        <v>973</v>
      </c>
    </row>
    <row r="22" spans="2:32" ht="23.1" customHeight="1" x14ac:dyDescent="0.25">
      <c r="B22" s="23" t="s">
        <v>49</v>
      </c>
      <c r="C22" s="50">
        <v>45</v>
      </c>
      <c r="D22" s="50">
        <v>6</v>
      </c>
      <c r="E22" s="50">
        <v>5</v>
      </c>
      <c r="F22" s="50">
        <v>13</v>
      </c>
      <c r="G22" s="50">
        <v>2</v>
      </c>
      <c r="H22" s="50">
        <v>0</v>
      </c>
      <c r="I22" s="50">
        <v>3</v>
      </c>
      <c r="J22" s="50">
        <v>1</v>
      </c>
      <c r="K22" s="50">
        <v>2</v>
      </c>
      <c r="L22" s="50">
        <v>0</v>
      </c>
      <c r="M22" s="50">
        <v>135</v>
      </c>
      <c r="N22" s="50">
        <v>0</v>
      </c>
      <c r="O22" s="15">
        <f t="shared" si="0"/>
        <v>77</v>
      </c>
      <c r="P22" s="15">
        <f t="shared" si="1"/>
        <v>212</v>
      </c>
      <c r="R22" s="38" t="s">
        <v>90</v>
      </c>
      <c r="S22" s="39">
        <f>MAX(S10:S12)</f>
        <v>116</v>
      </c>
      <c r="T22" s="39">
        <f t="shared" ref="T22:AF22" si="14">MAX(T10:T12)</f>
        <v>18</v>
      </c>
      <c r="U22" s="39">
        <f t="shared" si="14"/>
        <v>22</v>
      </c>
      <c r="V22" s="39">
        <f t="shared" si="14"/>
        <v>58</v>
      </c>
      <c r="W22" s="39">
        <f t="shared" si="14"/>
        <v>2</v>
      </c>
      <c r="X22" s="39">
        <f t="shared" si="14"/>
        <v>0</v>
      </c>
      <c r="Y22" s="39">
        <f t="shared" si="14"/>
        <v>23</v>
      </c>
      <c r="Z22" s="39">
        <f t="shared" si="14"/>
        <v>8</v>
      </c>
      <c r="AA22" s="39">
        <f t="shared" si="14"/>
        <v>5</v>
      </c>
      <c r="AB22" s="39">
        <f t="shared" si="14"/>
        <v>7</v>
      </c>
      <c r="AC22" s="39">
        <f t="shared" si="14"/>
        <v>637</v>
      </c>
      <c r="AD22" s="39">
        <f t="shared" si="14"/>
        <v>0</v>
      </c>
      <c r="AE22" s="40">
        <f t="shared" si="14"/>
        <v>250</v>
      </c>
      <c r="AF22" s="40">
        <f t="shared" si="14"/>
        <v>887</v>
      </c>
    </row>
    <row r="23" spans="2:32" ht="23.1" customHeight="1" x14ac:dyDescent="0.25">
      <c r="B23" s="23" t="s">
        <v>50</v>
      </c>
      <c r="C23" s="50">
        <v>50</v>
      </c>
      <c r="D23" s="50">
        <v>1</v>
      </c>
      <c r="E23" s="50">
        <v>5</v>
      </c>
      <c r="F23" s="50">
        <v>8</v>
      </c>
      <c r="G23" s="50">
        <v>2</v>
      </c>
      <c r="H23" s="50">
        <v>0</v>
      </c>
      <c r="I23" s="50">
        <v>5</v>
      </c>
      <c r="J23" s="50">
        <v>8</v>
      </c>
      <c r="K23" s="50">
        <v>0</v>
      </c>
      <c r="L23" s="50">
        <v>0</v>
      </c>
      <c r="M23" s="50">
        <v>165</v>
      </c>
      <c r="N23" s="50">
        <v>0</v>
      </c>
      <c r="O23" s="15">
        <f t="shared" si="0"/>
        <v>79</v>
      </c>
      <c r="P23" s="15">
        <f t="shared" si="1"/>
        <v>244</v>
      </c>
      <c r="R23" s="38" t="s">
        <v>91</v>
      </c>
      <c r="S23" s="39">
        <f>MAX(S13:S18)</f>
        <v>317</v>
      </c>
      <c r="T23" s="39">
        <f t="shared" ref="T23:AF23" si="15">MAX(T13:T18)</f>
        <v>36</v>
      </c>
      <c r="U23" s="39">
        <f t="shared" si="15"/>
        <v>29</v>
      </c>
      <c r="V23" s="39">
        <f t="shared" si="15"/>
        <v>50</v>
      </c>
      <c r="W23" s="39">
        <f t="shared" si="15"/>
        <v>6</v>
      </c>
      <c r="X23" s="39">
        <f t="shared" si="15"/>
        <v>1</v>
      </c>
      <c r="Y23" s="39">
        <f t="shared" si="15"/>
        <v>31</v>
      </c>
      <c r="Z23" s="39">
        <f t="shared" si="15"/>
        <v>18</v>
      </c>
      <c r="AA23" s="39">
        <f t="shared" si="15"/>
        <v>21</v>
      </c>
      <c r="AB23" s="39">
        <f t="shared" si="15"/>
        <v>7</v>
      </c>
      <c r="AC23" s="39">
        <f t="shared" si="15"/>
        <v>560</v>
      </c>
      <c r="AD23" s="39">
        <f t="shared" si="15"/>
        <v>0</v>
      </c>
      <c r="AE23" s="40">
        <f t="shared" si="15"/>
        <v>462</v>
      </c>
      <c r="AF23" s="40">
        <f t="shared" si="15"/>
        <v>980</v>
      </c>
    </row>
    <row r="24" spans="2:32" ht="23.1" customHeight="1" x14ac:dyDescent="0.25">
      <c r="B24" s="23" t="s">
        <v>51</v>
      </c>
      <c r="C24" s="50">
        <v>70</v>
      </c>
      <c r="D24" s="50">
        <v>1</v>
      </c>
      <c r="E24" s="50">
        <v>8</v>
      </c>
      <c r="F24" s="50">
        <v>2</v>
      </c>
      <c r="G24" s="50">
        <v>0</v>
      </c>
      <c r="H24" s="50">
        <v>0</v>
      </c>
      <c r="I24" s="50">
        <v>5</v>
      </c>
      <c r="J24" s="50">
        <v>5</v>
      </c>
      <c r="K24" s="50">
        <v>4</v>
      </c>
      <c r="L24" s="50">
        <v>1</v>
      </c>
      <c r="M24" s="50">
        <v>120</v>
      </c>
      <c r="N24" s="50">
        <v>0</v>
      </c>
      <c r="O24" s="15">
        <f t="shared" si="0"/>
        <v>96</v>
      </c>
      <c r="P24" s="15">
        <f t="shared" si="1"/>
        <v>216</v>
      </c>
      <c r="R24" s="38" t="s">
        <v>92</v>
      </c>
      <c r="S24" s="39">
        <f>MAX(S19:S21)</f>
        <v>300</v>
      </c>
      <c r="T24" s="39">
        <f t="shared" ref="T24:AF24" si="16">MAX(T19:T21)</f>
        <v>30</v>
      </c>
      <c r="U24" s="39">
        <f t="shared" si="16"/>
        <v>34</v>
      </c>
      <c r="V24" s="39">
        <f t="shared" si="16"/>
        <v>73</v>
      </c>
      <c r="W24" s="39">
        <f t="shared" si="16"/>
        <v>7</v>
      </c>
      <c r="X24" s="39">
        <f t="shared" si="16"/>
        <v>2</v>
      </c>
      <c r="Y24" s="39">
        <f t="shared" si="16"/>
        <v>20</v>
      </c>
      <c r="Z24" s="39">
        <f t="shared" si="16"/>
        <v>10</v>
      </c>
      <c r="AA24" s="39">
        <f t="shared" si="16"/>
        <v>29</v>
      </c>
      <c r="AB24" s="39">
        <f t="shared" si="16"/>
        <v>4</v>
      </c>
      <c r="AC24" s="39">
        <f t="shared" si="16"/>
        <v>610</v>
      </c>
      <c r="AD24" s="39">
        <f t="shared" si="16"/>
        <v>0</v>
      </c>
      <c r="AE24" s="40">
        <f t="shared" si="16"/>
        <v>476</v>
      </c>
      <c r="AF24" s="40">
        <f t="shared" si="16"/>
        <v>1086</v>
      </c>
    </row>
    <row r="25" spans="2:32" ht="23.1" customHeight="1" x14ac:dyDescent="0.25">
      <c r="B25" s="23" t="s">
        <v>52</v>
      </c>
      <c r="C25" s="50">
        <v>51</v>
      </c>
      <c r="D25" s="50">
        <v>6</v>
      </c>
      <c r="E25" s="50">
        <v>4</v>
      </c>
      <c r="F25" s="50">
        <v>3</v>
      </c>
      <c r="G25" s="50">
        <v>1</v>
      </c>
      <c r="H25" s="50">
        <v>0</v>
      </c>
      <c r="I25" s="50">
        <v>3</v>
      </c>
      <c r="J25" s="50">
        <v>4</v>
      </c>
      <c r="K25" s="50">
        <v>5</v>
      </c>
      <c r="L25" s="50">
        <v>0</v>
      </c>
      <c r="M25" s="50">
        <v>140</v>
      </c>
      <c r="N25" s="50">
        <v>0</v>
      </c>
      <c r="O25" s="15">
        <f t="shared" si="0"/>
        <v>77</v>
      </c>
      <c r="P25" s="15">
        <f t="shared" si="1"/>
        <v>217</v>
      </c>
      <c r="R25" s="37" t="s">
        <v>85</v>
      </c>
      <c r="S25" s="35">
        <f t="shared" ref="S25:AF25" si="17">SUM(S10:S12)</f>
        <v>288</v>
      </c>
      <c r="T25" s="16">
        <f t="shared" si="17"/>
        <v>39</v>
      </c>
      <c r="U25" s="16">
        <f t="shared" si="17"/>
        <v>48</v>
      </c>
      <c r="V25" s="16">
        <f t="shared" si="17"/>
        <v>156</v>
      </c>
      <c r="W25" s="16">
        <f t="shared" si="17"/>
        <v>5</v>
      </c>
      <c r="X25" s="16">
        <f t="shared" si="17"/>
        <v>0</v>
      </c>
      <c r="Y25" s="16">
        <f t="shared" si="17"/>
        <v>54</v>
      </c>
      <c r="Z25" s="16">
        <f t="shared" si="17"/>
        <v>21</v>
      </c>
      <c r="AA25" s="16">
        <f t="shared" si="17"/>
        <v>13</v>
      </c>
      <c r="AB25" s="16">
        <f t="shared" si="17"/>
        <v>13</v>
      </c>
      <c r="AC25" s="16">
        <f t="shared" si="17"/>
        <v>1710</v>
      </c>
      <c r="AD25" s="16">
        <f t="shared" si="17"/>
        <v>0</v>
      </c>
      <c r="AE25" s="32">
        <f t="shared" si="17"/>
        <v>637</v>
      </c>
      <c r="AF25" s="32">
        <f t="shared" si="17"/>
        <v>2347</v>
      </c>
    </row>
    <row r="26" spans="2:32" ht="23.1" customHeight="1" x14ac:dyDescent="0.25">
      <c r="B26" s="23" t="s">
        <v>53</v>
      </c>
      <c r="C26" s="50">
        <v>60</v>
      </c>
      <c r="D26" s="50">
        <v>5</v>
      </c>
      <c r="E26" s="50">
        <v>3</v>
      </c>
      <c r="F26" s="50">
        <v>16</v>
      </c>
      <c r="G26" s="50">
        <v>1</v>
      </c>
      <c r="H26" s="50">
        <v>0</v>
      </c>
      <c r="I26" s="50">
        <v>2</v>
      </c>
      <c r="J26" s="50">
        <v>3</v>
      </c>
      <c r="K26" s="50">
        <v>1</v>
      </c>
      <c r="L26" s="50">
        <v>0</v>
      </c>
      <c r="M26" s="50">
        <v>143</v>
      </c>
      <c r="N26" s="50">
        <v>0</v>
      </c>
      <c r="O26" s="15">
        <f t="shared" si="0"/>
        <v>91</v>
      </c>
      <c r="P26" s="15">
        <f t="shared" si="1"/>
        <v>234</v>
      </c>
      <c r="R26" s="28" t="s">
        <v>86</v>
      </c>
      <c r="S26" s="16">
        <f t="shared" ref="S26:AF26" si="18">SUM(S13:S18)</f>
        <v>1445</v>
      </c>
      <c r="T26" s="16">
        <f t="shared" si="18"/>
        <v>161</v>
      </c>
      <c r="U26" s="16">
        <f t="shared" si="18"/>
        <v>136</v>
      </c>
      <c r="V26" s="16">
        <f t="shared" si="18"/>
        <v>244</v>
      </c>
      <c r="W26" s="16">
        <f t="shared" si="18"/>
        <v>23</v>
      </c>
      <c r="X26" s="16">
        <f t="shared" si="18"/>
        <v>2</v>
      </c>
      <c r="Y26" s="16">
        <f t="shared" si="18"/>
        <v>100</v>
      </c>
      <c r="Z26" s="16">
        <f t="shared" si="18"/>
        <v>49</v>
      </c>
      <c r="AA26" s="16">
        <f t="shared" si="18"/>
        <v>57</v>
      </c>
      <c r="AB26" s="16">
        <f t="shared" si="18"/>
        <v>16</v>
      </c>
      <c r="AC26" s="16">
        <f t="shared" si="18"/>
        <v>2954</v>
      </c>
      <c r="AD26" s="16">
        <f t="shared" si="18"/>
        <v>0</v>
      </c>
      <c r="AE26" s="32">
        <f t="shared" si="18"/>
        <v>2233</v>
      </c>
      <c r="AF26" s="32">
        <f t="shared" si="18"/>
        <v>5187</v>
      </c>
    </row>
    <row r="27" spans="2:32" ht="23.1" customHeight="1" x14ac:dyDescent="0.25">
      <c r="B27" s="23" t="s">
        <v>54</v>
      </c>
      <c r="C27" s="50">
        <v>46</v>
      </c>
      <c r="D27" s="50">
        <v>3</v>
      </c>
      <c r="E27" s="50">
        <v>7</v>
      </c>
      <c r="F27" s="50">
        <v>10</v>
      </c>
      <c r="G27" s="50">
        <v>1</v>
      </c>
      <c r="H27" s="50">
        <v>0</v>
      </c>
      <c r="I27" s="50">
        <v>3</v>
      </c>
      <c r="J27" s="50">
        <v>1</v>
      </c>
      <c r="K27" s="50">
        <v>2</v>
      </c>
      <c r="L27" s="50">
        <v>1</v>
      </c>
      <c r="M27" s="50">
        <v>125</v>
      </c>
      <c r="N27" s="50">
        <v>0</v>
      </c>
      <c r="O27" s="15">
        <f t="shared" si="0"/>
        <v>74</v>
      </c>
      <c r="P27" s="15">
        <f t="shared" si="1"/>
        <v>199</v>
      </c>
      <c r="R27" s="29" t="s">
        <v>87</v>
      </c>
      <c r="S27" s="16">
        <f t="shared" ref="S27:AF27" si="19">SUM(S19:S21)</f>
        <v>843</v>
      </c>
      <c r="T27" s="16">
        <f t="shared" si="19"/>
        <v>89</v>
      </c>
      <c r="U27" s="16">
        <f t="shared" si="19"/>
        <v>80</v>
      </c>
      <c r="V27" s="16">
        <f t="shared" si="19"/>
        <v>186</v>
      </c>
      <c r="W27" s="16">
        <f t="shared" si="19"/>
        <v>13</v>
      </c>
      <c r="X27" s="16">
        <f t="shared" si="19"/>
        <v>4</v>
      </c>
      <c r="Y27" s="16">
        <f t="shared" si="19"/>
        <v>50</v>
      </c>
      <c r="Z27" s="16">
        <f t="shared" si="19"/>
        <v>30</v>
      </c>
      <c r="AA27" s="16">
        <f t="shared" si="19"/>
        <v>41</v>
      </c>
      <c r="AB27" s="16">
        <f t="shared" si="19"/>
        <v>10</v>
      </c>
      <c r="AC27" s="16">
        <f t="shared" si="19"/>
        <v>1717</v>
      </c>
      <c r="AD27" s="16">
        <f t="shared" si="19"/>
        <v>0</v>
      </c>
      <c r="AE27" s="32">
        <f t="shared" si="19"/>
        <v>1346</v>
      </c>
      <c r="AF27" s="32">
        <f t="shared" si="19"/>
        <v>3063</v>
      </c>
    </row>
    <row r="28" spans="2:32" ht="23.1" customHeight="1" x14ac:dyDescent="0.25">
      <c r="B28" s="23" t="s">
        <v>55</v>
      </c>
      <c r="C28" s="50">
        <v>36</v>
      </c>
      <c r="D28" s="50">
        <v>2</v>
      </c>
      <c r="E28" s="50">
        <v>6</v>
      </c>
      <c r="F28" s="50">
        <v>8</v>
      </c>
      <c r="G28" s="50">
        <v>2</v>
      </c>
      <c r="H28" s="50">
        <v>0</v>
      </c>
      <c r="I28" s="50">
        <v>4</v>
      </c>
      <c r="J28" s="50">
        <v>5</v>
      </c>
      <c r="K28" s="50">
        <v>1</v>
      </c>
      <c r="L28" s="50">
        <v>0</v>
      </c>
      <c r="M28" s="50">
        <v>90</v>
      </c>
      <c r="N28" s="50">
        <v>0</v>
      </c>
      <c r="O28" s="15">
        <f t="shared" si="0"/>
        <v>64</v>
      </c>
      <c r="P28" s="15">
        <f t="shared" si="1"/>
        <v>154</v>
      </c>
      <c r="R28" s="5" t="s">
        <v>17</v>
      </c>
      <c r="S28" s="16">
        <f t="shared" ref="S28:AF28" si="20">SUM(S10:S21)</f>
        <v>2576</v>
      </c>
      <c r="T28" s="16">
        <f t="shared" si="20"/>
        <v>289</v>
      </c>
      <c r="U28" s="16">
        <f t="shared" si="20"/>
        <v>264</v>
      </c>
      <c r="V28" s="16">
        <f t="shared" si="20"/>
        <v>586</v>
      </c>
      <c r="W28" s="16">
        <f t="shared" si="20"/>
        <v>41</v>
      </c>
      <c r="X28" s="16">
        <f t="shared" si="20"/>
        <v>6</v>
      </c>
      <c r="Y28" s="16">
        <f t="shared" si="20"/>
        <v>204</v>
      </c>
      <c r="Z28" s="16">
        <f t="shared" si="20"/>
        <v>100</v>
      </c>
      <c r="AA28" s="16">
        <f t="shared" si="20"/>
        <v>111</v>
      </c>
      <c r="AB28" s="16">
        <f t="shared" si="20"/>
        <v>39</v>
      </c>
      <c r="AC28" s="16">
        <f t="shared" si="20"/>
        <v>6381</v>
      </c>
      <c r="AD28" s="16">
        <f t="shared" si="20"/>
        <v>0</v>
      </c>
      <c r="AE28" s="32">
        <f t="shared" si="20"/>
        <v>4216</v>
      </c>
      <c r="AF28" s="32">
        <f t="shared" si="20"/>
        <v>10597</v>
      </c>
    </row>
    <row r="29" spans="2:32" ht="23.1" customHeight="1" x14ac:dyDescent="0.25">
      <c r="B29" s="23" t="s">
        <v>56</v>
      </c>
      <c r="C29" s="50">
        <v>23</v>
      </c>
      <c r="D29" s="50">
        <v>7</v>
      </c>
      <c r="E29" s="50">
        <v>5</v>
      </c>
      <c r="F29" s="50">
        <v>10</v>
      </c>
      <c r="G29" s="50">
        <v>0</v>
      </c>
      <c r="H29" s="50">
        <v>0</v>
      </c>
      <c r="I29" s="50">
        <v>5</v>
      </c>
      <c r="J29" s="50">
        <v>4</v>
      </c>
      <c r="K29" s="50">
        <v>2</v>
      </c>
      <c r="L29" s="50">
        <v>0</v>
      </c>
      <c r="M29" s="50">
        <v>110</v>
      </c>
      <c r="N29" s="50">
        <v>0</v>
      </c>
      <c r="O29" s="15">
        <f t="shared" si="0"/>
        <v>56</v>
      </c>
      <c r="P29" s="15">
        <f t="shared" si="1"/>
        <v>166</v>
      </c>
      <c r="R29"/>
      <c r="S29" s="20"/>
      <c r="T29" s="19"/>
    </row>
    <row r="30" spans="2:32" ht="23.1" customHeight="1" x14ac:dyDescent="0.25">
      <c r="B30" s="23" t="s">
        <v>57</v>
      </c>
      <c r="C30" s="50">
        <v>30</v>
      </c>
      <c r="D30" s="50">
        <v>2</v>
      </c>
      <c r="E30" s="50">
        <v>4</v>
      </c>
      <c r="F30" s="50">
        <v>4</v>
      </c>
      <c r="G30" s="50">
        <v>2</v>
      </c>
      <c r="H30" s="50">
        <v>0</v>
      </c>
      <c r="I30" s="50">
        <v>1</v>
      </c>
      <c r="J30" s="50">
        <v>1</v>
      </c>
      <c r="K30" s="50">
        <v>3</v>
      </c>
      <c r="L30" s="50">
        <v>2</v>
      </c>
      <c r="M30" s="50">
        <v>170</v>
      </c>
      <c r="N30" s="50">
        <v>0</v>
      </c>
      <c r="O30" s="15">
        <f t="shared" si="0"/>
        <v>49</v>
      </c>
      <c r="P30" s="15">
        <f t="shared" si="1"/>
        <v>219</v>
      </c>
    </row>
    <row r="31" spans="2:32" ht="23.1" customHeight="1" x14ac:dyDescent="0.25">
      <c r="B31" s="24" t="s">
        <v>58</v>
      </c>
      <c r="C31" s="50">
        <v>50</v>
      </c>
      <c r="D31" s="50">
        <v>11</v>
      </c>
      <c r="E31" s="50">
        <v>5</v>
      </c>
      <c r="F31" s="50">
        <v>16</v>
      </c>
      <c r="G31" s="50">
        <v>0</v>
      </c>
      <c r="H31" s="50">
        <v>0</v>
      </c>
      <c r="I31" s="50">
        <v>4</v>
      </c>
      <c r="J31" s="50">
        <v>2</v>
      </c>
      <c r="K31" s="50">
        <v>4</v>
      </c>
      <c r="L31" s="50">
        <v>2</v>
      </c>
      <c r="M31" s="50">
        <v>80</v>
      </c>
      <c r="N31" s="50">
        <v>0</v>
      </c>
      <c r="O31" s="15">
        <f t="shared" si="0"/>
        <v>94</v>
      </c>
      <c r="P31" s="15">
        <f t="shared" si="1"/>
        <v>174</v>
      </c>
    </row>
    <row r="32" spans="2:32" ht="23.1" customHeight="1" x14ac:dyDescent="0.25">
      <c r="B32" s="24" t="s">
        <v>59</v>
      </c>
      <c r="C32" s="50">
        <v>58</v>
      </c>
      <c r="D32" s="50">
        <v>12</v>
      </c>
      <c r="E32" s="50">
        <v>3</v>
      </c>
      <c r="F32" s="50">
        <v>16</v>
      </c>
      <c r="G32" s="50">
        <v>1</v>
      </c>
      <c r="H32" s="50">
        <v>0</v>
      </c>
      <c r="I32" s="50">
        <v>4</v>
      </c>
      <c r="J32" s="50">
        <v>2</v>
      </c>
      <c r="K32" s="50">
        <v>7</v>
      </c>
      <c r="L32" s="50">
        <v>2</v>
      </c>
      <c r="M32" s="50">
        <v>112</v>
      </c>
      <c r="N32" s="50">
        <v>0</v>
      </c>
      <c r="O32" s="15">
        <f t="shared" si="0"/>
        <v>105</v>
      </c>
      <c r="P32" s="15">
        <f t="shared" si="1"/>
        <v>217</v>
      </c>
    </row>
    <row r="33" spans="2:20" ht="23.1" customHeight="1" x14ac:dyDescent="0.25">
      <c r="B33" s="23" t="s">
        <v>60</v>
      </c>
      <c r="C33" s="50">
        <v>63</v>
      </c>
      <c r="D33" s="50">
        <v>10</v>
      </c>
      <c r="E33" s="50">
        <v>12</v>
      </c>
      <c r="F33" s="50">
        <v>14</v>
      </c>
      <c r="G33" s="50">
        <v>0</v>
      </c>
      <c r="H33" s="50">
        <v>1</v>
      </c>
      <c r="I33" s="50">
        <v>4</v>
      </c>
      <c r="J33" s="50">
        <v>1</v>
      </c>
      <c r="K33" s="50">
        <v>7</v>
      </c>
      <c r="L33" s="50">
        <v>1</v>
      </c>
      <c r="M33" s="50">
        <v>155</v>
      </c>
      <c r="N33" s="50">
        <v>0</v>
      </c>
      <c r="O33" s="15">
        <f t="shared" si="0"/>
        <v>113</v>
      </c>
      <c r="P33" s="15">
        <f t="shared" si="1"/>
        <v>268</v>
      </c>
    </row>
    <row r="34" spans="2:20" ht="23.1" customHeight="1" x14ac:dyDescent="0.25">
      <c r="B34" s="24" t="s">
        <v>61</v>
      </c>
      <c r="C34" s="50">
        <v>70</v>
      </c>
      <c r="D34" s="50">
        <v>9</v>
      </c>
      <c r="E34" s="50">
        <v>12</v>
      </c>
      <c r="F34" s="50">
        <v>16</v>
      </c>
      <c r="G34" s="50">
        <v>0</v>
      </c>
      <c r="H34" s="50">
        <v>0</v>
      </c>
      <c r="I34" s="50">
        <v>9</v>
      </c>
      <c r="J34" s="50">
        <v>0</v>
      </c>
      <c r="K34" s="50">
        <v>0</v>
      </c>
      <c r="L34" s="50">
        <v>0</v>
      </c>
      <c r="M34" s="50">
        <v>120</v>
      </c>
      <c r="N34" s="50">
        <v>0</v>
      </c>
      <c r="O34" s="15">
        <f t="shared" si="0"/>
        <v>116</v>
      </c>
      <c r="P34" s="15">
        <f t="shared" si="1"/>
        <v>236</v>
      </c>
    </row>
    <row r="35" spans="2:20" ht="23.1" customHeight="1" x14ac:dyDescent="0.25">
      <c r="B35" s="24" t="s">
        <v>62</v>
      </c>
      <c r="C35" s="50">
        <v>63</v>
      </c>
      <c r="D35" s="50">
        <v>8</v>
      </c>
      <c r="E35" s="50">
        <v>7</v>
      </c>
      <c r="F35" s="50">
        <v>13</v>
      </c>
      <c r="G35" s="50">
        <v>1</v>
      </c>
      <c r="H35" s="50">
        <v>0</v>
      </c>
      <c r="I35" s="50">
        <v>2</v>
      </c>
      <c r="J35" s="50">
        <v>1</v>
      </c>
      <c r="K35" s="50">
        <v>3</v>
      </c>
      <c r="L35" s="50">
        <v>0</v>
      </c>
      <c r="M35" s="50">
        <v>135</v>
      </c>
      <c r="N35" s="50">
        <v>0</v>
      </c>
      <c r="O35" s="15">
        <f t="shared" si="0"/>
        <v>98</v>
      </c>
      <c r="P35" s="15">
        <f t="shared" si="1"/>
        <v>233</v>
      </c>
    </row>
    <row r="36" spans="2:20" ht="23.1" customHeight="1" x14ac:dyDescent="0.25">
      <c r="B36" s="24" t="s">
        <v>63</v>
      </c>
      <c r="C36" s="50">
        <v>66</v>
      </c>
      <c r="D36" s="50">
        <v>3</v>
      </c>
      <c r="E36" s="50">
        <v>4</v>
      </c>
      <c r="F36" s="50">
        <v>10</v>
      </c>
      <c r="G36" s="50">
        <v>1</v>
      </c>
      <c r="H36" s="50">
        <v>0</v>
      </c>
      <c r="I36" s="50">
        <v>3</v>
      </c>
      <c r="J36" s="50">
        <v>0</v>
      </c>
      <c r="K36" s="50">
        <v>4</v>
      </c>
      <c r="L36" s="50">
        <v>1</v>
      </c>
      <c r="M36" s="50">
        <v>150</v>
      </c>
      <c r="N36" s="50">
        <v>0</v>
      </c>
      <c r="O36" s="15">
        <f t="shared" si="0"/>
        <v>92</v>
      </c>
      <c r="P36" s="15">
        <f t="shared" si="1"/>
        <v>242</v>
      </c>
    </row>
    <row r="37" spans="2:20" ht="23.1" customHeight="1" x14ac:dyDescent="0.25">
      <c r="B37" s="23" t="s">
        <v>64</v>
      </c>
      <c r="C37" s="50">
        <v>70</v>
      </c>
      <c r="D37" s="50">
        <v>4</v>
      </c>
      <c r="E37" s="50">
        <v>6</v>
      </c>
      <c r="F37" s="50">
        <v>9</v>
      </c>
      <c r="G37" s="50">
        <v>1</v>
      </c>
      <c r="H37" s="50">
        <v>0</v>
      </c>
      <c r="I37" s="50">
        <v>4</v>
      </c>
      <c r="J37" s="50">
        <v>2</v>
      </c>
      <c r="K37" s="50">
        <v>1</v>
      </c>
      <c r="L37" s="50">
        <v>1</v>
      </c>
      <c r="M37" s="50">
        <v>155</v>
      </c>
      <c r="N37" s="50">
        <v>0</v>
      </c>
      <c r="O37" s="15">
        <f t="shared" si="0"/>
        <v>98</v>
      </c>
      <c r="P37" s="15">
        <f t="shared" si="1"/>
        <v>253</v>
      </c>
    </row>
    <row r="38" spans="2:20" ht="23.1" customHeight="1" x14ac:dyDescent="0.25">
      <c r="B38" s="24" t="s">
        <v>65</v>
      </c>
      <c r="C38" s="50">
        <v>75</v>
      </c>
      <c r="D38" s="50">
        <v>6</v>
      </c>
      <c r="E38" s="50">
        <v>3</v>
      </c>
      <c r="F38" s="50">
        <v>5</v>
      </c>
      <c r="G38" s="50">
        <v>2</v>
      </c>
      <c r="H38" s="50">
        <v>0</v>
      </c>
      <c r="I38" s="50">
        <v>3</v>
      </c>
      <c r="J38" s="50">
        <v>1</v>
      </c>
      <c r="K38" s="50">
        <v>1</v>
      </c>
      <c r="L38" s="50">
        <v>0</v>
      </c>
      <c r="M38" s="50">
        <v>75</v>
      </c>
      <c r="N38" s="50">
        <v>0</v>
      </c>
      <c r="O38" s="15">
        <f t="shared" si="0"/>
        <v>96</v>
      </c>
      <c r="P38" s="15">
        <f t="shared" si="1"/>
        <v>171</v>
      </c>
    </row>
    <row r="39" spans="2:20" ht="23.1" customHeight="1" x14ac:dyDescent="0.25">
      <c r="B39" s="24" t="s">
        <v>66</v>
      </c>
      <c r="C39" s="50">
        <v>75</v>
      </c>
      <c r="D39" s="50">
        <v>9</v>
      </c>
      <c r="E39" s="50">
        <v>2</v>
      </c>
      <c r="F39" s="50">
        <v>7</v>
      </c>
      <c r="G39" s="50">
        <v>1</v>
      </c>
      <c r="H39" s="50">
        <v>1</v>
      </c>
      <c r="I39" s="50">
        <v>2</v>
      </c>
      <c r="J39" s="50">
        <v>2</v>
      </c>
      <c r="K39" s="50">
        <v>5</v>
      </c>
      <c r="L39" s="50">
        <v>0</v>
      </c>
      <c r="M39" s="50">
        <v>106</v>
      </c>
      <c r="N39" s="50">
        <v>0</v>
      </c>
      <c r="O39" s="15">
        <f t="shared" si="0"/>
        <v>104</v>
      </c>
      <c r="P39" s="15">
        <f t="shared" si="1"/>
        <v>210</v>
      </c>
    </row>
    <row r="40" spans="2:20" ht="23.1" customHeight="1" x14ac:dyDescent="0.25">
      <c r="B40" s="24" t="s">
        <v>67</v>
      </c>
      <c r="C40" s="50">
        <v>67</v>
      </c>
      <c r="D40" s="50">
        <v>15</v>
      </c>
      <c r="E40" s="50">
        <v>6</v>
      </c>
      <c r="F40" s="50">
        <v>6</v>
      </c>
      <c r="G40" s="50">
        <v>2</v>
      </c>
      <c r="H40" s="50">
        <v>0</v>
      </c>
      <c r="I40" s="50">
        <v>2</v>
      </c>
      <c r="J40" s="50">
        <v>3</v>
      </c>
      <c r="K40" s="50">
        <v>1</v>
      </c>
      <c r="L40" s="50">
        <v>1</v>
      </c>
      <c r="M40" s="50">
        <v>100</v>
      </c>
      <c r="N40" s="50">
        <v>0</v>
      </c>
      <c r="O40" s="15">
        <f t="shared" si="0"/>
        <v>103</v>
      </c>
      <c r="P40" s="15">
        <f t="shared" si="1"/>
        <v>203</v>
      </c>
    </row>
    <row r="41" spans="2:20" ht="23.1" customHeight="1" x14ac:dyDescent="0.25">
      <c r="B41" s="23" t="s">
        <v>68</v>
      </c>
      <c r="C41" s="50">
        <v>60</v>
      </c>
      <c r="D41" s="50">
        <v>6</v>
      </c>
      <c r="E41" s="50">
        <v>9</v>
      </c>
      <c r="F41" s="50">
        <v>9</v>
      </c>
      <c r="G41" s="50">
        <v>1</v>
      </c>
      <c r="H41" s="50">
        <v>0</v>
      </c>
      <c r="I41" s="50">
        <v>1</v>
      </c>
      <c r="J41" s="50">
        <v>0</v>
      </c>
      <c r="K41" s="50">
        <v>2</v>
      </c>
      <c r="L41" s="50">
        <v>1</v>
      </c>
      <c r="M41" s="50">
        <v>50</v>
      </c>
      <c r="N41" s="50">
        <v>0</v>
      </c>
      <c r="O41" s="15">
        <f t="shared" si="0"/>
        <v>89</v>
      </c>
      <c r="P41" s="15">
        <f t="shared" si="1"/>
        <v>139</v>
      </c>
    </row>
    <row r="42" spans="2:20" ht="23.1" customHeight="1" x14ac:dyDescent="0.25">
      <c r="B42" s="24" t="s">
        <v>69</v>
      </c>
      <c r="C42" s="50">
        <v>95</v>
      </c>
      <c r="D42" s="50">
        <v>10</v>
      </c>
      <c r="E42" s="50">
        <v>7</v>
      </c>
      <c r="F42" s="50">
        <v>20</v>
      </c>
      <c r="G42" s="50">
        <v>0</v>
      </c>
      <c r="H42" s="50">
        <v>0</v>
      </c>
      <c r="I42" s="50">
        <v>9</v>
      </c>
      <c r="J42" s="50">
        <v>1</v>
      </c>
      <c r="K42" s="50">
        <v>2</v>
      </c>
      <c r="L42" s="50">
        <v>0</v>
      </c>
      <c r="M42" s="50">
        <v>150</v>
      </c>
      <c r="N42" s="50">
        <v>0</v>
      </c>
      <c r="O42" s="15">
        <f t="shared" si="0"/>
        <v>144</v>
      </c>
      <c r="P42" s="15">
        <f t="shared" si="1"/>
        <v>294</v>
      </c>
    </row>
    <row r="43" spans="2:20" ht="23.1" customHeight="1" x14ac:dyDescent="0.25">
      <c r="B43" s="23" t="s">
        <v>70</v>
      </c>
      <c r="C43" s="50">
        <v>85</v>
      </c>
      <c r="D43" s="50">
        <v>8</v>
      </c>
      <c r="E43" s="50">
        <v>7</v>
      </c>
      <c r="F43" s="50">
        <v>5</v>
      </c>
      <c r="G43" s="50">
        <v>1</v>
      </c>
      <c r="H43" s="50">
        <v>0</v>
      </c>
      <c r="I43" s="50">
        <v>5</v>
      </c>
      <c r="J43" s="50">
        <v>1</v>
      </c>
      <c r="K43" s="50">
        <v>0</v>
      </c>
      <c r="L43" s="50">
        <v>0</v>
      </c>
      <c r="M43" s="50">
        <v>135</v>
      </c>
      <c r="N43" s="50">
        <v>0</v>
      </c>
      <c r="O43" s="15">
        <f t="shared" si="0"/>
        <v>112</v>
      </c>
      <c r="P43" s="15">
        <f t="shared" si="1"/>
        <v>247</v>
      </c>
    </row>
    <row r="44" spans="2:20" ht="23.1" customHeight="1" x14ac:dyDescent="0.25">
      <c r="B44" s="25" t="s">
        <v>71</v>
      </c>
      <c r="C44" s="50">
        <v>84</v>
      </c>
      <c r="D44" s="50">
        <v>6</v>
      </c>
      <c r="E44" s="50">
        <v>4</v>
      </c>
      <c r="F44" s="50">
        <v>13</v>
      </c>
      <c r="G44" s="50">
        <v>0</v>
      </c>
      <c r="H44" s="50">
        <v>0</v>
      </c>
      <c r="I44" s="50">
        <v>7</v>
      </c>
      <c r="J44" s="50">
        <v>1</v>
      </c>
      <c r="K44" s="50">
        <v>0</v>
      </c>
      <c r="L44" s="50">
        <v>2</v>
      </c>
      <c r="M44" s="50">
        <v>113</v>
      </c>
      <c r="N44" s="50">
        <v>0</v>
      </c>
      <c r="O44" s="15">
        <f t="shared" si="0"/>
        <v>117</v>
      </c>
      <c r="P44" s="15">
        <f t="shared" si="1"/>
        <v>230</v>
      </c>
    </row>
    <row r="45" spans="2:20" ht="23.1" customHeight="1" x14ac:dyDescent="0.25">
      <c r="B45" s="23" t="s">
        <v>72</v>
      </c>
      <c r="C45" s="50">
        <v>53</v>
      </c>
      <c r="D45" s="50">
        <v>11</v>
      </c>
      <c r="E45" s="50">
        <v>2</v>
      </c>
      <c r="F45" s="50">
        <v>11</v>
      </c>
      <c r="G45" s="50">
        <v>1</v>
      </c>
      <c r="H45" s="50">
        <v>0</v>
      </c>
      <c r="I45" s="50">
        <v>10</v>
      </c>
      <c r="J45" s="50">
        <v>0</v>
      </c>
      <c r="K45" s="50">
        <v>0</v>
      </c>
      <c r="L45" s="50">
        <v>1</v>
      </c>
      <c r="M45" s="50">
        <v>120</v>
      </c>
      <c r="N45" s="50">
        <v>0</v>
      </c>
      <c r="O45" s="15">
        <f t="shared" si="0"/>
        <v>89</v>
      </c>
      <c r="P45" s="15">
        <f t="shared" si="1"/>
        <v>209</v>
      </c>
    </row>
    <row r="46" spans="2:20" ht="23.1" customHeight="1" x14ac:dyDescent="0.25">
      <c r="B46" s="24" t="s">
        <v>73</v>
      </c>
      <c r="C46" s="50">
        <v>78</v>
      </c>
      <c r="D46" s="50">
        <v>12</v>
      </c>
      <c r="E46" s="50">
        <v>8</v>
      </c>
      <c r="F46" s="50">
        <v>16</v>
      </c>
      <c r="G46" s="50">
        <v>0</v>
      </c>
      <c r="H46" s="50">
        <v>0</v>
      </c>
      <c r="I46" s="50">
        <v>6</v>
      </c>
      <c r="J46" s="50">
        <v>5</v>
      </c>
      <c r="K46" s="50">
        <v>2</v>
      </c>
      <c r="L46" s="50">
        <v>0</v>
      </c>
      <c r="M46" s="50">
        <v>175</v>
      </c>
      <c r="N46" s="50">
        <v>0</v>
      </c>
      <c r="O46" s="15">
        <f t="shared" si="0"/>
        <v>127</v>
      </c>
      <c r="P46" s="15">
        <f t="shared" si="1"/>
        <v>302</v>
      </c>
      <c r="R46" s="8"/>
      <c r="T46"/>
    </row>
    <row r="47" spans="2:20" ht="23.1" customHeight="1" x14ac:dyDescent="0.25">
      <c r="B47" s="24" t="s">
        <v>74</v>
      </c>
      <c r="C47" s="50">
        <v>67</v>
      </c>
      <c r="D47" s="50">
        <v>7</v>
      </c>
      <c r="E47" s="50">
        <v>10</v>
      </c>
      <c r="F47" s="50">
        <v>19</v>
      </c>
      <c r="G47" s="50">
        <v>3</v>
      </c>
      <c r="H47" s="50">
        <v>1</v>
      </c>
      <c r="I47" s="50">
        <v>3</v>
      </c>
      <c r="J47" s="50">
        <v>4</v>
      </c>
      <c r="K47" s="50">
        <v>2</v>
      </c>
      <c r="L47" s="50">
        <v>3</v>
      </c>
      <c r="M47" s="50">
        <v>140</v>
      </c>
      <c r="N47" s="50">
        <v>0</v>
      </c>
      <c r="O47" s="15">
        <f t="shared" si="0"/>
        <v>119</v>
      </c>
      <c r="P47" s="15">
        <f t="shared" si="1"/>
        <v>259</v>
      </c>
      <c r="R47" s="8"/>
      <c r="T47"/>
    </row>
    <row r="48" spans="2:20" ht="23.1" customHeight="1" x14ac:dyDescent="0.25">
      <c r="B48" s="24" t="s">
        <v>75</v>
      </c>
      <c r="C48" s="50">
        <v>80</v>
      </c>
      <c r="D48" s="50">
        <v>7</v>
      </c>
      <c r="E48" s="50">
        <v>5</v>
      </c>
      <c r="F48" s="50">
        <v>11</v>
      </c>
      <c r="G48" s="50">
        <v>0</v>
      </c>
      <c r="H48" s="50">
        <v>0</v>
      </c>
      <c r="I48" s="50">
        <v>3</v>
      </c>
      <c r="J48" s="50">
        <v>1</v>
      </c>
      <c r="K48" s="50">
        <v>24</v>
      </c>
      <c r="L48" s="50">
        <v>0</v>
      </c>
      <c r="M48" s="50">
        <v>144</v>
      </c>
      <c r="N48" s="50">
        <v>0</v>
      </c>
      <c r="O48" s="15">
        <f t="shared" si="0"/>
        <v>131</v>
      </c>
      <c r="P48" s="15">
        <f t="shared" si="1"/>
        <v>275</v>
      </c>
      <c r="R48" s="8"/>
      <c r="T48"/>
    </row>
    <row r="49" spans="2:20" ht="23.1" customHeight="1" x14ac:dyDescent="0.25">
      <c r="B49" s="23" t="s">
        <v>76</v>
      </c>
      <c r="C49" s="50">
        <v>75</v>
      </c>
      <c r="D49" s="50">
        <v>3</v>
      </c>
      <c r="E49" s="50">
        <v>4</v>
      </c>
      <c r="F49" s="50">
        <v>12</v>
      </c>
      <c r="G49" s="50">
        <v>1</v>
      </c>
      <c r="H49" s="50">
        <v>1</v>
      </c>
      <c r="I49" s="50">
        <v>2</v>
      </c>
      <c r="J49" s="50">
        <v>0</v>
      </c>
      <c r="K49" s="50">
        <v>1</v>
      </c>
      <c r="L49" s="50">
        <v>0</v>
      </c>
      <c r="M49" s="50">
        <v>151</v>
      </c>
      <c r="N49" s="50">
        <v>0</v>
      </c>
      <c r="O49" s="15">
        <f t="shared" si="0"/>
        <v>99</v>
      </c>
      <c r="P49" s="15">
        <f t="shared" si="1"/>
        <v>250</v>
      </c>
      <c r="R49" s="8"/>
      <c r="T49"/>
    </row>
    <row r="50" spans="2:20" ht="23.1" customHeight="1" x14ac:dyDescent="0.25">
      <c r="B50" s="24" t="s">
        <v>77</v>
      </c>
      <c r="C50" s="50">
        <v>66</v>
      </c>
      <c r="D50" s="50">
        <v>16</v>
      </c>
      <c r="E50" s="50">
        <v>12</v>
      </c>
      <c r="F50" s="50">
        <v>16</v>
      </c>
      <c r="G50" s="50">
        <v>0</v>
      </c>
      <c r="H50" s="50">
        <v>0</v>
      </c>
      <c r="I50" s="50">
        <v>8</v>
      </c>
      <c r="J50" s="50">
        <v>6</v>
      </c>
      <c r="K50" s="50">
        <v>2</v>
      </c>
      <c r="L50" s="50">
        <v>1</v>
      </c>
      <c r="M50" s="50">
        <v>170</v>
      </c>
      <c r="N50" s="50">
        <v>0</v>
      </c>
      <c r="O50" s="15">
        <f t="shared" si="0"/>
        <v>127</v>
      </c>
      <c r="P50" s="15">
        <f t="shared" si="1"/>
        <v>297</v>
      </c>
      <c r="R50" s="8"/>
      <c r="T50"/>
    </row>
    <row r="51" spans="2:20" ht="23.1" customHeight="1" x14ac:dyDescent="0.25">
      <c r="B51" s="24" t="s">
        <v>78</v>
      </c>
      <c r="C51" s="50">
        <v>70</v>
      </c>
      <c r="D51" s="50">
        <v>7</v>
      </c>
      <c r="E51" s="50">
        <v>7</v>
      </c>
      <c r="F51" s="50">
        <v>21</v>
      </c>
      <c r="G51" s="50">
        <v>0</v>
      </c>
      <c r="H51" s="50">
        <v>1</v>
      </c>
      <c r="I51" s="50">
        <v>6</v>
      </c>
      <c r="J51" s="50">
        <v>2</v>
      </c>
      <c r="K51" s="50">
        <v>2</v>
      </c>
      <c r="L51" s="50">
        <v>1</v>
      </c>
      <c r="M51" s="50">
        <v>135</v>
      </c>
      <c r="N51" s="50">
        <v>0</v>
      </c>
      <c r="O51" s="15">
        <f t="shared" si="0"/>
        <v>117</v>
      </c>
      <c r="P51" s="15">
        <f t="shared" si="1"/>
        <v>252</v>
      </c>
      <c r="R51" s="8"/>
      <c r="T51"/>
    </row>
    <row r="52" spans="2:20" ht="23.1" customHeight="1" x14ac:dyDescent="0.25">
      <c r="B52" s="24" t="s">
        <v>79</v>
      </c>
      <c r="C52" s="50">
        <v>65</v>
      </c>
      <c r="D52" s="50">
        <v>4</v>
      </c>
      <c r="E52" s="50">
        <v>7</v>
      </c>
      <c r="F52" s="50">
        <v>11</v>
      </c>
      <c r="G52" s="50">
        <v>1</v>
      </c>
      <c r="H52" s="50">
        <v>0</v>
      </c>
      <c r="I52" s="50">
        <v>1</v>
      </c>
      <c r="J52" s="50">
        <v>1</v>
      </c>
      <c r="K52" s="50">
        <v>0</v>
      </c>
      <c r="L52" s="50">
        <v>1</v>
      </c>
      <c r="M52" s="50">
        <v>136</v>
      </c>
      <c r="N52" s="50">
        <v>0</v>
      </c>
      <c r="O52" s="15">
        <f t="shared" si="0"/>
        <v>91</v>
      </c>
      <c r="P52" s="15">
        <f t="shared" si="1"/>
        <v>227</v>
      </c>
      <c r="R52" s="8"/>
      <c r="T52"/>
    </row>
    <row r="53" spans="2:20" ht="23.1" customHeight="1" x14ac:dyDescent="0.25">
      <c r="B53" s="23" t="s">
        <v>80</v>
      </c>
      <c r="C53" s="50">
        <v>73</v>
      </c>
      <c r="D53" s="50">
        <v>3</v>
      </c>
      <c r="E53" s="50">
        <v>8</v>
      </c>
      <c r="F53" s="50">
        <v>7</v>
      </c>
      <c r="G53" s="50">
        <v>1</v>
      </c>
      <c r="H53" s="50">
        <v>0</v>
      </c>
      <c r="I53" s="50">
        <v>1</v>
      </c>
      <c r="J53" s="50">
        <v>1</v>
      </c>
      <c r="K53" s="50">
        <v>3</v>
      </c>
      <c r="L53" s="50">
        <v>1</v>
      </c>
      <c r="M53" s="50">
        <v>130</v>
      </c>
      <c r="N53" s="50">
        <v>0</v>
      </c>
      <c r="O53" s="15">
        <f t="shared" si="0"/>
        <v>98</v>
      </c>
      <c r="P53" s="15">
        <f t="shared" si="1"/>
        <v>228</v>
      </c>
      <c r="R53" s="8"/>
      <c r="T53"/>
    </row>
    <row r="54" spans="2:20" ht="23.1" customHeight="1" x14ac:dyDescent="0.25">
      <c r="B54" s="23" t="s">
        <v>81</v>
      </c>
      <c r="C54" s="50">
        <v>50</v>
      </c>
      <c r="D54" s="50">
        <v>6</v>
      </c>
      <c r="E54" s="50">
        <v>6</v>
      </c>
      <c r="F54" s="50">
        <v>15</v>
      </c>
      <c r="G54" s="50">
        <v>2</v>
      </c>
      <c r="H54" s="50">
        <v>0</v>
      </c>
      <c r="I54" s="50">
        <v>9</v>
      </c>
      <c r="J54" s="50">
        <v>1</v>
      </c>
      <c r="K54" s="50">
        <v>1</v>
      </c>
      <c r="L54" s="50">
        <v>0</v>
      </c>
      <c r="M54" s="50">
        <v>105</v>
      </c>
      <c r="N54" s="50">
        <v>0</v>
      </c>
      <c r="O54" s="15">
        <f t="shared" si="0"/>
        <v>90</v>
      </c>
      <c r="P54" s="15">
        <f t="shared" si="1"/>
        <v>195</v>
      </c>
      <c r="R54" s="8"/>
      <c r="T54"/>
    </row>
    <row r="55" spans="2:20" ht="23.1" customHeight="1" x14ac:dyDescent="0.25">
      <c r="B55" s="23" t="s">
        <v>82</v>
      </c>
      <c r="C55" s="50">
        <v>70</v>
      </c>
      <c r="D55" s="50">
        <v>9</v>
      </c>
      <c r="E55" s="50">
        <v>3</v>
      </c>
      <c r="F55" s="50">
        <v>20</v>
      </c>
      <c r="G55" s="50">
        <v>1</v>
      </c>
      <c r="H55" s="50">
        <v>0</v>
      </c>
      <c r="I55" s="50">
        <v>4</v>
      </c>
      <c r="J55" s="50">
        <v>2</v>
      </c>
      <c r="K55" s="50">
        <v>1</v>
      </c>
      <c r="L55" s="50">
        <v>1</v>
      </c>
      <c r="M55" s="50">
        <v>125</v>
      </c>
      <c r="N55" s="50">
        <v>0</v>
      </c>
      <c r="O55" s="15">
        <f t="shared" si="0"/>
        <v>111</v>
      </c>
      <c r="P55" s="15">
        <f t="shared" si="1"/>
        <v>236</v>
      </c>
      <c r="R55" s="8"/>
      <c r="T55"/>
    </row>
    <row r="56" spans="2:20" ht="23.1" customHeight="1" x14ac:dyDescent="0.25">
      <c r="B56" s="23" t="s">
        <v>83</v>
      </c>
      <c r="C56" s="50">
        <v>67</v>
      </c>
      <c r="D56" s="50">
        <v>11</v>
      </c>
      <c r="E56" s="50">
        <v>7</v>
      </c>
      <c r="F56" s="50">
        <v>22</v>
      </c>
      <c r="G56" s="50">
        <v>1</v>
      </c>
      <c r="H56" s="50">
        <v>0</v>
      </c>
      <c r="I56" s="50">
        <v>2</v>
      </c>
      <c r="J56" s="50">
        <v>3</v>
      </c>
      <c r="K56" s="50">
        <v>2</v>
      </c>
      <c r="L56" s="50">
        <v>2</v>
      </c>
      <c r="M56" s="50">
        <v>136</v>
      </c>
      <c r="N56" s="50">
        <v>0</v>
      </c>
      <c r="O56" s="15">
        <f t="shared" si="0"/>
        <v>117</v>
      </c>
      <c r="P56" s="15">
        <f t="shared" si="1"/>
        <v>253</v>
      </c>
      <c r="R56" s="8"/>
      <c r="T56"/>
    </row>
    <row r="57" spans="2:20" ht="23.1" customHeight="1" x14ac:dyDescent="0.25">
      <c r="B57" s="23" t="s">
        <v>84</v>
      </c>
      <c r="C57" s="50">
        <v>82</v>
      </c>
      <c r="D57" s="50">
        <v>4</v>
      </c>
      <c r="E57" s="50">
        <v>3</v>
      </c>
      <c r="F57" s="50">
        <v>16</v>
      </c>
      <c r="G57" s="50">
        <v>3</v>
      </c>
      <c r="H57" s="50">
        <v>1</v>
      </c>
      <c r="I57" s="50">
        <v>5</v>
      </c>
      <c r="J57" s="50">
        <v>4</v>
      </c>
      <c r="K57" s="50">
        <v>1</v>
      </c>
      <c r="L57" s="50">
        <v>0</v>
      </c>
      <c r="M57" s="50">
        <v>170</v>
      </c>
      <c r="N57" s="50">
        <v>0</v>
      </c>
      <c r="O57" s="15">
        <f t="shared" si="0"/>
        <v>119</v>
      </c>
      <c r="P57" s="15">
        <f t="shared" si="1"/>
        <v>289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2576</v>
      </c>
      <c r="D58" s="16">
        <f t="shared" si="21"/>
        <v>289</v>
      </c>
      <c r="E58" s="16">
        <f t="shared" si="21"/>
        <v>264</v>
      </c>
      <c r="F58" s="16">
        <f t="shared" si="21"/>
        <v>586</v>
      </c>
      <c r="G58" s="16">
        <f t="shared" si="21"/>
        <v>41</v>
      </c>
      <c r="H58" s="16">
        <f t="shared" si="21"/>
        <v>6</v>
      </c>
      <c r="I58" s="16">
        <f t="shared" si="21"/>
        <v>204</v>
      </c>
      <c r="J58" s="16">
        <f t="shared" si="21"/>
        <v>100</v>
      </c>
      <c r="K58" s="16">
        <f t="shared" si="21"/>
        <v>111</v>
      </c>
      <c r="L58" s="16">
        <f t="shared" si="21"/>
        <v>39</v>
      </c>
      <c r="M58" s="16">
        <f t="shared" si="21"/>
        <v>6381</v>
      </c>
      <c r="N58" s="16">
        <f t="shared" si="21"/>
        <v>0</v>
      </c>
      <c r="O58" s="16">
        <f t="shared" si="21"/>
        <v>4216</v>
      </c>
      <c r="P58" s="16">
        <f t="shared" si="21"/>
        <v>10597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0.24308766632065679</v>
      </c>
      <c r="D59" s="43">
        <f t="shared" si="22"/>
        <v>2.7271869396999149E-2</v>
      </c>
      <c r="E59" s="43">
        <f t="shared" si="22"/>
        <v>2.4912711144663584E-2</v>
      </c>
      <c r="F59" s="43">
        <f t="shared" si="22"/>
        <v>5.5298669434745686E-2</v>
      </c>
      <c r="G59" s="43">
        <f t="shared" si="22"/>
        <v>3.8690195338303294E-3</v>
      </c>
      <c r="H59" s="43">
        <f t="shared" si="22"/>
        <v>5.6619798056053603E-4</v>
      </c>
      <c r="I59" s="43">
        <f t="shared" si="22"/>
        <v>1.9250731339058223E-2</v>
      </c>
      <c r="J59" s="43">
        <f t="shared" si="22"/>
        <v>9.4366330093422664E-3</v>
      </c>
      <c r="K59" s="43">
        <f t="shared" si="22"/>
        <v>1.0474662640369916E-2</v>
      </c>
      <c r="L59" s="43">
        <f t="shared" si="22"/>
        <v>3.680286873643484E-3</v>
      </c>
      <c r="M59" s="43">
        <f t="shared" si="22"/>
        <v>0.60215155232613005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0.61100569259962045</v>
      </c>
      <c r="D60" s="44">
        <f t="shared" ref="D60:N60" si="23">D58/$O$58</f>
        <v>6.8548387096774188E-2</v>
      </c>
      <c r="E60" s="44">
        <f t="shared" si="23"/>
        <v>6.2618595825426948E-2</v>
      </c>
      <c r="F60" s="44">
        <f t="shared" si="23"/>
        <v>0.13899430740037952</v>
      </c>
      <c r="G60" s="44">
        <f t="shared" si="23"/>
        <v>9.7248576850094883E-3</v>
      </c>
      <c r="H60" s="44">
        <f t="shared" si="23"/>
        <v>1.4231499051233396E-3</v>
      </c>
      <c r="I60" s="44">
        <f t="shared" si="23"/>
        <v>4.8387096774193547E-2</v>
      </c>
      <c r="J60" s="44">
        <f t="shared" si="23"/>
        <v>2.3719165085388995E-2</v>
      </c>
      <c r="K60" s="44">
        <f t="shared" si="23"/>
        <v>2.6328273244781784E-2</v>
      </c>
      <c r="L60" s="44">
        <f t="shared" si="23"/>
        <v>9.2504743833017079E-3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'29.07 Kireka-Kinawataka'!C3:G3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'04.08 Kinawataka-Kireka'!D5</f>
        <v>04.08.19</v>
      </c>
      <c r="E5" s="3"/>
      <c r="F5" s="41" t="s">
        <v>1</v>
      </c>
      <c r="G5" s="63" t="str">
        <f>'04.08 Kinawataka-Kireka'!G5:H5</f>
        <v>Kireka road</v>
      </c>
      <c r="H5" s="64"/>
      <c r="I5" s="14"/>
      <c r="J5" s="2" t="s">
        <v>5</v>
      </c>
      <c r="K5" s="63" t="s">
        <v>173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'29.07 Kireka-Kinawataka'!D6:E6</f>
        <v>Kireka</v>
      </c>
      <c r="E6" s="64"/>
      <c r="F6" s="2" t="s">
        <v>2</v>
      </c>
      <c r="G6" s="63" t="str">
        <f>'29.07 Kireka-Kinawataka'!G6:H6</f>
        <v>Kinawataka</v>
      </c>
      <c r="H6" s="64"/>
      <c r="J6" s="2" t="s">
        <v>21</v>
      </c>
      <c r="K6" s="63" t="str">
        <f>'04.08 Kinawataka-Kireka'!K6:L6</f>
        <v>Batrice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20</v>
      </c>
      <c r="D10" s="50">
        <v>3</v>
      </c>
      <c r="E10" s="50">
        <v>4</v>
      </c>
      <c r="F10" s="50">
        <v>24</v>
      </c>
      <c r="G10" s="50">
        <v>0</v>
      </c>
      <c r="H10" s="50">
        <v>0</v>
      </c>
      <c r="I10" s="50">
        <v>3</v>
      </c>
      <c r="J10" s="50">
        <v>0</v>
      </c>
      <c r="K10" s="50">
        <v>1</v>
      </c>
      <c r="L10" s="50">
        <v>0</v>
      </c>
      <c r="M10" s="50">
        <v>96</v>
      </c>
      <c r="N10" s="50">
        <v>0</v>
      </c>
      <c r="O10" s="15">
        <f t="shared" ref="O10:O57" si="0">SUM(C10:L10,N10)</f>
        <v>55</v>
      </c>
      <c r="P10" s="15">
        <f t="shared" ref="P10:P57" si="1">SUM(C10:N10)</f>
        <v>151</v>
      </c>
      <c r="R10" s="1" t="s">
        <v>6</v>
      </c>
      <c r="S10" s="17">
        <f t="shared" ref="S10:AF10" si="2">SUM(C10:C13)</f>
        <v>64</v>
      </c>
      <c r="T10" s="17">
        <f t="shared" si="2"/>
        <v>30</v>
      </c>
      <c r="U10" s="17">
        <f t="shared" si="2"/>
        <v>10</v>
      </c>
      <c r="V10" s="17">
        <f t="shared" si="2"/>
        <v>98</v>
      </c>
      <c r="W10" s="17">
        <f t="shared" si="2"/>
        <v>4</v>
      </c>
      <c r="X10" s="17">
        <f t="shared" si="2"/>
        <v>2</v>
      </c>
      <c r="Y10" s="17">
        <f t="shared" si="2"/>
        <v>8</v>
      </c>
      <c r="Z10" s="17">
        <f t="shared" si="2"/>
        <v>14</v>
      </c>
      <c r="AA10" s="17">
        <f t="shared" si="2"/>
        <v>6</v>
      </c>
      <c r="AB10" s="17">
        <f t="shared" si="2"/>
        <v>1</v>
      </c>
      <c r="AC10" s="17">
        <f t="shared" si="2"/>
        <v>499</v>
      </c>
      <c r="AD10" s="17">
        <f t="shared" si="2"/>
        <v>0</v>
      </c>
      <c r="AE10" s="31">
        <f t="shared" si="2"/>
        <v>237</v>
      </c>
      <c r="AF10" s="31">
        <f t="shared" si="2"/>
        <v>736</v>
      </c>
    </row>
    <row r="11" spans="2:32" s="6" customFormat="1" ht="23.1" customHeight="1" x14ac:dyDescent="0.25">
      <c r="B11" s="23" t="s">
        <v>38</v>
      </c>
      <c r="C11" s="50">
        <v>15</v>
      </c>
      <c r="D11" s="50">
        <v>7</v>
      </c>
      <c r="E11" s="50">
        <v>2</v>
      </c>
      <c r="F11" s="50">
        <v>26</v>
      </c>
      <c r="G11" s="50">
        <v>1</v>
      </c>
      <c r="H11" s="50">
        <v>0</v>
      </c>
      <c r="I11" s="50">
        <v>3</v>
      </c>
      <c r="J11" s="50">
        <v>5</v>
      </c>
      <c r="K11" s="50">
        <v>4</v>
      </c>
      <c r="L11" s="50">
        <v>0</v>
      </c>
      <c r="M11" s="50">
        <v>121</v>
      </c>
      <c r="N11" s="50">
        <v>0</v>
      </c>
      <c r="O11" s="15">
        <f t="shared" si="0"/>
        <v>63</v>
      </c>
      <c r="P11" s="15">
        <f t="shared" si="1"/>
        <v>184</v>
      </c>
      <c r="R11" s="1" t="s">
        <v>7</v>
      </c>
      <c r="S11" s="17">
        <f t="shared" ref="S11:AF11" si="3">SUM(C14:C17)</f>
        <v>134</v>
      </c>
      <c r="T11" s="17">
        <f t="shared" si="3"/>
        <v>66</v>
      </c>
      <c r="U11" s="17">
        <f t="shared" si="3"/>
        <v>19</v>
      </c>
      <c r="V11" s="17">
        <f t="shared" si="3"/>
        <v>105</v>
      </c>
      <c r="W11" s="17">
        <f t="shared" si="3"/>
        <v>3</v>
      </c>
      <c r="X11" s="17">
        <f t="shared" si="3"/>
        <v>1</v>
      </c>
      <c r="Y11" s="17">
        <f t="shared" si="3"/>
        <v>14</v>
      </c>
      <c r="Z11" s="17">
        <f t="shared" si="3"/>
        <v>14</v>
      </c>
      <c r="AA11" s="17">
        <f t="shared" si="3"/>
        <v>7</v>
      </c>
      <c r="AB11" s="17">
        <f t="shared" si="3"/>
        <v>2</v>
      </c>
      <c r="AC11" s="17">
        <f t="shared" si="3"/>
        <v>512</v>
      </c>
      <c r="AD11" s="17">
        <f t="shared" si="3"/>
        <v>0</v>
      </c>
      <c r="AE11" s="31">
        <f t="shared" si="3"/>
        <v>365</v>
      </c>
      <c r="AF11" s="31">
        <f t="shared" si="3"/>
        <v>877</v>
      </c>
    </row>
    <row r="12" spans="2:32" ht="23.1" customHeight="1" x14ac:dyDescent="0.25">
      <c r="B12" s="23" t="s">
        <v>39</v>
      </c>
      <c r="C12" s="50">
        <v>14</v>
      </c>
      <c r="D12" s="50">
        <v>9</v>
      </c>
      <c r="E12" s="50">
        <v>2</v>
      </c>
      <c r="F12" s="50">
        <v>23</v>
      </c>
      <c r="G12" s="50">
        <v>3</v>
      </c>
      <c r="H12" s="50">
        <v>0</v>
      </c>
      <c r="I12" s="50">
        <v>1</v>
      </c>
      <c r="J12" s="50">
        <v>5</v>
      </c>
      <c r="K12" s="50">
        <v>0</v>
      </c>
      <c r="L12" s="50">
        <v>1</v>
      </c>
      <c r="M12" s="50">
        <v>140</v>
      </c>
      <c r="N12" s="50">
        <v>0</v>
      </c>
      <c r="O12" s="15">
        <f t="shared" si="0"/>
        <v>58</v>
      </c>
      <c r="P12" s="15">
        <f t="shared" si="1"/>
        <v>198</v>
      </c>
      <c r="R12" s="1" t="s">
        <v>8</v>
      </c>
      <c r="S12" s="17">
        <f t="shared" ref="S12:AF12" si="4">SUM(C18:C21)</f>
        <v>127</v>
      </c>
      <c r="T12" s="17">
        <f t="shared" si="4"/>
        <v>109</v>
      </c>
      <c r="U12" s="17">
        <f t="shared" si="4"/>
        <v>22</v>
      </c>
      <c r="V12" s="17">
        <f t="shared" si="4"/>
        <v>88</v>
      </c>
      <c r="W12" s="17">
        <f t="shared" si="4"/>
        <v>2</v>
      </c>
      <c r="X12" s="17">
        <f t="shared" si="4"/>
        <v>1</v>
      </c>
      <c r="Y12" s="17">
        <f t="shared" si="4"/>
        <v>17</v>
      </c>
      <c r="Z12" s="17">
        <f t="shared" si="4"/>
        <v>12</v>
      </c>
      <c r="AA12" s="17">
        <f t="shared" si="4"/>
        <v>14</v>
      </c>
      <c r="AB12" s="17">
        <f t="shared" si="4"/>
        <v>3</v>
      </c>
      <c r="AC12" s="17">
        <f t="shared" si="4"/>
        <v>528</v>
      </c>
      <c r="AD12" s="17">
        <f t="shared" si="4"/>
        <v>0</v>
      </c>
      <c r="AE12" s="31">
        <f t="shared" si="4"/>
        <v>395</v>
      </c>
      <c r="AF12" s="31">
        <f t="shared" si="4"/>
        <v>923</v>
      </c>
    </row>
    <row r="13" spans="2:32" ht="23.1" customHeight="1" x14ac:dyDescent="0.25">
      <c r="B13" s="23" t="s">
        <v>40</v>
      </c>
      <c r="C13" s="50">
        <v>15</v>
      </c>
      <c r="D13" s="50">
        <v>11</v>
      </c>
      <c r="E13" s="50">
        <v>2</v>
      </c>
      <c r="F13" s="50">
        <v>25</v>
      </c>
      <c r="G13" s="50">
        <v>0</v>
      </c>
      <c r="H13" s="50">
        <v>2</v>
      </c>
      <c r="I13" s="50">
        <v>1</v>
      </c>
      <c r="J13" s="50">
        <v>4</v>
      </c>
      <c r="K13" s="50">
        <v>1</v>
      </c>
      <c r="L13" s="50">
        <v>0</v>
      </c>
      <c r="M13" s="50">
        <v>142</v>
      </c>
      <c r="N13" s="50">
        <v>0</v>
      </c>
      <c r="O13" s="15">
        <f t="shared" si="0"/>
        <v>61</v>
      </c>
      <c r="P13" s="15">
        <f t="shared" si="1"/>
        <v>203</v>
      </c>
      <c r="R13" s="1" t="s">
        <v>9</v>
      </c>
      <c r="S13" s="17">
        <f t="shared" ref="S13:AF13" si="5">SUM(C22:C25)</f>
        <v>224</v>
      </c>
      <c r="T13" s="17">
        <f t="shared" si="5"/>
        <v>126</v>
      </c>
      <c r="U13" s="17">
        <f t="shared" si="5"/>
        <v>24</v>
      </c>
      <c r="V13" s="17">
        <f t="shared" si="5"/>
        <v>81</v>
      </c>
      <c r="W13" s="17">
        <f t="shared" si="5"/>
        <v>4</v>
      </c>
      <c r="X13" s="17">
        <f t="shared" si="5"/>
        <v>2</v>
      </c>
      <c r="Y13" s="17">
        <f t="shared" si="5"/>
        <v>10</v>
      </c>
      <c r="Z13" s="17">
        <f t="shared" si="5"/>
        <v>12</v>
      </c>
      <c r="AA13" s="17">
        <f t="shared" si="5"/>
        <v>10</v>
      </c>
      <c r="AB13" s="17">
        <f t="shared" si="5"/>
        <v>5</v>
      </c>
      <c r="AC13" s="17">
        <f t="shared" si="5"/>
        <v>496</v>
      </c>
      <c r="AD13" s="17">
        <f t="shared" si="5"/>
        <v>0</v>
      </c>
      <c r="AE13" s="31">
        <f t="shared" si="5"/>
        <v>498</v>
      </c>
      <c r="AF13" s="31">
        <f t="shared" si="5"/>
        <v>994</v>
      </c>
    </row>
    <row r="14" spans="2:32" ht="23.1" customHeight="1" x14ac:dyDescent="0.25">
      <c r="B14" s="23" t="s">
        <v>41</v>
      </c>
      <c r="C14" s="50">
        <v>32</v>
      </c>
      <c r="D14" s="50">
        <v>9</v>
      </c>
      <c r="E14" s="50">
        <v>2</v>
      </c>
      <c r="F14" s="50">
        <v>21</v>
      </c>
      <c r="G14" s="50">
        <v>1</v>
      </c>
      <c r="H14" s="50">
        <v>0</v>
      </c>
      <c r="I14" s="50">
        <v>3</v>
      </c>
      <c r="J14" s="50">
        <v>4</v>
      </c>
      <c r="K14" s="50">
        <v>1</v>
      </c>
      <c r="L14" s="50">
        <v>1</v>
      </c>
      <c r="M14" s="50">
        <v>96</v>
      </c>
      <c r="N14" s="50">
        <v>0</v>
      </c>
      <c r="O14" s="15">
        <f t="shared" si="0"/>
        <v>74</v>
      </c>
      <c r="P14" s="15">
        <f t="shared" si="1"/>
        <v>170</v>
      </c>
      <c r="R14" s="1" t="s">
        <v>10</v>
      </c>
      <c r="S14" s="17">
        <f t="shared" ref="S14:AF14" si="6">SUM(C26:C29)</f>
        <v>179</v>
      </c>
      <c r="T14" s="17">
        <f t="shared" si="6"/>
        <v>123</v>
      </c>
      <c r="U14" s="17">
        <f t="shared" si="6"/>
        <v>29</v>
      </c>
      <c r="V14" s="17">
        <f t="shared" si="6"/>
        <v>77</v>
      </c>
      <c r="W14" s="17">
        <f t="shared" si="6"/>
        <v>1</v>
      </c>
      <c r="X14" s="17">
        <f t="shared" si="6"/>
        <v>0</v>
      </c>
      <c r="Y14" s="17">
        <f t="shared" si="6"/>
        <v>15</v>
      </c>
      <c r="Z14" s="17">
        <f t="shared" si="6"/>
        <v>17</v>
      </c>
      <c r="AA14" s="17">
        <f t="shared" si="6"/>
        <v>15</v>
      </c>
      <c r="AB14" s="17">
        <f t="shared" si="6"/>
        <v>9</v>
      </c>
      <c r="AC14" s="17">
        <f t="shared" si="6"/>
        <v>526</v>
      </c>
      <c r="AD14" s="17">
        <f t="shared" si="6"/>
        <v>0</v>
      </c>
      <c r="AE14" s="31">
        <f t="shared" si="6"/>
        <v>465</v>
      </c>
      <c r="AF14" s="31">
        <f t="shared" si="6"/>
        <v>991</v>
      </c>
    </row>
    <row r="15" spans="2:32" ht="23.1" customHeight="1" x14ac:dyDescent="0.25">
      <c r="B15" s="23" t="s">
        <v>42</v>
      </c>
      <c r="C15" s="50">
        <v>30</v>
      </c>
      <c r="D15" s="50">
        <v>13</v>
      </c>
      <c r="E15" s="50">
        <v>6</v>
      </c>
      <c r="F15" s="50">
        <v>25</v>
      </c>
      <c r="G15" s="50">
        <v>1</v>
      </c>
      <c r="H15" s="50">
        <v>0</v>
      </c>
      <c r="I15" s="50">
        <v>4</v>
      </c>
      <c r="J15" s="50">
        <v>0</v>
      </c>
      <c r="K15" s="50">
        <v>0</v>
      </c>
      <c r="L15" s="50">
        <v>1</v>
      </c>
      <c r="M15" s="50">
        <v>139</v>
      </c>
      <c r="N15" s="50">
        <v>0</v>
      </c>
      <c r="O15" s="15">
        <f t="shared" si="0"/>
        <v>80</v>
      </c>
      <c r="P15" s="15">
        <f t="shared" si="1"/>
        <v>219</v>
      </c>
      <c r="R15" s="1" t="s">
        <v>11</v>
      </c>
      <c r="S15" s="17">
        <f t="shared" ref="S15:AF15" si="7">SUM(C30:C33)</f>
        <v>174</v>
      </c>
      <c r="T15" s="17">
        <f t="shared" si="7"/>
        <v>97</v>
      </c>
      <c r="U15" s="17">
        <f t="shared" si="7"/>
        <v>26</v>
      </c>
      <c r="V15" s="17">
        <f t="shared" si="7"/>
        <v>70</v>
      </c>
      <c r="W15" s="17">
        <f t="shared" si="7"/>
        <v>0</v>
      </c>
      <c r="X15" s="17">
        <f t="shared" si="7"/>
        <v>1</v>
      </c>
      <c r="Y15" s="17">
        <f t="shared" si="7"/>
        <v>14</v>
      </c>
      <c r="Z15" s="17">
        <f t="shared" si="7"/>
        <v>11</v>
      </c>
      <c r="AA15" s="17">
        <f t="shared" si="7"/>
        <v>11</v>
      </c>
      <c r="AB15" s="17">
        <f t="shared" si="7"/>
        <v>7</v>
      </c>
      <c r="AC15" s="17">
        <f t="shared" si="7"/>
        <v>434</v>
      </c>
      <c r="AD15" s="17">
        <f t="shared" si="7"/>
        <v>0</v>
      </c>
      <c r="AE15" s="31">
        <f t="shared" si="7"/>
        <v>411</v>
      </c>
      <c r="AF15" s="31">
        <f t="shared" si="7"/>
        <v>845</v>
      </c>
    </row>
    <row r="16" spans="2:32" ht="23.1" customHeight="1" x14ac:dyDescent="0.25">
      <c r="B16" s="23" t="s">
        <v>43</v>
      </c>
      <c r="C16" s="50">
        <v>31</v>
      </c>
      <c r="D16" s="50">
        <v>24</v>
      </c>
      <c r="E16" s="50">
        <v>3</v>
      </c>
      <c r="F16" s="50">
        <v>32</v>
      </c>
      <c r="G16" s="50">
        <v>0</v>
      </c>
      <c r="H16" s="50">
        <v>1</v>
      </c>
      <c r="I16" s="50">
        <v>3</v>
      </c>
      <c r="J16" s="50">
        <v>8</v>
      </c>
      <c r="K16" s="50">
        <v>4</v>
      </c>
      <c r="L16" s="50">
        <v>0</v>
      </c>
      <c r="M16" s="50">
        <v>135</v>
      </c>
      <c r="N16" s="50">
        <v>0</v>
      </c>
      <c r="O16" s="15">
        <f t="shared" si="0"/>
        <v>106</v>
      </c>
      <c r="P16" s="15">
        <f t="shared" si="1"/>
        <v>241</v>
      </c>
      <c r="R16" s="1" t="s">
        <v>12</v>
      </c>
      <c r="S16" s="17">
        <f t="shared" ref="S16:AF16" si="8">SUM(C34:C37)</f>
        <v>115</v>
      </c>
      <c r="T16" s="17">
        <f t="shared" si="8"/>
        <v>90</v>
      </c>
      <c r="U16" s="17">
        <f t="shared" si="8"/>
        <v>26</v>
      </c>
      <c r="V16" s="17">
        <f t="shared" si="8"/>
        <v>88</v>
      </c>
      <c r="W16" s="17">
        <f t="shared" si="8"/>
        <v>2</v>
      </c>
      <c r="X16" s="17">
        <f t="shared" si="8"/>
        <v>1</v>
      </c>
      <c r="Y16" s="17">
        <f t="shared" si="8"/>
        <v>23</v>
      </c>
      <c r="Z16" s="17">
        <f t="shared" si="8"/>
        <v>12</v>
      </c>
      <c r="AA16" s="17">
        <f t="shared" si="8"/>
        <v>9</v>
      </c>
      <c r="AB16" s="17">
        <f t="shared" si="8"/>
        <v>8</v>
      </c>
      <c r="AC16" s="17">
        <f t="shared" si="8"/>
        <v>349</v>
      </c>
      <c r="AD16" s="17">
        <f t="shared" si="8"/>
        <v>0</v>
      </c>
      <c r="AE16" s="31">
        <f t="shared" si="8"/>
        <v>374</v>
      </c>
      <c r="AF16" s="31">
        <f t="shared" si="8"/>
        <v>723</v>
      </c>
    </row>
    <row r="17" spans="2:32" ht="23.1" customHeight="1" x14ac:dyDescent="0.25">
      <c r="B17" s="23" t="s">
        <v>44</v>
      </c>
      <c r="C17" s="50">
        <v>41</v>
      </c>
      <c r="D17" s="50">
        <v>20</v>
      </c>
      <c r="E17" s="50">
        <v>8</v>
      </c>
      <c r="F17" s="50">
        <v>27</v>
      </c>
      <c r="G17" s="50">
        <v>1</v>
      </c>
      <c r="H17" s="50">
        <v>0</v>
      </c>
      <c r="I17" s="50">
        <v>4</v>
      </c>
      <c r="J17" s="50">
        <v>2</v>
      </c>
      <c r="K17" s="50">
        <v>2</v>
      </c>
      <c r="L17" s="50">
        <v>0</v>
      </c>
      <c r="M17" s="50">
        <v>142</v>
      </c>
      <c r="N17" s="50">
        <v>0</v>
      </c>
      <c r="O17" s="15">
        <f t="shared" si="0"/>
        <v>105</v>
      </c>
      <c r="P17" s="15">
        <f t="shared" si="1"/>
        <v>247</v>
      </c>
      <c r="R17" s="1" t="s">
        <v>13</v>
      </c>
      <c r="S17" s="17">
        <f t="shared" ref="S17:AF17" si="9">SUM(C38:C41)</f>
        <v>136</v>
      </c>
      <c r="T17" s="17">
        <f t="shared" si="9"/>
        <v>110</v>
      </c>
      <c r="U17" s="17">
        <f t="shared" si="9"/>
        <v>26</v>
      </c>
      <c r="V17" s="17">
        <f t="shared" si="9"/>
        <v>73</v>
      </c>
      <c r="W17" s="17">
        <f t="shared" si="9"/>
        <v>2</v>
      </c>
      <c r="X17" s="17">
        <f t="shared" si="9"/>
        <v>0</v>
      </c>
      <c r="Y17" s="17">
        <f t="shared" si="9"/>
        <v>18</v>
      </c>
      <c r="Z17" s="17">
        <f t="shared" si="9"/>
        <v>9</v>
      </c>
      <c r="AA17" s="17">
        <f t="shared" si="9"/>
        <v>12</v>
      </c>
      <c r="AB17" s="17">
        <f t="shared" si="9"/>
        <v>4</v>
      </c>
      <c r="AC17" s="17">
        <f t="shared" si="9"/>
        <v>462</v>
      </c>
      <c r="AD17" s="17">
        <f t="shared" si="9"/>
        <v>0</v>
      </c>
      <c r="AE17" s="31">
        <f t="shared" si="9"/>
        <v>390</v>
      </c>
      <c r="AF17" s="31">
        <f t="shared" si="9"/>
        <v>852</v>
      </c>
    </row>
    <row r="18" spans="2:32" ht="23.1" customHeight="1" x14ac:dyDescent="0.25">
      <c r="B18" s="23" t="s">
        <v>45</v>
      </c>
      <c r="C18" s="50">
        <v>40</v>
      </c>
      <c r="D18" s="50">
        <v>26</v>
      </c>
      <c r="E18" s="50">
        <v>2</v>
      </c>
      <c r="F18" s="50">
        <v>22</v>
      </c>
      <c r="G18" s="50">
        <v>1</v>
      </c>
      <c r="H18" s="50">
        <v>0</v>
      </c>
      <c r="I18" s="50">
        <v>6</v>
      </c>
      <c r="J18" s="50">
        <v>2</v>
      </c>
      <c r="K18" s="50">
        <v>2</v>
      </c>
      <c r="L18" s="50">
        <v>0</v>
      </c>
      <c r="M18" s="50">
        <v>115</v>
      </c>
      <c r="N18" s="50">
        <v>0</v>
      </c>
      <c r="O18" s="15">
        <f t="shared" si="0"/>
        <v>101</v>
      </c>
      <c r="P18" s="15">
        <f t="shared" si="1"/>
        <v>216</v>
      </c>
      <c r="R18" s="1" t="s">
        <v>14</v>
      </c>
      <c r="S18" s="17">
        <f t="shared" ref="S18:AF18" si="10">SUM(C42:C45)</f>
        <v>140</v>
      </c>
      <c r="T18" s="17">
        <f t="shared" si="10"/>
        <v>129</v>
      </c>
      <c r="U18" s="17">
        <f t="shared" si="10"/>
        <v>31</v>
      </c>
      <c r="V18" s="17">
        <f t="shared" si="10"/>
        <v>72</v>
      </c>
      <c r="W18" s="17">
        <f t="shared" si="10"/>
        <v>2</v>
      </c>
      <c r="X18" s="17">
        <f t="shared" si="10"/>
        <v>0</v>
      </c>
      <c r="Y18" s="17">
        <f t="shared" si="10"/>
        <v>25</v>
      </c>
      <c r="Z18" s="17">
        <f t="shared" si="10"/>
        <v>14</v>
      </c>
      <c r="AA18" s="17">
        <f t="shared" si="10"/>
        <v>10</v>
      </c>
      <c r="AB18" s="17">
        <f t="shared" si="10"/>
        <v>4</v>
      </c>
      <c r="AC18" s="17">
        <f t="shared" si="10"/>
        <v>438</v>
      </c>
      <c r="AD18" s="17">
        <f t="shared" si="10"/>
        <v>0</v>
      </c>
      <c r="AE18" s="31">
        <f t="shared" si="10"/>
        <v>427</v>
      </c>
      <c r="AF18" s="31">
        <f t="shared" si="10"/>
        <v>865</v>
      </c>
    </row>
    <row r="19" spans="2:32" ht="23.1" customHeight="1" x14ac:dyDescent="0.25">
      <c r="B19" s="23" t="s">
        <v>46</v>
      </c>
      <c r="C19" s="50">
        <v>36</v>
      </c>
      <c r="D19" s="50">
        <v>21</v>
      </c>
      <c r="E19" s="50">
        <v>5</v>
      </c>
      <c r="F19" s="50">
        <v>24</v>
      </c>
      <c r="G19" s="50">
        <v>1</v>
      </c>
      <c r="H19" s="50">
        <v>1</v>
      </c>
      <c r="I19" s="50">
        <v>4</v>
      </c>
      <c r="J19" s="50">
        <v>3</v>
      </c>
      <c r="K19" s="50">
        <v>2</v>
      </c>
      <c r="L19" s="50">
        <v>1</v>
      </c>
      <c r="M19" s="50">
        <v>150</v>
      </c>
      <c r="N19" s="50">
        <v>0</v>
      </c>
      <c r="O19" s="15">
        <f t="shared" si="0"/>
        <v>98</v>
      </c>
      <c r="P19" s="15">
        <f t="shared" si="1"/>
        <v>248</v>
      </c>
      <c r="R19" s="1" t="s">
        <v>15</v>
      </c>
      <c r="S19" s="17">
        <f t="shared" ref="S19:AF19" si="11">SUM(C46:C49)</f>
        <v>156</v>
      </c>
      <c r="T19" s="17">
        <f t="shared" si="11"/>
        <v>73</v>
      </c>
      <c r="U19" s="17">
        <f t="shared" si="11"/>
        <v>27</v>
      </c>
      <c r="V19" s="17">
        <f t="shared" si="11"/>
        <v>82</v>
      </c>
      <c r="W19" s="17">
        <f t="shared" si="11"/>
        <v>3</v>
      </c>
      <c r="X19" s="17">
        <f t="shared" si="11"/>
        <v>0</v>
      </c>
      <c r="Y19" s="17">
        <f t="shared" si="11"/>
        <v>16</v>
      </c>
      <c r="Z19" s="17">
        <f t="shared" si="11"/>
        <v>14</v>
      </c>
      <c r="AA19" s="17">
        <f t="shared" si="11"/>
        <v>6</v>
      </c>
      <c r="AB19" s="17">
        <f t="shared" si="11"/>
        <v>3</v>
      </c>
      <c r="AC19" s="17">
        <f t="shared" si="11"/>
        <v>528</v>
      </c>
      <c r="AD19" s="17">
        <f t="shared" si="11"/>
        <v>0</v>
      </c>
      <c r="AE19" s="31">
        <f t="shared" si="11"/>
        <v>380</v>
      </c>
      <c r="AF19" s="31">
        <f t="shared" si="11"/>
        <v>908</v>
      </c>
    </row>
    <row r="20" spans="2:32" ht="23.1" customHeight="1" x14ac:dyDescent="0.25">
      <c r="B20" s="23" t="s">
        <v>47</v>
      </c>
      <c r="C20" s="50">
        <v>24</v>
      </c>
      <c r="D20" s="50">
        <v>34</v>
      </c>
      <c r="E20" s="50">
        <v>3</v>
      </c>
      <c r="F20" s="50">
        <v>20</v>
      </c>
      <c r="G20" s="50">
        <v>0</v>
      </c>
      <c r="H20" s="50">
        <v>0</v>
      </c>
      <c r="I20" s="50">
        <v>4</v>
      </c>
      <c r="J20" s="50">
        <v>6</v>
      </c>
      <c r="K20" s="50">
        <v>4</v>
      </c>
      <c r="L20" s="50">
        <v>2</v>
      </c>
      <c r="M20" s="50">
        <v>133</v>
      </c>
      <c r="N20" s="50">
        <v>0</v>
      </c>
      <c r="O20" s="15">
        <f t="shared" si="0"/>
        <v>97</v>
      </c>
      <c r="P20" s="15">
        <f t="shared" si="1"/>
        <v>230</v>
      </c>
      <c r="R20" s="1" t="s">
        <v>16</v>
      </c>
      <c r="S20" s="17">
        <f t="shared" ref="S20:AF20" si="12">SUM(C50:C53)</f>
        <v>175</v>
      </c>
      <c r="T20" s="17">
        <f t="shared" si="12"/>
        <v>128</v>
      </c>
      <c r="U20" s="17">
        <f t="shared" si="12"/>
        <v>30</v>
      </c>
      <c r="V20" s="17">
        <f t="shared" si="12"/>
        <v>114</v>
      </c>
      <c r="W20" s="17">
        <f t="shared" si="12"/>
        <v>5</v>
      </c>
      <c r="X20" s="17">
        <f t="shared" si="12"/>
        <v>0</v>
      </c>
      <c r="Y20" s="17">
        <f t="shared" si="12"/>
        <v>17</v>
      </c>
      <c r="Z20" s="17">
        <f t="shared" si="12"/>
        <v>20</v>
      </c>
      <c r="AA20" s="17">
        <f t="shared" si="12"/>
        <v>5</v>
      </c>
      <c r="AB20" s="17">
        <f t="shared" si="12"/>
        <v>12</v>
      </c>
      <c r="AC20" s="17">
        <f t="shared" si="12"/>
        <v>347</v>
      </c>
      <c r="AD20" s="17">
        <f t="shared" si="12"/>
        <v>0</v>
      </c>
      <c r="AE20" s="31">
        <f t="shared" si="12"/>
        <v>506</v>
      </c>
      <c r="AF20" s="31">
        <f t="shared" si="12"/>
        <v>853</v>
      </c>
    </row>
    <row r="21" spans="2:32" ht="23.1" customHeight="1" x14ac:dyDescent="0.25">
      <c r="B21" s="23" t="s">
        <v>48</v>
      </c>
      <c r="C21" s="50">
        <v>27</v>
      </c>
      <c r="D21" s="50">
        <v>28</v>
      </c>
      <c r="E21" s="50">
        <v>12</v>
      </c>
      <c r="F21" s="50">
        <v>22</v>
      </c>
      <c r="G21" s="50">
        <v>0</v>
      </c>
      <c r="H21" s="50">
        <v>0</v>
      </c>
      <c r="I21" s="50">
        <v>3</v>
      </c>
      <c r="J21" s="50">
        <v>1</v>
      </c>
      <c r="K21" s="50">
        <v>6</v>
      </c>
      <c r="L21" s="50">
        <v>0</v>
      </c>
      <c r="M21" s="50">
        <v>130</v>
      </c>
      <c r="N21" s="50">
        <v>0</v>
      </c>
      <c r="O21" s="15">
        <f t="shared" si="0"/>
        <v>99</v>
      </c>
      <c r="P21" s="15">
        <f t="shared" si="1"/>
        <v>229</v>
      </c>
      <c r="R21" s="36" t="s">
        <v>20</v>
      </c>
      <c r="S21" s="34">
        <f t="shared" ref="S21:AF21" si="13">SUM(C54:C57)</f>
        <v>145</v>
      </c>
      <c r="T21" s="17">
        <f t="shared" si="13"/>
        <v>96</v>
      </c>
      <c r="U21" s="17">
        <f t="shared" si="13"/>
        <v>25</v>
      </c>
      <c r="V21" s="17">
        <f t="shared" si="13"/>
        <v>96</v>
      </c>
      <c r="W21" s="17">
        <f t="shared" si="13"/>
        <v>1</v>
      </c>
      <c r="X21" s="17">
        <f t="shared" si="13"/>
        <v>0</v>
      </c>
      <c r="Y21" s="17">
        <f t="shared" si="13"/>
        <v>18</v>
      </c>
      <c r="Z21" s="17">
        <f t="shared" si="13"/>
        <v>8</v>
      </c>
      <c r="AA21" s="17">
        <f t="shared" si="13"/>
        <v>7</v>
      </c>
      <c r="AB21" s="17">
        <f t="shared" si="13"/>
        <v>6</v>
      </c>
      <c r="AC21" s="17">
        <f t="shared" si="13"/>
        <v>511</v>
      </c>
      <c r="AD21" s="17">
        <f t="shared" si="13"/>
        <v>0</v>
      </c>
      <c r="AE21" s="31">
        <f t="shared" si="13"/>
        <v>402</v>
      </c>
      <c r="AF21" s="31">
        <f t="shared" si="13"/>
        <v>913</v>
      </c>
    </row>
    <row r="22" spans="2:32" ht="23.1" customHeight="1" x14ac:dyDescent="0.25">
      <c r="B22" s="23" t="s">
        <v>49</v>
      </c>
      <c r="C22" s="50">
        <v>61</v>
      </c>
      <c r="D22" s="50">
        <v>33</v>
      </c>
      <c r="E22" s="50">
        <v>4</v>
      </c>
      <c r="F22" s="50">
        <v>15</v>
      </c>
      <c r="G22" s="50">
        <v>1</v>
      </c>
      <c r="H22" s="50">
        <v>2</v>
      </c>
      <c r="I22" s="50">
        <v>5</v>
      </c>
      <c r="J22" s="50">
        <v>4</v>
      </c>
      <c r="K22" s="50">
        <v>5</v>
      </c>
      <c r="L22" s="50">
        <v>3</v>
      </c>
      <c r="M22" s="50">
        <v>110</v>
      </c>
      <c r="N22" s="50">
        <v>0</v>
      </c>
      <c r="O22" s="15">
        <f t="shared" si="0"/>
        <v>133</v>
      </c>
      <c r="P22" s="15">
        <f t="shared" si="1"/>
        <v>243</v>
      </c>
      <c r="R22" s="38" t="s">
        <v>90</v>
      </c>
      <c r="S22" s="39">
        <f>MAX(S10:S12)</f>
        <v>134</v>
      </c>
      <c r="T22" s="39">
        <f t="shared" ref="T22:AF22" si="14">MAX(T10:T12)</f>
        <v>109</v>
      </c>
      <c r="U22" s="39">
        <f t="shared" si="14"/>
        <v>22</v>
      </c>
      <c r="V22" s="39">
        <f t="shared" si="14"/>
        <v>105</v>
      </c>
      <c r="W22" s="39">
        <f t="shared" si="14"/>
        <v>4</v>
      </c>
      <c r="X22" s="39">
        <f t="shared" si="14"/>
        <v>2</v>
      </c>
      <c r="Y22" s="39">
        <f t="shared" si="14"/>
        <v>17</v>
      </c>
      <c r="Z22" s="39">
        <f t="shared" si="14"/>
        <v>14</v>
      </c>
      <c r="AA22" s="39">
        <f t="shared" si="14"/>
        <v>14</v>
      </c>
      <c r="AB22" s="39">
        <f t="shared" si="14"/>
        <v>3</v>
      </c>
      <c r="AC22" s="39">
        <f t="shared" si="14"/>
        <v>528</v>
      </c>
      <c r="AD22" s="39">
        <f t="shared" si="14"/>
        <v>0</v>
      </c>
      <c r="AE22" s="40">
        <f t="shared" si="14"/>
        <v>395</v>
      </c>
      <c r="AF22" s="40">
        <f t="shared" si="14"/>
        <v>923</v>
      </c>
    </row>
    <row r="23" spans="2:32" ht="23.1" customHeight="1" x14ac:dyDescent="0.25">
      <c r="B23" s="23" t="s">
        <v>50</v>
      </c>
      <c r="C23" s="50">
        <v>48</v>
      </c>
      <c r="D23" s="50">
        <v>25</v>
      </c>
      <c r="E23" s="50">
        <v>3</v>
      </c>
      <c r="F23" s="50">
        <v>19</v>
      </c>
      <c r="G23" s="50">
        <v>0</v>
      </c>
      <c r="H23" s="50">
        <v>0</v>
      </c>
      <c r="I23" s="50">
        <v>0</v>
      </c>
      <c r="J23" s="50">
        <v>2</v>
      </c>
      <c r="K23" s="50">
        <v>1</v>
      </c>
      <c r="L23" s="50">
        <v>1</v>
      </c>
      <c r="M23" s="50">
        <v>115</v>
      </c>
      <c r="N23" s="50">
        <v>0</v>
      </c>
      <c r="O23" s="15">
        <f t="shared" si="0"/>
        <v>99</v>
      </c>
      <c r="P23" s="15">
        <f t="shared" si="1"/>
        <v>214</v>
      </c>
      <c r="R23" s="38" t="s">
        <v>91</v>
      </c>
      <c r="S23" s="39">
        <f>MAX(S13:S18)</f>
        <v>224</v>
      </c>
      <c r="T23" s="39">
        <f t="shared" ref="T23:AF23" si="15">MAX(T13:T18)</f>
        <v>129</v>
      </c>
      <c r="U23" s="39">
        <f t="shared" si="15"/>
        <v>31</v>
      </c>
      <c r="V23" s="39">
        <f t="shared" si="15"/>
        <v>88</v>
      </c>
      <c r="W23" s="39">
        <f t="shared" si="15"/>
        <v>4</v>
      </c>
      <c r="X23" s="39">
        <f t="shared" si="15"/>
        <v>2</v>
      </c>
      <c r="Y23" s="39">
        <f t="shared" si="15"/>
        <v>25</v>
      </c>
      <c r="Z23" s="39">
        <f t="shared" si="15"/>
        <v>17</v>
      </c>
      <c r="AA23" s="39">
        <f t="shared" si="15"/>
        <v>15</v>
      </c>
      <c r="AB23" s="39">
        <f t="shared" si="15"/>
        <v>9</v>
      </c>
      <c r="AC23" s="39">
        <f t="shared" si="15"/>
        <v>526</v>
      </c>
      <c r="AD23" s="39">
        <f t="shared" si="15"/>
        <v>0</v>
      </c>
      <c r="AE23" s="40">
        <f t="shared" si="15"/>
        <v>498</v>
      </c>
      <c r="AF23" s="40">
        <f t="shared" si="15"/>
        <v>994</v>
      </c>
    </row>
    <row r="24" spans="2:32" ht="23.1" customHeight="1" x14ac:dyDescent="0.25">
      <c r="B24" s="23" t="s">
        <v>51</v>
      </c>
      <c r="C24" s="50">
        <v>59</v>
      </c>
      <c r="D24" s="50">
        <v>31</v>
      </c>
      <c r="E24" s="50">
        <v>5</v>
      </c>
      <c r="F24" s="50">
        <v>18</v>
      </c>
      <c r="G24" s="50">
        <v>1</v>
      </c>
      <c r="H24" s="50">
        <v>0</v>
      </c>
      <c r="I24" s="50">
        <v>3</v>
      </c>
      <c r="J24" s="50">
        <v>2</v>
      </c>
      <c r="K24" s="50">
        <v>1</v>
      </c>
      <c r="L24" s="50">
        <v>0</v>
      </c>
      <c r="M24" s="50">
        <v>135</v>
      </c>
      <c r="N24" s="50">
        <v>0</v>
      </c>
      <c r="O24" s="15">
        <f t="shared" si="0"/>
        <v>120</v>
      </c>
      <c r="P24" s="15">
        <f t="shared" si="1"/>
        <v>255</v>
      </c>
      <c r="R24" s="38" t="s">
        <v>92</v>
      </c>
      <c r="S24" s="39">
        <f>MAX(S19:S21)</f>
        <v>175</v>
      </c>
      <c r="T24" s="39">
        <f t="shared" ref="T24:AF24" si="16">MAX(T19:T21)</f>
        <v>128</v>
      </c>
      <c r="U24" s="39">
        <f t="shared" si="16"/>
        <v>30</v>
      </c>
      <c r="V24" s="39">
        <f t="shared" si="16"/>
        <v>114</v>
      </c>
      <c r="W24" s="39">
        <f t="shared" si="16"/>
        <v>5</v>
      </c>
      <c r="X24" s="39">
        <f t="shared" si="16"/>
        <v>0</v>
      </c>
      <c r="Y24" s="39">
        <f t="shared" si="16"/>
        <v>18</v>
      </c>
      <c r="Z24" s="39">
        <f t="shared" si="16"/>
        <v>20</v>
      </c>
      <c r="AA24" s="39">
        <f t="shared" si="16"/>
        <v>7</v>
      </c>
      <c r="AB24" s="39">
        <f t="shared" si="16"/>
        <v>12</v>
      </c>
      <c r="AC24" s="39">
        <f t="shared" si="16"/>
        <v>528</v>
      </c>
      <c r="AD24" s="39">
        <f t="shared" si="16"/>
        <v>0</v>
      </c>
      <c r="AE24" s="40">
        <f t="shared" si="16"/>
        <v>506</v>
      </c>
      <c r="AF24" s="40">
        <f t="shared" si="16"/>
        <v>913</v>
      </c>
    </row>
    <row r="25" spans="2:32" ht="23.1" customHeight="1" x14ac:dyDescent="0.25">
      <c r="B25" s="23" t="s">
        <v>52</v>
      </c>
      <c r="C25" s="50">
        <v>56</v>
      </c>
      <c r="D25" s="50">
        <v>37</v>
      </c>
      <c r="E25" s="50">
        <v>12</v>
      </c>
      <c r="F25" s="50">
        <v>29</v>
      </c>
      <c r="G25" s="50">
        <v>2</v>
      </c>
      <c r="H25" s="50">
        <v>0</v>
      </c>
      <c r="I25" s="50">
        <v>2</v>
      </c>
      <c r="J25" s="50">
        <v>4</v>
      </c>
      <c r="K25" s="50">
        <v>3</v>
      </c>
      <c r="L25" s="50">
        <v>1</v>
      </c>
      <c r="M25" s="50">
        <v>136</v>
      </c>
      <c r="N25" s="50">
        <v>0</v>
      </c>
      <c r="O25" s="15">
        <f t="shared" si="0"/>
        <v>146</v>
      </c>
      <c r="P25" s="15">
        <f t="shared" si="1"/>
        <v>282</v>
      </c>
      <c r="R25" s="37" t="s">
        <v>85</v>
      </c>
      <c r="S25" s="35">
        <f t="shared" ref="S25:AF25" si="17">SUM(S10:S12)</f>
        <v>325</v>
      </c>
      <c r="T25" s="16">
        <f t="shared" si="17"/>
        <v>205</v>
      </c>
      <c r="U25" s="16">
        <f t="shared" si="17"/>
        <v>51</v>
      </c>
      <c r="V25" s="16">
        <f t="shared" si="17"/>
        <v>291</v>
      </c>
      <c r="W25" s="16">
        <f t="shared" si="17"/>
        <v>9</v>
      </c>
      <c r="X25" s="16">
        <f t="shared" si="17"/>
        <v>4</v>
      </c>
      <c r="Y25" s="16">
        <f t="shared" si="17"/>
        <v>39</v>
      </c>
      <c r="Z25" s="16">
        <f t="shared" si="17"/>
        <v>40</v>
      </c>
      <c r="AA25" s="16">
        <f t="shared" si="17"/>
        <v>27</v>
      </c>
      <c r="AB25" s="16">
        <f t="shared" si="17"/>
        <v>6</v>
      </c>
      <c r="AC25" s="16">
        <f t="shared" si="17"/>
        <v>1539</v>
      </c>
      <c r="AD25" s="16">
        <f t="shared" si="17"/>
        <v>0</v>
      </c>
      <c r="AE25" s="32">
        <f t="shared" si="17"/>
        <v>997</v>
      </c>
      <c r="AF25" s="32">
        <f t="shared" si="17"/>
        <v>2536</v>
      </c>
    </row>
    <row r="26" spans="2:32" ht="23.1" customHeight="1" x14ac:dyDescent="0.25">
      <c r="B26" s="23" t="s">
        <v>53</v>
      </c>
      <c r="C26" s="50">
        <v>49</v>
      </c>
      <c r="D26" s="50">
        <v>28</v>
      </c>
      <c r="E26" s="50">
        <v>0</v>
      </c>
      <c r="F26" s="50">
        <v>14</v>
      </c>
      <c r="G26" s="50">
        <v>0</v>
      </c>
      <c r="H26" s="50">
        <v>0</v>
      </c>
      <c r="I26" s="50">
        <v>4</v>
      </c>
      <c r="J26" s="50">
        <v>7</v>
      </c>
      <c r="K26" s="50">
        <v>3</v>
      </c>
      <c r="L26" s="50">
        <v>2</v>
      </c>
      <c r="M26" s="50">
        <v>115</v>
      </c>
      <c r="N26" s="50">
        <v>0</v>
      </c>
      <c r="O26" s="15">
        <f t="shared" si="0"/>
        <v>107</v>
      </c>
      <c r="P26" s="15">
        <f t="shared" si="1"/>
        <v>222</v>
      </c>
      <c r="R26" s="28" t="s">
        <v>86</v>
      </c>
      <c r="S26" s="16">
        <f t="shared" ref="S26:AF26" si="18">SUM(S13:S18)</f>
        <v>968</v>
      </c>
      <c r="T26" s="16">
        <f t="shared" si="18"/>
        <v>675</v>
      </c>
      <c r="U26" s="16">
        <f t="shared" si="18"/>
        <v>162</v>
      </c>
      <c r="V26" s="16">
        <f t="shared" si="18"/>
        <v>461</v>
      </c>
      <c r="W26" s="16">
        <f t="shared" si="18"/>
        <v>11</v>
      </c>
      <c r="X26" s="16">
        <f t="shared" si="18"/>
        <v>4</v>
      </c>
      <c r="Y26" s="16">
        <f t="shared" si="18"/>
        <v>105</v>
      </c>
      <c r="Z26" s="16">
        <f t="shared" si="18"/>
        <v>75</v>
      </c>
      <c r="AA26" s="16">
        <f t="shared" si="18"/>
        <v>67</v>
      </c>
      <c r="AB26" s="16">
        <f t="shared" si="18"/>
        <v>37</v>
      </c>
      <c r="AC26" s="16">
        <f t="shared" si="18"/>
        <v>2705</v>
      </c>
      <c r="AD26" s="16">
        <f t="shared" si="18"/>
        <v>0</v>
      </c>
      <c r="AE26" s="32">
        <f t="shared" si="18"/>
        <v>2565</v>
      </c>
      <c r="AF26" s="32">
        <f t="shared" si="18"/>
        <v>5270</v>
      </c>
    </row>
    <row r="27" spans="2:32" ht="23.1" customHeight="1" x14ac:dyDescent="0.25">
      <c r="B27" s="23" t="s">
        <v>54</v>
      </c>
      <c r="C27" s="50">
        <v>36</v>
      </c>
      <c r="D27" s="50">
        <v>30</v>
      </c>
      <c r="E27" s="50">
        <v>8</v>
      </c>
      <c r="F27" s="50">
        <v>23</v>
      </c>
      <c r="G27" s="50">
        <v>0</v>
      </c>
      <c r="H27" s="50">
        <v>0</v>
      </c>
      <c r="I27" s="50">
        <v>3</v>
      </c>
      <c r="J27" s="50">
        <v>2</v>
      </c>
      <c r="K27" s="50">
        <v>2</v>
      </c>
      <c r="L27" s="50">
        <v>1</v>
      </c>
      <c r="M27" s="50">
        <v>132</v>
      </c>
      <c r="N27" s="50">
        <v>0</v>
      </c>
      <c r="O27" s="15">
        <f t="shared" si="0"/>
        <v>105</v>
      </c>
      <c r="P27" s="15">
        <f t="shared" si="1"/>
        <v>237</v>
      </c>
      <c r="R27" s="29" t="s">
        <v>87</v>
      </c>
      <c r="S27" s="16">
        <f t="shared" ref="S27:AF27" si="19">SUM(S19:S21)</f>
        <v>476</v>
      </c>
      <c r="T27" s="16">
        <f t="shared" si="19"/>
        <v>297</v>
      </c>
      <c r="U27" s="16">
        <f t="shared" si="19"/>
        <v>82</v>
      </c>
      <c r="V27" s="16">
        <f t="shared" si="19"/>
        <v>292</v>
      </c>
      <c r="W27" s="16">
        <f t="shared" si="19"/>
        <v>9</v>
      </c>
      <c r="X27" s="16">
        <f t="shared" si="19"/>
        <v>0</v>
      </c>
      <c r="Y27" s="16">
        <f t="shared" si="19"/>
        <v>51</v>
      </c>
      <c r="Z27" s="16">
        <f t="shared" si="19"/>
        <v>42</v>
      </c>
      <c r="AA27" s="16">
        <f t="shared" si="19"/>
        <v>18</v>
      </c>
      <c r="AB27" s="16">
        <f t="shared" si="19"/>
        <v>21</v>
      </c>
      <c r="AC27" s="16">
        <f t="shared" si="19"/>
        <v>1386</v>
      </c>
      <c r="AD27" s="16">
        <f t="shared" si="19"/>
        <v>0</v>
      </c>
      <c r="AE27" s="32">
        <f t="shared" si="19"/>
        <v>1288</v>
      </c>
      <c r="AF27" s="32">
        <f t="shared" si="19"/>
        <v>2674</v>
      </c>
    </row>
    <row r="28" spans="2:32" ht="23.1" customHeight="1" x14ac:dyDescent="0.25">
      <c r="B28" s="23" t="s">
        <v>55</v>
      </c>
      <c r="C28" s="50">
        <v>50</v>
      </c>
      <c r="D28" s="50">
        <v>30</v>
      </c>
      <c r="E28" s="50">
        <v>13</v>
      </c>
      <c r="F28" s="50">
        <v>17</v>
      </c>
      <c r="G28" s="50">
        <v>0</v>
      </c>
      <c r="H28" s="50">
        <v>0</v>
      </c>
      <c r="I28" s="50">
        <v>4</v>
      </c>
      <c r="J28" s="50">
        <v>3</v>
      </c>
      <c r="K28" s="50">
        <v>7</v>
      </c>
      <c r="L28" s="50">
        <v>3</v>
      </c>
      <c r="M28" s="50">
        <v>169</v>
      </c>
      <c r="N28" s="50">
        <v>0</v>
      </c>
      <c r="O28" s="15">
        <f t="shared" si="0"/>
        <v>127</v>
      </c>
      <c r="P28" s="15">
        <f t="shared" si="1"/>
        <v>296</v>
      </c>
      <c r="R28" s="5" t="s">
        <v>17</v>
      </c>
      <c r="S28" s="16">
        <f t="shared" ref="S28:AF28" si="20">SUM(S10:S21)</f>
        <v>1769</v>
      </c>
      <c r="T28" s="16">
        <f t="shared" si="20"/>
        <v>1177</v>
      </c>
      <c r="U28" s="16">
        <f t="shared" si="20"/>
        <v>295</v>
      </c>
      <c r="V28" s="16">
        <f t="shared" si="20"/>
        <v>1044</v>
      </c>
      <c r="W28" s="16">
        <f t="shared" si="20"/>
        <v>29</v>
      </c>
      <c r="X28" s="16">
        <f t="shared" si="20"/>
        <v>8</v>
      </c>
      <c r="Y28" s="16">
        <f t="shared" si="20"/>
        <v>195</v>
      </c>
      <c r="Z28" s="16">
        <f t="shared" si="20"/>
        <v>157</v>
      </c>
      <c r="AA28" s="16">
        <f t="shared" si="20"/>
        <v>112</v>
      </c>
      <c r="AB28" s="16">
        <f t="shared" si="20"/>
        <v>64</v>
      </c>
      <c r="AC28" s="16">
        <f t="shared" si="20"/>
        <v>5630</v>
      </c>
      <c r="AD28" s="16">
        <f t="shared" si="20"/>
        <v>0</v>
      </c>
      <c r="AE28" s="32">
        <f t="shared" si="20"/>
        <v>4850</v>
      </c>
      <c r="AF28" s="32">
        <f t="shared" si="20"/>
        <v>10480</v>
      </c>
    </row>
    <row r="29" spans="2:32" ht="23.1" customHeight="1" x14ac:dyDescent="0.25">
      <c r="B29" s="23" t="s">
        <v>56</v>
      </c>
      <c r="C29" s="50">
        <v>44</v>
      </c>
      <c r="D29" s="50">
        <v>35</v>
      </c>
      <c r="E29" s="50">
        <v>8</v>
      </c>
      <c r="F29" s="50">
        <v>23</v>
      </c>
      <c r="G29" s="50">
        <v>1</v>
      </c>
      <c r="H29" s="50">
        <v>0</v>
      </c>
      <c r="I29" s="50">
        <v>4</v>
      </c>
      <c r="J29" s="50">
        <v>5</v>
      </c>
      <c r="K29" s="50">
        <v>3</v>
      </c>
      <c r="L29" s="50">
        <v>3</v>
      </c>
      <c r="M29" s="50">
        <v>110</v>
      </c>
      <c r="N29" s="50">
        <v>0</v>
      </c>
      <c r="O29" s="15">
        <f t="shared" si="0"/>
        <v>126</v>
      </c>
      <c r="P29" s="15">
        <f t="shared" si="1"/>
        <v>236</v>
      </c>
      <c r="R29"/>
      <c r="S29" s="20"/>
      <c r="T29" s="19"/>
    </row>
    <row r="30" spans="2:32" ht="23.1" customHeight="1" x14ac:dyDescent="0.25">
      <c r="B30" s="23" t="s">
        <v>57</v>
      </c>
      <c r="C30" s="50">
        <v>49</v>
      </c>
      <c r="D30" s="50">
        <v>24</v>
      </c>
      <c r="E30" s="50">
        <v>3</v>
      </c>
      <c r="F30" s="50">
        <v>18</v>
      </c>
      <c r="G30" s="50">
        <v>0</v>
      </c>
      <c r="H30" s="50">
        <v>1</v>
      </c>
      <c r="I30" s="50">
        <v>4</v>
      </c>
      <c r="J30" s="50">
        <v>4</v>
      </c>
      <c r="K30" s="50">
        <v>2</v>
      </c>
      <c r="L30" s="50">
        <v>1</v>
      </c>
      <c r="M30" s="50">
        <v>110</v>
      </c>
      <c r="N30" s="50">
        <v>0</v>
      </c>
      <c r="O30" s="15">
        <f t="shared" si="0"/>
        <v>106</v>
      </c>
      <c r="P30" s="15">
        <f t="shared" si="1"/>
        <v>216</v>
      </c>
    </row>
    <row r="31" spans="2:32" ht="23.1" customHeight="1" x14ac:dyDescent="0.25">
      <c r="B31" s="24" t="s">
        <v>58</v>
      </c>
      <c r="C31" s="50">
        <v>42</v>
      </c>
      <c r="D31" s="50">
        <v>20</v>
      </c>
      <c r="E31" s="50">
        <v>5</v>
      </c>
      <c r="F31" s="50">
        <v>12</v>
      </c>
      <c r="G31" s="50">
        <v>0</v>
      </c>
      <c r="H31" s="50">
        <v>0</v>
      </c>
      <c r="I31" s="50">
        <v>3</v>
      </c>
      <c r="J31" s="50">
        <v>1</v>
      </c>
      <c r="K31" s="50">
        <v>2</v>
      </c>
      <c r="L31" s="50">
        <v>2</v>
      </c>
      <c r="M31" s="50">
        <v>90</v>
      </c>
      <c r="N31" s="50">
        <v>0</v>
      </c>
      <c r="O31" s="15">
        <f t="shared" si="0"/>
        <v>87</v>
      </c>
      <c r="P31" s="15">
        <f t="shared" si="1"/>
        <v>177</v>
      </c>
    </row>
    <row r="32" spans="2:32" ht="23.1" customHeight="1" x14ac:dyDescent="0.25">
      <c r="B32" s="24" t="s">
        <v>59</v>
      </c>
      <c r="C32" s="50">
        <v>33</v>
      </c>
      <c r="D32" s="50">
        <v>29</v>
      </c>
      <c r="E32" s="50">
        <v>10</v>
      </c>
      <c r="F32" s="50">
        <v>16</v>
      </c>
      <c r="G32" s="50">
        <v>0</v>
      </c>
      <c r="H32" s="50">
        <v>0</v>
      </c>
      <c r="I32" s="50">
        <v>1</v>
      </c>
      <c r="J32" s="50">
        <v>5</v>
      </c>
      <c r="K32" s="50">
        <v>2</v>
      </c>
      <c r="L32" s="50">
        <v>2</v>
      </c>
      <c r="M32" s="50">
        <v>120</v>
      </c>
      <c r="N32" s="50">
        <v>0</v>
      </c>
      <c r="O32" s="15">
        <f t="shared" si="0"/>
        <v>98</v>
      </c>
      <c r="P32" s="15">
        <f t="shared" si="1"/>
        <v>218</v>
      </c>
    </row>
    <row r="33" spans="2:20" ht="23.1" customHeight="1" x14ac:dyDescent="0.25">
      <c r="B33" s="23" t="s">
        <v>60</v>
      </c>
      <c r="C33" s="50">
        <v>50</v>
      </c>
      <c r="D33" s="50">
        <v>24</v>
      </c>
      <c r="E33" s="50">
        <v>8</v>
      </c>
      <c r="F33" s="50">
        <v>24</v>
      </c>
      <c r="G33" s="50">
        <v>0</v>
      </c>
      <c r="H33" s="50">
        <v>0</v>
      </c>
      <c r="I33" s="50">
        <v>6</v>
      </c>
      <c r="J33" s="50">
        <v>1</v>
      </c>
      <c r="K33" s="50">
        <v>5</v>
      </c>
      <c r="L33" s="50">
        <v>2</v>
      </c>
      <c r="M33" s="50">
        <v>114</v>
      </c>
      <c r="N33" s="50">
        <v>0</v>
      </c>
      <c r="O33" s="15">
        <f t="shared" si="0"/>
        <v>120</v>
      </c>
      <c r="P33" s="15">
        <f t="shared" si="1"/>
        <v>234</v>
      </c>
    </row>
    <row r="34" spans="2:20" ht="23.1" customHeight="1" x14ac:dyDescent="0.25">
      <c r="B34" s="24" t="s">
        <v>61</v>
      </c>
      <c r="C34" s="50">
        <v>27</v>
      </c>
      <c r="D34" s="50">
        <v>25</v>
      </c>
      <c r="E34" s="50">
        <v>10</v>
      </c>
      <c r="F34" s="50">
        <v>13</v>
      </c>
      <c r="G34" s="50">
        <v>1</v>
      </c>
      <c r="H34" s="50">
        <v>0</v>
      </c>
      <c r="I34" s="50">
        <v>5</v>
      </c>
      <c r="J34" s="50">
        <v>2</v>
      </c>
      <c r="K34" s="50">
        <v>3</v>
      </c>
      <c r="L34" s="50">
        <v>1</v>
      </c>
      <c r="M34" s="50">
        <v>40</v>
      </c>
      <c r="N34" s="50">
        <v>0</v>
      </c>
      <c r="O34" s="15">
        <f t="shared" si="0"/>
        <v>87</v>
      </c>
      <c r="P34" s="15">
        <f t="shared" si="1"/>
        <v>127</v>
      </c>
    </row>
    <row r="35" spans="2:20" ht="23.1" customHeight="1" x14ac:dyDescent="0.25">
      <c r="B35" s="24" t="s">
        <v>62</v>
      </c>
      <c r="C35" s="50">
        <v>33</v>
      </c>
      <c r="D35" s="50">
        <v>21</v>
      </c>
      <c r="E35" s="50">
        <v>7</v>
      </c>
      <c r="F35" s="50">
        <v>29</v>
      </c>
      <c r="G35" s="50">
        <v>1</v>
      </c>
      <c r="H35" s="50">
        <v>0</v>
      </c>
      <c r="I35" s="50">
        <v>5</v>
      </c>
      <c r="J35" s="50">
        <v>3</v>
      </c>
      <c r="K35" s="50">
        <v>1</v>
      </c>
      <c r="L35" s="50">
        <v>2</v>
      </c>
      <c r="M35" s="50">
        <v>104</v>
      </c>
      <c r="N35" s="50">
        <v>0</v>
      </c>
      <c r="O35" s="15">
        <f t="shared" si="0"/>
        <v>102</v>
      </c>
      <c r="P35" s="15">
        <f t="shared" si="1"/>
        <v>206</v>
      </c>
    </row>
    <row r="36" spans="2:20" ht="23.1" customHeight="1" x14ac:dyDescent="0.25">
      <c r="B36" s="24" t="s">
        <v>63</v>
      </c>
      <c r="C36" s="50">
        <v>25</v>
      </c>
      <c r="D36" s="50">
        <v>21</v>
      </c>
      <c r="E36" s="50">
        <v>4</v>
      </c>
      <c r="F36" s="50">
        <v>20</v>
      </c>
      <c r="G36" s="50">
        <v>0</v>
      </c>
      <c r="H36" s="50">
        <v>0</v>
      </c>
      <c r="I36" s="50">
        <v>7</v>
      </c>
      <c r="J36" s="50">
        <v>2</v>
      </c>
      <c r="K36" s="50">
        <v>2</v>
      </c>
      <c r="L36" s="50">
        <v>1</v>
      </c>
      <c r="M36" s="50">
        <v>108</v>
      </c>
      <c r="N36" s="50">
        <v>0</v>
      </c>
      <c r="O36" s="15">
        <f t="shared" si="0"/>
        <v>82</v>
      </c>
      <c r="P36" s="15">
        <f t="shared" si="1"/>
        <v>190</v>
      </c>
    </row>
    <row r="37" spans="2:20" ht="23.1" customHeight="1" x14ac:dyDescent="0.25">
      <c r="B37" s="23" t="s">
        <v>64</v>
      </c>
      <c r="C37" s="50">
        <v>30</v>
      </c>
      <c r="D37" s="50">
        <v>23</v>
      </c>
      <c r="E37" s="50">
        <v>5</v>
      </c>
      <c r="F37" s="50">
        <v>26</v>
      </c>
      <c r="G37" s="50">
        <v>0</v>
      </c>
      <c r="H37" s="50">
        <v>1</v>
      </c>
      <c r="I37" s="50">
        <v>6</v>
      </c>
      <c r="J37" s="50">
        <v>5</v>
      </c>
      <c r="K37" s="50">
        <v>3</v>
      </c>
      <c r="L37" s="50">
        <v>4</v>
      </c>
      <c r="M37" s="50">
        <v>97</v>
      </c>
      <c r="N37" s="50">
        <v>0</v>
      </c>
      <c r="O37" s="15">
        <f t="shared" si="0"/>
        <v>103</v>
      </c>
      <c r="P37" s="15">
        <f t="shared" si="1"/>
        <v>200</v>
      </c>
    </row>
    <row r="38" spans="2:20" ht="23.1" customHeight="1" x14ac:dyDescent="0.25">
      <c r="B38" s="24" t="s">
        <v>65</v>
      </c>
      <c r="C38" s="50">
        <v>29</v>
      </c>
      <c r="D38" s="50">
        <v>27</v>
      </c>
      <c r="E38" s="50">
        <v>11</v>
      </c>
      <c r="F38" s="50">
        <v>7</v>
      </c>
      <c r="G38" s="50">
        <v>1</v>
      </c>
      <c r="H38" s="50">
        <v>0</v>
      </c>
      <c r="I38" s="50">
        <v>7</v>
      </c>
      <c r="J38" s="50">
        <v>1</v>
      </c>
      <c r="K38" s="50">
        <v>1</v>
      </c>
      <c r="L38" s="50">
        <v>0</v>
      </c>
      <c r="M38" s="50">
        <v>67</v>
      </c>
      <c r="N38" s="50">
        <v>0</v>
      </c>
      <c r="O38" s="15">
        <f t="shared" si="0"/>
        <v>84</v>
      </c>
      <c r="P38" s="15">
        <f t="shared" si="1"/>
        <v>151</v>
      </c>
    </row>
    <row r="39" spans="2:20" ht="23.1" customHeight="1" x14ac:dyDescent="0.25">
      <c r="B39" s="24" t="s">
        <v>66</v>
      </c>
      <c r="C39" s="50">
        <v>43</v>
      </c>
      <c r="D39" s="50">
        <v>25</v>
      </c>
      <c r="E39" s="50">
        <v>4</v>
      </c>
      <c r="F39" s="50">
        <v>18</v>
      </c>
      <c r="G39" s="50">
        <v>1</v>
      </c>
      <c r="H39" s="50">
        <v>0</v>
      </c>
      <c r="I39" s="50">
        <v>3</v>
      </c>
      <c r="J39" s="50">
        <v>4</v>
      </c>
      <c r="K39" s="50">
        <v>5</v>
      </c>
      <c r="L39" s="50">
        <v>2</v>
      </c>
      <c r="M39" s="50">
        <v>75</v>
      </c>
      <c r="N39" s="50">
        <v>0</v>
      </c>
      <c r="O39" s="15">
        <f t="shared" si="0"/>
        <v>105</v>
      </c>
      <c r="P39" s="15">
        <f t="shared" si="1"/>
        <v>180</v>
      </c>
    </row>
    <row r="40" spans="2:20" ht="23.1" customHeight="1" x14ac:dyDescent="0.25">
      <c r="B40" s="24" t="s">
        <v>67</v>
      </c>
      <c r="C40" s="50">
        <v>37</v>
      </c>
      <c r="D40" s="50">
        <v>26</v>
      </c>
      <c r="E40" s="50">
        <v>5</v>
      </c>
      <c r="F40" s="50">
        <v>28</v>
      </c>
      <c r="G40" s="50">
        <v>0</v>
      </c>
      <c r="H40" s="50">
        <v>0</v>
      </c>
      <c r="I40" s="50">
        <v>2</v>
      </c>
      <c r="J40" s="50">
        <v>2</v>
      </c>
      <c r="K40" s="50">
        <v>3</v>
      </c>
      <c r="L40" s="50">
        <v>0</v>
      </c>
      <c r="M40" s="50">
        <v>112</v>
      </c>
      <c r="N40" s="50">
        <v>0</v>
      </c>
      <c r="O40" s="15">
        <f t="shared" si="0"/>
        <v>103</v>
      </c>
      <c r="P40" s="15">
        <f t="shared" si="1"/>
        <v>215</v>
      </c>
    </row>
    <row r="41" spans="2:20" ht="23.1" customHeight="1" x14ac:dyDescent="0.25">
      <c r="B41" s="23" t="s">
        <v>68</v>
      </c>
      <c r="C41" s="50">
        <v>27</v>
      </c>
      <c r="D41" s="50">
        <v>32</v>
      </c>
      <c r="E41" s="50">
        <v>6</v>
      </c>
      <c r="F41" s="50">
        <v>20</v>
      </c>
      <c r="G41" s="50">
        <v>0</v>
      </c>
      <c r="H41" s="50">
        <v>0</v>
      </c>
      <c r="I41" s="50">
        <v>6</v>
      </c>
      <c r="J41" s="50">
        <v>2</v>
      </c>
      <c r="K41" s="50">
        <v>3</v>
      </c>
      <c r="L41" s="50">
        <v>2</v>
      </c>
      <c r="M41" s="50">
        <v>208</v>
      </c>
      <c r="N41" s="50">
        <v>0</v>
      </c>
      <c r="O41" s="15">
        <f t="shared" si="0"/>
        <v>98</v>
      </c>
      <c r="P41" s="15">
        <f t="shared" si="1"/>
        <v>306</v>
      </c>
    </row>
    <row r="42" spans="2:20" ht="23.1" customHeight="1" x14ac:dyDescent="0.25">
      <c r="B42" s="24" t="s">
        <v>69</v>
      </c>
      <c r="C42" s="50">
        <v>39</v>
      </c>
      <c r="D42" s="50">
        <v>32</v>
      </c>
      <c r="E42" s="50">
        <v>4</v>
      </c>
      <c r="F42" s="50">
        <v>18</v>
      </c>
      <c r="G42" s="50">
        <v>1</v>
      </c>
      <c r="H42" s="50">
        <v>0</v>
      </c>
      <c r="I42" s="50">
        <v>3</v>
      </c>
      <c r="J42" s="50">
        <v>4</v>
      </c>
      <c r="K42" s="50">
        <v>1</v>
      </c>
      <c r="L42" s="50">
        <v>1</v>
      </c>
      <c r="M42" s="50">
        <v>75</v>
      </c>
      <c r="N42" s="50">
        <v>0</v>
      </c>
      <c r="O42" s="15">
        <f t="shared" si="0"/>
        <v>103</v>
      </c>
      <c r="P42" s="15">
        <f t="shared" si="1"/>
        <v>178</v>
      </c>
    </row>
    <row r="43" spans="2:20" ht="23.1" customHeight="1" x14ac:dyDescent="0.25">
      <c r="B43" s="23" t="s">
        <v>70</v>
      </c>
      <c r="C43" s="50">
        <v>45</v>
      </c>
      <c r="D43" s="50">
        <v>35</v>
      </c>
      <c r="E43" s="50">
        <v>12</v>
      </c>
      <c r="F43" s="50">
        <v>16</v>
      </c>
      <c r="G43" s="50">
        <v>0</v>
      </c>
      <c r="H43" s="50">
        <v>0</v>
      </c>
      <c r="I43" s="50">
        <v>4</v>
      </c>
      <c r="J43" s="50">
        <v>3</v>
      </c>
      <c r="K43" s="50">
        <v>4</v>
      </c>
      <c r="L43" s="50">
        <v>0</v>
      </c>
      <c r="M43" s="50">
        <v>120</v>
      </c>
      <c r="N43" s="50">
        <v>0</v>
      </c>
      <c r="O43" s="15">
        <f t="shared" si="0"/>
        <v>119</v>
      </c>
      <c r="P43" s="15">
        <f t="shared" si="1"/>
        <v>239</v>
      </c>
    </row>
    <row r="44" spans="2:20" ht="23.1" customHeight="1" x14ac:dyDescent="0.25">
      <c r="B44" s="25" t="s">
        <v>71</v>
      </c>
      <c r="C44" s="50">
        <v>31</v>
      </c>
      <c r="D44" s="50">
        <v>30</v>
      </c>
      <c r="E44" s="50">
        <v>7</v>
      </c>
      <c r="F44" s="50">
        <v>21</v>
      </c>
      <c r="G44" s="50">
        <v>1</v>
      </c>
      <c r="H44" s="50">
        <v>0</v>
      </c>
      <c r="I44" s="50">
        <v>8</v>
      </c>
      <c r="J44" s="50">
        <v>5</v>
      </c>
      <c r="K44" s="50">
        <v>2</v>
      </c>
      <c r="L44" s="50">
        <v>0</v>
      </c>
      <c r="M44" s="50">
        <v>113</v>
      </c>
      <c r="N44" s="50">
        <v>0</v>
      </c>
      <c r="O44" s="15">
        <f t="shared" si="0"/>
        <v>105</v>
      </c>
      <c r="P44" s="15">
        <f t="shared" si="1"/>
        <v>218</v>
      </c>
    </row>
    <row r="45" spans="2:20" ht="23.1" customHeight="1" x14ac:dyDescent="0.25">
      <c r="B45" s="23" t="s">
        <v>72</v>
      </c>
      <c r="C45" s="50">
        <v>25</v>
      </c>
      <c r="D45" s="50">
        <v>32</v>
      </c>
      <c r="E45" s="50">
        <v>8</v>
      </c>
      <c r="F45" s="50">
        <v>17</v>
      </c>
      <c r="G45" s="50">
        <v>0</v>
      </c>
      <c r="H45" s="50">
        <v>0</v>
      </c>
      <c r="I45" s="50">
        <v>10</v>
      </c>
      <c r="J45" s="50">
        <v>2</v>
      </c>
      <c r="K45" s="50">
        <v>3</v>
      </c>
      <c r="L45" s="50">
        <v>3</v>
      </c>
      <c r="M45" s="50">
        <v>130</v>
      </c>
      <c r="N45" s="50">
        <v>0</v>
      </c>
      <c r="O45" s="15">
        <f t="shared" si="0"/>
        <v>100</v>
      </c>
      <c r="P45" s="15">
        <f t="shared" si="1"/>
        <v>230</v>
      </c>
    </row>
    <row r="46" spans="2:20" ht="23.1" customHeight="1" x14ac:dyDescent="0.25">
      <c r="B46" s="24" t="s">
        <v>73</v>
      </c>
      <c r="C46" s="50">
        <v>40</v>
      </c>
      <c r="D46" s="50">
        <v>28</v>
      </c>
      <c r="E46" s="50">
        <v>5</v>
      </c>
      <c r="F46" s="50">
        <v>15</v>
      </c>
      <c r="G46" s="50">
        <v>0</v>
      </c>
      <c r="H46" s="50">
        <v>0</v>
      </c>
      <c r="I46" s="50">
        <v>5</v>
      </c>
      <c r="J46" s="50">
        <v>2</v>
      </c>
      <c r="K46" s="50">
        <v>5</v>
      </c>
      <c r="L46" s="50">
        <v>1</v>
      </c>
      <c r="M46" s="50">
        <v>125</v>
      </c>
      <c r="N46" s="50">
        <v>0</v>
      </c>
      <c r="O46" s="15">
        <f t="shared" si="0"/>
        <v>101</v>
      </c>
      <c r="P46" s="15">
        <f t="shared" si="1"/>
        <v>226</v>
      </c>
      <c r="R46" s="8"/>
      <c r="T46"/>
    </row>
    <row r="47" spans="2:20" ht="23.1" customHeight="1" x14ac:dyDescent="0.25">
      <c r="B47" s="24" t="s">
        <v>74</v>
      </c>
      <c r="C47" s="50">
        <v>29</v>
      </c>
      <c r="D47" s="50">
        <v>22</v>
      </c>
      <c r="E47" s="50">
        <v>8</v>
      </c>
      <c r="F47" s="50">
        <v>21</v>
      </c>
      <c r="G47" s="50">
        <v>1</v>
      </c>
      <c r="H47" s="50">
        <v>0</v>
      </c>
      <c r="I47" s="50">
        <v>4</v>
      </c>
      <c r="J47" s="50">
        <v>8</v>
      </c>
      <c r="K47" s="50">
        <v>1</v>
      </c>
      <c r="L47" s="50">
        <v>1</v>
      </c>
      <c r="M47" s="50">
        <v>115</v>
      </c>
      <c r="N47" s="50">
        <v>0</v>
      </c>
      <c r="O47" s="15">
        <f t="shared" si="0"/>
        <v>95</v>
      </c>
      <c r="P47" s="15">
        <f t="shared" si="1"/>
        <v>210</v>
      </c>
      <c r="R47" s="8"/>
      <c r="T47"/>
    </row>
    <row r="48" spans="2:20" ht="23.1" customHeight="1" x14ac:dyDescent="0.25">
      <c r="B48" s="24" t="s">
        <v>75</v>
      </c>
      <c r="C48" s="50">
        <v>43</v>
      </c>
      <c r="D48" s="50">
        <v>10</v>
      </c>
      <c r="E48" s="50">
        <v>11</v>
      </c>
      <c r="F48" s="50">
        <v>21</v>
      </c>
      <c r="G48" s="50">
        <v>0</v>
      </c>
      <c r="H48" s="50">
        <v>0</v>
      </c>
      <c r="I48" s="50">
        <v>3</v>
      </c>
      <c r="J48" s="50">
        <v>1</v>
      </c>
      <c r="K48" s="50">
        <v>0</v>
      </c>
      <c r="L48" s="50">
        <v>0</v>
      </c>
      <c r="M48" s="50">
        <v>148</v>
      </c>
      <c r="N48" s="50">
        <v>0</v>
      </c>
      <c r="O48" s="15">
        <f t="shared" si="0"/>
        <v>89</v>
      </c>
      <c r="P48" s="15">
        <f t="shared" si="1"/>
        <v>237</v>
      </c>
      <c r="R48" s="8"/>
      <c r="T48"/>
    </row>
    <row r="49" spans="2:20" ht="23.1" customHeight="1" x14ac:dyDescent="0.25">
      <c r="B49" s="23" t="s">
        <v>76</v>
      </c>
      <c r="C49" s="50">
        <v>44</v>
      </c>
      <c r="D49" s="50">
        <v>13</v>
      </c>
      <c r="E49" s="50">
        <v>3</v>
      </c>
      <c r="F49" s="50">
        <v>25</v>
      </c>
      <c r="G49" s="50">
        <v>2</v>
      </c>
      <c r="H49" s="50">
        <v>0</v>
      </c>
      <c r="I49" s="50">
        <v>4</v>
      </c>
      <c r="J49" s="50">
        <v>3</v>
      </c>
      <c r="K49" s="50">
        <v>0</v>
      </c>
      <c r="L49" s="50">
        <v>1</v>
      </c>
      <c r="M49" s="50">
        <v>140</v>
      </c>
      <c r="N49" s="50">
        <v>0</v>
      </c>
      <c r="O49" s="15">
        <f t="shared" si="0"/>
        <v>95</v>
      </c>
      <c r="P49" s="15">
        <f t="shared" si="1"/>
        <v>235</v>
      </c>
      <c r="R49" s="8"/>
      <c r="T49"/>
    </row>
    <row r="50" spans="2:20" ht="23.1" customHeight="1" x14ac:dyDescent="0.25">
      <c r="B50" s="24" t="s">
        <v>77</v>
      </c>
      <c r="C50" s="50">
        <v>21</v>
      </c>
      <c r="D50" s="50">
        <v>22</v>
      </c>
      <c r="E50" s="50">
        <v>4</v>
      </c>
      <c r="F50" s="50">
        <v>27</v>
      </c>
      <c r="G50" s="50">
        <v>2</v>
      </c>
      <c r="H50" s="50">
        <v>0</v>
      </c>
      <c r="I50" s="50">
        <v>0</v>
      </c>
      <c r="J50" s="50">
        <v>1</v>
      </c>
      <c r="K50" s="50">
        <v>0</v>
      </c>
      <c r="L50" s="50">
        <v>1</v>
      </c>
      <c r="M50" s="50">
        <v>75</v>
      </c>
      <c r="N50" s="50">
        <v>0</v>
      </c>
      <c r="O50" s="15">
        <f t="shared" si="0"/>
        <v>78</v>
      </c>
      <c r="P50" s="15">
        <f t="shared" si="1"/>
        <v>153</v>
      </c>
      <c r="R50" s="8"/>
      <c r="T50"/>
    </row>
    <row r="51" spans="2:20" ht="23.1" customHeight="1" x14ac:dyDescent="0.25">
      <c r="B51" s="24" t="s">
        <v>78</v>
      </c>
      <c r="C51" s="50">
        <v>58</v>
      </c>
      <c r="D51" s="50">
        <v>49</v>
      </c>
      <c r="E51" s="50">
        <v>12</v>
      </c>
      <c r="F51" s="50">
        <v>34</v>
      </c>
      <c r="G51" s="50">
        <v>3</v>
      </c>
      <c r="H51" s="50">
        <v>0</v>
      </c>
      <c r="I51" s="50">
        <v>5</v>
      </c>
      <c r="J51" s="50">
        <v>10</v>
      </c>
      <c r="K51" s="50">
        <v>2</v>
      </c>
      <c r="L51" s="50">
        <v>5</v>
      </c>
      <c r="M51" s="50">
        <v>115</v>
      </c>
      <c r="N51" s="50">
        <v>0</v>
      </c>
      <c r="O51" s="15">
        <f t="shared" si="0"/>
        <v>178</v>
      </c>
      <c r="P51" s="15">
        <f t="shared" si="1"/>
        <v>293</v>
      </c>
      <c r="R51" s="8"/>
      <c r="T51"/>
    </row>
    <row r="52" spans="2:20" ht="23.1" customHeight="1" x14ac:dyDescent="0.25">
      <c r="B52" s="24" t="s">
        <v>79</v>
      </c>
      <c r="C52" s="50">
        <v>43</v>
      </c>
      <c r="D52" s="50">
        <v>29</v>
      </c>
      <c r="E52" s="50">
        <v>9</v>
      </c>
      <c r="F52" s="50">
        <v>20</v>
      </c>
      <c r="G52" s="50">
        <v>0</v>
      </c>
      <c r="H52" s="50">
        <v>0</v>
      </c>
      <c r="I52" s="50">
        <v>7</v>
      </c>
      <c r="J52" s="50">
        <v>5</v>
      </c>
      <c r="K52" s="50">
        <v>2</v>
      </c>
      <c r="L52" s="50">
        <v>0</v>
      </c>
      <c r="M52" s="50">
        <v>97</v>
      </c>
      <c r="N52" s="50">
        <v>0</v>
      </c>
      <c r="O52" s="15">
        <f t="shared" si="0"/>
        <v>115</v>
      </c>
      <c r="P52" s="15">
        <f t="shared" si="1"/>
        <v>212</v>
      </c>
      <c r="R52" s="8"/>
      <c r="T52"/>
    </row>
    <row r="53" spans="2:20" ht="23.1" customHeight="1" x14ac:dyDescent="0.25">
      <c r="B53" s="23" t="s">
        <v>80</v>
      </c>
      <c r="C53" s="50">
        <v>53</v>
      </c>
      <c r="D53" s="50">
        <v>28</v>
      </c>
      <c r="E53" s="50">
        <v>5</v>
      </c>
      <c r="F53" s="50">
        <v>33</v>
      </c>
      <c r="G53" s="50">
        <v>0</v>
      </c>
      <c r="H53" s="50">
        <v>0</v>
      </c>
      <c r="I53" s="50">
        <v>5</v>
      </c>
      <c r="J53" s="50">
        <v>4</v>
      </c>
      <c r="K53" s="50">
        <v>1</v>
      </c>
      <c r="L53" s="50">
        <v>6</v>
      </c>
      <c r="M53" s="50">
        <v>60</v>
      </c>
      <c r="N53" s="50">
        <v>0</v>
      </c>
      <c r="O53" s="15">
        <f t="shared" si="0"/>
        <v>135</v>
      </c>
      <c r="P53" s="15">
        <f t="shared" si="1"/>
        <v>195</v>
      </c>
      <c r="R53" s="8"/>
      <c r="T53"/>
    </row>
    <row r="54" spans="2:20" ht="23.1" customHeight="1" x14ac:dyDescent="0.25">
      <c r="B54" s="23" t="s">
        <v>81</v>
      </c>
      <c r="C54" s="50">
        <v>30</v>
      </c>
      <c r="D54" s="50">
        <v>13</v>
      </c>
      <c r="E54" s="50">
        <v>5</v>
      </c>
      <c r="F54" s="50">
        <v>24</v>
      </c>
      <c r="G54" s="50">
        <v>0</v>
      </c>
      <c r="H54" s="50">
        <v>0</v>
      </c>
      <c r="I54" s="50">
        <v>1</v>
      </c>
      <c r="J54" s="50">
        <v>1</v>
      </c>
      <c r="K54" s="50">
        <v>2</v>
      </c>
      <c r="L54" s="50">
        <v>2</v>
      </c>
      <c r="M54" s="50">
        <v>133</v>
      </c>
      <c r="N54" s="50">
        <v>0</v>
      </c>
      <c r="O54" s="15">
        <f t="shared" si="0"/>
        <v>78</v>
      </c>
      <c r="P54" s="15">
        <f t="shared" si="1"/>
        <v>211</v>
      </c>
      <c r="R54" s="8"/>
      <c r="T54"/>
    </row>
    <row r="55" spans="2:20" ht="23.1" customHeight="1" x14ac:dyDescent="0.25">
      <c r="B55" s="23" t="s">
        <v>82</v>
      </c>
      <c r="C55" s="50">
        <v>42</v>
      </c>
      <c r="D55" s="50">
        <v>31</v>
      </c>
      <c r="E55" s="50">
        <v>7</v>
      </c>
      <c r="F55" s="50">
        <v>21</v>
      </c>
      <c r="G55" s="50">
        <v>0</v>
      </c>
      <c r="H55" s="50">
        <v>0</v>
      </c>
      <c r="I55" s="50">
        <v>12</v>
      </c>
      <c r="J55" s="50">
        <v>5</v>
      </c>
      <c r="K55" s="50">
        <v>4</v>
      </c>
      <c r="L55" s="50">
        <v>1</v>
      </c>
      <c r="M55" s="50">
        <v>145</v>
      </c>
      <c r="N55" s="50">
        <v>0</v>
      </c>
      <c r="O55" s="15">
        <f t="shared" si="0"/>
        <v>123</v>
      </c>
      <c r="P55" s="15">
        <f t="shared" si="1"/>
        <v>268</v>
      </c>
      <c r="R55" s="8"/>
      <c r="T55"/>
    </row>
    <row r="56" spans="2:20" ht="23.1" customHeight="1" x14ac:dyDescent="0.25">
      <c r="B56" s="23" t="s">
        <v>83</v>
      </c>
      <c r="C56" s="50">
        <v>42</v>
      </c>
      <c r="D56" s="50">
        <v>21</v>
      </c>
      <c r="E56" s="50">
        <v>6</v>
      </c>
      <c r="F56" s="50">
        <v>25</v>
      </c>
      <c r="G56" s="50">
        <v>1</v>
      </c>
      <c r="H56" s="50">
        <v>0</v>
      </c>
      <c r="I56" s="50">
        <v>4</v>
      </c>
      <c r="J56" s="50">
        <v>1</v>
      </c>
      <c r="K56" s="50">
        <v>0</v>
      </c>
      <c r="L56" s="50">
        <v>2</v>
      </c>
      <c r="M56" s="50">
        <v>105</v>
      </c>
      <c r="N56" s="50">
        <v>0</v>
      </c>
      <c r="O56" s="15">
        <f t="shared" si="0"/>
        <v>102</v>
      </c>
      <c r="P56" s="15">
        <f t="shared" si="1"/>
        <v>207</v>
      </c>
      <c r="R56" s="8"/>
      <c r="T56"/>
    </row>
    <row r="57" spans="2:20" ht="23.1" customHeight="1" x14ac:dyDescent="0.25">
      <c r="B57" s="23" t="s">
        <v>84</v>
      </c>
      <c r="C57" s="50">
        <v>31</v>
      </c>
      <c r="D57" s="50">
        <v>31</v>
      </c>
      <c r="E57" s="50">
        <v>7</v>
      </c>
      <c r="F57" s="50">
        <v>26</v>
      </c>
      <c r="G57" s="50">
        <v>0</v>
      </c>
      <c r="H57" s="50">
        <v>0</v>
      </c>
      <c r="I57" s="50">
        <v>1</v>
      </c>
      <c r="J57" s="50">
        <v>1</v>
      </c>
      <c r="K57" s="50">
        <v>1</v>
      </c>
      <c r="L57" s="50">
        <v>1</v>
      </c>
      <c r="M57" s="50">
        <v>128</v>
      </c>
      <c r="N57" s="50">
        <v>0</v>
      </c>
      <c r="O57" s="15">
        <f t="shared" si="0"/>
        <v>99</v>
      </c>
      <c r="P57" s="15">
        <f t="shared" si="1"/>
        <v>227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1769</v>
      </c>
      <c r="D58" s="16">
        <f t="shared" si="21"/>
        <v>1177</v>
      </c>
      <c r="E58" s="16">
        <f t="shared" si="21"/>
        <v>295</v>
      </c>
      <c r="F58" s="16">
        <f t="shared" si="21"/>
        <v>1044</v>
      </c>
      <c r="G58" s="16">
        <f t="shared" si="21"/>
        <v>29</v>
      </c>
      <c r="H58" s="16">
        <f t="shared" si="21"/>
        <v>8</v>
      </c>
      <c r="I58" s="16">
        <f t="shared" si="21"/>
        <v>195</v>
      </c>
      <c r="J58" s="16">
        <f t="shared" si="21"/>
        <v>157</v>
      </c>
      <c r="K58" s="16">
        <f t="shared" si="21"/>
        <v>112</v>
      </c>
      <c r="L58" s="16">
        <f t="shared" si="21"/>
        <v>64</v>
      </c>
      <c r="M58" s="16">
        <f t="shared" si="21"/>
        <v>5630</v>
      </c>
      <c r="N58" s="16">
        <f t="shared" si="21"/>
        <v>0</v>
      </c>
      <c r="O58" s="16">
        <f t="shared" si="21"/>
        <v>4850</v>
      </c>
      <c r="P58" s="16">
        <f t="shared" si="21"/>
        <v>10480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0.16879770992366414</v>
      </c>
      <c r="D59" s="43">
        <f t="shared" si="22"/>
        <v>0.11230916030534351</v>
      </c>
      <c r="E59" s="43">
        <f t="shared" si="22"/>
        <v>2.8148854961832059E-2</v>
      </c>
      <c r="F59" s="43">
        <f t="shared" si="22"/>
        <v>9.9618320610687025E-2</v>
      </c>
      <c r="G59" s="43">
        <f t="shared" si="22"/>
        <v>2.767175572519084E-3</v>
      </c>
      <c r="H59" s="43">
        <f t="shared" si="22"/>
        <v>7.6335877862595419E-4</v>
      </c>
      <c r="I59" s="43">
        <f t="shared" si="22"/>
        <v>1.8606870229007633E-2</v>
      </c>
      <c r="J59" s="43">
        <f t="shared" si="22"/>
        <v>1.4980916030534351E-2</v>
      </c>
      <c r="K59" s="43">
        <f t="shared" si="22"/>
        <v>1.0687022900763359E-2</v>
      </c>
      <c r="L59" s="43">
        <f t="shared" si="22"/>
        <v>6.1068702290076335E-3</v>
      </c>
      <c r="M59" s="43">
        <f t="shared" si="22"/>
        <v>0.53721374045801529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0.36474226804123711</v>
      </c>
      <c r="D60" s="44">
        <f t="shared" ref="D60:N60" si="23">D58/$O$58</f>
        <v>0.24268041237113402</v>
      </c>
      <c r="E60" s="44">
        <f t="shared" si="23"/>
        <v>6.0824742268041236E-2</v>
      </c>
      <c r="F60" s="44">
        <f t="shared" si="23"/>
        <v>0.21525773195876288</v>
      </c>
      <c r="G60" s="44">
        <f t="shared" si="23"/>
        <v>5.9793814432989693E-3</v>
      </c>
      <c r="H60" s="44">
        <f t="shared" si="23"/>
        <v>1.6494845360824743E-3</v>
      </c>
      <c r="I60" s="44">
        <f t="shared" si="23"/>
        <v>4.0206185567010312E-2</v>
      </c>
      <c r="J60" s="44">
        <f t="shared" si="23"/>
        <v>3.2371134020618558E-2</v>
      </c>
      <c r="K60" s="44">
        <f t="shared" si="23"/>
        <v>2.3092783505154639E-2</v>
      </c>
      <c r="L60" s="44">
        <f t="shared" si="23"/>
        <v>1.3195876288659794E-2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K43" zoomScale="60" workbookViewId="0">
      <selection activeCell="AD58" sqref="AD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Kireka-Kinawataka'!C3:G3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'04.08 Kinawataka-Kireka'!G5:H5</f>
        <v>Kireka road</v>
      </c>
      <c r="H5" s="64"/>
      <c r="I5" s="14"/>
      <c r="J5" s="2" t="s">
        <v>5</v>
      </c>
      <c r="K5" s="63" t="str">
        <f>'04.08 Kinawataka-Kireka'!K5:L5</f>
        <v>Omeje Brian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Kinawataka-Kireka'!D6:E6</f>
        <v>Kinawataka</v>
      </c>
      <c r="E6" s="64"/>
      <c r="F6" s="2" t="s">
        <v>2</v>
      </c>
      <c r="G6" s="63" t="str">
        <f>'04.08 Kinawataka-Kireka'!G6:H6</f>
        <v xml:space="preserve">Kireka </v>
      </c>
      <c r="H6" s="64"/>
      <c r="J6" s="2" t="s">
        <v>21</v>
      </c>
      <c r="K6" s="63" t="str">
        <f>'04.08 Kinawataka-Kireka'!K6:L6</f>
        <v>Batrice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Kinawataka-Kireka'!C10,'30.07 Kinawataka-Kireka'!C10,'31.07 Kinawataka-Kireka'!C10,'02.08 Kinawataka-Kireka'!C10,'01.08 Kinawataka-Kireka-24h'!C10,'03.08 Kinawataka-Kireka-24h'!C10,'04.08 Kinawataka-Kireka'!C10)</f>
        <v>18.285714285714285</v>
      </c>
      <c r="D10" s="49">
        <f>AVERAGE('29.07 Kinawataka-Kireka'!D10,'30.07 Kinawataka-Kireka'!D10,'31.07 Kinawataka-Kireka'!D10,'02.08 Kinawataka-Kireka'!D10,'01.08 Kinawataka-Kireka-24h'!D10,'03.08 Kinawataka-Kireka-24h'!D10,'04.08 Kinawataka-Kireka'!D10)</f>
        <v>1.4285714285714286</v>
      </c>
      <c r="E10" s="49">
        <f>AVERAGE('29.07 Kinawataka-Kireka'!E10,'30.07 Kinawataka-Kireka'!E10,'31.07 Kinawataka-Kireka'!E10,'02.08 Kinawataka-Kireka'!E10,'01.08 Kinawataka-Kireka-24h'!E10,'03.08 Kinawataka-Kireka-24h'!E10,'04.08 Kinawataka-Kireka'!E10)</f>
        <v>2.4285714285714284</v>
      </c>
      <c r="F10" s="49">
        <f>AVERAGE('29.07 Kinawataka-Kireka'!F10,'30.07 Kinawataka-Kireka'!F10,'31.07 Kinawataka-Kireka'!F10,'02.08 Kinawataka-Kireka'!F10,'01.08 Kinawataka-Kireka-24h'!F10,'03.08 Kinawataka-Kireka-24h'!F10,'04.08 Kinawataka-Kireka'!F10)</f>
        <v>14.714285714285714</v>
      </c>
      <c r="G10" s="49">
        <f>AVERAGE('29.07 Kinawataka-Kireka'!G10,'30.07 Kinawataka-Kireka'!G10,'31.07 Kinawataka-Kireka'!G10,'02.08 Kinawataka-Kireka'!G10,'01.08 Kinawataka-Kireka-24h'!G10,'03.08 Kinawataka-Kireka-24h'!G10,'04.08 Kinawataka-Kireka'!G10)</f>
        <v>1.5714285714285714</v>
      </c>
      <c r="H10" s="49">
        <f>AVERAGE('29.07 Kinawataka-Kireka'!H10,'30.07 Kinawataka-Kireka'!H10,'31.07 Kinawataka-Kireka'!H10,'02.08 Kinawataka-Kireka'!H10,'01.08 Kinawataka-Kireka-24h'!H10,'03.08 Kinawataka-Kireka-24h'!H10,'04.08 Kinawataka-Kireka'!H10)</f>
        <v>0.2857142857142857</v>
      </c>
      <c r="I10" s="49">
        <f>AVERAGE('29.07 Kinawataka-Kireka'!I10,'30.07 Kinawataka-Kireka'!I10,'31.07 Kinawataka-Kireka'!I10,'02.08 Kinawataka-Kireka'!I10,'01.08 Kinawataka-Kireka-24h'!I10,'03.08 Kinawataka-Kireka-24h'!I10,'04.08 Kinawataka-Kireka'!I10)</f>
        <v>3.1428571428571428</v>
      </c>
      <c r="J10" s="49">
        <f>AVERAGE('29.07 Kinawataka-Kireka'!J10,'30.07 Kinawataka-Kireka'!J10,'31.07 Kinawataka-Kireka'!J10,'02.08 Kinawataka-Kireka'!J10,'01.08 Kinawataka-Kireka-24h'!J10,'03.08 Kinawataka-Kireka-24h'!J10,'04.08 Kinawataka-Kireka'!J10)</f>
        <v>0.8571428571428571</v>
      </c>
      <c r="K10" s="49">
        <f>AVERAGE('29.07 Kinawataka-Kireka'!K10,'30.07 Kinawataka-Kireka'!K10,'31.07 Kinawataka-Kireka'!K10,'02.08 Kinawataka-Kireka'!K10,'01.08 Kinawataka-Kireka-24h'!K10,'03.08 Kinawataka-Kireka-24h'!K10,'04.08 Kinawataka-Kireka'!K10)</f>
        <v>0.7142857142857143</v>
      </c>
      <c r="L10" s="49">
        <f>AVERAGE('29.07 Kinawataka-Kireka'!L10,'30.07 Kinawataka-Kireka'!L10,'31.07 Kinawataka-Kireka'!L10,'02.08 Kinawataka-Kireka'!L10,'01.08 Kinawataka-Kireka-24h'!L10,'03.08 Kinawataka-Kireka-24h'!L10,'04.08 Kinawataka-Kireka'!L10)</f>
        <v>1.2857142857142858</v>
      </c>
      <c r="M10" s="49">
        <f>AVERAGE('29.07 Kinawataka-Kireka'!M10,'30.07 Kinawataka-Kireka'!M10,'31.07 Kinawataka-Kireka'!M10,'02.08 Kinawataka-Kireka'!M10,'01.08 Kinawataka-Kireka-24h'!M10,'03.08 Kinawataka-Kireka-24h'!M10,'04.08 Kinawataka-Kireka'!M10)</f>
        <v>59.714285714285715</v>
      </c>
      <c r="N10" s="49">
        <f>AVERAGE('29.07 Kinawataka-Kireka'!N10,'30.07 Kinawataka-Kireka'!N10,'31.07 Kinawataka-Kireka'!N10,'02.08 Kinawataka-Kireka'!N10,'01.08 Kinawataka-Kireka-24h'!N10,'03.08 Kinawataka-Kireka-24h'!N10,'04.08 Kinawataka-Kireka'!N10)</f>
        <v>0</v>
      </c>
      <c r="O10" s="15">
        <f t="shared" ref="O10:O73" si="0">SUM(C10:L10,N10)</f>
        <v>44.714285714285708</v>
      </c>
      <c r="P10" s="15">
        <f t="shared" ref="P10:P73" si="1">SUM(C10:N10)</f>
        <v>104.42857142857142</v>
      </c>
      <c r="R10" s="1" t="s">
        <v>6</v>
      </c>
      <c r="S10" s="17">
        <f t="shared" ref="S10:AF10" si="2">SUM(C10:C13)</f>
        <v>93.428571428571416</v>
      </c>
      <c r="T10" s="17">
        <f t="shared" si="2"/>
        <v>12</v>
      </c>
      <c r="U10" s="17">
        <f t="shared" si="2"/>
        <v>13</v>
      </c>
      <c r="V10" s="17">
        <f t="shared" si="2"/>
        <v>62.142857142857139</v>
      </c>
      <c r="W10" s="17">
        <f t="shared" si="2"/>
        <v>5.7142857142857135</v>
      </c>
      <c r="X10" s="17">
        <f t="shared" si="2"/>
        <v>0.85714285714285698</v>
      </c>
      <c r="Y10" s="17">
        <f t="shared" si="2"/>
        <v>12.857142857142858</v>
      </c>
      <c r="Z10" s="17">
        <f t="shared" si="2"/>
        <v>5</v>
      </c>
      <c r="AA10" s="17">
        <f t="shared" si="2"/>
        <v>3</v>
      </c>
      <c r="AB10" s="17">
        <f t="shared" si="2"/>
        <v>3.4285714285714288</v>
      </c>
      <c r="AC10" s="17">
        <f t="shared" si="2"/>
        <v>323.28571428571428</v>
      </c>
      <c r="AD10" s="17">
        <f t="shared" si="2"/>
        <v>0</v>
      </c>
      <c r="AE10" s="31">
        <f t="shared" si="2"/>
        <v>211.42857142857144</v>
      </c>
      <c r="AF10" s="31">
        <f t="shared" si="2"/>
        <v>534.71428571428567</v>
      </c>
    </row>
    <row r="11" spans="2:32" s="6" customFormat="1" ht="23.1" customHeight="1" x14ac:dyDescent="0.25">
      <c r="B11" s="23" t="s">
        <v>38</v>
      </c>
      <c r="C11" s="49">
        <f>AVERAGE('29.07 Kinawataka-Kireka'!C11,'30.07 Kinawataka-Kireka'!C11,'31.07 Kinawataka-Kireka'!C11,'02.08 Kinawataka-Kireka'!C11,'01.08 Kinawataka-Kireka-24h'!C11,'03.08 Kinawataka-Kireka-24h'!C11,'04.08 Kinawataka-Kireka'!C11)</f>
        <v>23.428571428571427</v>
      </c>
      <c r="D11" s="49">
        <f>AVERAGE('29.07 Kinawataka-Kireka'!D11,'30.07 Kinawataka-Kireka'!D11,'31.07 Kinawataka-Kireka'!D11,'02.08 Kinawataka-Kireka'!D11,'01.08 Kinawataka-Kireka-24h'!D11,'03.08 Kinawataka-Kireka-24h'!D11,'04.08 Kinawataka-Kireka'!D11)</f>
        <v>2.4285714285714284</v>
      </c>
      <c r="E11" s="49">
        <f>AVERAGE('29.07 Kinawataka-Kireka'!E11,'30.07 Kinawataka-Kireka'!E11,'31.07 Kinawataka-Kireka'!E11,'02.08 Kinawataka-Kireka'!E11,'01.08 Kinawataka-Kireka-24h'!E11,'03.08 Kinawataka-Kireka-24h'!E11,'04.08 Kinawataka-Kireka'!E11)</f>
        <v>3.7142857142857144</v>
      </c>
      <c r="F11" s="49">
        <f>AVERAGE('29.07 Kinawataka-Kireka'!F11,'30.07 Kinawataka-Kireka'!F11,'31.07 Kinawataka-Kireka'!F11,'02.08 Kinawataka-Kireka'!F11,'01.08 Kinawataka-Kireka-24h'!F11,'03.08 Kinawataka-Kireka-24h'!F11,'04.08 Kinawataka-Kireka'!F11)</f>
        <v>17.285714285714285</v>
      </c>
      <c r="G11" s="49">
        <f>AVERAGE('29.07 Kinawataka-Kireka'!G11,'30.07 Kinawataka-Kireka'!G11,'31.07 Kinawataka-Kireka'!G11,'02.08 Kinawataka-Kireka'!G11,'01.08 Kinawataka-Kireka-24h'!G11,'03.08 Kinawataka-Kireka-24h'!G11,'04.08 Kinawataka-Kireka'!G11)</f>
        <v>1.4285714285714286</v>
      </c>
      <c r="H11" s="49">
        <f>AVERAGE('29.07 Kinawataka-Kireka'!H11,'30.07 Kinawataka-Kireka'!H11,'31.07 Kinawataka-Kireka'!H11,'02.08 Kinawataka-Kireka'!H11,'01.08 Kinawataka-Kireka-24h'!H11,'03.08 Kinawataka-Kireka-24h'!H11,'04.08 Kinawataka-Kireka'!H11)</f>
        <v>0</v>
      </c>
      <c r="I11" s="49">
        <f>AVERAGE('29.07 Kinawataka-Kireka'!I11,'30.07 Kinawataka-Kireka'!I11,'31.07 Kinawataka-Kireka'!I11,'02.08 Kinawataka-Kireka'!I11,'01.08 Kinawataka-Kireka-24h'!I11,'03.08 Kinawataka-Kireka-24h'!I11,'04.08 Kinawataka-Kireka'!I11)</f>
        <v>4.2857142857142856</v>
      </c>
      <c r="J11" s="49">
        <f>AVERAGE('29.07 Kinawataka-Kireka'!J11,'30.07 Kinawataka-Kireka'!J11,'31.07 Kinawataka-Kireka'!J11,'02.08 Kinawataka-Kireka'!J11,'01.08 Kinawataka-Kireka-24h'!J11,'03.08 Kinawataka-Kireka-24h'!J11,'04.08 Kinawataka-Kireka'!J11)</f>
        <v>1.5714285714285714</v>
      </c>
      <c r="K11" s="49">
        <f>AVERAGE('29.07 Kinawataka-Kireka'!K11,'30.07 Kinawataka-Kireka'!K11,'31.07 Kinawataka-Kireka'!K11,'02.08 Kinawataka-Kireka'!K11,'01.08 Kinawataka-Kireka-24h'!K11,'03.08 Kinawataka-Kireka-24h'!K11,'04.08 Kinawataka-Kireka'!K11)</f>
        <v>1</v>
      </c>
      <c r="L11" s="49">
        <f>AVERAGE('29.07 Kinawataka-Kireka'!L11,'30.07 Kinawataka-Kireka'!L11,'31.07 Kinawataka-Kireka'!L11,'02.08 Kinawataka-Kireka'!L11,'01.08 Kinawataka-Kireka-24h'!L11,'03.08 Kinawataka-Kireka-24h'!L11,'04.08 Kinawataka-Kireka'!L11)</f>
        <v>1.1428571428571428</v>
      </c>
      <c r="M11" s="49">
        <f>AVERAGE('29.07 Kinawataka-Kireka'!M11,'30.07 Kinawataka-Kireka'!M11,'31.07 Kinawataka-Kireka'!M11,'02.08 Kinawataka-Kireka'!M11,'01.08 Kinawataka-Kireka-24h'!M11,'03.08 Kinawataka-Kireka-24h'!M11,'04.08 Kinawataka-Kireka'!M11)</f>
        <v>74</v>
      </c>
      <c r="N11" s="49">
        <f>AVERAGE('29.07 Kinawataka-Kireka'!N11,'30.07 Kinawataka-Kireka'!N11,'31.07 Kinawataka-Kireka'!N11,'02.08 Kinawataka-Kireka'!N11,'01.08 Kinawataka-Kireka-24h'!N11,'03.08 Kinawataka-Kireka-24h'!N11,'04.08 Kinawataka-Kireka'!N11)</f>
        <v>0</v>
      </c>
      <c r="O11" s="15">
        <f t="shared" si="0"/>
        <v>56.285714285714285</v>
      </c>
      <c r="P11" s="15">
        <f t="shared" si="1"/>
        <v>130.28571428571428</v>
      </c>
      <c r="R11" s="1" t="s">
        <v>7</v>
      </c>
      <c r="S11" s="17">
        <f t="shared" ref="S11:AF11" si="3">SUM(C14:C17)</f>
        <v>98</v>
      </c>
      <c r="T11" s="17">
        <f t="shared" si="3"/>
        <v>16.571428571428573</v>
      </c>
      <c r="U11" s="17">
        <f t="shared" si="3"/>
        <v>18.285714285714285</v>
      </c>
      <c r="V11" s="17">
        <f t="shared" si="3"/>
        <v>62.571428571428569</v>
      </c>
      <c r="W11" s="17">
        <f t="shared" si="3"/>
        <v>6.8571428571428559</v>
      </c>
      <c r="X11" s="17">
        <f t="shared" si="3"/>
        <v>0.14285714285714285</v>
      </c>
      <c r="Y11" s="17">
        <f t="shared" si="3"/>
        <v>18.571428571428573</v>
      </c>
      <c r="Z11" s="17">
        <f t="shared" si="3"/>
        <v>6</v>
      </c>
      <c r="AA11" s="17">
        <f t="shared" si="3"/>
        <v>4</v>
      </c>
      <c r="AB11" s="17">
        <f t="shared" si="3"/>
        <v>6.2857142857142847</v>
      </c>
      <c r="AC11" s="17">
        <f t="shared" si="3"/>
        <v>525.85714285714278</v>
      </c>
      <c r="AD11" s="17">
        <f t="shared" si="3"/>
        <v>0</v>
      </c>
      <c r="AE11" s="31">
        <f t="shared" si="3"/>
        <v>237.28571428571431</v>
      </c>
      <c r="AF11" s="31">
        <f t="shared" si="3"/>
        <v>763.14285714285711</v>
      </c>
    </row>
    <row r="12" spans="2:32" ht="23.1" customHeight="1" x14ac:dyDescent="0.25">
      <c r="B12" s="23" t="s">
        <v>39</v>
      </c>
      <c r="C12" s="49">
        <f>AVERAGE('29.07 Kinawataka-Kireka'!C12,'30.07 Kinawataka-Kireka'!C12,'31.07 Kinawataka-Kireka'!C12,'02.08 Kinawataka-Kireka'!C12,'01.08 Kinawataka-Kireka-24h'!C12,'03.08 Kinawataka-Kireka-24h'!C12,'04.08 Kinawataka-Kireka'!C12)</f>
        <v>26.428571428571427</v>
      </c>
      <c r="D12" s="49">
        <f>AVERAGE('29.07 Kinawataka-Kireka'!D12,'30.07 Kinawataka-Kireka'!D12,'31.07 Kinawataka-Kireka'!D12,'02.08 Kinawataka-Kireka'!D12,'01.08 Kinawataka-Kireka-24h'!D12,'03.08 Kinawataka-Kireka-24h'!D12,'04.08 Kinawataka-Kireka'!D12)</f>
        <v>5</v>
      </c>
      <c r="E12" s="49">
        <f>AVERAGE('29.07 Kinawataka-Kireka'!E12,'30.07 Kinawataka-Kireka'!E12,'31.07 Kinawataka-Kireka'!E12,'02.08 Kinawataka-Kireka'!E12,'01.08 Kinawataka-Kireka-24h'!E12,'03.08 Kinawataka-Kireka-24h'!E12,'04.08 Kinawataka-Kireka'!E12)</f>
        <v>4.1428571428571432</v>
      </c>
      <c r="F12" s="49">
        <f>AVERAGE('29.07 Kinawataka-Kireka'!F12,'30.07 Kinawataka-Kireka'!F12,'31.07 Kinawataka-Kireka'!F12,'02.08 Kinawataka-Kireka'!F12,'01.08 Kinawataka-Kireka-24h'!F12,'03.08 Kinawataka-Kireka-24h'!F12,'04.08 Kinawataka-Kireka'!F12)</f>
        <v>15.571428571428571</v>
      </c>
      <c r="G12" s="49">
        <f>AVERAGE('29.07 Kinawataka-Kireka'!G12,'30.07 Kinawataka-Kireka'!G12,'31.07 Kinawataka-Kireka'!G12,'02.08 Kinawataka-Kireka'!G12,'01.08 Kinawataka-Kireka-24h'!G12,'03.08 Kinawataka-Kireka-24h'!G12,'04.08 Kinawataka-Kireka'!G12)</f>
        <v>1.5714285714285714</v>
      </c>
      <c r="H12" s="49">
        <f>AVERAGE('29.07 Kinawataka-Kireka'!H12,'30.07 Kinawataka-Kireka'!H12,'31.07 Kinawataka-Kireka'!H12,'02.08 Kinawataka-Kireka'!H12,'01.08 Kinawataka-Kireka-24h'!H12,'03.08 Kinawataka-Kireka-24h'!H12,'04.08 Kinawataka-Kireka'!H12)</f>
        <v>0.42857142857142855</v>
      </c>
      <c r="I12" s="49">
        <f>AVERAGE('29.07 Kinawataka-Kireka'!I12,'30.07 Kinawataka-Kireka'!I12,'31.07 Kinawataka-Kireka'!I12,'02.08 Kinawataka-Kireka'!I12,'01.08 Kinawataka-Kireka-24h'!I12,'03.08 Kinawataka-Kireka-24h'!I12,'04.08 Kinawataka-Kireka'!I12)</f>
        <v>2.4285714285714284</v>
      </c>
      <c r="J12" s="49">
        <f>AVERAGE('29.07 Kinawataka-Kireka'!J12,'30.07 Kinawataka-Kireka'!J12,'31.07 Kinawataka-Kireka'!J12,'02.08 Kinawataka-Kireka'!J12,'01.08 Kinawataka-Kireka-24h'!J12,'03.08 Kinawataka-Kireka-24h'!J12,'04.08 Kinawataka-Kireka'!J12)</f>
        <v>1.4285714285714286</v>
      </c>
      <c r="K12" s="49">
        <f>AVERAGE('29.07 Kinawataka-Kireka'!K12,'30.07 Kinawataka-Kireka'!K12,'31.07 Kinawataka-Kireka'!K12,'02.08 Kinawataka-Kireka'!K12,'01.08 Kinawataka-Kireka-24h'!K12,'03.08 Kinawataka-Kireka-24h'!K12,'04.08 Kinawataka-Kireka'!K12)</f>
        <v>0.7142857142857143</v>
      </c>
      <c r="L12" s="49">
        <f>AVERAGE('29.07 Kinawataka-Kireka'!L12,'30.07 Kinawataka-Kireka'!L12,'31.07 Kinawataka-Kireka'!L12,'02.08 Kinawataka-Kireka'!L12,'01.08 Kinawataka-Kireka-24h'!L12,'03.08 Kinawataka-Kireka-24h'!L12,'04.08 Kinawataka-Kireka'!L12)</f>
        <v>0.7142857142857143</v>
      </c>
      <c r="M12" s="49">
        <f>AVERAGE('29.07 Kinawataka-Kireka'!M12,'30.07 Kinawataka-Kireka'!M12,'31.07 Kinawataka-Kireka'!M12,'02.08 Kinawataka-Kireka'!M12,'01.08 Kinawataka-Kireka-24h'!M12,'03.08 Kinawataka-Kireka-24h'!M12,'04.08 Kinawataka-Kireka'!M12)</f>
        <v>87.142857142857139</v>
      </c>
      <c r="N12" s="49">
        <f>AVERAGE('29.07 Kinawataka-Kireka'!N12,'30.07 Kinawataka-Kireka'!N12,'31.07 Kinawataka-Kireka'!N12,'02.08 Kinawataka-Kireka'!N12,'01.08 Kinawataka-Kireka-24h'!N12,'03.08 Kinawataka-Kireka-24h'!N12,'04.08 Kinawataka-Kireka'!N12)</f>
        <v>0</v>
      </c>
      <c r="O12" s="15">
        <f t="shared" si="0"/>
        <v>58.428571428571431</v>
      </c>
      <c r="P12" s="15">
        <f t="shared" si="1"/>
        <v>145.57142857142856</v>
      </c>
      <c r="R12" s="1" t="s">
        <v>8</v>
      </c>
      <c r="S12" s="17">
        <f t="shared" ref="S12:AF12" si="4">SUM(C18:C21)</f>
        <v>116.28571428571428</v>
      </c>
      <c r="T12" s="17">
        <f t="shared" si="4"/>
        <v>17</v>
      </c>
      <c r="U12" s="17">
        <f t="shared" si="4"/>
        <v>19.428571428571431</v>
      </c>
      <c r="V12" s="17">
        <f t="shared" si="4"/>
        <v>66.285714285714278</v>
      </c>
      <c r="W12" s="17">
        <f t="shared" si="4"/>
        <v>6.1428571428571423</v>
      </c>
      <c r="X12" s="17">
        <f t="shared" si="4"/>
        <v>0.14285714285714285</v>
      </c>
      <c r="Y12" s="17">
        <f t="shared" si="4"/>
        <v>23.714285714285715</v>
      </c>
      <c r="Z12" s="17">
        <f t="shared" si="4"/>
        <v>11.285714285714285</v>
      </c>
      <c r="AA12" s="17">
        <f t="shared" si="4"/>
        <v>5.5714285714285721</v>
      </c>
      <c r="AB12" s="17">
        <f t="shared" si="4"/>
        <v>7.4285714285714279</v>
      </c>
      <c r="AC12" s="17">
        <f t="shared" si="4"/>
        <v>443.28571428571428</v>
      </c>
      <c r="AD12" s="17">
        <f t="shared" si="4"/>
        <v>0.2857142857142857</v>
      </c>
      <c r="AE12" s="31">
        <f t="shared" si="4"/>
        <v>273.57142857142856</v>
      </c>
      <c r="AF12" s="31">
        <f t="shared" si="4"/>
        <v>716.85714285714289</v>
      </c>
    </row>
    <row r="13" spans="2:32" ht="23.1" customHeight="1" x14ac:dyDescent="0.25">
      <c r="B13" s="23" t="s">
        <v>40</v>
      </c>
      <c r="C13" s="49">
        <f>AVERAGE('29.07 Kinawataka-Kireka'!C13,'30.07 Kinawataka-Kireka'!C13,'31.07 Kinawataka-Kireka'!C13,'02.08 Kinawataka-Kireka'!C13,'01.08 Kinawataka-Kireka-24h'!C13,'03.08 Kinawataka-Kireka-24h'!C13,'04.08 Kinawataka-Kireka'!C13)</f>
        <v>25.285714285714285</v>
      </c>
      <c r="D13" s="49">
        <f>AVERAGE('29.07 Kinawataka-Kireka'!D13,'30.07 Kinawataka-Kireka'!D13,'31.07 Kinawataka-Kireka'!D13,'02.08 Kinawataka-Kireka'!D13,'01.08 Kinawataka-Kireka-24h'!D13,'03.08 Kinawataka-Kireka-24h'!D13,'04.08 Kinawataka-Kireka'!D13)</f>
        <v>3.1428571428571428</v>
      </c>
      <c r="E13" s="49">
        <f>AVERAGE('29.07 Kinawataka-Kireka'!E13,'30.07 Kinawataka-Kireka'!E13,'31.07 Kinawataka-Kireka'!E13,'02.08 Kinawataka-Kireka'!E13,'01.08 Kinawataka-Kireka-24h'!E13,'03.08 Kinawataka-Kireka-24h'!E13,'04.08 Kinawataka-Kireka'!E13)</f>
        <v>2.7142857142857144</v>
      </c>
      <c r="F13" s="49">
        <f>AVERAGE('29.07 Kinawataka-Kireka'!F13,'30.07 Kinawataka-Kireka'!F13,'31.07 Kinawataka-Kireka'!F13,'02.08 Kinawataka-Kireka'!F13,'01.08 Kinawataka-Kireka-24h'!F13,'03.08 Kinawataka-Kireka-24h'!F13,'04.08 Kinawataka-Kireka'!F13)</f>
        <v>14.571428571428571</v>
      </c>
      <c r="G13" s="49">
        <f>AVERAGE('29.07 Kinawataka-Kireka'!G13,'30.07 Kinawataka-Kireka'!G13,'31.07 Kinawataka-Kireka'!G13,'02.08 Kinawataka-Kireka'!G13,'01.08 Kinawataka-Kireka-24h'!G13,'03.08 Kinawataka-Kireka-24h'!G13,'04.08 Kinawataka-Kireka'!G13)</f>
        <v>1.1428571428571428</v>
      </c>
      <c r="H13" s="49">
        <f>AVERAGE('29.07 Kinawataka-Kireka'!H13,'30.07 Kinawataka-Kireka'!H13,'31.07 Kinawataka-Kireka'!H13,'02.08 Kinawataka-Kireka'!H13,'01.08 Kinawataka-Kireka-24h'!H13,'03.08 Kinawataka-Kireka-24h'!H13,'04.08 Kinawataka-Kireka'!H13)</f>
        <v>0.14285714285714285</v>
      </c>
      <c r="I13" s="49">
        <f>AVERAGE('29.07 Kinawataka-Kireka'!I13,'30.07 Kinawataka-Kireka'!I13,'31.07 Kinawataka-Kireka'!I13,'02.08 Kinawataka-Kireka'!I13,'01.08 Kinawataka-Kireka-24h'!I13,'03.08 Kinawataka-Kireka-24h'!I13,'04.08 Kinawataka-Kireka'!I13)</f>
        <v>3</v>
      </c>
      <c r="J13" s="49">
        <f>AVERAGE('29.07 Kinawataka-Kireka'!J13,'30.07 Kinawataka-Kireka'!J13,'31.07 Kinawataka-Kireka'!J13,'02.08 Kinawataka-Kireka'!J13,'01.08 Kinawataka-Kireka-24h'!J13,'03.08 Kinawataka-Kireka-24h'!J13,'04.08 Kinawataka-Kireka'!J13)</f>
        <v>1.1428571428571428</v>
      </c>
      <c r="K13" s="49">
        <f>AVERAGE('29.07 Kinawataka-Kireka'!K13,'30.07 Kinawataka-Kireka'!K13,'31.07 Kinawataka-Kireka'!K13,'02.08 Kinawataka-Kireka'!K13,'01.08 Kinawataka-Kireka-24h'!K13,'03.08 Kinawataka-Kireka-24h'!K13,'04.08 Kinawataka-Kireka'!K13)</f>
        <v>0.5714285714285714</v>
      </c>
      <c r="L13" s="49">
        <f>AVERAGE('29.07 Kinawataka-Kireka'!L13,'30.07 Kinawataka-Kireka'!L13,'31.07 Kinawataka-Kireka'!L13,'02.08 Kinawataka-Kireka'!L13,'01.08 Kinawataka-Kireka-24h'!L13,'03.08 Kinawataka-Kireka-24h'!L13,'04.08 Kinawataka-Kireka'!L13)</f>
        <v>0.2857142857142857</v>
      </c>
      <c r="M13" s="49">
        <f>AVERAGE('29.07 Kinawataka-Kireka'!M13,'30.07 Kinawataka-Kireka'!M13,'31.07 Kinawataka-Kireka'!M13,'02.08 Kinawataka-Kireka'!M13,'01.08 Kinawataka-Kireka-24h'!M13,'03.08 Kinawataka-Kireka-24h'!M13,'04.08 Kinawataka-Kireka'!M13)</f>
        <v>102.42857142857143</v>
      </c>
      <c r="N13" s="49">
        <f>AVERAGE('29.07 Kinawataka-Kireka'!N13,'30.07 Kinawataka-Kireka'!N13,'31.07 Kinawataka-Kireka'!N13,'02.08 Kinawataka-Kireka'!N13,'01.08 Kinawataka-Kireka-24h'!N13,'03.08 Kinawataka-Kireka-24h'!N13,'04.08 Kinawataka-Kireka'!N13)</f>
        <v>0</v>
      </c>
      <c r="O13" s="15">
        <f t="shared" si="0"/>
        <v>52.000000000000007</v>
      </c>
      <c r="P13" s="15">
        <f t="shared" si="1"/>
        <v>154.42857142857144</v>
      </c>
      <c r="R13" s="1" t="s">
        <v>9</v>
      </c>
      <c r="S13" s="17">
        <f t="shared" ref="S13:AF13" si="5">SUM(C22:C25)</f>
        <v>165.71428571428569</v>
      </c>
      <c r="T13" s="17">
        <f t="shared" si="5"/>
        <v>19</v>
      </c>
      <c r="U13" s="17">
        <f t="shared" si="5"/>
        <v>26.571428571428569</v>
      </c>
      <c r="V13" s="17">
        <f t="shared" si="5"/>
        <v>63.571428571428569</v>
      </c>
      <c r="W13" s="17">
        <f t="shared" si="5"/>
        <v>6</v>
      </c>
      <c r="X13" s="17">
        <f t="shared" si="5"/>
        <v>0.42857142857142855</v>
      </c>
      <c r="Y13" s="17">
        <f t="shared" si="5"/>
        <v>33.857142857142861</v>
      </c>
      <c r="Z13" s="17">
        <f t="shared" si="5"/>
        <v>17.142857142857142</v>
      </c>
      <c r="AA13" s="17">
        <f t="shared" si="5"/>
        <v>8.428571428571427</v>
      </c>
      <c r="AB13" s="17">
        <f t="shared" si="5"/>
        <v>20.142857142857142</v>
      </c>
      <c r="AC13" s="17">
        <f t="shared" si="5"/>
        <v>483.14285714285717</v>
      </c>
      <c r="AD13" s="17">
        <f t="shared" si="5"/>
        <v>0</v>
      </c>
      <c r="AE13" s="31">
        <f t="shared" si="5"/>
        <v>360.85714285714278</v>
      </c>
      <c r="AF13" s="31">
        <f t="shared" si="5"/>
        <v>844</v>
      </c>
    </row>
    <row r="14" spans="2:32" ht="23.1" customHeight="1" x14ac:dyDescent="0.25">
      <c r="B14" s="23" t="s">
        <v>41</v>
      </c>
      <c r="C14" s="49">
        <f>AVERAGE('29.07 Kinawataka-Kireka'!C14,'30.07 Kinawataka-Kireka'!C14,'31.07 Kinawataka-Kireka'!C14,'02.08 Kinawataka-Kireka'!C14,'01.08 Kinawataka-Kireka-24h'!C14,'03.08 Kinawataka-Kireka-24h'!C14,'04.08 Kinawataka-Kireka'!C14)</f>
        <v>27</v>
      </c>
      <c r="D14" s="49">
        <f>AVERAGE('29.07 Kinawataka-Kireka'!D14,'30.07 Kinawataka-Kireka'!D14,'31.07 Kinawataka-Kireka'!D14,'02.08 Kinawataka-Kireka'!D14,'01.08 Kinawataka-Kireka-24h'!D14,'03.08 Kinawataka-Kireka-24h'!D14,'04.08 Kinawataka-Kireka'!D14)</f>
        <v>3.8571428571428572</v>
      </c>
      <c r="E14" s="49">
        <f>AVERAGE('29.07 Kinawataka-Kireka'!E14,'30.07 Kinawataka-Kireka'!E14,'31.07 Kinawataka-Kireka'!E14,'02.08 Kinawataka-Kireka'!E14,'01.08 Kinawataka-Kireka-24h'!E14,'03.08 Kinawataka-Kireka-24h'!E14,'04.08 Kinawataka-Kireka'!E14)</f>
        <v>5</v>
      </c>
      <c r="F14" s="49">
        <f>AVERAGE('29.07 Kinawataka-Kireka'!F14,'30.07 Kinawataka-Kireka'!F14,'31.07 Kinawataka-Kireka'!F14,'02.08 Kinawataka-Kireka'!F14,'01.08 Kinawataka-Kireka-24h'!F14,'03.08 Kinawataka-Kireka-24h'!F14,'04.08 Kinawataka-Kireka'!F14)</f>
        <v>15</v>
      </c>
      <c r="G14" s="49">
        <f>AVERAGE('29.07 Kinawataka-Kireka'!G14,'30.07 Kinawataka-Kireka'!G14,'31.07 Kinawataka-Kireka'!G14,'02.08 Kinawataka-Kireka'!G14,'01.08 Kinawataka-Kireka-24h'!G14,'03.08 Kinawataka-Kireka-24h'!G14,'04.08 Kinawataka-Kireka'!G14)</f>
        <v>1.1428571428571428</v>
      </c>
      <c r="H14" s="49">
        <f>AVERAGE('29.07 Kinawataka-Kireka'!H14,'30.07 Kinawataka-Kireka'!H14,'31.07 Kinawataka-Kireka'!H14,'02.08 Kinawataka-Kireka'!H14,'01.08 Kinawataka-Kireka-24h'!H14,'03.08 Kinawataka-Kireka-24h'!H14,'04.08 Kinawataka-Kireka'!H14)</f>
        <v>0</v>
      </c>
      <c r="I14" s="49">
        <f>AVERAGE('29.07 Kinawataka-Kireka'!I14,'30.07 Kinawataka-Kireka'!I14,'31.07 Kinawataka-Kireka'!I14,'02.08 Kinawataka-Kireka'!I14,'01.08 Kinawataka-Kireka-24h'!I14,'03.08 Kinawataka-Kireka-24h'!I14,'04.08 Kinawataka-Kireka'!I14)</f>
        <v>4.2857142857142856</v>
      </c>
      <c r="J14" s="49">
        <f>AVERAGE('29.07 Kinawataka-Kireka'!J14,'30.07 Kinawataka-Kireka'!J14,'31.07 Kinawataka-Kireka'!J14,'02.08 Kinawataka-Kireka'!J14,'01.08 Kinawataka-Kireka-24h'!J14,'03.08 Kinawataka-Kireka-24h'!J14,'04.08 Kinawataka-Kireka'!J14)</f>
        <v>2.2857142857142856</v>
      </c>
      <c r="K14" s="49">
        <f>AVERAGE('29.07 Kinawataka-Kireka'!K14,'30.07 Kinawataka-Kireka'!K14,'31.07 Kinawataka-Kireka'!K14,'02.08 Kinawataka-Kireka'!K14,'01.08 Kinawataka-Kireka-24h'!K14,'03.08 Kinawataka-Kireka-24h'!K14,'04.08 Kinawataka-Kireka'!K14)</f>
        <v>1.4285714285714286</v>
      </c>
      <c r="L14" s="49">
        <f>AVERAGE('29.07 Kinawataka-Kireka'!L14,'30.07 Kinawataka-Kireka'!L14,'31.07 Kinawataka-Kireka'!L14,'02.08 Kinawataka-Kireka'!L14,'01.08 Kinawataka-Kireka-24h'!L14,'03.08 Kinawataka-Kireka-24h'!L14,'04.08 Kinawataka-Kireka'!L14)</f>
        <v>1.5714285714285714</v>
      </c>
      <c r="M14" s="49">
        <f>AVERAGE('29.07 Kinawataka-Kireka'!M14,'30.07 Kinawataka-Kireka'!M14,'31.07 Kinawataka-Kireka'!M14,'02.08 Kinawataka-Kireka'!M14,'01.08 Kinawataka-Kireka-24h'!M14,'03.08 Kinawataka-Kireka-24h'!M14,'04.08 Kinawataka-Kireka'!M14)</f>
        <v>120.71428571428571</v>
      </c>
      <c r="N14" s="49">
        <f>AVERAGE('29.07 Kinawataka-Kireka'!N14,'30.07 Kinawataka-Kireka'!N14,'31.07 Kinawataka-Kireka'!N14,'02.08 Kinawataka-Kireka'!N14,'01.08 Kinawataka-Kireka-24h'!N14,'03.08 Kinawataka-Kireka-24h'!N14,'04.08 Kinawataka-Kireka'!N14)</f>
        <v>0</v>
      </c>
      <c r="O14" s="15">
        <f t="shared" si="0"/>
        <v>61.571428571428577</v>
      </c>
      <c r="P14" s="15">
        <f t="shared" si="1"/>
        <v>182.28571428571428</v>
      </c>
      <c r="R14" s="1" t="s">
        <v>10</v>
      </c>
      <c r="S14" s="17">
        <f t="shared" ref="S14:AF14" si="6">SUM(C26:C29)</f>
        <v>161.57142857142856</v>
      </c>
      <c r="T14" s="17">
        <f t="shared" si="6"/>
        <v>19.428571428571427</v>
      </c>
      <c r="U14" s="17">
        <f t="shared" si="6"/>
        <v>26.142857142857142</v>
      </c>
      <c r="V14" s="17">
        <f t="shared" si="6"/>
        <v>58.285714285714278</v>
      </c>
      <c r="W14" s="17">
        <f t="shared" si="6"/>
        <v>6.4285714285714279</v>
      </c>
      <c r="X14" s="17">
        <f t="shared" si="6"/>
        <v>0.14285714285714285</v>
      </c>
      <c r="Y14" s="17">
        <f t="shared" si="6"/>
        <v>36.571428571428569</v>
      </c>
      <c r="Z14" s="17">
        <f t="shared" si="6"/>
        <v>19.428571428571431</v>
      </c>
      <c r="AA14" s="17">
        <f t="shared" si="6"/>
        <v>12.428571428571429</v>
      </c>
      <c r="AB14" s="17">
        <f t="shared" si="6"/>
        <v>13.285714285714286</v>
      </c>
      <c r="AC14" s="17">
        <f t="shared" si="6"/>
        <v>443.14285714285717</v>
      </c>
      <c r="AD14" s="17">
        <f t="shared" si="6"/>
        <v>0.2857142857142857</v>
      </c>
      <c r="AE14" s="31">
        <f t="shared" si="6"/>
        <v>354</v>
      </c>
      <c r="AF14" s="31">
        <f t="shared" si="6"/>
        <v>797.14285714285711</v>
      </c>
    </row>
    <row r="15" spans="2:32" ht="23.1" customHeight="1" x14ac:dyDescent="0.25">
      <c r="B15" s="23" t="s">
        <v>42</v>
      </c>
      <c r="C15" s="49">
        <f>AVERAGE('29.07 Kinawataka-Kireka'!C15,'30.07 Kinawataka-Kireka'!C15,'31.07 Kinawataka-Kireka'!C15,'02.08 Kinawataka-Kireka'!C15,'01.08 Kinawataka-Kireka-24h'!C15,'03.08 Kinawataka-Kireka-24h'!C15,'04.08 Kinawataka-Kireka'!C15)</f>
        <v>25</v>
      </c>
      <c r="D15" s="49">
        <f>AVERAGE('29.07 Kinawataka-Kireka'!D15,'30.07 Kinawataka-Kireka'!D15,'31.07 Kinawataka-Kireka'!D15,'02.08 Kinawataka-Kireka'!D15,'01.08 Kinawataka-Kireka-24h'!D15,'03.08 Kinawataka-Kireka-24h'!D15,'04.08 Kinawataka-Kireka'!D15)</f>
        <v>5</v>
      </c>
      <c r="E15" s="49">
        <f>AVERAGE('29.07 Kinawataka-Kireka'!E15,'30.07 Kinawataka-Kireka'!E15,'31.07 Kinawataka-Kireka'!E15,'02.08 Kinawataka-Kireka'!E15,'01.08 Kinawataka-Kireka-24h'!E15,'03.08 Kinawataka-Kireka-24h'!E15,'04.08 Kinawataka-Kireka'!E15)</f>
        <v>3.4285714285714284</v>
      </c>
      <c r="F15" s="49">
        <f>AVERAGE('29.07 Kinawataka-Kireka'!F15,'30.07 Kinawataka-Kireka'!F15,'31.07 Kinawataka-Kireka'!F15,'02.08 Kinawataka-Kireka'!F15,'01.08 Kinawataka-Kireka-24h'!F15,'03.08 Kinawataka-Kireka-24h'!F15,'04.08 Kinawataka-Kireka'!F15)</f>
        <v>17.571428571428573</v>
      </c>
      <c r="G15" s="49">
        <f>AVERAGE('29.07 Kinawataka-Kireka'!G15,'30.07 Kinawataka-Kireka'!G15,'31.07 Kinawataka-Kireka'!G15,'02.08 Kinawataka-Kireka'!G15,'01.08 Kinawataka-Kireka-24h'!G15,'03.08 Kinawataka-Kireka-24h'!G15,'04.08 Kinawataka-Kireka'!G15)</f>
        <v>1.1428571428571428</v>
      </c>
      <c r="H15" s="49">
        <f>AVERAGE('29.07 Kinawataka-Kireka'!H15,'30.07 Kinawataka-Kireka'!H15,'31.07 Kinawataka-Kireka'!H15,'02.08 Kinawataka-Kireka'!H15,'01.08 Kinawataka-Kireka-24h'!H15,'03.08 Kinawataka-Kireka-24h'!H15,'04.08 Kinawataka-Kireka'!H15)</f>
        <v>0</v>
      </c>
      <c r="I15" s="49">
        <f>AVERAGE('29.07 Kinawataka-Kireka'!I15,'30.07 Kinawataka-Kireka'!I15,'31.07 Kinawataka-Kireka'!I15,'02.08 Kinawataka-Kireka'!I15,'01.08 Kinawataka-Kireka-24h'!I15,'03.08 Kinawataka-Kireka-24h'!I15,'04.08 Kinawataka-Kireka'!I15)</f>
        <v>5.7142857142857144</v>
      </c>
      <c r="J15" s="49">
        <f>AVERAGE('29.07 Kinawataka-Kireka'!J15,'30.07 Kinawataka-Kireka'!J15,'31.07 Kinawataka-Kireka'!J15,'02.08 Kinawataka-Kireka'!J15,'01.08 Kinawataka-Kireka-24h'!J15,'03.08 Kinawataka-Kireka-24h'!J15,'04.08 Kinawataka-Kireka'!J15)</f>
        <v>2</v>
      </c>
      <c r="K15" s="49">
        <f>AVERAGE('29.07 Kinawataka-Kireka'!K15,'30.07 Kinawataka-Kireka'!K15,'31.07 Kinawataka-Kireka'!K15,'02.08 Kinawataka-Kireka'!K15,'01.08 Kinawataka-Kireka-24h'!K15,'03.08 Kinawataka-Kireka-24h'!K15,'04.08 Kinawataka-Kireka'!K15)</f>
        <v>0.7142857142857143</v>
      </c>
      <c r="L15" s="49">
        <f>AVERAGE('29.07 Kinawataka-Kireka'!L15,'30.07 Kinawataka-Kireka'!L15,'31.07 Kinawataka-Kireka'!L15,'02.08 Kinawataka-Kireka'!L15,'01.08 Kinawataka-Kireka-24h'!L15,'03.08 Kinawataka-Kireka-24h'!L15,'04.08 Kinawataka-Kireka'!L15)</f>
        <v>1</v>
      </c>
      <c r="M15" s="49">
        <f>AVERAGE('29.07 Kinawataka-Kireka'!M15,'30.07 Kinawataka-Kireka'!M15,'31.07 Kinawataka-Kireka'!M15,'02.08 Kinawataka-Kireka'!M15,'01.08 Kinawataka-Kireka-24h'!M15,'03.08 Kinawataka-Kireka-24h'!M15,'04.08 Kinawataka-Kireka'!M15)</f>
        <v>139.85714285714286</v>
      </c>
      <c r="N15" s="49">
        <f>AVERAGE('29.07 Kinawataka-Kireka'!N15,'30.07 Kinawataka-Kireka'!N15,'31.07 Kinawataka-Kireka'!N15,'02.08 Kinawataka-Kireka'!N15,'01.08 Kinawataka-Kireka-24h'!N15,'03.08 Kinawataka-Kireka-24h'!N15,'04.08 Kinawataka-Kireka'!N15)</f>
        <v>0</v>
      </c>
      <c r="O15" s="15">
        <f t="shared" si="0"/>
        <v>61.571428571428577</v>
      </c>
      <c r="P15" s="15">
        <f t="shared" si="1"/>
        <v>201.42857142857144</v>
      </c>
      <c r="R15" s="1" t="s">
        <v>11</v>
      </c>
      <c r="S15" s="17">
        <f t="shared" ref="S15:AF15" si="7">SUM(C30:C33)</f>
        <v>168.28571428571428</v>
      </c>
      <c r="T15" s="17">
        <f t="shared" si="7"/>
        <v>20.857142857142858</v>
      </c>
      <c r="U15" s="17">
        <f t="shared" si="7"/>
        <v>22.571428571428569</v>
      </c>
      <c r="V15" s="17">
        <f t="shared" si="7"/>
        <v>52.714285714285715</v>
      </c>
      <c r="W15" s="17">
        <f t="shared" si="7"/>
        <v>6.5714285714285712</v>
      </c>
      <c r="X15" s="17">
        <f t="shared" si="7"/>
        <v>0.71428571428571419</v>
      </c>
      <c r="Y15" s="17">
        <f t="shared" si="7"/>
        <v>31.857142857142858</v>
      </c>
      <c r="Z15" s="17">
        <f t="shared" si="7"/>
        <v>16.857142857142854</v>
      </c>
      <c r="AA15" s="17">
        <f t="shared" si="7"/>
        <v>13.285714285714285</v>
      </c>
      <c r="AB15" s="17">
        <f t="shared" si="7"/>
        <v>16.571428571428573</v>
      </c>
      <c r="AC15" s="17">
        <f t="shared" si="7"/>
        <v>433</v>
      </c>
      <c r="AD15" s="17">
        <f t="shared" si="7"/>
        <v>0.14285714285714285</v>
      </c>
      <c r="AE15" s="31">
        <f t="shared" si="7"/>
        <v>350.42857142857144</v>
      </c>
      <c r="AF15" s="31">
        <f t="shared" si="7"/>
        <v>783.42857142857144</v>
      </c>
    </row>
    <row r="16" spans="2:32" ht="23.1" customHeight="1" x14ac:dyDescent="0.25">
      <c r="B16" s="23" t="s">
        <v>43</v>
      </c>
      <c r="C16" s="49">
        <f>AVERAGE('29.07 Kinawataka-Kireka'!C16,'30.07 Kinawataka-Kireka'!C16,'31.07 Kinawataka-Kireka'!C16,'02.08 Kinawataka-Kireka'!C16,'01.08 Kinawataka-Kireka-24h'!C16,'03.08 Kinawataka-Kireka-24h'!C16,'04.08 Kinawataka-Kireka'!C16)</f>
        <v>24.714285714285715</v>
      </c>
      <c r="D16" s="49">
        <f>AVERAGE('29.07 Kinawataka-Kireka'!D16,'30.07 Kinawataka-Kireka'!D16,'31.07 Kinawataka-Kireka'!D16,'02.08 Kinawataka-Kireka'!D16,'01.08 Kinawataka-Kireka-24h'!D16,'03.08 Kinawataka-Kireka-24h'!D16,'04.08 Kinawataka-Kireka'!D16)</f>
        <v>4.4285714285714288</v>
      </c>
      <c r="E16" s="49">
        <f>AVERAGE('29.07 Kinawataka-Kireka'!E16,'30.07 Kinawataka-Kireka'!E16,'31.07 Kinawataka-Kireka'!E16,'02.08 Kinawataka-Kireka'!E16,'01.08 Kinawataka-Kireka-24h'!E16,'03.08 Kinawataka-Kireka-24h'!E16,'04.08 Kinawataka-Kireka'!E16)</f>
        <v>5.5714285714285712</v>
      </c>
      <c r="F16" s="49">
        <f>AVERAGE('29.07 Kinawataka-Kireka'!F16,'30.07 Kinawataka-Kireka'!F16,'31.07 Kinawataka-Kireka'!F16,'02.08 Kinawataka-Kireka'!F16,'01.08 Kinawataka-Kireka-24h'!F16,'03.08 Kinawataka-Kireka-24h'!F16,'04.08 Kinawataka-Kireka'!F16)</f>
        <v>16.142857142857142</v>
      </c>
      <c r="G16" s="49">
        <f>AVERAGE('29.07 Kinawataka-Kireka'!G16,'30.07 Kinawataka-Kireka'!G16,'31.07 Kinawataka-Kireka'!G16,'02.08 Kinawataka-Kireka'!G16,'01.08 Kinawataka-Kireka-24h'!G16,'03.08 Kinawataka-Kireka-24h'!G16,'04.08 Kinawataka-Kireka'!G16)</f>
        <v>2.4285714285714284</v>
      </c>
      <c r="H16" s="49">
        <f>AVERAGE('29.07 Kinawataka-Kireka'!H16,'30.07 Kinawataka-Kireka'!H16,'31.07 Kinawataka-Kireka'!H16,'02.08 Kinawataka-Kireka'!H16,'01.08 Kinawataka-Kireka-24h'!H16,'03.08 Kinawataka-Kireka-24h'!H16,'04.08 Kinawataka-Kireka'!H16)</f>
        <v>0</v>
      </c>
      <c r="I16" s="49">
        <f>AVERAGE('29.07 Kinawataka-Kireka'!I16,'30.07 Kinawataka-Kireka'!I16,'31.07 Kinawataka-Kireka'!I16,'02.08 Kinawataka-Kireka'!I16,'01.08 Kinawataka-Kireka-24h'!I16,'03.08 Kinawataka-Kireka-24h'!I16,'04.08 Kinawataka-Kireka'!I16)</f>
        <v>5.4285714285714288</v>
      </c>
      <c r="J16" s="49">
        <f>AVERAGE('29.07 Kinawataka-Kireka'!J16,'30.07 Kinawataka-Kireka'!J16,'31.07 Kinawataka-Kireka'!J16,'02.08 Kinawataka-Kireka'!J16,'01.08 Kinawataka-Kireka-24h'!J16,'03.08 Kinawataka-Kireka-24h'!J16,'04.08 Kinawataka-Kireka'!J16)</f>
        <v>1.2857142857142858</v>
      </c>
      <c r="K16" s="49">
        <f>AVERAGE('29.07 Kinawataka-Kireka'!K16,'30.07 Kinawataka-Kireka'!K16,'31.07 Kinawataka-Kireka'!K16,'02.08 Kinawataka-Kireka'!K16,'01.08 Kinawataka-Kireka-24h'!K16,'03.08 Kinawataka-Kireka-24h'!K16,'04.08 Kinawataka-Kireka'!K16)</f>
        <v>0.5714285714285714</v>
      </c>
      <c r="L16" s="49">
        <f>AVERAGE('29.07 Kinawataka-Kireka'!L16,'30.07 Kinawataka-Kireka'!L16,'31.07 Kinawataka-Kireka'!L16,'02.08 Kinawataka-Kireka'!L16,'01.08 Kinawataka-Kireka-24h'!L16,'03.08 Kinawataka-Kireka-24h'!L16,'04.08 Kinawataka-Kireka'!L16)</f>
        <v>1.5714285714285714</v>
      </c>
      <c r="M16" s="49">
        <f>AVERAGE('29.07 Kinawataka-Kireka'!M16,'30.07 Kinawataka-Kireka'!M16,'31.07 Kinawataka-Kireka'!M16,'02.08 Kinawataka-Kireka'!M16,'01.08 Kinawataka-Kireka-24h'!M16,'03.08 Kinawataka-Kireka-24h'!M16,'04.08 Kinawataka-Kireka'!M16)</f>
        <v>140.14285714285714</v>
      </c>
      <c r="N16" s="49">
        <f>AVERAGE('29.07 Kinawataka-Kireka'!N16,'30.07 Kinawataka-Kireka'!N16,'31.07 Kinawataka-Kireka'!N16,'02.08 Kinawataka-Kireka'!N16,'01.08 Kinawataka-Kireka-24h'!N16,'03.08 Kinawataka-Kireka-24h'!N16,'04.08 Kinawataka-Kireka'!N16)</f>
        <v>0</v>
      </c>
      <c r="O16" s="15">
        <f t="shared" si="0"/>
        <v>62.142857142857146</v>
      </c>
      <c r="P16" s="15">
        <f t="shared" si="1"/>
        <v>202.28571428571428</v>
      </c>
      <c r="R16" s="1" t="s">
        <v>12</v>
      </c>
      <c r="S16" s="17">
        <f t="shared" ref="S16:AF16" si="8">SUM(C34:C37)</f>
        <v>178.14285714285717</v>
      </c>
      <c r="T16" s="17">
        <f t="shared" si="8"/>
        <v>19.428571428571427</v>
      </c>
      <c r="U16" s="17">
        <f t="shared" si="8"/>
        <v>24.428571428571427</v>
      </c>
      <c r="V16" s="17">
        <f t="shared" si="8"/>
        <v>40.714285714285715</v>
      </c>
      <c r="W16" s="17">
        <f t="shared" si="8"/>
        <v>7.2857142857142865</v>
      </c>
      <c r="X16" s="17">
        <f t="shared" si="8"/>
        <v>0.5714285714285714</v>
      </c>
      <c r="Y16" s="17">
        <f t="shared" si="8"/>
        <v>34.285714285714292</v>
      </c>
      <c r="Z16" s="17">
        <f t="shared" si="8"/>
        <v>16.857142857142858</v>
      </c>
      <c r="AA16" s="17">
        <f t="shared" si="8"/>
        <v>13.142857142857142</v>
      </c>
      <c r="AB16" s="17">
        <f t="shared" si="8"/>
        <v>17.142857142857146</v>
      </c>
      <c r="AC16" s="17">
        <f t="shared" si="8"/>
        <v>395.57142857142861</v>
      </c>
      <c r="AD16" s="17">
        <f t="shared" si="8"/>
        <v>0.14285714285714285</v>
      </c>
      <c r="AE16" s="31">
        <f t="shared" si="8"/>
        <v>352.14285714285717</v>
      </c>
      <c r="AF16" s="31">
        <f t="shared" si="8"/>
        <v>747.71428571428567</v>
      </c>
    </row>
    <row r="17" spans="2:32" ht="23.1" customHeight="1" x14ac:dyDescent="0.25">
      <c r="B17" s="23" t="s">
        <v>44</v>
      </c>
      <c r="C17" s="49">
        <f>AVERAGE('29.07 Kinawataka-Kireka'!C17,'30.07 Kinawataka-Kireka'!C17,'31.07 Kinawataka-Kireka'!C17,'02.08 Kinawataka-Kireka'!C17,'01.08 Kinawataka-Kireka-24h'!C17,'03.08 Kinawataka-Kireka-24h'!C17,'04.08 Kinawataka-Kireka'!C17)</f>
        <v>21.285714285714285</v>
      </c>
      <c r="D17" s="49">
        <f>AVERAGE('29.07 Kinawataka-Kireka'!D17,'30.07 Kinawataka-Kireka'!D17,'31.07 Kinawataka-Kireka'!D17,'02.08 Kinawataka-Kireka'!D17,'01.08 Kinawataka-Kireka-24h'!D17,'03.08 Kinawataka-Kireka-24h'!D17,'04.08 Kinawataka-Kireka'!D17)</f>
        <v>3.2857142857142856</v>
      </c>
      <c r="E17" s="49">
        <f>AVERAGE('29.07 Kinawataka-Kireka'!E17,'30.07 Kinawataka-Kireka'!E17,'31.07 Kinawataka-Kireka'!E17,'02.08 Kinawataka-Kireka'!E17,'01.08 Kinawataka-Kireka-24h'!E17,'03.08 Kinawataka-Kireka-24h'!E17,'04.08 Kinawataka-Kireka'!E17)</f>
        <v>4.2857142857142856</v>
      </c>
      <c r="F17" s="49">
        <f>AVERAGE('29.07 Kinawataka-Kireka'!F17,'30.07 Kinawataka-Kireka'!F17,'31.07 Kinawataka-Kireka'!F17,'02.08 Kinawataka-Kireka'!F17,'01.08 Kinawataka-Kireka-24h'!F17,'03.08 Kinawataka-Kireka-24h'!F17,'04.08 Kinawataka-Kireka'!F17)</f>
        <v>13.857142857142858</v>
      </c>
      <c r="G17" s="49">
        <f>AVERAGE('29.07 Kinawataka-Kireka'!G17,'30.07 Kinawataka-Kireka'!G17,'31.07 Kinawataka-Kireka'!G17,'02.08 Kinawataka-Kireka'!G17,'01.08 Kinawataka-Kireka-24h'!G17,'03.08 Kinawataka-Kireka-24h'!G17,'04.08 Kinawataka-Kireka'!G17)</f>
        <v>2.1428571428571428</v>
      </c>
      <c r="H17" s="49">
        <f>AVERAGE('29.07 Kinawataka-Kireka'!H17,'30.07 Kinawataka-Kireka'!H17,'31.07 Kinawataka-Kireka'!H17,'02.08 Kinawataka-Kireka'!H17,'01.08 Kinawataka-Kireka-24h'!H17,'03.08 Kinawataka-Kireka-24h'!H17,'04.08 Kinawataka-Kireka'!H17)</f>
        <v>0.14285714285714285</v>
      </c>
      <c r="I17" s="49">
        <f>AVERAGE('29.07 Kinawataka-Kireka'!I17,'30.07 Kinawataka-Kireka'!I17,'31.07 Kinawataka-Kireka'!I17,'02.08 Kinawataka-Kireka'!I17,'01.08 Kinawataka-Kireka-24h'!I17,'03.08 Kinawataka-Kireka-24h'!I17,'04.08 Kinawataka-Kireka'!I17)</f>
        <v>3.1428571428571428</v>
      </c>
      <c r="J17" s="49">
        <f>AVERAGE('29.07 Kinawataka-Kireka'!J17,'30.07 Kinawataka-Kireka'!J17,'31.07 Kinawataka-Kireka'!J17,'02.08 Kinawataka-Kireka'!J17,'01.08 Kinawataka-Kireka-24h'!J17,'03.08 Kinawataka-Kireka-24h'!J17,'04.08 Kinawataka-Kireka'!J17)</f>
        <v>0.42857142857142855</v>
      </c>
      <c r="K17" s="49">
        <f>AVERAGE('29.07 Kinawataka-Kireka'!K17,'30.07 Kinawataka-Kireka'!K17,'31.07 Kinawataka-Kireka'!K17,'02.08 Kinawataka-Kireka'!K17,'01.08 Kinawataka-Kireka-24h'!K17,'03.08 Kinawataka-Kireka-24h'!K17,'04.08 Kinawataka-Kireka'!K17)</f>
        <v>1.2857142857142858</v>
      </c>
      <c r="L17" s="49">
        <f>AVERAGE('29.07 Kinawataka-Kireka'!L17,'30.07 Kinawataka-Kireka'!L17,'31.07 Kinawataka-Kireka'!L17,'02.08 Kinawataka-Kireka'!L17,'01.08 Kinawataka-Kireka-24h'!L17,'03.08 Kinawataka-Kireka-24h'!L17,'04.08 Kinawataka-Kireka'!L17)</f>
        <v>2.1428571428571428</v>
      </c>
      <c r="M17" s="49">
        <f>AVERAGE('29.07 Kinawataka-Kireka'!M17,'30.07 Kinawataka-Kireka'!M17,'31.07 Kinawataka-Kireka'!M17,'02.08 Kinawataka-Kireka'!M17,'01.08 Kinawataka-Kireka-24h'!M17,'03.08 Kinawataka-Kireka-24h'!M17,'04.08 Kinawataka-Kireka'!M17)</f>
        <v>125.14285714285714</v>
      </c>
      <c r="N17" s="49">
        <f>AVERAGE('29.07 Kinawataka-Kireka'!N17,'30.07 Kinawataka-Kireka'!N17,'31.07 Kinawataka-Kireka'!N17,'02.08 Kinawataka-Kireka'!N17,'01.08 Kinawataka-Kireka-24h'!N17,'03.08 Kinawataka-Kireka-24h'!N17,'04.08 Kinawataka-Kireka'!N17)</f>
        <v>0</v>
      </c>
      <c r="O17" s="15">
        <f t="shared" si="0"/>
        <v>52.000000000000007</v>
      </c>
      <c r="P17" s="15">
        <f t="shared" si="1"/>
        <v>177.14285714285714</v>
      </c>
      <c r="R17" s="1" t="s">
        <v>13</v>
      </c>
      <c r="S17" s="17">
        <f t="shared" ref="S17:AF17" si="9">SUM(C38:C41)</f>
        <v>201.57142857142856</v>
      </c>
      <c r="T17" s="17">
        <f t="shared" si="9"/>
        <v>18.714285714285715</v>
      </c>
      <c r="U17" s="17">
        <f t="shared" si="9"/>
        <v>27.571428571428569</v>
      </c>
      <c r="V17" s="17">
        <f t="shared" si="9"/>
        <v>44</v>
      </c>
      <c r="W17" s="17">
        <f t="shared" si="9"/>
        <v>7.2857142857142865</v>
      </c>
      <c r="X17" s="17">
        <f t="shared" si="9"/>
        <v>0.42857142857142855</v>
      </c>
      <c r="Y17" s="17">
        <f t="shared" si="9"/>
        <v>34.285714285714285</v>
      </c>
      <c r="Z17" s="17">
        <f t="shared" si="9"/>
        <v>17.857142857142858</v>
      </c>
      <c r="AA17" s="17">
        <f t="shared" si="9"/>
        <v>9.2857142857142847</v>
      </c>
      <c r="AB17" s="17">
        <f t="shared" si="9"/>
        <v>18.714285714285715</v>
      </c>
      <c r="AC17" s="17">
        <f t="shared" si="9"/>
        <v>384.85714285714289</v>
      </c>
      <c r="AD17" s="17">
        <f t="shared" si="9"/>
        <v>0</v>
      </c>
      <c r="AE17" s="31">
        <f t="shared" si="9"/>
        <v>379.71428571428572</v>
      </c>
      <c r="AF17" s="31">
        <f t="shared" si="9"/>
        <v>764.57142857142856</v>
      </c>
    </row>
    <row r="18" spans="2:32" ht="23.1" customHeight="1" x14ac:dyDescent="0.25">
      <c r="B18" s="23" t="s">
        <v>45</v>
      </c>
      <c r="C18" s="49">
        <f>AVERAGE('29.07 Kinawataka-Kireka'!C18,'30.07 Kinawataka-Kireka'!C18,'31.07 Kinawataka-Kireka'!C18,'02.08 Kinawataka-Kireka'!C18,'01.08 Kinawataka-Kireka-24h'!C18,'03.08 Kinawataka-Kireka-24h'!C18,'04.08 Kinawataka-Kireka'!C18)</f>
        <v>26.714285714285715</v>
      </c>
      <c r="D18" s="49">
        <f>AVERAGE('29.07 Kinawataka-Kireka'!D18,'30.07 Kinawataka-Kireka'!D18,'31.07 Kinawataka-Kireka'!D18,'02.08 Kinawataka-Kireka'!D18,'01.08 Kinawataka-Kireka-24h'!D18,'03.08 Kinawataka-Kireka-24h'!D18,'04.08 Kinawataka-Kireka'!D18)</f>
        <v>4.8571428571428568</v>
      </c>
      <c r="E18" s="49">
        <f>AVERAGE('29.07 Kinawataka-Kireka'!E18,'30.07 Kinawataka-Kireka'!E18,'31.07 Kinawataka-Kireka'!E18,'02.08 Kinawataka-Kireka'!E18,'01.08 Kinawataka-Kireka-24h'!E18,'03.08 Kinawataka-Kireka-24h'!E18,'04.08 Kinawataka-Kireka'!E18)</f>
        <v>4.8571428571428568</v>
      </c>
      <c r="F18" s="49">
        <f>AVERAGE('29.07 Kinawataka-Kireka'!F18,'30.07 Kinawataka-Kireka'!F18,'31.07 Kinawataka-Kireka'!F18,'02.08 Kinawataka-Kireka'!F18,'01.08 Kinawataka-Kireka-24h'!F18,'03.08 Kinawataka-Kireka-24h'!F18,'04.08 Kinawataka-Kireka'!F18)</f>
        <v>19.428571428571427</v>
      </c>
      <c r="G18" s="49">
        <f>AVERAGE('29.07 Kinawataka-Kireka'!G18,'30.07 Kinawataka-Kireka'!G18,'31.07 Kinawataka-Kireka'!G18,'02.08 Kinawataka-Kireka'!G18,'01.08 Kinawataka-Kireka-24h'!G18,'03.08 Kinawataka-Kireka-24h'!G18,'04.08 Kinawataka-Kireka'!G18)</f>
        <v>1.8571428571428572</v>
      </c>
      <c r="H18" s="49">
        <f>AVERAGE('29.07 Kinawataka-Kireka'!H18,'30.07 Kinawataka-Kireka'!H18,'31.07 Kinawataka-Kireka'!H18,'02.08 Kinawataka-Kireka'!H18,'01.08 Kinawataka-Kireka-24h'!H18,'03.08 Kinawataka-Kireka-24h'!H18,'04.08 Kinawataka-Kireka'!H18)</f>
        <v>0</v>
      </c>
      <c r="I18" s="49">
        <f>AVERAGE('29.07 Kinawataka-Kireka'!I18,'30.07 Kinawataka-Kireka'!I18,'31.07 Kinawataka-Kireka'!I18,'02.08 Kinawataka-Kireka'!I18,'01.08 Kinawataka-Kireka-24h'!I18,'03.08 Kinawataka-Kireka-24h'!I18,'04.08 Kinawataka-Kireka'!I18)</f>
        <v>6</v>
      </c>
      <c r="J18" s="49">
        <f>AVERAGE('29.07 Kinawataka-Kireka'!J18,'30.07 Kinawataka-Kireka'!J18,'31.07 Kinawataka-Kireka'!J18,'02.08 Kinawataka-Kireka'!J18,'01.08 Kinawataka-Kireka-24h'!J18,'03.08 Kinawataka-Kireka-24h'!J18,'04.08 Kinawataka-Kireka'!J18)</f>
        <v>2.8571428571428572</v>
      </c>
      <c r="K18" s="49">
        <f>AVERAGE('29.07 Kinawataka-Kireka'!K18,'30.07 Kinawataka-Kireka'!K18,'31.07 Kinawataka-Kireka'!K18,'02.08 Kinawataka-Kireka'!K18,'01.08 Kinawataka-Kireka-24h'!K18,'03.08 Kinawataka-Kireka-24h'!K18,'04.08 Kinawataka-Kireka'!K18)</f>
        <v>1</v>
      </c>
      <c r="L18" s="49">
        <f>AVERAGE('29.07 Kinawataka-Kireka'!L18,'30.07 Kinawataka-Kireka'!L18,'31.07 Kinawataka-Kireka'!L18,'02.08 Kinawataka-Kireka'!L18,'01.08 Kinawataka-Kireka-24h'!L18,'03.08 Kinawataka-Kireka-24h'!L18,'04.08 Kinawataka-Kireka'!L18)</f>
        <v>2.2857142857142856</v>
      </c>
      <c r="M18" s="49">
        <f>AVERAGE('29.07 Kinawataka-Kireka'!M18,'30.07 Kinawataka-Kireka'!M18,'31.07 Kinawataka-Kireka'!M18,'02.08 Kinawataka-Kireka'!M18,'01.08 Kinawataka-Kireka-24h'!M18,'03.08 Kinawataka-Kireka-24h'!M18,'04.08 Kinawataka-Kireka'!M18)</f>
        <v>119.85714285714286</v>
      </c>
      <c r="N18" s="49">
        <f>AVERAGE('29.07 Kinawataka-Kireka'!N18,'30.07 Kinawataka-Kireka'!N18,'31.07 Kinawataka-Kireka'!N18,'02.08 Kinawataka-Kireka'!N18,'01.08 Kinawataka-Kireka-24h'!N18,'03.08 Kinawataka-Kireka-24h'!N18,'04.08 Kinawataka-Kireka'!N18)</f>
        <v>0.14285714285714285</v>
      </c>
      <c r="O18" s="15">
        <f t="shared" si="0"/>
        <v>70</v>
      </c>
      <c r="P18" s="15">
        <f t="shared" si="1"/>
        <v>189.85714285714286</v>
      </c>
      <c r="R18" s="1" t="s">
        <v>14</v>
      </c>
      <c r="S18" s="17">
        <f t="shared" ref="S18:AF18" si="10">SUM(C42:C45)</f>
        <v>239.71428571428572</v>
      </c>
      <c r="T18" s="17">
        <f t="shared" si="10"/>
        <v>30.571428571428569</v>
      </c>
      <c r="U18" s="17">
        <f t="shared" si="10"/>
        <v>33</v>
      </c>
      <c r="V18" s="17">
        <f t="shared" si="10"/>
        <v>57.142857142857146</v>
      </c>
      <c r="W18" s="17">
        <f t="shared" si="10"/>
        <v>6.5714285714285712</v>
      </c>
      <c r="X18" s="17">
        <f t="shared" si="10"/>
        <v>0.42857142857142855</v>
      </c>
      <c r="Y18" s="17">
        <f t="shared" si="10"/>
        <v>39.571428571428569</v>
      </c>
      <c r="Z18" s="17">
        <f t="shared" si="10"/>
        <v>17.142857142857142</v>
      </c>
      <c r="AA18" s="17">
        <f t="shared" si="10"/>
        <v>7.8571428571428559</v>
      </c>
      <c r="AB18" s="17">
        <f t="shared" si="10"/>
        <v>19.857142857142858</v>
      </c>
      <c r="AC18" s="17">
        <f t="shared" si="10"/>
        <v>421.71428571428567</v>
      </c>
      <c r="AD18" s="17">
        <f t="shared" si="10"/>
        <v>0</v>
      </c>
      <c r="AE18" s="31">
        <f t="shared" si="10"/>
        <v>451.85714285714289</v>
      </c>
      <c r="AF18" s="31">
        <f t="shared" si="10"/>
        <v>873.57142857142856</v>
      </c>
    </row>
    <row r="19" spans="2:32" ht="23.1" customHeight="1" x14ac:dyDescent="0.25">
      <c r="B19" s="23" t="s">
        <v>46</v>
      </c>
      <c r="C19" s="49">
        <f>AVERAGE('29.07 Kinawataka-Kireka'!C19,'30.07 Kinawataka-Kireka'!C19,'31.07 Kinawataka-Kireka'!C19,'02.08 Kinawataka-Kireka'!C19,'01.08 Kinawataka-Kireka-24h'!C19,'03.08 Kinawataka-Kireka-24h'!C19,'04.08 Kinawataka-Kireka'!C19)</f>
        <v>34</v>
      </c>
      <c r="D19" s="49">
        <f>AVERAGE('29.07 Kinawataka-Kireka'!D19,'30.07 Kinawataka-Kireka'!D19,'31.07 Kinawataka-Kireka'!D19,'02.08 Kinawataka-Kireka'!D19,'01.08 Kinawataka-Kireka-24h'!D19,'03.08 Kinawataka-Kireka-24h'!D19,'04.08 Kinawataka-Kireka'!D19)</f>
        <v>3.2857142857142856</v>
      </c>
      <c r="E19" s="49">
        <f>AVERAGE('29.07 Kinawataka-Kireka'!E19,'30.07 Kinawataka-Kireka'!E19,'31.07 Kinawataka-Kireka'!E19,'02.08 Kinawataka-Kireka'!E19,'01.08 Kinawataka-Kireka-24h'!E19,'03.08 Kinawataka-Kireka-24h'!E19,'04.08 Kinawataka-Kireka'!E19)</f>
        <v>3.5714285714285716</v>
      </c>
      <c r="F19" s="49">
        <f>AVERAGE('29.07 Kinawataka-Kireka'!F19,'30.07 Kinawataka-Kireka'!F19,'31.07 Kinawataka-Kireka'!F19,'02.08 Kinawataka-Kireka'!F19,'01.08 Kinawataka-Kireka-24h'!F19,'03.08 Kinawataka-Kireka-24h'!F19,'04.08 Kinawataka-Kireka'!F19)</f>
        <v>17.428571428571427</v>
      </c>
      <c r="G19" s="49">
        <f>AVERAGE('29.07 Kinawataka-Kireka'!G19,'30.07 Kinawataka-Kireka'!G19,'31.07 Kinawataka-Kireka'!G19,'02.08 Kinawataka-Kireka'!G19,'01.08 Kinawataka-Kireka-24h'!G19,'03.08 Kinawataka-Kireka-24h'!G19,'04.08 Kinawataka-Kireka'!G19)</f>
        <v>1.2857142857142858</v>
      </c>
      <c r="H19" s="49">
        <f>AVERAGE('29.07 Kinawataka-Kireka'!H19,'30.07 Kinawataka-Kireka'!H19,'31.07 Kinawataka-Kireka'!H19,'02.08 Kinawataka-Kireka'!H19,'01.08 Kinawataka-Kireka-24h'!H19,'03.08 Kinawataka-Kireka-24h'!H19,'04.08 Kinawataka-Kireka'!H19)</f>
        <v>0</v>
      </c>
      <c r="I19" s="49">
        <f>AVERAGE('29.07 Kinawataka-Kireka'!I19,'30.07 Kinawataka-Kireka'!I19,'31.07 Kinawataka-Kireka'!I19,'02.08 Kinawataka-Kireka'!I19,'01.08 Kinawataka-Kireka-24h'!I19,'03.08 Kinawataka-Kireka-24h'!I19,'04.08 Kinawataka-Kireka'!I19)</f>
        <v>5.4285714285714288</v>
      </c>
      <c r="J19" s="49">
        <f>AVERAGE('29.07 Kinawataka-Kireka'!J19,'30.07 Kinawataka-Kireka'!J19,'31.07 Kinawataka-Kireka'!J19,'02.08 Kinawataka-Kireka'!J19,'01.08 Kinawataka-Kireka-24h'!J19,'03.08 Kinawataka-Kireka-24h'!J19,'04.08 Kinawataka-Kireka'!J19)</f>
        <v>2.2857142857142856</v>
      </c>
      <c r="K19" s="49">
        <f>AVERAGE('29.07 Kinawataka-Kireka'!K19,'30.07 Kinawataka-Kireka'!K19,'31.07 Kinawataka-Kireka'!K19,'02.08 Kinawataka-Kireka'!K19,'01.08 Kinawataka-Kireka-24h'!K19,'03.08 Kinawataka-Kireka-24h'!K19,'04.08 Kinawataka-Kireka'!K19)</f>
        <v>1.4285714285714286</v>
      </c>
      <c r="L19" s="49">
        <f>AVERAGE('29.07 Kinawataka-Kireka'!L19,'30.07 Kinawataka-Kireka'!L19,'31.07 Kinawataka-Kireka'!L19,'02.08 Kinawataka-Kireka'!L19,'01.08 Kinawataka-Kireka-24h'!L19,'03.08 Kinawataka-Kireka-24h'!L19,'04.08 Kinawataka-Kireka'!L19)</f>
        <v>1.8571428571428572</v>
      </c>
      <c r="M19" s="49">
        <f>AVERAGE('29.07 Kinawataka-Kireka'!M19,'30.07 Kinawataka-Kireka'!M19,'31.07 Kinawataka-Kireka'!M19,'02.08 Kinawataka-Kireka'!M19,'01.08 Kinawataka-Kireka-24h'!M19,'03.08 Kinawataka-Kireka-24h'!M19,'04.08 Kinawataka-Kireka'!M19)</f>
        <v>107.42857142857143</v>
      </c>
      <c r="N19" s="49">
        <f>AVERAGE('29.07 Kinawataka-Kireka'!N19,'30.07 Kinawataka-Kireka'!N19,'31.07 Kinawataka-Kireka'!N19,'02.08 Kinawataka-Kireka'!N19,'01.08 Kinawataka-Kireka-24h'!N19,'03.08 Kinawataka-Kireka-24h'!N19,'04.08 Kinawataka-Kireka'!N19)</f>
        <v>0.14285714285714285</v>
      </c>
      <c r="O19" s="15">
        <f t="shared" si="0"/>
        <v>70.714285714285708</v>
      </c>
      <c r="P19" s="15">
        <f t="shared" si="1"/>
        <v>178.14285714285714</v>
      </c>
      <c r="R19" s="1" t="s">
        <v>15</v>
      </c>
      <c r="S19" s="17">
        <f t="shared" ref="S19:AF19" si="11">SUM(C46:C49)</f>
        <v>280.28571428571422</v>
      </c>
      <c r="T19" s="17">
        <f t="shared" si="11"/>
        <v>31.857142857142854</v>
      </c>
      <c r="U19" s="17">
        <f t="shared" si="11"/>
        <v>38.142857142857139</v>
      </c>
      <c r="V19" s="17">
        <f t="shared" si="11"/>
        <v>52.857142857142861</v>
      </c>
      <c r="W19" s="17">
        <f t="shared" si="11"/>
        <v>7.5714285714285712</v>
      </c>
      <c r="X19" s="17">
        <f t="shared" si="11"/>
        <v>0.42857142857142855</v>
      </c>
      <c r="Y19" s="17">
        <f t="shared" si="11"/>
        <v>35.857142857142854</v>
      </c>
      <c r="Z19" s="17">
        <f t="shared" si="11"/>
        <v>22.857142857142858</v>
      </c>
      <c r="AA19" s="17">
        <f t="shared" si="11"/>
        <v>14</v>
      </c>
      <c r="AB19" s="17">
        <f t="shared" si="11"/>
        <v>17.428571428571427</v>
      </c>
      <c r="AC19" s="17">
        <f t="shared" si="11"/>
        <v>434.85714285714289</v>
      </c>
      <c r="AD19" s="17">
        <f t="shared" si="11"/>
        <v>0.14285714285714285</v>
      </c>
      <c r="AE19" s="31">
        <f t="shared" si="11"/>
        <v>501.42857142857144</v>
      </c>
      <c r="AF19" s="31">
        <f t="shared" si="11"/>
        <v>936.28571428571433</v>
      </c>
    </row>
    <row r="20" spans="2:32" ht="23.1" customHeight="1" x14ac:dyDescent="0.25">
      <c r="B20" s="23" t="s">
        <v>47</v>
      </c>
      <c r="C20" s="49">
        <f>AVERAGE('29.07 Kinawataka-Kireka'!C20,'30.07 Kinawataka-Kireka'!C20,'31.07 Kinawataka-Kireka'!C20,'02.08 Kinawataka-Kireka'!C20,'01.08 Kinawataka-Kireka-24h'!C20,'03.08 Kinawataka-Kireka-24h'!C20,'04.08 Kinawataka-Kireka'!C20)</f>
        <v>23.428571428571427</v>
      </c>
      <c r="D20" s="49">
        <f>AVERAGE('29.07 Kinawataka-Kireka'!D20,'30.07 Kinawataka-Kireka'!D20,'31.07 Kinawataka-Kireka'!D20,'02.08 Kinawataka-Kireka'!D20,'01.08 Kinawataka-Kireka-24h'!D20,'03.08 Kinawataka-Kireka-24h'!D20,'04.08 Kinawataka-Kireka'!D20)</f>
        <v>4.7142857142857144</v>
      </c>
      <c r="E20" s="49">
        <f>AVERAGE('29.07 Kinawataka-Kireka'!E20,'30.07 Kinawataka-Kireka'!E20,'31.07 Kinawataka-Kireka'!E20,'02.08 Kinawataka-Kireka'!E20,'01.08 Kinawataka-Kireka-24h'!E20,'03.08 Kinawataka-Kireka-24h'!E20,'04.08 Kinawataka-Kireka'!E20)</f>
        <v>5</v>
      </c>
      <c r="F20" s="49">
        <f>AVERAGE('29.07 Kinawataka-Kireka'!F20,'30.07 Kinawataka-Kireka'!F20,'31.07 Kinawataka-Kireka'!F20,'02.08 Kinawataka-Kireka'!F20,'01.08 Kinawataka-Kireka-24h'!F20,'03.08 Kinawataka-Kireka-24h'!F20,'04.08 Kinawataka-Kireka'!F20)</f>
        <v>14.285714285714286</v>
      </c>
      <c r="G20" s="49">
        <f>AVERAGE('29.07 Kinawataka-Kireka'!G20,'30.07 Kinawataka-Kireka'!G20,'31.07 Kinawataka-Kireka'!G20,'02.08 Kinawataka-Kireka'!G20,'01.08 Kinawataka-Kireka-24h'!G20,'03.08 Kinawataka-Kireka-24h'!G20,'04.08 Kinawataka-Kireka'!G20)</f>
        <v>0.5714285714285714</v>
      </c>
      <c r="H20" s="49">
        <f>AVERAGE('29.07 Kinawataka-Kireka'!H20,'30.07 Kinawataka-Kireka'!H20,'31.07 Kinawataka-Kireka'!H20,'02.08 Kinawataka-Kireka'!H20,'01.08 Kinawataka-Kireka-24h'!H20,'03.08 Kinawataka-Kireka-24h'!H20,'04.08 Kinawataka-Kireka'!H20)</f>
        <v>0.14285714285714285</v>
      </c>
      <c r="I20" s="49">
        <f>AVERAGE('29.07 Kinawataka-Kireka'!I20,'30.07 Kinawataka-Kireka'!I20,'31.07 Kinawataka-Kireka'!I20,'02.08 Kinawataka-Kireka'!I20,'01.08 Kinawataka-Kireka-24h'!I20,'03.08 Kinawataka-Kireka-24h'!I20,'04.08 Kinawataka-Kireka'!I20)</f>
        <v>5.8571428571428568</v>
      </c>
      <c r="J20" s="49">
        <f>AVERAGE('29.07 Kinawataka-Kireka'!J20,'30.07 Kinawataka-Kireka'!J20,'31.07 Kinawataka-Kireka'!J20,'02.08 Kinawataka-Kireka'!J20,'01.08 Kinawataka-Kireka-24h'!J20,'03.08 Kinawataka-Kireka-24h'!J20,'04.08 Kinawataka-Kireka'!J20)</f>
        <v>2.7142857142857144</v>
      </c>
      <c r="K20" s="49">
        <f>AVERAGE('29.07 Kinawataka-Kireka'!K20,'30.07 Kinawataka-Kireka'!K20,'31.07 Kinawataka-Kireka'!K20,'02.08 Kinawataka-Kireka'!K20,'01.08 Kinawataka-Kireka-24h'!K20,'03.08 Kinawataka-Kireka-24h'!K20,'04.08 Kinawataka-Kireka'!K20)</f>
        <v>1.4285714285714286</v>
      </c>
      <c r="L20" s="49">
        <f>AVERAGE('29.07 Kinawataka-Kireka'!L20,'30.07 Kinawataka-Kireka'!L20,'31.07 Kinawataka-Kireka'!L20,'02.08 Kinawataka-Kireka'!L20,'01.08 Kinawataka-Kireka-24h'!L20,'03.08 Kinawataka-Kireka-24h'!L20,'04.08 Kinawataka-Kireka'!L20)</f>
        <v>2</v>
      </c>
      <c r="M20" s="49">
        <f>AVERAGE('29.07 Kinawataka-Kireka'!M20,'30.07 Kinawataka-Kireka'!M20,'31.07 Kinawataka-Kireka'!M20,'02.08 Kinawataka-Kireka'!M20,'01.08 Kinawataka-Kireka-24h'!M20,'03.08 Kinawataka-Kireka-24h'!M20,'04.08 Kinawataka-Kireka'!M20)</f>
        <v>115.28571428571429</v>
      </c>
      <c r="N20" s="49">
        <f>AVERAGE('29.07 Kinawataka-Kireka'!N20,'30.07 Kinawataka-Kireka'!N20,'31.07 Kinawataka-Kireka'!N20,'02.08 Kinawataka-Kireka'!N20,'01.08 Kinawataka-Kireka-24h'!N20,'03.08 Kinawataka-Kireka-24h'!N20,'04.08 Kinawataka-Kireka'!N20)</f>
        <v>0</v>
      </c>
      <c r="O20" s="15">
        <f t="shared" si="0"/>
        <v>60.142857142857139</v>
      </c>
      <c r="P20" s="15">
        <f t="shared" si="1"/>
        <v>175.42857142857144</v>
      </c>
      <c r="R20" s="1" t="s">
        <v>16</v>
      </c>
      <c r="S20" s="17">
        <f t="shared" ref="S20:AF20" si="12">SUM(C50:C53)</f>
        <v>293.57142857142856</v>
      </c>
      <c r="T20" s="17">
        <f t="shared" si="12"/>
        <v>39</v>
      </c>
      <c r="U20" s="17">
        <f t="shared" si="12"/>
        <v>48.857142857142861</v>
      </c>
      <c r="V20" s="17">
        <f t="shared" si="12"/>
        <v>60.285714285714285</v>
      </c>
      <c r="W20" s="17">
        <f t="shared" si="12"/>
        <v>11</v>
      </c>
      <c r="X20" s="17">
        <f t="shared" si="12"/>
        <v>1.2857142857142856</v>
      </c>
      <c r="Y20" s="17">
        <f t="shared" si="12"/>
        <v>24.285714285714285</v>
      </c>
      <c r="Z20" s="17">
        <f t="shared" si="12"/>
        <v>13.857142857142858</v>
      </c>
      <c r="AA20" s="17">
        <f t="shared" si="12"/>
        <v>7.1428571428571432</v>
      </c>
      <c r="AB20" s="17">
        <f t="shared" si="12"/>
        <v>16.714285714285715</v>
      </c>
      <c r="AC20" s="17">
        <f t="shared" si="12"/>
        <v>441.42857142857144</v>
      </c>
      <c r="AD20" s="17">
        <f t="shared" si="12"/>
        <v>0.2857142857142857</v>
      </c>
      <c r="AE20" s="31">
        <f t="shared" si="12"/>
        <v>516.28571428571422</v>
      </c>
      <c r="AF20" s="31">
        <f t="shared" si="12"/>
        <v>957.71428571428567</v>
      </c>
    </row>
    <row r="21" spans="2:32" ht="23.1" customHeight="1" x14ac:dyDescent="0.25">
      <c r="B21" s="23" t="s">
        <v>48</v>
      </c>
      <c r="C21" s="49">
        <f>AVERAGE('29.07 Kinawataka-Kireka'!C21,'30.07 Kinawataka-Kireka'!C21,'31.07 Kinawataka-Kireka'!C21,'02.08 Kinawataka-Kireka'!C21,'01.08 Kinawataka-Kireka-24h'!C21,'03.08 Kinawataka-Kireka-24h'!C21,'04.08 Kinawataka-Kireka'!C21)</f>
        <v>32.142857142857146</v>
      </c>
      <c r="D21" s="49">
        <f>AVERAGE('29.07 Kinawataka-Kireka'!D21,'30.07 Kinawataka-Kireka'!D21,'31.07 Kinawataka-Kireka'!D21,'02.08 Kinawataka-Kireka'!D21,'01.08 Kinawataka-Kireka-24h'!D21,'03.08 Kinawataka-Kireka-24h'!D21,'04.08 Kinawataka-Kireka'!D21)</f>
        <v>4.1428571428571432</v>
      </c>
      <c r="E21" s="49">
        <f>AVERAGE('29.07 Kinawataka-Kireka'!E21,'30.07 Kinawataka-Kireka'!E21,'31.07 Kinawataka-Kireka'!E21,'02.08 Kinawataka-Kireka'!E21,'01.08 Kinawataka-Kireka-24h'!E21,'03.08 Kinawataka-Kireka-24h'!E21,'04.08 Kinawataka-Kireka'!E21)</f>
        <v>6</v>
      </c>
      <c r="F21" s="49">
        <f>AVERAGE('29.07 Kinawataka-Kireka'!F21,'30.07 Kinawataka-Kireka'!F21,'31.07 Kinawataka-Kireka'!F21,'02.08 Kinawataka-Kireka'!F21,'01.08 Kinawataka-Kireka-24h'!F21,'03.08 Kinawataka-Kireka-24h'!F21,'04.08 Kinawataka-Kireka'!F21)</f>
        <v>15.142857142857142</v>
      </c>
      <c r="G21" s="49">
        <f>AVERAGE('29.07 Kinawataka-Kireka'!G21,'30.07 Kinawataka-Kireka'!G21,'31.07 Kinawataka-Kireka'!G21,'02.08 Kinawataka-Kireka'!G21,'01.08 Kinawataka-Kireka-24h'!G21,'03.08 Kinawataka-Kireka-24h'!G21,'04.08 Kinawataka-Kireka'!G21)</f>
        <v>2.4285714285714284</v>
      </c>
      <c r="H21" s="49">
        <f>AVERAGE('29.07 Kinawataka-Kireka'!H21,'30.07 Kinawataka-Kireka'!H21,'31.07 Kinawataka-Kireka'!H21,'02.08 Kinawataka-Kireka'!H21,'01.08 Kinawataka-Kireka-24h'!H21,'03.08 Kinawataka-Kireka-24h'!H21,'04.08 Kinawataka-Kireka'!H21)</f>
        <v>0</v>
      </c>
      <c r="I21" s="49">
        <f>AVERAGE('29.07 Kinawataka-Kireka'!I21,'30.07 Kinawataka-Kireka'!I21,'31.07 Kinawataka-Kireka'!I21,'02.08 Kinawataka-Kireka'!I21,'01.08 Kinawataka-Kireka-24h'!I21,'03.08 Kinawataka-Kireka-24h'!I21,'04.08 Kinawataka-Kireka'!I21)</f>
        <v>6.4285714285714288</v>
      </c>
      <c r="J21" s="49">
        <f>AVERAGE('29.07 Kinawataka-Kireka'!J21,'30.07 Kinawataka-Kireka'!J21,'31.07 Kinawataka-Kireka'!J21,'02.08 Kinawataka-Kireka'!J21,'01.08 Kinawataka-Kireka-24h'!J21,'03.08 Kinawataka-Kireka-24h'!J21,'04.08 Kinawataka-Kireka'!J21)</f>
        <v>3.4285714285714284</v>
      </c>
      <c r="K21" s="49">
        <f>AVERAGE('29.07 Kinawataka-Kireka'!K21,'30.07 Kinawataka-Kireka'!K21,'31.07 Kinawataka-Kireka'!K21,'02.08 Kinawataka-Kireka'!K21,'01.08 Kinawataka-Kireka-24h'!K21,'03.08 Kinawataka-Kireka-24h'!K21,'04.08 Kinawataka-Kireka'!K21)</f>
        <v>1.7142857142857142</v>
      </c>
      <c r="L21" s="49">
        <f>AVERAGE('29.07 Kinawataka-Kireka'!L21,'30.07 Kinawataka-Kireka'!L21,'31.07 Kinawataka-Kireka'!L21,'02.08 Kinawataka-Kireka'!L21,'01.08 Kinawataka-Kireka-24h'!L21,'03.08 Kinawataka-Kireka-24h'!L21,'04.08 Kinawataka-Kireka'!L21)</f>
        <v>1.2857142857142858</v>
      </c>
      <c r="M21" s="49">
        <f>AVERAGE('29.07 Kinawataka-Kireka'!M21,'30.07 Kinawataka-Kireka'!M21,'31.07 Kinawataka-Kireka'!M21,'02.08 Kinawataka-Kireka'!M21,'01.08 Kinawataka-Kireka-24h'!M21,'03.08 Kinawataka-Kireka-24h'!M21,'04.08 Kinawataka-Kireka'!M21)</f>
        <v>100.71428571428571</v>
      </c>
      <c r="N21" s="49">
        <f>AVERAGE('29.07 Kinawataka-Kireka'!N21,'30.07 Kinawataka-Kireka'!N21,'31.07 Kinawataka-Kireka'!N21,'02.08 Kinawataka-Kireka'!N21,'01.08 Kinawataka-Kireka-24h'!N21,'03.08 Kinawataka-Kireka-24h'!N21,'04.08 Kinawataka-Kireka'!N21)</f>
        <v>0</v>
      </c>
      <c r="O21" s="15">
        <f t="shared" si="0"/>
        <v>72.714285714285722</v>
      </c>
      <c r="P21" s="15">
        <f t="shared" si="1"/>
        <v>173.42857142857144</v>
      </c>
      <c r="R21" s="36" t="s">
        <v>20</v>
      </c>
      <c r="S21" s="34">
        <f t="shared" ref="S21:AF21" si="13">SUM(C54:C57)</f>
        <v>294.85714285714289</v>
      </c>
      <c r="T21" s="17">
        <f t="shared" si="13"/>
        <v>38.571428571428569</v>
      </c>
      <c r="U21" s="17">
        <f t="shared" si="13"/>
        <v>42.285714285714292</v>
      </c>
      <c r="V21" s="17">
        <f t="shared" si="13"/>
        <v>70.142857142857153</v>
      </c>
      <c r="W21" s="17">
        <f t="shared" si="13"/>
        <v>9.8571428571428577</v>
      </c>
      <c r="X21" s="17">
        <f t="shared" si="13"/>
        <v>0.5714285714285714</v>
      </c>
      <c r="Y21" s="17">
        <f t="shared" si="13"/>
        <v>29.571428571428569</v>
      </c>
      <c r="Z21" s="17">
        <f t="shared" si="13"/>
        <v>17.857142857142858</v>
      </c>
      <c r="AA21" s="17">
        <f t="shared" si="13"/>
        <v>9.1428571428571423</v>
      </c>
      <c r="AB21" s="17">
        <f t="shared" si="13"/>
        <v>13.857142857142858</v>
      </c>
      <c r="AC21" s="17">
        <f t="shared" si="13"/>
        <v>455.28571428571433</v>
      </c>
      <c r="AD21" s="17">
        <f t="shared" si="13"/>
        <v>0.14285714285714285</v>
      </c>
      <c r="AE21" s="31">
        <f t="shared" si="13"/>
        <v>526.85714285714289</v>
      </c>
      <c r="AF21" s="31">
        <f t="shared" si="13"/>
        <v>982.14285714285711</v>
      </c>
    </row>
    <row r="22" spans="2:32" ht="23.1" customHeight="1" x14ac:dyDescent="0.25">
      <c r="B22" s="23" t="s">
        <v>49</v>
      </c>
      <c r="C22" s="49">
        <f>AVERAGE('29.07 Kinawataka-Kireka'!C22,'30.07 Kinawataka-Kireka'!C22,'31.07 Kinawataka-Kireka'!C22,'02.08 Kinawataka-Kireka'!C22,'01.08 Kinawataka-Kireka-24h'!C22,'03.08 Kinawataka-Kireka-24h'!C22,'04.08 Kinawataka-Kireka'!C22)</f>
        <v>43</v>
      </c>
      <c r="D22" s="49">
        <f>AVERAGE('29.07 Kinawataka-Kireka'!D22,'30.07 Kinawataka-Kireka'!D22,'31.07 Kinawataka-Kireka'!D22,'02.08 Kinawataka-Kireka'!D22,'01.08 Kinawataka-Kireka-24h'!D22,'03.08 Kinawataka-Kireka-24h'!D22,'04.08 Kinawataka-Kireka'!D22)</f>
        <v>6.5714285714285712</v>
      </c>
      <c r="E22" s="49">
        <f>AVERAGE('29.07 Kinawataka-Kireka'!E22,'30.07 Kinawataka-Kireka'!E22,'31.07 Kinawataka-Kireka'!E22,'02.08 Kinawataka-Kireka'!E22,'01.08 Kinawataka-Kireka-24h'!E22,'03.08 Kinawataka-Kireka-24h'!E22,'04.08 Kinawataka-Kireka'!E22)</f>
        <v>6.8571428571428568</v>
      </c>
      <c r="F22" s="49">
        <f>AVERAGE('29.07 Kinawataka-Kireka'!F22,'30.07 Kinawataka-Kireka'!F22,'31.07 Kinawataka-Kireka'!F22,'02.08 Kinawataka-Kireka'!F22,'01.08 Kinawataka-Kireka-24h'!F22,'03.08 Kinawataka-Kireka-24h'!F22,'04.08 Kinawataka-Kireka'!F22)</f>
        <v>18.142857142857142</v>
      </c>
      <c r="G22" s="49">
        <f>AVERAGE('29.07 Kinawataka-Kireka'!G22,'30.07 Kinawataka-Kireka'!G22,'31.07 Kinawataka-Kireka'!G22,'02.08 Kinawataka-Kireka'!G22,'01.08 Kinawataka-Kireka-24h'!G22,'03.08 Kinawataka-Kireka-24h'!G22,'04.08 Kinawataka-Kireka'!G22)</f>
        <v>1.4285714285714286</v>
      </c>
      <c r="H22" s="49">
        <f>AVERAGE('29.07 Kinawataka-Kireka'!H22,'30.07 Kinawataka-Kireka'!H22,'31.07 Kinawataka-Kireka'!H22,'02.08 Kinawataka-Kireka'!H22,'01.08 Kinawataka-Kireka-24h'!H22,'03.08 Kinawataka-Kireka-24h'!H22,'04.08 Kinawataka-Kireka'!H22)</f>
        <v>0.14285714285714285</v>
      </c>
      <c r="I22" s="49">
        <f>AVERAGE('29.07 Kinawataka-Kireka'!I22,'30.07 Kinawataka-Kireka'!I22,'31.07 Kinawataka-Kireka'!I22,'02.08 Kinawataka-Kireka'!I22,'01.08 Kinawataka-Kireka-24h'!I22,'03.08 Kinawataka-Kireka-24h'!I22,'04.08 Kinawataka-Kireka'!I22)</f>
        <v>9</v>
      </c>
      <c r="J22" s="49">
        <f>AVERAGE('29.07 Kinawataka-Kireka'!J22,'30.07 Kinawataka-Kireka'!J22,'31.07 Kinawataka-Kireka'!J22,'02.08 Kinawataka-Kireka'!J22,'01.08 Kinawataka-Kireka-24h'!J22,'03.08 Kinawataka-Kireka-24h'!J22,'04.08 Kinawataka-Kireka'!J22)</f>
        <v>4.1428571428571432</v>
      </c>
      <c r="K22" s="49">
        <f>AVERAGE('29.07 Kinawataka-Kireka'!K22,'30.07 Kinawataka-Kireka'!K22,'31.07 Kinawataka-Kireka'!K22,'02.08 Kinawataka-Kireka'!K22,'01.08 Kinawataka-Kireka-24h'!K22,'03.08 Kinawataka-Kireka-24h'!K22,'04.08 Kinawataka-Kireka'!K22)</f>
        <v>1.4285714285714286</v>
      </c>
      <c r="L22" s="49">
        <f>AVERAGE('29.07 Kinawataka-Kireka'!L22,'30.07 Kinawataka-Kireka'!L22,'31.07 Kinawataka-Kireka'!L22,'02.08 Kinawataka-Kireka'!L22,'01.08 Kinawataka-Kireka-24h'!L22,'03.08 Kinawataka-Kireka-24h'!L22,'04.08 Kinawataka-Kireka'!L22)</f>
        <v>2.8571428571428572</v>
      </c>
      <c r="M22" s="49">
        <f>AVERAGE('29.07 Kinawataka-Kireka'!M22,'30.07 Kinawataka-Kireka'!M22,'31.07 Kinawataka-Kireka'!M22,'02.08 Kinawataka-Kireka'!M22,'01.08 Kinawataka-Kireka-24h'!M22,'03.08 Kinawataka-Kireka-24h'!M22,'04.08 Kinawataka-Kireka'!M22)</f>
        <v>107.28571428571429</v>
      </c>
      <c r="N22" s="49">
        <f>AVERAGE('29.07 Kinawataka-Kireka'!N22,'30.07 Kinawataka-Kireka'!N22,'31.07 Kinawataka-Kireka'!N22,'02.08 Kinawataka-Kireka'!N22,'01.08 Kinawataka-Kireka-24h'!N22,'03.08 Kinawataka-Kireka-24h'!N22,'04.08 Kinawataka-Kireka'!N22)</f>
        <v>0</v>
      </c>
      <c r="O22" s="15">
        <f t="shared" si="0"/>
        <v>93.571428571428569</v>
      </c>
      <c r="P22" s="15">
        <f t="shared" si="1"/>
        <v>200.85714285714286</v>
      </c>
      <c r="R22" s="1" t="s">
        <v>146</v>
      </c>
      <c r="S22" s="34">
        <f>SUM(C58:C61)</f>
        <v>278.5</v>
      </c>
      <c r="T22" s="34">
        <f t="shared" ref="T22:AF22" si="14">SUM(D58:D61)</f>
        <v>37.5</v>
      </c>
      <c r="U22" s="34">
        <f t="shared" si="14"/>
        <v>26.5</v>
      </c>
      <c r="V22" s="34">
        <f t="shared" si="14"/>
        <v>60</v>
      </c>
      <c r="W22" s="34">
        <f t="shared" si="14"/>
        <v>18</v>
      </c>
      <c r="X22" s="34">
        <f t="shared" si="14"/>
        <v>1.5</v>
      </c>
      <c r="Y22" s="34">
        <f t="shared" si="14"/>
        <v>19</v>
      </c>
      <c r="Z22" s="34">
        <f t="shared" si="14"/>
        <v>12.5</v>
      </c>
      <c r="AA22" s="34">
        <f t="shared" si="14"/>
        <v>6</v>
      </c>
      <c r="AB22" s="34">
        <f t="shared" si="14"/>
        <v>9.5</v>
      </c>
      <c r="AC22" s="34">
        <f t="shared" si="14"/>
        <v>601.5</v>
      </c>
      <c r="AD22" s="34">
        <f t="shared" si="14"/>
        <v>0</v>
      </c>
      <c r="AE22" s="31">
        <f t="shared" si="14"/>
        <v>469</v>
      </c>
      <c r="AF22" s="31">
        <f t="shared" si="14"/>
        <v>1070.5</v>
      </c>
    </row>
    <row r="23" spans="2:32" ht="23.1" customHeight="1" x14ac:dyDescent="0.25">
      <c r="B23" s="23" t="s">
        <v>50</v>
      </c>
      <c r="C23" s="49">
        <f>AVERAGE('29.07 Kinawataka-Kireka'!C23,'30.07 Kinawataka-Kireka'!C23,'31.07 Kinawataka-Kireka'!C23,'02.08 Kinawataka-Kireka'!C23,'01.08 Kinawataka-Kireka-24h'!C23,'03.08 Kinawataka-Kireka-24h'!C23,'04.08 Kinawataka-Kireka'!C23)</f>
        <v>32.285714285714285</v>
      </c>
      <c r="D23" s="49">
        <f>AVERAGE('29.07 Kinawataka-Kireka'!D23,'30.07 Kinawataka-Kireka'!D23,'31.07 Kinawataka-Kireka'!D23,'02.08 Kinawataka-Kireka'!D23,'01.08 Kinawataka-Kireka-24h'!D23,'03.08 Kinawataka-Kireka-24h'!D23,'04.08 Kinawataka-Kireka'!D23)</f>
        <v>3</v>
      </c>
      <c r="E23" s="49">
        <f>AVERAGE('29.07 Kinawataka-Kireka'!E23,'30.07 Kinawataka-Kireka'!E23,'31.07 Kinawataka-Kireka'!E23,'02.08 Kinawataka-Kireka'!E23,'01.08 Kinawataka-Kireka-24h'!E23,'03.08 Kinawataka-Kireka-24h'!E23,'04.08 Kinawataka-Kireka'!E23)</f>
        <v>6.2857142857142856</v>
      </c>
      <c r="F23" s="49">
        <f>AVERAGE('29.07 Kinawataka-Kireka'!F23,'30.07 Kinawataka-Kireka'!F23,'31.07 Kinawataka-Kireka'!F23,'02.08 Kinawataka-Kireka'!F23,'01.08 Kinawataka-Kireka-24h'!F23,'03.08 Kinawataka-Kireka-24h'!F23,'04.08 Kinawataka-Kireka'!F23)</f>
        <v>17.285714285714285</v>
      </c>
      <c r="G23" s="49">
        <f>AVERAGE('29.07 Kinawataka-Kireka'!G23,'30.07 Kinawataka-Kireka'!G23,'31.07 Kinawataka-Kireka'!G23,'02.08 Kinawataka-Kireka'!G23,'01.08 Kinawataka-Kireka-24h'!G23,'03.08 Kinawataka-Kireka-24h'!G23,'04.08 Kinawataka-Kireka'!G23)</f>
        <v>1.5714285714285714</v>
      </c>
      <c r="H23" s="49">
        <f>AVERAGE('29.07 Kinawataka-Kireka'!H23,'30.07 Kinawataka-Kireka'!H23,'31.07 Kinawataka-Kireka'!H23,'02.08 Kinawataka-Kireka'!H23,'01.08 Kinawataka-Kireka-24h'!H23,'03.08 Kinawataka-Kireka-24h'!H23,'04.08 Kinawataka-Kireka'!H23)</f>
        <v>0</v>
      </c>
      <c r="I23" s="49">
        <f>AVERAGE('29.07 Kinawataka-Kireka'!I23,'30.07 Kinawataka-Kireka'!I23,'31.07 Kinawataka-Kireka'!I23,'02.08 Kinawataka-Kireka'!I23,'01.08 Kinawataka-Kireka-24h'!I23,'03.08 Kinawataka-Kireka-24h'!I23,'04.08 Kinawataka-Kireka'!I23)</f>
        <v>6.5714285714285712</v>
      </c>
      <c r="J23" s="49">
        <f>AVERAGE('29.07 Kinawataka-Kireka'!J23,'30.07 Kinawataka-Kireka'!J23,'31.07 Kinawataka-Kireka'!J23,'02.08 Kinawataka-Kireka'!J23,'01.08 Kinawataka-Kireka-24h'!J23,'03.08 Kinawataka-Kireka-24h'!J23,'04.08 Kinawataka-Kireka'!J23)</f>
        <v>5</v>
      </c>
      <c r="K23" s="49">
        <f>AVERAGE('29.07 Kinawataka-Kireka'!K23,'30.07 Kinawataka-Kireka'!K23,'31.07 Kinawataka-Kireka'!K23,'02.08 Kinawataka-Kireka'!K23,'01.08 Kinawataka-Kireka-24h'!K23,'03.08 Kinawataka-Kireka-24h'!K23,'04.08 Kinawataka-Kireka'!K23)</f>
        <v>1.7142857142857142</v>
      </c>
      <c r="L23" s="49">
        <f>AVERAGE('29.07 Kinawataka-Kireka'!L23,'30.07 Kinawataka-Kireka'!L23,'31.07 Kinawataka-Kireka'!L23,'02.08 Kinawataka-Kireka'!L23,'01.08 Kinawataka-Kireka-24h'!L23,'03.08 Kinawataka-Kireka-24h'!L23,'04.08 Kinawataka-Kireka'!L23)</f>
        <v>3.5714285714285716</v>
      </c>
      <c r="M23" s="49">
        <f>AVERAGE('29.07 Kinawataka-Kireka'!M23,'30.07 Kinawataka-Kireka'!M23,'31.07 Kinawataka-Kireka'!M23,'02.08 Kinawataka-Kireka'!M23,'01.08 Kinawataka-Kireka-24h'!M23,'03.08 Kinawataka-Kireka-24h'!M23,'04.08 Kinawataka-Kireka'!M23)</f>
        <v>118.28571428571429</v>
      </c>
      <c r="N23" s="49">
        <f>AVERAGE('29.07 Kinawataka-Kireka'!N23,'30.07 Kinawataka-Kireka'!N23,'31.07 Kinawataka-Kireka'!N23,'02.08 Kinawataka-Kireka'!N23,'01.08 Kinawataka-Kireka-24h'!N23,'03.08 Kinawataka-Kireka-24h'!N23,'04.08 Kinawataka-Kireka'!N23)</f>
        <v>0</v>
      </c>
      <c r="O23" s="15">
        <f t="shared" si="0"/>
        <v>77.285714285714278</v>
      </c>
      <c r="P23" s="15">
        <f t="shared" si="1"/>
        <v>195.57142857142856</v>
      </c>
      <c r="R23" s="1" t="s">
        <v>147</v>
      </c>
      <c r="S23" s="34">
        <f>SUM(C62:C65)</f>
        <v>306</v>
      </c>
      <c r="T23" s="34">
        <f t="shared" ref="T23:AF23" si="15">SUM(D62:D65)</f>
        <v>24</v>
      </c>
      <c r="U23" s="34">
        <f t="shared" si="15"/>
        <v>17.5</v>
      </c>
      <c r="V23" s="34">
        <f t="shared" si="15"/>
        <v>49</v>
      </c>
      <c r="W23" s="34">
        <f t="shared" si="15"/>
        <v>14.5</v>
      </c>
      <c r="X23" s="34">
        <f t="shared" si="15"/>
        <v>0.5</v>
      </c>
      <c r="Y23" s="34">
        <f t="shared" si="15"/>
        <v>11.5</v>
      </c>
      <c r="Z23" s="34">
        <f t="shared" si="15"/>
        <v>8</v>
      </c>
      <c r="AA23" s="34">
        <f t="shared" si="15"/>
        <v>2.5</v>
      </c>
      <c r="AB23" s="34">
        <f t="shared" si="15"/>
        <v>4</v>
      </c>
      <c r="AC23" s="34">
        <f t="shared" si="15"/>
        <v>808.5</v>
      </c>
      <c r="AD23" s="34">
        <f t="shared" si="15"/>
        <v>0</v>
      </c>
      <c r="AE23" s="31">
        <f t="shared" si="15"/>
        <v>437.5</v>
      </c>
      <c r="AF23" s="31">
        <f t="shared" si="15"/>
        <v>1246</v>
      </c>
    </row>
    <row r="24" spans="2:32" ht="23.1" customHeight="1" x14ac:dyDescent="0.25">
      <c r="B24" s="23" t="s">
        <v>51</v>
      </c>
      <c r="C24" s="49">
        <f>AVERAGE('29.07 Kinawataka-Kireka'!C24,'30.07 Kinawataka-Kireka'!C24,'31.07 Kinawataka-Kireka'!C24,'02.08 Kinawataka-Kireka'!C24,'01.08 Kinawataka-Kireka-24h'!C24,'03.08 Kinawataka-Kireka-24h'!C24,'04.08 Kinawataka-Kireka'!C24)</f>
        <v>48.571428571428569</v>
      </c>
      <c r="D24" s="49">
        <f>AVERAGE('29.07 Kinawataka-Kireka'!D24,'30.07 Kinawataka-Kireka'!D24,'31.07 Kinawataka-Kireka'!D24,'02.08 Kinawataka-Kireka'!D24,'01.08 Kinawataka-Kireka-24h'!D24,'03.08 Kinawataka-Kireka-24h'!D24,'04.08 Kinawataka-Kireka'!D24)</f>
        <v>5</v>
      </c>
      <c r="E24" s="49">
        <f>AVERAGE('29.07 Kinawataka-Kireka'!E24,'30.07 Kinawataka-Kireka'!E24,'31.07 Kinawataka-Kireka'!E24,'02.08 Kinawataka-Kireka'!E24,'01.08 Kinawataka-Kireka-24h'!E24,'03.08 Kinawataka-Kireka-24h'!E24,'04.08 Kinawataka-Kireka'!E24)</f>
        <v>7.8571428571428568</v>
      </c>
      <c r="F24" s="49">
        <f>AVERAGE('29.07 Kinawataka-Kireka'!F24,'30.07 Kinawataka-Kireka'!F24,'31.07 Kinawataka-Kireka'!F24,'02.08 Kinawataka-Kireka'!F24,'01.08 Kinawataka-Kireka-24h'!F24,'03.08 Kinawataka-Kireka-24h'!F24,'04.08 Kinawataka-Kireka'!F24)</f>
        <v>14.142857142857142</v>
      </c>
      <c r="G24" s="49">
        <f>AVERAGE('29.07 Kinawataka-Kireka'!G24,'30.07 Kinawataka-Kireka'!G24,'31.07 Kinawataka-Kireka'!G24,'02.08 Kinawataka-Kireka'!G24,'01.08 Kinawataka-Kireka-24h'!G24,'03.08 Kinawataka-Kireka-24h'!G24,'04.08 Kinawataka-Kireka'!G24)</f>
        <v>1.2857142857142858</v>
      </c>
      <c r="H24" s="49">
        <f>AVERAGE('29.07 Kinawataka-Kireka'!H24,'30.07 Kinawataka-Kireka'!H24,'31.07 Kinawataka-Kireka'!H24,'02.08 Kinawataka-Kireka'!H24,'01.08 Kinawataka-Kireka-24h'!H24,'03.08 Kinawataka-Kireka-24h'!H24,'04.08 Kinawataka-Kireka'!H24)</f>
        <v>0.14285714285714285</v>
      </c>
      <c r="I24" s="49">
        <f>AVERAGE('29.07 Kinawataka-Kireka'!I24,'30.07 Kinawataka-Kireka'!I24,'31.07 Kinawataka-Kireka'!I24,'02.08 Kinawataka-Kireka'!I24,'01.08 Kinawataka-Kireka-24h'!I24,'03.08 Kinawataka-Kireka-24h'!I24,'04.08 Kinawataka-Kireka'!I24)</f>
        <v>10.857142857142858</v>
      </c>
      <c r="J24" s="49">
        <f>AVERAGE('29.07 Kinawataka-Kireka'!J24,'30.07 Kinawataka-Kireka'!J24,'31.07 Kinawataka-Kireka'!J24,'02.08 Kinawataka-Kireka'!J24,'01.08 Kinawataka-Kireka-24h'!J24,'03.08 Kinawataka-Kireka-24h'!J24,'04.08 Kinawataka-Kireka'!J24)</f>
        <v>4.2857142857142856</v>
      </c>
      <c r="K24" s="49">
        <f>AVERAGE('29.07 Kinawataka-Kireka'!K24,'30.07 Kinawataka-Kireka'!K24,'31.07 Kinawataka-Kireka'!K24,'02.08 Kinawataka-Kireka'!K24,'01.08 Kinawataka-Kireka-24h'!K24,'03.08 Kinawataka-Kireka-24h'!K24,'04.08 Kinawataka-Kireka'!K24)</f>
        <v>3</v>
      </c>
      <c r="L24" s="49">
        <f>AVERAGE('29.07 Kinawataka-Kireka'!L24,'30.07 Kinawataka-Kireka'!L24,'31.07 Kinawataka-Kireka'!L24,'02.08 Kinawataka-Kireka'!L24,'01.08 Kinawataka-Kireka-24h'!L24,'03.08 Kinawataka-Kireka-24h'!L24,'04.08 Kinawataka-Kireka'!L24)</f>
        <v>7.7142857142857144</v>
      </c>
      <c r="M24" s="49">
        <f>AVERAGE('29.07 Kinawataka-Kireka'!M24,'30.07 Kinawataka-Kireka'!M24,'31.07 Kinawataka-Kireka'!M24,'02.08 Kinawataka-Kireka'!M24,'01.08 Kinawataka-Kireka-24h'!M24,'03.08 Kinawataka-Kireka-24h'!M24,'04.08 Kinawataka-Kireka'!M24)</f>
        <v>138.57142857142858</v>
      </c>
      <c r="N24" s="49">
        <f>AVERAGE('29.07 Kinawataka-Kireka'!N24,'30.07 Kinawataka-Kireka'!N24,'31.07 Kinawataka-Kireka'!N24,'02.08 Kinawataka-Kireka'!N24,'01.08 Kinawataka-Kireka-24h'!N24,'03.08 Kinawataka-Kireka-24h'!N24,'04.08 Kinawataka-Kireka'!N24)</f>
        <v>0</v>
      </c>
      <c r="O24" s="15">
        <f t="shared" si="0"/>
        <v>102.85714285714286</v>
      </c>
      <c r="P24" s="15">
        <f t="shared" si="1"/>
        <v>241.42857142857144</v>
      </c>
      <c r="R24" s="1" t="s">
        <v>148</v>
      </c>
      <c r="S24" s="34">
        <f>SUM(C66:C69)</f>
        <v>300.5</v>
      </c>
      <c r="T24" s="34">
        <f t="shared" ref="T24:AF24" si="16">SUM(D66:D69)</f>
        <v>34</v>
      </c>
      <c r="U24" s="34">
        <f t="shared" si="16"/>
        <v>28.5</v>
      </c>
      <c r="V24" s="34">
        <f t="shared" si="16"/>
        <v>60.5</v>
      </c>
      <c r="W24" s="34">
        <f t="shared" si="16"/>
        <v>12.5</v>
      </c>
      <c r="X24" s="34">
        <f t="shared" si="16"/>
        <v>0</v>
      </c>
      <c r="Y24" s="34">
        <f t="shared" si="16"/>
        <v>17.5</v>
      </c>
      <c r="Z24" s="34">
        <f t="shared" si="16"/>
        <v>6.5</v>
      </c>
      <c r="AA24" s="34">
        <f t="shared" si="16"/>
        <v>3.5</v>
      </c>
      <c r="AB24" s="34">
        <f t="shared" si="16"/>
        <v>4</v>
      </c>
      <c r="AC24" s="34">
        <f t="shared" si="16"/>
        <v>597.5</v>
      </c>
      <c r="AD24" s="34">
        <f t="shared" si="16"/>
        <v>0</v>
      </c>
      <c r="AE24" s="31">
        <f t="shared" si="16"/>
        <v>467.5</v>
      </c>
      <c r="AF24" s="31">
        <f t="shared" si="16"/>
        <v>1065</v>
      </c>
    </row>
    <row r="25" spans="2:32" ht="23.1" customHeight="1" x14ac:dyDescent="0.25">
      <c r="B25" s="23" t="s">
        <v>52</v>
      </c>
      <c r="C25" s="49">
        <f>AVERAGE('29.07 Kinawataka-Kireka'!C25,'30.07 Kinawataka-Kireka'!C25,'31.07 Kinawataka-Kireka'!C25,'02.08 Kinawataka-Kireka'!C25,'01.08 Kinawataka-Kireka-24h'!C25,'03.08 Kinawataka-Kireka-24h'!C25,'04.08 Kinawataka-Kireka'!C25)</f>
        <v>41.857142857142854</v>
      </c>
      <c r="D25" s="49">
        <f>AVERAGE('29.07 Kinawataka-Kireka'!D25,'30.07 Kinawataka-Kireka'!D25,'31.07 Kinawataka-Kireka'!D25,'02.08 Kinawataka-Kireka'!D25,'01.08 Kinawataka-Kireka-24h'!D25,'03.08 Kinawataka-Kireka-24h'!D25,'04.08 Kinawataka-Kireka'!D25)</f>
        <v>4.4285714285714288</v>
      </c>
      <c r="E25" s="49">
        <f>AVERAGE('29.07 Kinawataka-Kireka'!E25,'30.07 Kinawataka-Kireka'!E25,'31.07 Kinawataka-Kireka'!E25,'02.08 Kinawataka-Kireka'!E25,'01.08 Kinawataka-Kireka-24h'!E25,'03.08 Kinawataka-Kireka-24h'!E25,'04.08 Kinawataka-Kireka'!E25)</f>
        <v>5.5714285714285712</v>
      </c>
      <c r="F25" s="49">
        <f>AVERAGE('29.07 Kinawataka-Kireka'!F25,'30.07 Kinawataka-Kireka'!F25,'31.07 Kinawataka-Kireka'!F25,'02.08 Kinawataka-Kireka'!F25,'01.08 Kinawataka-Kireka-24h'!F25,'03.08 Kinawataka-Kireka-24h'!F25,'04.08 Kinawataka-Kireka'!F25)</f>
        <v>14</v>
      </c>
      <c r="G25" s="49">
        <f>AVERAGE('29.07 Kinawataka-Kireka'!G25,'30.07 Kinawataka-Kireka'!G25,'31.07 Kinawataka-Kireka'!G25,'02.08 Kinawataka-Kireka'!G25,'01.08 Kinawataka-Kireka-24h'!G25,'03.08 Kinawataka-Kireka-24h'!G25,'04.08 Kinawataka-Kireka'!G25)</f>
        <v>1.7142857142857142</v>
      </c>
      <c r="H25" s="49">
        <f>AVERAGE('29.07 Kinawataka-Kireka'!H25,'30.07 Kinawataka-Kireka'!H25,'31.07 Kinawataka-Kireka'!H25,'02.08 Kinawataka-Kireka'!H25,'01.08 Kinawataka-Kireka-24h'!H25,'03.08 Kinawataka-Kireka-24h'!H25,'04.08 Kinawataka-Kireka'!H25)</f>
        <v>0.14285714285714285</v>
      </c>
      <c r="I25" s="49">
        <f>AVERAGE('29.07 Kinawataka-Kireka'!I25,'30.07 Kinawataka-Kireka'!I25,'31.07 Kinawataka-Kireka'!I25,'02.08 Kinawataka-Kireka'!I25,'01.08 Kinawataka-Kireka-24h'!I25,'03.08 Kinawataka-Kireka-24h'!I25,'04.08 Kinawataka-Kireka'!I25)</f>
        <v>7.4285714285714288</v>
      </c>
      <c r="J25" s="49">
        <f>AVERAGE('29.07 Kinawataka-Kireka'!J25,'30.07 Kinawataka-Kireka'!J25,'31.07 Kinawataka-Kireka'!J25,'02.08 Kinawataka-Kireka'!J25,'01.08 Kinawataka-Kireka-24h'!J25,'03.08 Kinawataka-Kireka-24h'!J25,'04.08 Kinawataka-Kireka'!J25)</f>
        <v>3.7142857142857144</v>
      </c>
      <c r="K25" s="49">
        <f>AVERAGE('29.07 Kinawataka-Kireka'!K25,'30.07 Kinawataka-Kireka'!K25,'31.07 Kinawataka-Kireka'!K25,'02.08 Kinawataka-Kireka'!K25,'01.08 Kinawataka-Kireka-24h'!K25,'03.08 Kinawataka-Kireka-24h'!K25,'04.08 Kinawataka-Kireka'!K25)</f>
        <v>2.2857142857142856</v>
      </c>
      <c r="L25" s="49">
        <f>AVERAGE('29.07 Kinawataka-Kireka'!L25,'30.07 Kinawataka-Kireka'!L25,'31.07 Kinawataka-Kireka'!L25,'02.08 Kinawataka-Kireka'!L25,'01.08 Kinawataka-Kireka-24h'!L25,'03.08 Kinawataka-Kireka-24h'!L25,'04.08 Kinawataka-Kireka'!L25)</f>
        <v>6</v>
      </c>
      <c r="M25" s="49">
        <f>AVERAGE('29.07 Kinawataka-Kireka'!M25,'30.07 Kinawataka-Kireka'!M25,'31.07 Kinawataka-Kireka'!M25,'02.08 Kinawataka-Kireka'!M25,'01.08 Kinawataka-Kireka-24h'!M25,'03.08 Kinawataka-Kireka-24h'!M25,'04.08 Kinawataka-Kireka'!M25)</f>
        <v>119</v>
      </c>
      <c r="N25" s="49">
        <f>AVERAGE('29.07 Kinawataka-Kireka'!N25,'30.07 Kinawataka-Kireka'!N25,'31.07 Kinawataka-Kireka'!N25,'02.08 Kinawataka-Kireka'!N25,'01.08 Kinawataka-Kireka-24h'!N25,'03.08 Kinawataka-Kireka-24h'!N25,'04.08 Kinawataka-Kireka'!N25)</f>
        <v>0</v>
      </c>
      <c r="O25" s="15">
        <f t="shared" si="0"/>
        <v>87.142857142857139</v>
      </c>
      <c r="P25" s="15">
        <f t="shared" si="1"/>
        <v>206.14285714285714</v>
      </c>
      <c r="R25" s="1" t="s">
        <v>149</v>
      </c>
      <c r="S25" s="34">
        <f>SUM(C70:C73)</f>
        <v>324.5</v>
      </c>
      <c r="T25" s="34">
        <f t="shared" ref="T25:AF25" si="17">SUM(D70:D73)</f>
        <v>22</v>
      </c>
      <c r="U25" s="34">
        <f t="shared" si="17"/>
        <v>28</v>
      </c>
      <c r="V25" s="34">
        <f t="shared" si="17"/>
        <v>49.5</v>
      </c>
      <c r="W25" s="34">
        <f t="shared" si="17"/>
        <v>6.5</v>
      </c>
      <c r="X25" s="34">
        <f t="shared" si="17"/>
        <v>0.5</v>
      </c>
      <c r="Y25" s="34">
        <f t="shared" si="17"/>
        <v>11.5</v>
      </c>
      <c r="Z25" s="34">
        <f t="shared" si="17"/>
        <v>8.5</v>
      </c>
      <c r="AA25" s="34">
        <f t="shared" si="17"/>
        <v>4.5</v>
      </c>
      <c r="AB25" s="34">
        <f t="shared" si="17"/>
        <v>2.5</v>
      </c>
      <c r="AC25" s="34">
        <f t="shared" si="17"/>
        <v>560.5</v>
      </c>
      <c r="AD25" s="34">
        <f t="shared" si="17"/>
        <v>0</v>
      </c>
      <c r="AE25" s="31">
        <f t="shared" si="17"/>
        <v>458</v>
      </c>
      <c r="AF25" s="31">
        <f t="shared" si="17"/>
        <v>1018.5</v>
      </c>
    </row>
    <row r="26" spans="2:32" ht="23.1" customHeight="1" x14ac:dyDescent="0.25">
      <c r="B26" s="23" t="s">
        <v>53</v>
      </c>
      <c r="C26" s="49">
        <f>AVERAGE('29.07 Kinawataka-Kireka'!C26,'30.07 Kinawataka-Kireka'!C26,'31.07 Kinawataka-Kireka'!C26,'02.08 Kinawataka-Kireka'!C26,'01.08 Kinawataka-Kireka-24h'!C26,'03.08 Kinawataka-Kireka-24h'!C26,'04.08 Kinawataka-Kireka'!C26)</f>
        <v>33</v>
      </c>
      <c r="D26" s="49">
        <f>AVERAGE('29.07 Kinawataka-Kireka'!D26,'30.07 Kinawataka-Kireka'!D26,'31.07 Kinawataka-Kireka'!D26,'02.08 Kinawataka-Kireka'!D26,'01.08 Kinawataka-Kireka-24h'!D26,'03.08 Kinawataka-Kireka-24h'!D26,'04.08 Kinawataka-Kireka'!D26)</f>
        <v>4.8571428571428568</v>
      </c>
      <c r="E26" s="49">
        <f>AVERAGE('29.07 Kinawataka-Kireka'!E26,'30.07 Kinawataka-Kireka'!E26,'31.07 Kinawataka-Kireka'!E26,'02.08 Kinawataka-Kireka'!E26,'01.08 Kinawataka-Kireka-24h'!E26,'03.08 Kinawataka-Kireka-24h'!E26,'04.08 Kinawataka-Kireka'!E26)</f>
        <v>5</v>
      </c>
      <c r="F26" s="49">
        <f>AVERAGE('29.07 Kinawataka-Kireka'!F26,'30.07 Kinawataka-Kireka'!F26,'31.07 Kinawataka-Kireka'!F26,'02.08 Kinawataka-Kireka'!F26,'01.08 Kinawataka-Kireka-24h'!F26,'03.08 Kinawataka-Kireka-24h'!F26,'04.08 Kinawataka-Kireka'!F26)</f>
        <v>16.142857142857142</v>
      </c>
      <c r="G26" s="49">
        <f>AVERAGE('29.07 Kinawataka-Kireka'!G26,'30.07 Kinawataka-Kireka'!G26,'31.07 Kinawataka-Kireka'!G26,'02.08 Kinawataka-Kireka'!G26,'01.08 Kinawataka-Kireka-24h'!G26,'03.08 Kinawataka-Kireka-24h'!G26,'04.08 Kinawataka-Kireka'!G26)</f>
        <v>2</v>
      </c>
      <c r="H26" s="49">
        <f>AVERAGE('29.07 Kinawataka-Kireka'!H26,'30.07 Kinawataka-Kireka'!H26,'31.07 Kinawataka-Kireka'!H26,'02.08 Kinawataka-Kireka'!H26,'01.08 Kinawataka-Kireka-24h'!H26,'03.08 Kinawataka-Kireka-24h'!H26,'04.08 Kinawataka-Kireka'!H26)</f>
        <v>0</v>
      </c>
      <c r="I26" s="49">
        <f>AVERAGE('29.07 Kinawataka-Kireka'!I26,'30.07 Kinawataka-Kireka'!I26,'31.07 Kinawataka-Kireka'!I26,'02.08 Kinawataka-Kireka'!I26,'01.08 Kinawataka-Kireka-24h'!I26,'03.08 Kinawataka-Kireka-24h'!I26,'04.08 Kinawataka-Kireka'!I26)</f>
        <v>9.1428571428571423</v>
      </c>
      <c r="J26" s="49">
        <f>AVERAGE('29.07 Kinawataka-Kireka'!J26,'30.07 Kinawataka-Kireka'!J26,'31.07 Kinawataka-Kireka'!J26,'02.08 Kinawataka-Kireka'!J26,'01.08 Kinawataka-Kireka-24h'!J26,'03.08 Kinawataka-Kireka-24h'!J26,'04.08 Kinawataka-Kireka'!J26)</f>
        <v>5</v>
      </c>
      <c r="K26" s="49">
        <f>AVERAGE('29.07 Kinawataka-Kireka'!K26,'30.07 Kinawataka-Kireka'!K26,'31.07 Kinawataka-Kireka'!K26,'02.08 Kinawataka-Kireka'!K26,'01.08 Kinawataka-Kireka-24h'!K26,'03.08 Kinawataka-Kireka-24h'!K26,'04.08 Kinawataka-Kireka'!K26)</f>
        <v>5.7142857142857144</v>
      </c>
      <c r="L26" s="49">
        <f>AVERAGE('29.07 Kinawataka-Kireka'!L26,'30.07 Kinawataka-Kireka'!L26,'31.07 Kinawataka-Kireka'!L26,'02.08 Kinawataka-Kireka'!L26,'01.08 Kinawataka-Kireka-24h'!L26,'03.08 Kinawataka-Kireka-24h'!L26,'04.08 Kinawataka-Kireka'!L26)</f>
        <v>2.4285714285714284</v>
      </c>
      <c r="M26" s="49">
        <f>AVERAGE('29.07 Kinawataka-Kireka'!M26,'30.07 Kinawataka-Kireka'!M26,'31.07 Kinawataka-Kireka'!M26,'02.08 Kinawataka-Kireka'!M26,'01.08 Kinawataka-Kireka-24h'!M26,'03.08 Kinawataka-Kireka-24h'!M26,'04.08 Kinawataka-Kireka'!M26)</f>
        <v>109.85714285714286</v>
      </c>
      <c r="N26" s="49">
        <f>AVERAGE('29.07 Kinawataka-Kireka'!N26,'30.07 Kinawataka-Kireka'!N26,'31.07 Kinawataka-Kireka'!N26,'02.08 Kinawataka-Kireka'!N26,'01.08 Kinawataka-Kireka-24h'!N26,'03.08 Kinawataka-Kireka-24h'!N26,'04.08 Kinawataka-Kireka'!N26)</f>
        <v>0.14285714285714285</v>
      </c>
      <c r="O26" s="15">
        <f t="shared" si="0"/>
        <v>83.428571428571416</v>
      </c>
      <c r="P26" s="15">
        <f t="shared" si="1"/>
        <v>193.28571428571428</v>
      </c>
      <c r="R26" s="1" t="s">
        <v>150</v>
      </c>
      <c r="S26" s="34">
        <f>SUM(C74:C77)</f>
        <v>167</v>
      </c>
      <c r="T26" s="34">
        <f t="shared" ref="T26:AF26" si="18">SUM(D74:D77)</f>
        <v>17.5</v>
      </c>
      <c r="U26" s="34">
        <f t="shared" si="18"/>
        <v>10.5</v>
      </c>
      <c r="V26" s="34">
        <f t="shared" si="18"/>
        <v>22.5</v>
      </c>
      <c r="W26" s="34">
        <f t="shared" si="18"/>
        <v>2</v>
      </c>
      <c r="X26" s="34">
        <f t="shared" si="18"/>
        <v>0</v>
      </c>
      <c r="Y26" s="34">
        <f t="shared" si="18"/>
        <v>7</v>
      </c>
      <c r="Z26" s="34">
        <f t="shared" si="18"/>
        <v>7</v>
      </c>
      <c r="AA26" s="34">
        <f t="shared" si="18"/>
        <v>1</v>
      </c>
      <c r="AB26" s="34">
        <f t="shared" si="18"/>
        <v>0</v>
      </c>
      <c r="AC26" s="34">
        <f t="shared" si="18"/>
        <v>391.5</v>
      </c>
      <c r="AD26" s="34">
        <f t="shared" si="18"/>
        <v>0</v>
      </c>
      <c r="AE26" s="31">
        <f t="shared" si="18"/>
        <v>234.5</v>
      </c>
      <c r="AF26" s="31">
        <f t="shared" si="18"/>
        <v>626</v>
      </c>
    </row>
    <row r="27" spans="2:32" ht="23.1" customHeight="1" x14ac:dyDescent="0.25">
      <c r="B27" s="23" t="s">
        <v>54</v>
      </c>
      <c r="C27" s="49">
        <f>AVERAGE('29.07 Kinawataka-Kireka'!C27,'30.07 Kinawataka-Kireka'!C27,'31.07 Kinawataka-Kireka'!C27,'02.08 Kinawataka-Kireka'!C27,'01.08 Kinawataka-Kireka-24h'!C27,'03.08 Kinawataka-Kireka-24h'!C27,'04.08 Kinawataka-Kireka'!C27)</f>
        <v>37</v>
      </c>
      <c r="D27" s="49">
        <f>AVERAGE('29.07 Kinawataka-Kireka'!D27,'30.07 Kinawataka-Kireka'!D27,'31.07 Kinawataka-Kireka'!D27,'02.08 Kinawataka-Kireka'!D27,'01.08 Kinawataka-Kireka-24h'!D27,'03.08 Kinawataka-Kireka-24h'!D27,'04.08 Kinawataka-Kireka'!D27)</f>
        <v>5.5714285714285712</v>
      </c>
      <c r="E27" s="49">
        <f>AVERAGE('29.07 Kinawataka-Kireka'!E27,'30.07 Kinawataka-Kireka'!E27,'31.07 Kinawataka-Kireka'!E27,'02.08 Kinawataka-Kireka'!E27,'01.08 Kinawataka-Kireka-24h'!E27,'03.08 Kinawataka-Kireka-24h'!E27,'04.08 Kinawataka-Kireka'!E27)</f>
        <v>9.4285714285714288</v>
      </c>
      <c r="F27" s="49">
        <f>AVERAGE('29.07 Kinawataka-Kireka'!F27,'30.07 Kinawataka-Kireka'!F27,'31.07 Kinawataka-Kireka'!F27,'02.08 Kinawataka-Kireka'!F27,'01.08 Kinawataka-Kireka-24h'!F27,'03.08 Kinawataka-Kireka-24h'!F27,'04.08 Kinawataka-Kireka'!F27)</f>
        <v>14.714285714285714</v>
      </c>
      <c r="G27" s="49">
        <f>AVERAGE('29.07 Kinawataka-Kireka'!G27,'30.07 Kinawataka-Kireka'!G27,'31.07 Kinawataka-Kireka'!G27,'02.08 Kinawataka-Kireka'!G27,'01.08 Kinawataka-Kireka-24h'!G27,'03.08 Kinawataka-Kireka-24h'!G27,'04.08 Kinawataka-Kireka'!G27)</f>
        <v>1</v>
      </c>
      <c r="H27" s="49">
        <f>AVERAGE('29.07 Kinawataka-Kireka'!H27,'30.07 Kinawataka-Kireka'!H27,'31.07 Kinawataka-Kireka'!H27,'02.08 Kinawataka-Kireka'!H27,'01.08 Kinawataka-Kireka-24h'!H27,'03.08 Kinawataka-Kireka-24h'!H27,'04.08 Kinawataka-Kireka'!H27)</f>
        <v>0</v>
      </c>
      <c r="I27" s="49">
        <f>AVERAGE('29.07 Kinawataka-Kireka'!I27,'30.07 Kinawataka-Kireka'!I27,'31.07 Kinawataka-Kireka'!I27,'02.08 Kinawataka-Kireka'!I27,'01.08 Kinawataka-Kireka-24h'!I27,'03.08 Kinawataka-Kireka-24h'!I27,'04.08 Kinawataka-Kireka'!I27)</f>
        <v>7.5714285714285712</v>
      </c>
      <c r="J27" s="49">
        <f>AVERAGE('29.07 Kinawataka-Kireka'!J27,'30.07 Kinawataka-Kireka'!J27,'31.07 Kinawataka-Kireka'!J27,'02.08 Kinawataka-Kireka'!J27,'01.08 Kinawataka-Kireka-24h'!J27,'03.08 Kinawataka-Kireka-24h'!J27,'04.08 Kinawataka-Kireka'!J27)</f>
        <v>4.1428571428571432</v>
      </c>
      <c r="K27" s="49">
        <f>AVERAGE('29.07 Kinawataka-Kireka'!K27,'30.07 Kinawataka-Kireka'!K27,'31.07 Kinawataka-Kireka'!K27,'02.08 Kinawataka-Kireka'!K27,'01.08 Kinawataka-Kireka-24h'!K27,'03.08 Kinawataka-Kireka-24h'!K27,'04.08 Kinawataka-Kireka'!K27)</f>
        <v>3</v>
      </c>
      <c r="L27" s="49">
        <f>AVERAGE('29.07 Kinawataka-Kireka'!L27,'30.07 Kinawataka-Kireka'!L27,'31.07 Kinawataka-Kireka'!L27,'02.08 Kinawataka-Kireka'!L27,'01.08 Kinawataka-Kireka-24h'!L27,'03.08 Kinawataka-Kireka-24h'!L27,'04.08 Kinawataka-Kireka'!L27)</f>
        <v>4</v>
      </c>
      <c r="M27" s="49">
        <f>AVERAGE('29.07 Kinawataka-Kireka'!M27,'30.07 Kinawataka-Kireka'!M27,'31.07 Kinawataka-Kireka'!M27,'02.08 Kinawataka-Kireka'!M27,'01.08 Kinawataka-Kireka-24h'!M27,'03.08 Kinawataka-Kireka-24h'!M27,'04.08 Kinawataka-Kireka'!M27)</f>
        <v>113.57142857142857</v>
      </c>
      <c r="N27" s="49">
        <f>AVERAGE('29.07 Kinawataka-Kireka'!N27,'30.07 Kinawataka-Kireka'!N27,'31.07 Kinawataka-Kireka'!N27,'02.08 Kinawataka-Kireka'!N27,'01.08 Kinawataka-Kireka-24h'!N27,'03.08 Kinawataka-Kireka-24h'!N27,'04.08 Kinawataka-Kireka'!N27)</f>
        <v>0</v>
      </c>
      <c r="O27" s="15">
        <f t="shared" si="0"/>
        <v>86.428571428571416</v>
      </c>
      <c r="P27" s="15">
        <f t="shared" si="1"/>
        <v>200</v>
      </c>
      <c r="R27" s="1" t="s">
        <v>151</v>
      </c>
      <c r="S27" s="34">
        <f>SUM(C78:C81)</f>
        <v>66.5</v>
      </c>
      <c r="T27" s="34">
        <f t="shared" ref="T27:AF27" si="19">SUM(D78:D81)</f>
        <v>5.5</v>
      </c>
      <c r="U27" s="34">
        <f t="shared" si="19"/>
        <v>6.5</v>
      </c>
      <c r="V27" s="34">
        <f t="shared" si="19"/>
        <v>13.5</v>
      </c>
      <c r="W27" s="34">
        <f t="shared" si="19"/>
        <v>0</v>
      </c>
      <c r="X27" s="34">
        <f t="shared" si="19"/>
        <v>0</v>
      </c>
      <c r="Y27" s="34">
        <f t="shared" si="19"/>
        <v>4.5</v>
      </c>
      <c r="Z27" s="34">
        <f t="shared" si="19"/>
        <v>0.5</v>
      </c>
      <c r="AA27" s="34">
        <f t="shared" si="19"/>
        <v>0</v>
      </c>
      <c r="AB27" s="34">
        <f t="shared" si="19"/>
        <v>2</v>
      </c>
      <c r="AC27" s="34">
        <f t="shared" si="19"/>
        <v>192.5</v>
      </c>
      <c r="AD27" s="34">
        <f t="shared" si="19"/>
        <v>0</v>
      </c>
      <c r="AE27" s="31">
        <f t="shared" si="19"/>
        <v>99</v>
      </c>
      <c r="AF27" s="31">
        <f t="shared" si="19"/>
        <v>291.5</v>
      </c>
    </row>
    <row r="28" spans="2:32" ht="23.1" customHeight="1" x14ac:dyDescent="0.25">
      <c r="B28" s="23" t="s">
        <v>55</v>
      </c>
      <c r="C28" s="49">
        <f>AVERAGE('29.07 Kinawataka-Kireka'!C28,'30.07 Kinawataka-Kireka'!C28,'31.07 Kinawataka-Kireka'!C28,'02.08 Kinawataka-Kireka'!C28,'01.08 Kinawataka-Kireka-24h'!C28,'03.08 Kinawataka-Kireka-24h'!C28,'04.08 Kinawataka-Kireka'!C28)</f>
        <v>52.142857142857146</v>
      </c>
      <c r="D28" s="49">
        <f>AVERAGE('29.07 Kinawataka-Kireka'!D28,'30.07 Kinawataka-Kireka'!D28,'31.07 Kinawataka-Kireka'!D28,'02.08 Kinawataka-Kireka'!D28,'01.08 Kinawataka-Kireka-24h'!D28,'03.08 Kinawataka-Kireka-24h'!D28,'04.08 Kinawataka-Kireka'!D28)</f>
        <v>3.5714285714285716</v>
      </c>
      <c r="E28" s="49">
        <f>AVERAGE('29.07 Kinawataka-Kireka'!E28,'30.07 Kinawataka-Kireka'!E28,'31.07 Kinawataka-Kireka'!E28,'02.08 Kinawataka-Kireka'!E28,'01.08 Kinawataka-Kireka-24h'!E28,'03.08 Kinawataka-Kireka-24h'!E28,'04.08 Kinawataka-Kireka'!E28)</f>
        <v>4.7142857142857144</v>
      </c>
      <c r="F28" s="49">
        <f>AVERAGE('29.07 Kinawataka-Kireka'!F28,'30.07 Kinawataka-Kireka'!F28,'31.07 Kinawataka-Kireka'!F28,'02.08 Kinawataka-Kireka'!F28,'01.08 Kinawataka-Kireka-24h'!F28,'03.08 Kinawataka-Kireka-24h'!F28,'04.08 Kinawataka-Kireka'!F28)</f>
        <v>14.571428571428571</v>
      </c>
      <c r="G28" s="49">
        <f>AVERAGE('29.07 Kinawataka-Kireka'!G28,'30.07 Kinawataka-Kireka'!G28,'31.07 Kinawataka-Kireka'!G28,'02.08 Kinawataka-Kireka'!G28,'01.08 Kinawataka-Kireka-24h'!G28,'03.08 Kinawataka-Kireka-24h'!G28,'04.08 Kinawataka-Kireka'!G28)</f>
        <v>2.1428571428571428</v>
      </c>
      <c r="H28" s="49">
        <f>AVERAGE('29.07 Kinawataka-Kireka'!H28,'30.07 Kinawataka-Kireka'!H28,'31.07 Kinawataka-Kireka'!H28,'02.08 Kinawataka-Kireka'!H28,'01.08 Kinawataka-Kireka-24h'!H28,'03.08 Kinawataka-Kireka-24h'!H28,'04.08 Kinawataka-Kireka'!H28)</f>
        <v>0</v>
      </c>
      <c r="I28" s="49">
        <f>AVERAGE('29.07 Kinawataka-Kireka'!I28,'30.07 Kinawataka-Kireka'!I28,'31.07 Kinawataka-Kireka'!I28,'02.08 Kinawataka-Kireka'!I28,'01.08 Kinawataka-Kireka-24h'!I28,'03.08 Kinawataka-Kireka-24h'!I28,'04.08 Kinawataka-Kireka'!I28)</f>
        <v>10.571428571428571</v>
      </c>
      <c r="J28" s="49">
        <f>AVERAGE('29.07 Kinawataka-Kireka'!J28,'30.07 Kinawataka-Kireka'!J28,'31.07 Kinawataka-Kireka'!J28,'02.08 Kinawataka-Kireka'!J28,'01.08 Kinawataka-Kireka-24h'!J28,'03.08 Kinawataka-Kireka-24h'!J28,'04.08 Kinawataka-Kireka'!J28)</f>
        <v>3.8571428571428572</v>
      </c>
      <c r="K28" s="49">
        <f>AVERAGE('29.07 Kinawataka-Kireka'!K28,'30.07 Kinawataka-Kireka'!K28,'31.07 Kinawataka-Kireka'!K28,'02.08 Kinawataka-Kireka'!K28,'01.08 Kinawataka-Kireka-24h'!K28,'03.08 Kinawataka-Kireka-24h'!K28,'04.08 Kinawataka-Kireka'!K28)</f>
        <v>1.5714285714285714</v>
      </c>
      <c r="L28" s="49">
        <f>AVERAGE('29.07 Kinawataka-Kireka'!L28,'30.07 Kinawataka-Kireka'!L28,'31.07 Kinawataka-Kireka'!L28,'02.08 Kinawataka-Kireka'!L28,'01.08 Kinawataka-Kireka-24h'!L28,'03.08 Kinawataka-Kireka-24h'!L28,'04.08 Kinawataka-Kireka'!L28)</f>
        <v>2.4285714285714284</v>
      </c>
      <c r="M28" s="49">
        <f>AVERAGE('29.07 Kinawataka-Kireka'!M28,'30.07 Kinawataka-Kireka'!M28,'31.07 Kinawataka-Kireka'!M28,'02.08 Kinawataka-Kireka'!M28,'01.08 Kinawataka-Kireka-24h'!M28,'03.08 Kinawataka-Kireka-24h'!M28,'04.08 Kinawataka-Kireka'!M28)</f>
        <v>114</v>
      </c>
      <c r="N28" s="49">
        <f>AVERAGE('29.07 Kinawataka-Kireka'!N28,'30.07 Kinawataka-Kireka'!N28,'31.07 Kinawataka-Kireka'!N28,'02.08 Kinawataka-Kireka'!N28,'01.08 Kinawataka-Kireka-24h'!N28,'03.08 Kinawataka-Kireka-24h'!N28,'04.08 Kinawataka-Kireka'!N28)</f>
        <v>0.14285714285714285</v>
      </c>
      <c r="O28" s="15">
        <f t="shared" si="0"/>
        <v>95.714285714285708</v>
      </c>
      <c r="P28" s="15">
        <f t="shared" si="1"/>
        <v>209.71428571428569</v>
      </c>
      <c r="R28" s="1" t="s">
        <v>152</v>
      </c>
      <c r="S28" s="34">
        <f>SUM(C82:C85)</f>
        <v>56</v>
      </c>
      <c r="T28" s="34">
        <f t="shared" ref="T28:AF28" si="20">SUM(D82:D85)</f>
        <v>2.5</v>
      </c>
      <c r="U28" s="34">
        <f t="shared" si="20"/>
        <v>3.5</v>
      </c>
      <c r="V28" s="34">
        <f t="shared" si="20"/>
        <v>5</v>
      </c>
      <c r="W28" s="34">
        <f t="shared" si="20"/>
        <v>0</v>
      </c>
      <c r="X28" s="34">
        <f t="shared" si="20"/>
        <v>0</v>
      </c>
      <c r="Y28" s="34">
        <f t="shared" si="20"/>
        <v>1.5</v>
      </c>
      <c r="Z28" s="34">
        <f t="shared" si="20"/>
        <v>2.5</v>
      </c>
      <c r="AA28" s="34">
        <f t="shared" si="20"/>
        <v>1</v>
      </c>
      <c r="AB28" s="34">
        <f t="shared" si="20"/>
        <v>1</v>
      </c>
      <c r="AC28" s="34">
        <f t="shared" si="20"/>
        <v>121.5</v>
      </c>
      <c r="AD28" s="34">
        <f t="shared" si="20"/>
        <v>0</v>
      </c>
      <c r="AE28" s="31">
        <f t="shared" si="20"/>
        <v>73</v>
      </c>
      <c r="AF28" s="31">
        <f t="shared" si="20"/>
        <v>194.5</v>
      </c>
    </row>
    <row r="29" spans="2:32" ht="23.1" customHeight="1" x14ac:dyDescent="0.25">
      <c r="B29" s="23" t="s">
        <v>56</v>
      </c>
      <c r="C29" s="49">
        <f>AVERAGE('29.07 Kinawataka-Kireka'!C29,'30.07 Kinawataka-Kireka'!C29,'31.07 Kinawataka-Kireka'!C29,'02.08 Kinawataka-Kireka'!C29,'01.08 Kinawataka-Kireka-24h'!C29,'03.08 Kinawataka-Kireka-24h'!C29,'04.08 Kinawataka-Kireka'!C29)</f>
        <v>39.428571428571431</v>
      </c>
      <c r="D29" s="49">
        <f>AVERAGE('29.07 Kinawataka-Kireka'!D29,'30.07 Kinawataka-Kireka'!D29,'31.07 Kinawataka-Kireka'!D29,'02.08 Kinawataka-Kireka'!D29,'01.08 Kinawataka-Kireka-24h'!D29,'03.08 Kinawataka-Kireka-24h'!D29,'04.08 Kinawataka-Kireka'!D29)</f>
        <v>5.4285714285714288</v>
      </c>
      <c r="E29" s="49">
        <f>AVERAGE('29.07 Kinawataka-Kireka'!E29,'30.07 Kinawataka-Kireka'!E29,'31.07 Kinawataka-Kireka'!E29,'02.08 Kinawataka-Kireka'!E29,'01.08 Kinawataka-Kireka-24h'!E29,'03.08 Kinawataka-Kireka-24h'!E29,'04.08 Kinawataka-Kireka'!E29)</f>
        <v>7</v>
      </c>
      <c r="F29" s="49">
        <f>AVERAGE('29.07 Kinawataka-Kireka'!F29,'30.07 Kinawataka-Kireka'!F29,'31.07 Kinawataka-Kireka'!F29,'02.08 Kinawataka-Kireka'!F29,'01.08 Kinawataka-Kireka-24h'!F29,'03.08 Kinawataka-Kireka-24h'!F29,'04.08 Kinawataka-Kireka'!F29)</f>
        <v>12.857142857142858</v>
      </c>
      <c r="G29" s="49">
        <f>AVERAGE('29.07 Kinawataka-Kireka'!G29,'30.07 Kinawataka-Kireka'!G29,'31.07 Kinawataka-Kireka'!G29,'02.08 Kinawataka-Kireka'!G29,'01.08 Kinawataka-Kireka-24h'!G29,'03.08 Kinawataka-Kireka-24h'!G29,'04.08 Kinawataka-Kireka'!G29)</f>
        <v>1.2857142857142858</v>
      </c>
      <c r="H29" s="49">
        <f>AVERAGE('29.07 Kinawataka-Kireka'!H29,'30.07 Kinawataka-Kireka'!H29,'31.07 Kinawataka-Kireka'!H29,'02.08 Kinawataka-Kireka'!H29,'01.08 Kinawataka-Kireka-24h'!H29,'03.08 Kinawataka-Kireka-24h'!H29,'04.08 Kinawataka-Kireka'!H29)</f>
        <v>0.14285714285714285</v>
      </c>
      <c r="I29" s="49">
        <f>AVERAGE('29.07 Kinawataka-Kireka'!I29,'30.07 Kinawataka-Kireka'!I29,'31.07 Kinawataka-Kireka'!I29,'02.08 Kinawataka-Kireka'!I29,'01.08 Kinawataka-Kireka-24h'!I29,'03.08 Kinawataka-Kireka-24h'!I29,'04.08 Kinawataka-Kireka'!I29)</f>
        <v>9.2857142857142865</v>
      </c>
      <c r="J29" s="49">
        <f>AVERAGE('29.07 Kinawataka-Kireka'!J29,'30.07 Kinawataka-Kireka'!J29,'31.07 Kinawataka-Kireka'!J29,'02.08 Kinawataka-Kireka'!J29,'01.08 Kinawataka-Kireka-24h'!J29,'03.08 Kinawataka-Kireka-24h'!J29,'04.08 Kinawataka-Kireka'!J29)</f>
        <v>6.4285714285714288</v>
      </c>
      <c r="K29" s="49">
        <f>AVERAGE('29.07 Kinawataka-Kireka'!K29,'30.07 Kinawataka-Kireka'!K29,'31.07 Kinawataka-Kireka'!K29,'02.08 Kinawataka-Kireka'!K29,'01.08 Kinawataka-Kireka-24h'!K29,'03.08 Kinawataka-Kireka-24h'!K29,'04.08 Kinawataka-Kireka'!K29)</f>
        <v>2.1428571428571428</v>
      </c>
      <c r="L29" s="49">
        <f>AVERAGE('29.07 Kinawataka-Kireka'!L29,'30.07 Kinawataka-Kireka'!L29,'31.07 Kinawataka-Kireka'!L29,'02.08 Kinawataka-Kireka'!L29,'01.08 Kinawataka-Kireka-24h'!L29,'03.08 Kinawataka-Kireka-24h'!L29,'04.08 Kinawataka-Kireka'!L29)</f>
        <v>4.4285714285714288</v>
      </c>
      <c r="M29" s="49">
        <f>AVERAGE('29.07 Kinawataka-Kireka'!M29,'30.07 Kinawataka-Kireka'!M29,'31.07 Kinawataka-Kireka'!M29,'02.08 Kinawataka-Kireka'!M29,'01.08 Kinawataka-Kireka-24h'!M29,'03.08 Kinawataka-Kireka-24h'!M29,'04.08 Kinawataka-Kireka'!M29)</f>
        <v>105.71428571428571</v>
      </c>
      <c r="N29" s="49">
        <f>AVERAGE('29.07 Kinawataka-Kireka'!N29,'30.07 Kinawataka-Kireka'!N29,'31.07 Kinawataka-Kireka'!N29,'02.08 Kinawataka-Kireka'!N29,'01.08 Kinawataka-Kireka-24h'!N29,'03.08 Kinawataka-Kireka-24h'!N29,'04.08 Kinawataka-Kireka'!N29)</f>
        <v>0</v>
      </c>
      <c r="O29" s="15">
        <f t="shared" si="0"/>
        <v>88.428571428571445</v>
      </c>
      <c r="P29" s="15">
        <f t="shared" si="1"/>
        <v>194.14285714285717</v>
      </c>
      <c r="R29" s="1" t="s">
        <v>153</v>
      </c>
      <c r="S29" s="34">
        <f>SUM(C86:C89)</f>
        <v>31.5</v>
      </c>
      <c r="T29" s="34">
        <f t="shared" ref="T29:AF29" si="21">SUM(D86:D89)</f>
        <v>4.5</v>
      </c>
      <c r="U29" s="34">
        <f t="shared" si="21"/>
        <v>1</v>
      </c>
      <c r="V29" s="34">
        <f t="shared" si="21"/>
        <v>6</v>
      </c>
      <c r="W29" s="34">
        <f t="shared" si="21"/>
        <v>0</v>
      </c>
      <c r="X29" s="34">
        <f t="shared" si="21"/>
        <v>0</v>
      </c>
      <c r="Y29" s="34">
        <f t="shared" si="21"/>
        <v>2.5</v>
      </c>
      <c r="Z29" s="34">
        <f t="shared" si="21"/>
        <v>3</v>
      </c>
      <c r="AA29" s="34">
        <f t="shared" si="21"/>
        <v>1</v>
      </c>
      <c r="AB29" s="34">
        <f t="shared" si="21"/>
        <v>4</v>
      </c>
      <c r="AC29" s="34">
        <f t="shared" si="21"/>
        <v>64.5</v>
      </c>
      <c r="AD29" s="34">
        <f t="shared" si="21"/>
        <v>0</v>
      </c>
      <c r="AE29" s="31">
        <f t="shared" si="21"/>
        <v>53.5</v>
      </c>
      <c r="AF29" s="31">
        <f t="shared" si="21"/>
        <v>118</v>
      </c>
    </row>
    <row r="30" spans="2:32" ht="23.1" customHeight="1" x14ac:dyDescent="0.25">
      <c r="B30" s="23" t="s">
        <v>57</v>
      </c>
      <c r="C30" s="49">
        <f>AVERAGE('29.07 Kinawataka-Kireka'!C30,'30.07 Kinawataka-Kireka'!C30,'31.07 Kinawataka-Kireka'!C30,'02.08 Kinawataka-Kireka'!C30,'01.08 Kinawataka-Kireka-24h'!C30,'03.08 Kinawataka-Kireka-24h'!C30,'04.08 Kinawataka-Kireka'!C30)</f>
        <v>32.571428571428569</v>
      </c>
      <c r="D30" s="49">
        <f>AVERAGE('29.07 Kinawataka-Kireka'!D30,'30.07 Kinawataka-Kireka'!D30,'31.07 Kinawataka-Kireka'!D30,'02.08 Kinawataka-Kireka'!D30,'01.08 Kinawataka-Kireka-24h'!D30,'03.08 Kinawataka-Kireka-24h'!D30,'04.08 Kinawataka-Kireka'!D30)</f>
        <v>3.8571428571428572</v>
      </c>
      <c r="E30" s="49">
        <f>AVERAGE('29.07 Kinawataka-Kireka'!E30,'30.07 Kinawataka-Kireka'!E30,'31.07 Kinawataka-Kireka'!E30,'02.08 Kinawataka-Kireka'!E30,'01.08 Kinawataka-Kireka-24h'!E30,'03.08 Kinawataka-Kireka-24h'!E30,'04.08 Kinawataka-Kireka'!E30)</f>
        <v>4.5714285714285712</v>
      </c>
      <c r="F30" s="49">
        <f>AVERAGE('29.07 Kinawataka-Kireka'!F30,'30.07 Kinawataka-Kireka'!F30,'31.07 Kinawataka-Kireka'!F30,'02.08 Kinawataka-Kireka'!F30,'01.08 Kinawataka-Kireka-24h'!F30,'03.08 Kinawataka-Kireka-24h'!F30,'04.08 Kinawataka-Kireka'!F30)</f>
        <v>13.285714285714286</v>
      </c>
      <c r="G30" s="49">
        <f>AVERAGE('29.07 Kinawataka-Kireka'!G30,'30.07 Kinawataka-Kireka'!G30,'31.07 Kinawataka-Kireka'!G30,'02.08 Kinawataka-Kireka'!G30,'01.08 Kinawataka-Kireka-24h'!G30,'03.08 Kinawataka-Kireka-24h'!G30,'04.08 Kinawataka-Kireka'!G30)</f>
        <v>1.8571428571428572</v>
      </c>
      <c r="H30" s="49">
        <f>AVERAGE('29.07 Kinawataka-Kireka'!H30,'30.07 Kinawataka-Kireka'!H30,'31.07 Kinawataka-Kireka'!H30,'02.08 Kinawataka-Kireka'!H30,'01.08 Kinawataka-Kireka-24h'!H30,'03.08 Kinawataka-Kireka-24h'!H30,'04.08 Kinawataka-Kireka'!H30)</f>
        <v>0.14285714285714285</v>
      </c>
      <c r="I30" s="49">
        <f>AVERAGE('29.07 Kinawataka-Kireka'!I30,'30.07 Kinawataka-Kireka'!I30,'31.07 Kinawataka-Kireka'!I30,'02.08 Kinawataka-Kireka'!I30,'01.08 Kinawataka-Kireka-24h'!I30,'03.08 Kinawataka-Kireka-24h'!I30,'04.08 Kinawataka-Kireka'!I30)</f>
        <v>9.7142857142857135</v>
      </c>
      <c r="J30" s="49">
        <f>AVERAGE('29.07 Kinawataka-Kireka'!J30,'30.07 Kinawataka-Kireka'!J30,'31.07 Kinawataka-Kireka'!J30,'02.08 Kinawataka-Kireka'!J30,'01.08 Kinawataka-Kireka-24h'!J30,'03.08 Kinawataka-Kireka-24h'!J30,'04.08 Kinawataka-Kireka'!J30)</f>
        <v>4.2857142857142856</v>
      </c>
      <c r="K30" s="49">
        <f>AVERAGE('29.07 Kinawataka-Kireka'!K30,'30.07 Kinawataka-Kireka'!K30,'31.07 Kinawataka-Kireka'!K30,'02.08 Kinawataka-Kireka'!K30,'01.08 Kinawataka-Kireka-24h'!K30,'03.08 Kinawataka-Kireka-24h'!K30,'04.08 Kinawataka-Kireka'!K30)</f>
        <v>2</v>
      </c>
      <c r="L30" s="49">
        <f>AVERAGE('29.07 Kinawataka-Kireka'!L30,'30.07 Kinawataka-Kireka'!L30,'31.07 Kinawataka-Kireka'!L30,'02.08 Kinawataka-Kireka'!L30,'01.08 Kinawataka-Kireka-24h'!L30,'03.08 Kinawataka-Kireka-24h'!L30,'04.08 Kinawataka-Kireka'!L30)</f>
        <v>3.1428571428571428</v>
      </c>
      <c r="M30" s="49">
        <f>AVERAGE('29.07 Kinawataka-Kireka'!M30,'30.07 Kinawataka-Kireka'!M30,'31.07 Kinawataka-Kireka'!M30,'02.08 Kinawataka-Kireka'!M30,'01.08 Kinawataka-Kireka-24h'!M30,'03.08 Kinawataka-Kireka-24h'!M30,'04.08 Kinawataka-Kireka'!M30)</f>
        <v>111.57142857142857</v>
      </c>
      <c r="N30" s="49">
        <f>AVERAGE('29.07 Kinawataka-Kireka'!N30,'30.07 Kinawataka-Kireka'!N30,'31.07 Kinawataka-Kireka'!N30,'02.08 Kinawataka-Kireka'!N30,'01.08 Kinawataka-Kireka-24h'!N30,'03.08 Kinawataka-Kireka-24h'!N30,'04.08 Kinawataka-Kireka'!N30)</f>
        <v>0.14285714285714285</v>
      </c>
      <c r="O30" s="15">
        <f t="shared" si="0"/>
        <v>75.571428571428555</v>
      </c>
      <c r="P30" s="15">
        <f t="shared" si="1"/>
        <v>187.14285714285714</v>
      </c>
      <c r="R30" s="1" t="s">
        <v>154</v>
      </c>
      <c r="S30" s="34">
        <f>SUM(C90:C93)</f>
        <v>22.5</v>
      </c>
      <c r="T30" s="34">
        <f t="shared" ref="T30:AF30" si="22">SUM(D90:D93)</f>
        <v>1</v>
      </c>
      <c r="U30" s="34">
        <f t="shared" si="22"/>
        <v>0.5</v>
      </c>
      <c r="V30" s="34">
        <f t="shared" si="22"/>
        <v>2.5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0.5</v>
      </c>
      <c r="AA30" s="34">
        <f t="shared" si="22"/>
        <v>0</v>
      </c>
      <c r="AB30" s="34">
        <f t="shared" si="22"/>
        <v>0</v>
      </c>
      <c r="AC30" s="34">
        <f t="shared" si="22"/>
        <v>57</v>
      </c>
      <c r="AD30" s="34">
        <f t="shared" si="22"/>
        <v>0</v>
      </c>
      <c r="AE30" s="31">
        <f t="shared" si="22"/>
        <v>30</v>
      </c>
      <c r="AF30" s="31">
        <f t="shared" si="22"/>
        <v>87</v>
      </c>
    </row>
    <row r="31" spans="2:32" ht="23.1" customHeight="1" x14ac:dyDescent="0.25">
      <c r="B31" s="24" t="s">
        <v>58</v>
      </c>
      <c r="C31" s="49">
        <f>AVERAGE('29.07 Kinawataka-Kireka'!C31,'30.07 Kinawataka-Kireka'!C31,'31.07 Kinawataka-Kireka'!C31,'02.08 Kinawataka-Kireka'!C31,'01.08 Kinawataka-Kireka-24h'!C31,'03.08 Kinawataka-Kireka-24h'!C31,'04.08 Kinawataka-Kireka'!C31)</f>
        <v>39.857142857142854</v>
      </c>
      <c r="D31" s="49">
        <f>AVERAGE('29.07 Kinawataka-Kireka'!D31,'30.07 Kinawataka-Kireka'!D31,'31.07 Kinawataka-Kireka'!D31,'02.08 Kinawataka-Kireka'!D31,'01.08 Kinawataka-Kireka-24h'!D31,'03.08 Kinawataka-Kireka-24h'!D31,'04.08 Kinawataka-Kireka'!D31)</f>
        <v>6.5714285714285712</v>
      </c>
      <c r="E31" s="49">
        <f>AVERAGE('29.07 Kinawataka-Kireka'!E31,'30.07 Kinawataka-Kireka'!E31,'31.07 Kinawataka-Kireka'!E31,'02.08 Kinawataka-Kireka'!E31,'01.08 Kinawataka-Kireka-24h'!E31,'03.08 Kinawataka-Kireka-24h'!E31,'04.08 Kinawataka-Kireka'!E31)</f>
        <v>6.1428571428571432</v>
      </c>
      <c r="F31" s="49">
        <f>AVERAGE('29.07 Kinawataka-Kireka'!F31,'30.07 Kinawataka-Kireka'!F31,'31.07 Kinawataka-Kireka'!F31,'02.08 Kinawataka-Kireka'!F31,'01.08 Kinawataka-Kireka-24h'!F31,'03.08 Kinawataka-Kireka-24h'!F31,'04.08 Kinawataka-Kireka'!F31)</f>
        <v>13</v>
      </c>
      <c r="G31" s="49">
        <f>AVERAGE('29.07 Kinawataka-Kireka'!G31,'30.07 Kinawataka-Kireka'!G31,'31.07 Kinawataka-Kireka'!G31,'02.08 Kinawataka-Kireka'!G31,'01.08 Kinawataka-Kireka-24h'!G31,'03.08 Kinawataka-Kireka-24h'!G31,'04.08 Kinawataka-Kireka'!G31)</f>
        <v>1.2857142857142858</v>
      </c>
      <c r="H31" s="49">
        <f>AVERAGE('29.07 Kinawataka-Kireka'!H31,'30.07 Kinawataka-Kireka'!H31,'31.07 Kinawataka-Kireka'!H31,'02.08 Kinawataka-Kireka'!H31,'01.08 Kinawataka-Kireka-24h'!H31,'03.08 Kinawataka-Kireka-24h'!H31,'04.08 Kinawataka-Kireka'!H31)</f>
        <v>0</v>
      </c>
      <c r="I31" s="49">
        <f>AVERAGE('29.07 Kinawataka-Kireka'!I31,'30.07 Kinawataka-Kireka'!I31,'31.07 Kinawataka-Kireka'!I31,'02.08 Kinawataka-Kireka'!I31,'01.08 Kinawataka-Kireka-24h'!I31,'03.08 Kinawataka-Kireka-24h'!I31,'04.08 Kinawataka-Kireka'!I31)</f>
        <v>6.2857142857142856</v>
      </c>
      <c r="J31" s="49">
        <f>AVERAGE('29.07 Kinawataka-Kireka'!J31,'30.07 Kinawataka-Kireka'!J31,'31.07 Kinawataka-Kireka'!J31,'02.08 Kinawataka-Kireka'!J31,'01.08 Kinawataka-Kireka-24h'!J31,'03.08 Kinawataka-Kireka-24h'!J31,'04.08 Kinawataka-Kireka'!J31)</f>
        <v>4</v>
      </c>
      <c r="K31" s="49">
        <f>AVERAGE('29.07 Kinawataka-Kireka'!K31,'30.07 Kinawataka-Kireka'!K31,'31.07 Kinawataka-Kireka'!K31,'02.08 Kinawataka-Kireka'!K31,'01.08 Kinawataka-Kireka-24h'!K31,'03.08 Kinawataka-Kireka-24h'!K31,'04.08 Kinawataka-Kireka'!K31)</f>
        <v>3.1428571428571428</v>
      </c>
      <c r="L31" s="49">
        <f>AVERAGE('29.07 Kinawataka-Kireka'!L31,'30.07 Kinawataka-Kireka'!L31,'31.07 Kinawataka-Kireka'!L31,'02.08 Kinawataka-Kireka'!L31,'01.08 Kinawataka-Kireka-24h'!L31,'03.08 Kinawataka-Kireka-24h'!L31,'04.08 Kinawataka-Kireka'!L31)</f>
        <v>4.7142857142857144</v>
      </c>
      <c r="M31" s="49">
        <f>AVERAGE('29.07 Kinawataka-Kireka'!M31,'30.07 Kinawataka-Kireka'!M31,'31.07 Kinawataka-Kireka'!M31,'02.08 Kinawataka-Kireka'!M31,'01.08 Kinawataka-Kireka-24h'!M31,'03.08 Kinawataka-Kireka-24h'!M31,'04.08 Kinawataka-Kireka'!M31)</f>
        <v>106.85714285714286</v>
      </c>
      <c r="N31" s="49">
        <f>AVERAGE('29.07 Kinawataka-Kireka'!N31,'30.07 Kinawataka-Kireka'!N31,'31.07 Kinawataka-Kireka'!N31,'02.08 Kinawataka-Kireka'!N31,'01.08 Kinawataka-Kireka-24h'!N31,'03.08 Kinawataka-Kireka-24h'!N31,'04.08 Kinawataka-Kireka'!N31)</f>
        <v>0</v>
      </c>
      <c r="O31" s="15">
        <f t="shared" si="0"/>
        <v>85</v>
      </c>
      <c r="P31" s="15">
        <f t="shared" si="1"/>
        <v>191.85714285714286</v>
      </c>
      <c r="R31" s="1" t="s">
        <v>155</v>
      </c>
      <c r="S31" s="34">
        <f>SUM(C94:C97)</f>
        <v>18.5</v>
      </c>
      <c r="T31" s="34">
        <f t="shared" ref="T31:AF31" si="23">SUM(D94:D97)</f>
        <v>1</v>
      </c>
      <c r="U31" s="34">
        <f t="shared" si="23"/>
        <v>1.5</v>
      </c>
      <c r="V31" s="34">
        <f t="shared" si="23"/>
        <v>4.5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1.5</v>
      </c>
      <c r="AA31" s="34">
        <f t="shared" si="23"/>
        <v>0.5</v>
      </c>
      <c r="AB31" s="34">
        <f t="shared" si="23"/>
        <v>0</v>
      </c>
      <c r="AC31" s="34">
        <f t="shared" si="23"/>
        <v>58.5</v>
      </c>
      <c r="AD31" s="34">
        <f t="shared" si="23"/>
        <v>0</v>
      </c>
      <c r="AE31" s="31">
        <f t="shared" si="23"/>
        <v>27.5</v>
      </c>
      <c r="AF31" s="31">
        <f t="shared" si="23"/>
        <v>86</v>
      </c>
    </row>
    <row r="32" spans="2:32" ht="23.1" customHeight="1" x14ac:dyDescent="0.25">
      <c r="B32" s="24" t="s">
        <v>59</v>
      </c>
      <c r="C32" s="49">
        <f>AVERAGE('29.07 Kinawataka-Kireka'!C32,'30.07 Kinawataka-Kireka'!C32,'31.07 Kinawataka-Kireka'!C32,'02.08 Kinawataka-Kireka'!C32,'01.08 Kinawataka-Kireka-24h'!C32,'03.08 Kinawataka-Kireka-24h'!C32,'04.08 Kinawataka-Kireka'!C32)</f>
        <v>43.571428571428569</v>
      </c>
      <c r="D32" s="49">
        <f>AVERAGE('29.07 Kinawataka-Kireka'!D32,'30.07 Kinawataka-Kireka'!D32,'31.07 Kinawataka-Kireka'!D32,'02.08 Kinawataka-Kireka'!D32,'01.08 Kinawataka-Kireka-24h'!D32,'03.08 Kinawataka-Kireka-24h'!D32,'04.08 Kinawataka-Kireka'!D32)</f>
        <v>7</v>
      </c>
      <c r="E32" s="49">
        <f>AVERAGE('29.07 Kinawataka-Kireka'!E32,'30.07 Kinawataka-Kireka'!E32,'31.07 Kinawataka-Kireka'!E32,'02.08 Kinawataka-Kireka'!E32,'01.08 Kinawataka-Kireka-24h'!E32,'03.08 Kinawataka-Kireka-24h'!E32,'04.08 Kinawataka-Kireka'!E32)</f>
        <v>5.5714285714285712</v>
      </c>
      <c r="F32" s="49">
        <f>AVERAGE('29.07 Kinawataka-Kireka'!F32,'30.07 Kinawataka-Kireka'!F32,'31.07 Kinawataka-Kireka'!F32,'02.08 Kinawataka-Kireka'!F32,'01.08 Kinawataka-Kireka-24h'!F32,'03.08 Kinawataka-Kireka-24h'!F32,'04.08 Kinawataka-Kireka'!F32)</f>
        <v>12.428571428571429</v>
      </c>
      <c r="G32" s="49">
        <f>AVERAGE('29.07 Kinawataka-Kireka'!G32,'30.07 Kinawataka-Kireka'!G32,'31.07 Kinawataka-Kireka'!G32,'02.08 Kinawataka-Kireka'!G32,'01.08 Kinawataka-Kireka-24h'!G32,'03.08 Kinawataka-Kireka-24h'!G32,'04.08 Kinawataka-Kireka'!G32)</f>
        <v>1.8571428571428572</v>
      </c>
      <c r="H32" s="49">
        <f>AVERAGE('29.07 Kinawataka-Kireka'!H32,'30.07 Kinawataka-Kireka'!H32,'31.07 Kinawataka-Kireka'!H32,'02.08 Kinawataka-Kireka'!H32,'01.08 Kinawataka-Kireka-24h'!H32,'03.08 Kinawataka-Kireka-24h'!H32,'04.08 Kinawataka-Kireka'!H32)</f>
        <v>0.14285714285714285</v>
      </c>
      <c r="I32" s="49">
        <f>AVERAGE('29.07 Kinawataka-Kireka'!I32,'30.07 Kinawataka-Kireka'!I32,'31.07 Kinawataka-Kireka'!I32,'02.08 Kinawataka-Kireka'!I32,'01.08 Kinawataka-Kireka-24h'!I32,'03.08 Kinawataka-Kireka-24h'!I32,'04.08 Kinawataka-Kireka'!I32)</f>
        <v>7.8571428571428568</v>
      </c>
      <c r="J32" s="49">
        <f>AVERAGE('29.07 Kinawataka-Kireka'!J32,'30.07 Kinawataka-Kireka'!J32,'31.07 Kinawataka-Kireka'!J32,'02.08 Kinawataka-Kireka'!J32,'01.08 Kinawataka-Kireka-24h'!J32,'03.08 Kinawataka-Kireka-24h'!J32,'04.08 Kinawataka-Kireka'!J32)</f>
        <v>3.2857142857142856</v>
      </c>
      <c r="K32" s="49">
        <f>AVERAGE('29.07 Kinawataka-Kireka'!K32,'30.07 Kinawataka-Kireka'!K32,'31.07 Kinawataka-Kireka'!K32,'02.08 Kinawataka-Kireka'!K32,'01.08 Kinawataka-Kireka-24h'!K32,'03.08 Kinawataka-Kireka-24h'!K32,'04.08 Kinawataka-Kireka'!K32)</f>
        <v>4</v>
      </c>
      <c r="L32" s="49">
        <f>AVERAGE('29.07 Kinawataka-Kireka'!L32,'30.07 Kinawataka-Kireka'!L32,'31.07 Kinawataka-Kireka'!L32,'02.08 Kinawataka-Kireka'!L32,'01.08 Kinawataka-Kireka-24h'!L32,'03.08 Kinawataka-Kireka-24h'!L32,'04.08 Kinawataka-Kireka'!L32)</f>
        <v>3.7142857142857144</v>
      </c>
      <c r="M32" s="49">
        <f>AVERAGE('29.07 Kinawataka-Kireka'!M32,'30.07 Kinawataka-Kireka'!M32,'31.07 Kinawataka-Kireka'!M32,'02.08 Kinawataka-Kireka'!M32,'01.08 Kinawataka-Kireka-24h'!M32,'03.08 Kinawataka-Kireka-24h'!M32,'04.08 Kinawataka-Kireka'!M32)</f>
        <v>101</v>
      </c>
      <c r="N32" s="49">
        <f>AVERAGE('29.07 Kinawataka-Kireka'!N32,'30.07 Kinawataka-Kireka'!N32,'31.07 Kinawataka-Kireka'!N32,'02.08 Kinawataka-Kireka'!N32,'01.08 Kinawataka-Kireka-24h'!N32,'03.08 Kinawataka-Kireka-24h'!N32,'04.08 Kinawataka-Kireka'!N32)</f>
        <v>0</v>
      </c>
      <c r="O32" s="15">
        <f t="shared" si="0"/>
        <v>89.428571428571431</v>
      </c>
      <c r="P32" s="15">
        <f t="shared" si="1"/>
        <v>190.42857142857144</v>
      </c>
      <c r="R32" s="1" t="s">
        <v>156</v>
      </c>
      <c r="S32" s="34">
        <f>SUM(C98:C101)</f>
        <v>25</v>
      </c>
      <c r="T32" s="34">
        <f t="shared" ref="T32:AF32" si="24">SUM(D98:D101)</f>
        <v>3.5</v>
      </c>
      <c r="U32" s="34">
        <f t="shared" si="24"/>
        <v>3.5</v>
      </c>
      <c r="V32" s="34">
        <f t="shared" si="24"/>
        <v>13.5</v>
      </c>
      <c r="W32" s="34">
        <f t="shared" si="24"/>
        <v>4</v>
      </c>
      <c r="X32" s="34">
        <f t="shared" si="24"/>
        <v>0</v>
      </c>
      <c r="Y32" s="34">
        <f t="shared" si="24"/>
        <v>1</v>
      </c>
      <c r="Z32" s="34">
        <f t="shared" si="24"/>
        <v>2.5</v>
      </c>
      <c r="AA32" s="34">
        <f t="shared" si="24"/>
        <v>0.5</v>
      </c>
      <c r="AB32" s="34">
        <f t="shared" si="24"/>
        <v>2.5</v>
      </c>
      <c r="AC32" s="34">
        <f t="shared" si="24"/>
        <v>97</v>
      </c>
      <c r="AD32" s="34">
        <f t="shared" si="24"/>
        <v>0</v>
      </c>
      <c r="AE32" s="31">
        <f t="shared" si="24"/>
        <v>56</v>
      </c>
      <c r="AF32" s="31">
        <f t="shared" si="24"/>
        <v>153</v>
      </c>
    </row>
    <row r="33" spans="2:32" ht="23.1" customHeight="1" x14ac:dyDescent="0.25">
      <c r="B33" s="23" t="s">
        <v>60</v>
      </c>
      <c r="C33" s="49">
        <f>AVERAGE('29.07 Kinawataka-Kireka'!C33,'30.07 Kinawataka-Kireka'!C33,'31.07 Kinawataka-Kireka'!C33,'02.08 Kinawataka-Kireka'!C33,'01.08 Kinawataka-Kireka-24h'!C33,'03.08 Kinawataka-Kireka-24h'!C33,'04.08 Kinawataka-Kireka'!C33)</f>
        <v>52.285714285714285</v>
      </c>
      <c r="D33" s="49">
        <f>AVERAGE('29.07 Kinawataka-Kireka'!D33,'30.07 Kinawataka-Kireka'!D33,'31.07 Kinawataka-Kireka'!D33,'02.08 Kinawataka-Kireka'!D33,'01.08 Kinawataka-Kireka-24h'!D33,'03.08 Kinawataka-Kireka-24h'!D33,'04.08 Kinawataka-Kireka'!D33)</f>
        <v>3.4285714285714284</v>
      </c>
      <c r="E33" s="49">
        <f>AVERAGE('29.07 Kinawataka-Kireka'!E33,'30.07 Kinawataka-Kireka'!E33,'31.07 Kinawataka-Kireka'!E33,'02.08 Kinawataka-Kireka'!E33,'01.08 Kinawataka-Kireka-24h'!E33,'03.08 Kinawataka-Kireka-24h'!E33,'04.08 Kinawataka-Kireka'!E33)</f>
        <v>6.2857142857142856</v>
      </c>
      <c r="F33" s="49">
        <f>AVERAGE('29.07 Kinawataka-Kireka'!F33,'30.07 Kinawataka-Kireka'!F33,'31.07 Kinawataka-Kireka'!F33,'02.08 Kinawataka-Kireka'!F33,'01.08 Kinawataka-Kireka-24h'!F33,'03.08 Kinawataka-Kireka-24h'!F33,'04.08 Kinawataka-Kireka'!F33)</f>
        <v>14</v>
      </c>
      <c r="G33" s="49">
        <f>AVERAGE('29.07 Kinawataka-Kireka'!G33,'30.07 Kinawataka-Kireka'!G33,'31.07 Kinawataka-Kireka'!G33,'02.08 Kinawataka-Kireka'!G33,'01.08 Kinawataka-Kireka-24h'!G33,'03.08 Kinawataka-Kireka-24h'!G33,'04.08 Kinawataka-Kireka'!G33)</f>
        <v>1.5714285714285714</v>
      </c>
      <c r="H33" s="49">
        <f>AVERAGE('29.07 Kinawataka-Kireka'!H33,'30.07 Kinawataka-Kireka'!H33,'31.07 Kinawataka-Kireka'!H33,'02.08 Kinawataka-Kireka'!H33,'01.08 Kinawataka-Kireka-24h'!H33,'03.08 Kinawataka-Kireka-24h'!H33,'04.08 Kinawataka-Kireka'!H33)</f>
        <v>0.42857142857142855</v>
      </c>
      <c r="I33" s="49">
        <f>AVERAGE('29.07 Kinawataka-Kireka'!I33,'30.07 Kinawataka-Kireka'!I33,'31.07 Kinawataka-Kireka'!I33,'02.08 Kinawataka-Kireka'!I33,'01.08 Kinawataka-Kireka-24h'!I33,'03.08 Kinawataka-Kireka-24h'!I33,'04.08 Kinawataka-Kireka'!I33)</f>
        <v>8</v>
      </c>
      <c r="J33" s="49">
        <f>AVERAGE('29.07 Kinawataka-Kireka'!J33,'30.07 Kinawataka-Kireka'!J33,'31.07 Kinawataka-Kireka'!J33,'02.08 Kinawataka-Kireka'!J33,'01.08 Kinawataka-Kireka-24h'!J33,'03.08 Kinawataka-Kireka-24h'!J33,'04.08 Kinawataka-Kireka'!J33)</f>
        <v>5.2857142857142856</v>
      </c>
      <c r="K33" s="49">
        <f>AVERAGE('29.07 Kinawataka-Kireka'!K33,'30.07 Kinawataka-Kireka'!K33,'31.07 Kinawataka-Kireka'!K33,'02.08 Kinawataka-Kireka'!K33,'01.08 Kinawataka-Kireka-24h'!K33,'03.08 Kinawataka-Kireka-24h'!K33,'04.08 Kinawataka-Kireka'!K33)</f>
        <v>4.1428571428571432</v>
      </c>
      <c r="L33" s="49">
        <f>AVERAGE('29.07 Kinawataka-Kireka'!L33,'30.07 Kinawataka-Kireka'!L33,'31.07 Kinawataka-Kireka'!L33,'02.08 Kinawataka-Kireka'!L33,'01.08 Kinawataka-Kireka-24h'!L33,'03.08 Kinawataka-Kireka-24h'!L33,'04.08 Kinawataka-Kireka'!L33)</f>
        <v>5</v>
      </c>
      <c r="M33" s="49">
        <f>AVERAGE('29.07 Kinawataka-Kireka'!M33,'30.07 Kinawataka-Kireka'!M33,'31.07 Kinawataka-Kireka'!M33,'02.08 Kinawataka-Kireka'!M33,'01.08 Kinawataka-Kireka-24h'!M33,'03.08 Kinawataka-Kireka-24h'!M33,'04.08 Kinawataka-Kireka'!M33)</f>
        <v>113.57142857142857</v>
      </c>
      <c r="N33" s="49">
        <f>AVERAGE('29.07 Kinawataka-Kireka'!N33,'30.07 Kinawataka-Kireka'!N33,'31.07 Kinawataka-Kireka'!N33,'02.08 Kinawataka-Kireka'!N33,'01.08 Kinawataka-Kireka-24h'!N33,'03.08 Kinawataka-Kireka-24h'!N33,'04.08 Kinawataka-Kireka'!N33)</f>
        <v>0</v>
      </c>
      <c r="O33" s="15">
        <f t="shared" si="0"/>
        <v>100.42857142857143</v>
      </c>
      <c r="P33" s="15">
        <f t="shared" si="1"/>
        <v>214</v>
      </c>
      <c r="R33" s="1" t="s">
        <v>157</v>
      </c>
      <c r="S33" s="34">
        <f>SUM(C102:C105)</f>
        <v>60</v>
      </c>
      <c r="T33" s="34">
        <f t="shared" ref="T33:AF33" si="25">SUM(D102:D105)</f>
        <v>9</v>
      </c>
      <c r="U33" s="34">
        <f t="shared" si="25"/>
        <v>13</v>
      </c>
      <c r="V33" s="34">
        <f t="shared" si="25"/>
        <v>35</v>
      </c>
      <c r="W33" s="34">
        <f t="shared" si="25"/>
        <v>2.5</v>
      </c>
      <c r="X33" s="34">
        <f t="shared" si="25"/>
        <v>0</v>
      </c>
      <c r="Y33" s="34">
        <f t="shared" si="25"/>
        <v>7.5</v>
      </c>
      <c r="Z33" s="34">
        <f t="shared" si="25"/>
        <v>11.5</v>
      </c>
      <c r="AA33" s="34">
        <f t="shared" si="25"/>
        <v>1.5</v>
      </c>
      <c r="AB33" s="34">
        <f t="shared" si="25"/>
        <v>2</v>
      </c>
      <c r="AC33" s="34">
        <f t="shared" si="25"/>
        <v>209</v>
      </c>
      <c r="AD33" s="34">
        <f t="shared" si="25"/>
        <v>0</v>
      </c>
      <c r="AE33" s="31">
        <f t="shared" si="25"/>
        <v>142</v>
      </c>
      <c r="AF33" s="31">
        <f t="shared" si="25"/>
        <v>351</v>
      </c>
    </row>
    <row r="34" spans="2:32" ht="23.1" customHeight="1" x14ac:dyDescent="0.25">
      <c r="B34" s="24" t="s">
        <v>61</v>
      </c>
      <c r="C34" s="49">
        <f>AVERAGE('29.07 Kinawataka-Kireka'!C34,'30.07 Kinawataka-Kireka'!C34,'31.07 Kinawataka-Kireka'!C34,'02.08 Kinawataka-Kireka'!C34,'01.08 Kinawataka-Kireka-24h'!C34,'03.08 Kinawataka-Kireka-24h'!C34,'04.08 Kinawataka-Kireka'!C34)</f>
        <v>43.142857142857146</v>
      </c>
      <c r="D34" s="49">
        <f>AVERAGE('29.07 Kinawataka-Kireka'!D34,'30.07 Kinawataka-Kireka'!D34,'31.07 Kinawataka-Kireka'!D34,'02.08 Kinawataka-Kireka'!D34,'01.08 Kinawataka-Kireka-24h'!D34,'03.08 Kinawataka-Kireka-24h'!D34,'04.08 Kinawataka-Kireka'!D34)</f>
        <v>5.2857142857142856</v>
      </c>
      <c r="E34" s="49">
        <f>AVERAGE('29.07 Kinawataka-Kireka'!E34,'30.07 Kinawataka-Kireka'!E34,'31.07 Kinawataka-Kireka'!E34,'02.08 Kinawataka-Kireka'!E34,'01.08 Kinawataka-Kireka-24h'!E34,'03.08 Kinawataka-Kireka-24h'!E34,'04.08 Kinawataka-Kireka'!E34)</f>
        <v>5.4285714285714288</v>
      </c>
      <c r="F34" s="49">
        <f>AVERAGE('29.07 Kinawataka-Kireka'!F34,'30.07 Kinawataka-Kireka'!F34,'31.07 Kinawataka-Kireka'!F34,'02.08 Kinawataka-Kireka'!F34,'01.08 Kinawataka-Kireka-24h'!F34,'03.08 Kinawataka-Kireka-24h'!F34,'04.08 Kinawataka-Kireka'!F34)</f>
        <v>12.285714285714286</v>
      </c>
      <c r="G34" s="49">
        <f>AVERAGE('29.07 Kinawataka-Kireka'!G34,'30.07 Kinawataka-Kireka'!G34,'31.07 Kinawataka-Kireka'!G34,'02.08 Kinawataka-Kireka'!G34,'01.08 Kinawataka-Kireka-24h'!G34,'03.08 Kinawataka-Kireka-24h'!G34,'04.08 Kinawataka-Kireka'!G34)</f>
        <v>1.5714285714285714</v>
      </c>
      <c r="H34" s="49">
        <f>AVERAGE('29.07 Kinawataka-Kireka'!H34,'30.07 Kinawataka-Kireka'!H34,'31.07 Kinawataka-Kireka'!H34,'02.08 Kinawataka-Kireka'!H34,'01.08 Kinawataka-Kireka-24h'!H34,'03.08 Kinawataka-Kireka-24h'!H34,'04.08 Kinawataka-Kireka'!H34)</f>
        <v>0</v>
      </c>
      <c r="I34" s="49">
        <f>AVERAGE('29.07 Kinawataka-Kireka'!I34,'30.07 Kinawataka-Kireka'!I34,'31.07 Kinawataka-Kireka'!I34,'02.08 Kinawataka-Kireka'!I34,'01.08 Kinawataka-Kireka-24h'!I34,'03.08 Kinawataka-Kireka-24h'!I34,'04.08 Kinawataka-Kireka'!I34)</f>
        <v>11.285714285714286</v>
      </c>
      <c r="J34" s="49">
        <f>AVERAGE('29.07 Kinawataka-Kireka'!J34,'30.07 Kinawataka-Kireka'!J34,'31.07 Kinawataka-Kireka'!J34,'02.08 Kinawataka-Kireka'!J34,'01.08 Kinawataka-Kireka-24h'!J34,'03.08 Kinawataka-Kireka-24h'!J34,'04.08 Kinawataka-Kireka'!J34)</f>
        <v>3.5714285714285716</v>
      </c>
      <c r="K34" s="49">
        <f>AVERAGE('29.07 Kinawataka-Kireka'!K34,'30.07 Kinawataka-Kireka'!K34,'31.07 Kinawataka-Kireka'!K34,'02.08 Kinawataka-Kireka'!K34,'01.08 Kinawataka-Kireka-24h'!K34,'03.08 Kinawataka-Kireka-24h'!K34,'04.08 Kinawataka-Kireka'!K34)</f>
        <v>3.2857142857142856</v>
      </c>
      <c r="L34" s="49">
        <f>AVERAGE('29.07 Kinawataka-Kireka'!L34,'30.07 Kinawataka-Kireka'!L34,'31.07 Kinawataka-Kireka'!L34,'02.08 Kinawataka-Kireka'!L34,'01.08 Kinawataka-Kireka-24h'!L34,'03.08 Kinawataka-Kireka-24h'!L34,'04.08 Kinawataka-Kireka'!L34)</f>
        <v>4.2857142857142856</v>
      </c>
      <c r="M34" s="49">
        <f>AVERAGE('29.07 Kinawataka-Kireka'!M34,'30.07 Kinawataka-Kireka'!M34,'31.07 Kinawataka-Kireka'!M34,'02.08 Kinawataka-Kireka'!M34,'01.08 Kinawataka-Kireka-24h'!M34,'03.08 Kinawataka-Kireka-24h'!M34,'04.08 Kinawataka-Kireka'!M34)</f>
        <v>89.571428571428569</v>
      </c>
      <c r="N34" s="49">
        <f>AVERAGE('29.07 Kinawataka-Kireka'!N34,'30.07 Kinawataka-Kireka'!N34,'31.07 Kinawataka-Kireka'!N34,'02.08 Kinawataka-Kireka'!N34,'01.08 Kinawataka-Kireka-24h'!N34,'03.08 Kinawataka-Kireka-24h'!N34,'04.08 Kinawataka-Kireka'!N34)</f>
        <v>0</v>
      </c>
      <c r="O34" s="15">
        <f t="shared" si="0"/>
        <v>90.142857142857167</v>
      </c>
      <c r="P34" s="15">
        <f t="shared" si="1"/>
        <v>179.71428571428572</v>
      </c>
      <c r="R34" s="38" t="s">
        <v>90</v>
      </c>
      <c r="S34" s="39">
        <f t="shared" ref="S34:AF34" si="26">MAX(S10:S12)</f>
        <v>116.28571428571428</v>
      </c>
      <c r="T34" s="39">
        <f t="shared" si="26"/>
        <v>17</v>
      </c>
      <c r="U34" s="39">
        <f t="shared" si="26"/>
        <v>19.428571428571431</v>
      </c>
      <c r="V34" s="39">
        <f t="shared" si="26"/>
        <v>66.285714285714278</v>
      </c>
      <c r="W34" s="39">
        <f t="shared" si="26"/>
        <v>6.8571428571428559</v>
      </c>
      <c r="X34" s="39">
        <f t="shared" si="26"/>
        <v>0.85714285714285698</v>
      </c>
      <c r="Y34" s="39">
        <f t="shared" si="26"/>
        <v>23.714285714285715</v>
      </c>
      <c r="Z34" s="39">
        <f t="shared" si="26"/>
        <v>11.285714285714285</v>
      </c>
      <c r="AA34" s="39">
        <f t="shared" si="26"/>
        <v>5.5714285714285721</v>
      </c>
      <c r="AB34" s="39">
        <f t="shared" si="26"/>
        <v>7.4285714285714279</v>
      </c>
      <c r="AC34" s="39">
        <f t="shared" si="26"/>
        <v>525.85714285714278</v>
      </c>
      <c r="AD34" s="39">
        <f t="shared" si="26"/>
        <v>0.2857142857142857</v>
      </c>
      <c r="AE34" s="40">
        <f t="shared" si="26"/>
        <v>273.57142857142856</v>
      </c>
      <c r="AF34" s="40">
        <f t="shared" si="26"/>
        <v>763.14285714285711</v>
      </c>
    </row>
    <row r="35" spans="2:32" ht="23.1" customHeight="1" x14ac:dyDescent="0.25">
      <c r="B35" s="24" t="s">
        <v>62</v>
      </c>
      <c r="C35" s="49">
        <f>AVERAGE('29.07 Kinawataka-Kireka'!C35,'30.07 Kinawataka-Kireka'!C35,'31.07 Kinawataka-Kireka'!C35,'02.08 Kinawataka-Kireka'!C35,'01.08 Kinawataka-Kireka-24h'!C35,'03.08 Kinawataka-Kireka-24h'!C35,'04.08 Kinawataka-Kireka'!C35)</f>
        <v>40.285714285714285</v>
      </c>
      <c r="D35" s="49">
        <f>AVERAGE('29.07 Kinawataka-Kireka'!D35,'30.07 Kinawataka-Kireka'!D35,'31.07 Kinawataka-Kireka'!D35,'02.08 Kinawataka-Kireka'!D35,'01.08 Kinawataka-Kireka-24h'!D35,'03.08 Kinawataka-Kireka-24h'!D35,'04.08 Kinawataka-Kireka'!D35)</f>
        <v>3.1428571428571428</v>
      </c>
      <c r="E35" s="49">
        <f>AVERAGE('29.07 Kinawataka-Kireka'!E35,'30.07 Kinawataka-Kireka'!E35,'31.07 Kinawataka-Kireka'!E35,'02.08 Kinawataka-Kireka'!E35,'01.08 Kinawataka-Kireka-24h'!E35,'03.08 Kinawataka-Kireka-24h'!E35,'04.08 Kinawataka-Kireka'!E35)</f>
        <v>7</v>
      </c>
      <c r="F35" s="49">
        <f>AVERAGE('29.07 Kinawataka-Kireka'!F35,'30.07 Kinawataka-Kireka'!F35,'31.07 Kinawataka-Kireka'!F35,'02.08 Kinawataka-Kireka'!F35,'01.08 Kinawataka-Kireka-24h'!F35,'03.08 Kinawataka-Kireka-24h'!F35,'04.08 Kinawataka-Kireka'!F35)</f>
        <v>10.571428571428571</v>
      </c>
      <c r="G35" s="49">
        <f>AVERAGE('29.07 Kinawataka-Kireka'!G35,'30.07 Kinawataka-Kireka'!G35,'31.07 Kinawataka-Kireka'!G35,'02.08 Kinawataka-Kireka'!G35,'01.08 Kinawataka-Kireka-24h'!G35,'03.08 Kinawataka-Kireka-24h'!G35,'04.08 Kinawataka-Kireka'!G35)</f>
        <v>1.7142857142857142</v>
      </c>
      <c r="H35" s="49">
        <f>AVERAGE('29.07 Kinawataka-Kireka'!H35,'30.07 Kinawataka-Kireka'!H35,'31.07 Kinawataka-Kireka'!H35,'02.08 Kinawataka-Kireka'!H35,'01.08 Kinawataka-Kireka-24h'!H35,'03.08 Kinawataka-Kireka-24h'!H35,'04.08 Kinawataka-Kireka'!H35)</f>
        <v>0.14285714285714285</v>
      </c>
      <c r="I35" s="49">
        <f>AVERAGE('29.07 Kinawataka-Kireka'!I35,'30.07 Kinawataka-Kireka'!I35,'31.07 Kinawataka-Kireka'!I35,'02.08 Kinawataka-Kireka'!I35,'01.08 Kinawataka-Kireka-24h'!I35,'03.08 Kinawataka-Kireka-24h'!I35,'04.08 Kinawataka-Kireka'!I35)</f>
        <v>6.1428571428571432</v>
      </c>
      <c r="J35" s="49">
        <f>AVERAGE('29.07 Kinawataka-Kireka'!J35,'30.07 Kinawataka-Kireka'!J35,'31.07 Kinawataka-Kireka'!J35,'02.08 Kinawataka-Kireka'!J35,'01.08 Kinawataka-Kireka-24h'!J35,'03.08 Kinawataka-Kireka-24h'!J35,'04.08 Kinawataka-Kireka'!J35)</f>
        <v>4.1428571428571432</v>
      </c>
      <c r="K35" s="49">
        <f>AVERAGE('29.07 Kinawataka-Kireka'!K35,'30.07 Kinawataka-Kireka'!K35,'31.07 Kinawataka-Kireka'!K35,'02.08 Kinawataka-Kireka'!K35,'01.08 Kinawataka-Kireka-24h'!K35,'03.08 Kinawataka-Kireka-24h'!K35,'04.08 Kinawataka-Kireka'!K35)</f>
        <v>2.4285714285714284</v>
      </c>
      <c r="L35" s="49">
        <f>AVERAGE('29.07 Kinawataka-Kireka'!L35,'30.07 Kinawataka-Kireka'!L35,'31.07 Kinawataka-Kireka'!L35,'02.08 Kinawataka-Kireka'!L35,'01.08 Kinawataka-Kireka-24h'!L35,'03.08 Kinawataka-Kireka-24h'!L35,'04.08 Kinawataka-Kireka'!L35)</f>
        <v>4.4285714285714288</v>
      </c>
      <c r="M35" s="49">
        <f>AVERAGE('29.07 Kinawataka-Kireka'!M35,'30.07 Kinawataka-Kireka'!M35,'31.07 Kinawataka-Kireka'!M35,'02.08 Kinawataka-Kireka'!M35,'01.08 Kinawataka-Kireka-24h'!M35,'03.08 Kinawataka-Kireka-24h'!M35,'04.08 Kinawataka-Kireka'!M35)</f>
        <v>103.28571428571429</v>
      </c>
      <c r="N35" s="49">
        <f>AVERAGE('29.07 Kinawataka-Kireka'!N35,'30.07 Kinawataka-Kireka'!N35,'31.07 Kinawataka-Kireka'!N35,'02.08 Kinawataka-Kireka'!N35,'01.08 Kinawataka-Kireka-24h'!N35,'03.08 Kinawataka-Kireka-24h'!N35,'04.08 Kinawataka-Kireka'!N35)</f>
        <v>0</v>
      </c>
      <c r="O35" s="15">
        <f t="shared" si="0"/>
        <v>80</v>
      </c>
      <c r="P35" s="15">
        <f t="shared" si="1"/>
        <v>183.28571428571428</v>
      </c>
      <c r="R35" s="38" t="s">
        <v>91</v>
      </c>
      <c r="S35" s="39">
        <f t="shared" ref="S35:AF35" si="27">MAX(S13:S18)</f>
        <v>239.71428571428572</v>
      </c>
      <c r="T35" s="39">
        <f t="shared" si="27"/>
        <v>30.571428571428569</v>
      </c>
      <c r="U35" s="39">
        <f t="shared" si="27"/>
        <v>33</v>
      </c>
      <c r="V35" s="39">
        <f t="shared" si="27"/>
        <v>63.571428571428569</v>
      </c>
      <c r="W35" s="39">
        <f t="shared" si="27"/>
        <v>7.2857142857142865</v>
      </c>
      <c r="X35" s="39">
        <f t="shared" si="27"/>
        <v>0.71428571428571419</v>
      </c>
      <c r="Y35" s="39">
        <f t="shared" si="27"/>
        <v>39.571428571428569</v>
      </c>
      <c r="Z35" s="39">
        <f t="shared" si="27"/>
        <v>19.428571428571431</v>
      </c>
      <c r="AA35" s="39">
        <f t="shared" si="27"/>
        <v>13.285714285714285</v>
      </c>
      <c r="AB35" s="39">
        <f t="shared" si="27"/>
        <v>20.142857142857142</v>
      </c>
      <c r="AC35" s="39">
        <f t="shared" si="27"/>
        <v>483.14285714285717</v>
      </c>
      <c r="AD35" s="39">
        <f t="shared" si="27"/>
        <v>0.2857142857142857</v>
      </c>
      <c r="AE35" s="40">
        <f t="shared" si="27"/>
        <v>451.85714285714289</v>
      </c>
      <c r="AF35" s="40">
        <f t="shared" si="27"/>
        <v>873.57142857142856</v>
      </c>
    </row>
    <row r="36" spans="2:32" ht="23.1" customHeight="1" x14ac:dyDescent="0.25">
      <c r="B36" s="24" t="s">
        <v>63</v>
      </c>
      <c r="C36" s="49">
        <f>AVERAGE('29.07 Kinawataka-Kireka'!C36,'30.07 Kinawataka-Kireka'!C36,'31.07 Kinawataka-Kireka'!C36,'02.08 Kinawataka-Kireka'!C36,'01.08 Kinawataka-Kireka-24h'!C36,'03.08 Kinawataka-Kireka-24h'!C36,'04.08 Kinawataka-Kireka'!C36)</f>
        <v>46</v>
      </c>
      <c r="D36" s="49">
        <f>AVERAGE('29.07 Kinawataka-Kireka'!D36,'30.07 Kinawataka-Kireka'!D36,'31.07 Kinawataka-Kireka'!D36,'02.08 Kinawataka-Kireka'!D36,'01.08 Kinawataka-Kireka-24h'!D36,'03.08 Kinawataka-Kireka-24h'!D36,'04.08 Kinawataka-Kireka'!D36)</f>
        <v>5.8571428571428568</v>
      </c>
      <c r="E36" s="49">
        <f>AVERAGE('29.07 Kinawataka-Kireka'!E36,'30.07 Kinawataka-Kireka'!E36,'31.07 Kinawataka-Kireka'!E36,'02.08 Kinawataka-Kireka'!E36,'01.08 Kinawataka-Kireka-24h'!E36,'03.08 Kinawataka-Kireka-24h'!E36,'04.08 Kinawataka-Kireka'!E36)</f>
        <v>5.7142857142857144</v>
      </c>
      <c r="F36" s="49">
        <f>AVERAGE('29.07 Kinawataka-Kireka'!F36,'30.07 Kinawataka-Kireka'!F36,'31.07 Kinawataka-Kireka'!F36,'02.08 Kinawataka-Kireka'!F36,'01.08 Kinawataka-Kireka-24h'!F36,'03.08 Kinawataka-Kireka-24h'!F36,'04.08 Kinawataka-Kireka'!F36)</f>
        <v>7.8571428571428568</v>
      </c>
      <c r="G36" s="49">
        <f>AVERAGE('29.07 Kinawataka-Kireka'!G36,'30.07 Kinawataka-Kireka'!G36,'31.07 Kinawataka-Kireka'!G36,'02.08 Kinawataka-Kireka'!G36,'01.08 Kinawataka-Kireka-24h'!G36,'03.08 Kinawataka-Kireka-24h'!G36,'04.08 Kinawataka-Kireka'!G36)</f>
        <v>2.1428571428571428</v>
      </c>
      <c r="H36" s="49">
        <f>AVERAGE('29.07 Kinawataka-Kireka'!H36,'30.07 Kinawataka-Kireka'!H36,'31.07 Kinawataka-Kireka'!H36,'02.08 Kinawataka-Kireka'!H36,'01.08 Kinawataka-Kireka-24h'!H36,'03.08 Kinawataka-Kireka-24h'!H36,'04.08 Kinawataka-Kireka'!H36)</f>
        <v>0.14285714285714285</v>
      </c>
      <c r="I36" s="49">
        <f>AVERAGE('29.07 Kinawataka-Kireka'!I36,'30.07 Kinawataka-Kireka'!I36,'31.07 Kinawataka-Kireka'!I36,'02.08 Kinawataka-Kireka'!I36,'01.08 Kinawataka-Kireka-24h'!I36,'03.08 Kinawataka-Kireka-24h'!I36,'04.08 Kinawataka-Kireka'!I36)</f>
        <v>8</v>
      </c>
      <c r="J36" s="49">
        <f>AVERAGE('29.07 Kinawataka-Kireka'!J36,'30.07 Kinawataka-Kireka'!J36,'31.07 Kinawataka-Kireka'!J36,'02.08 Kinawataka-Kireka'!J36,'01.08 Kinawataka-Kireka-24h'!J36,'03.08 Kinawataka-Kireka-24h'!J36,'04.08 Kinawataka-Kireka'!J36)</f>
        <v>3.8571428571428572</v>
      </c>
      <c r="K36" s="49">
        <f>AVERAGE('29.07 Kinawataka-Kireka'!K36,'30.07 Kinawataka-Kireka'!K36,'31.07 Kinawataka-Kireka'!K36,'02.08 Kinawataka-Kireka'!K36,'01.08 Kinawataka-Kireka-24h'!K36,'03.08 Kinawataka-Kireka-24h'!K36,'04.08 Kinawataka-Kireka'!K36)</f>
        <v>4.1428571428571432</v>
      </c>
      <c r="L36" s="49">
        <f>AVERAGE('29.07 Kinawataka-Kireka'!L36,'30.07 Kinawataka-Kireka'!L36,'31.07 Kinawataka-Kireka'!L36,'02.08 Kinawataka-Kireka'!L36,'01.08 Kinawataka-Kireka-24h'!L36,'03.08 Kinawataka-Kireka-24h'!L36,'04.08 Kinawataka-Kireka'!L36)</f>
        <v>3.8571428571428572</v>
      </c>
      <c r="M36" s="49">
        <f>AVERAGE('29.07 Kinawataka-Kireka'!M36,'30.07 Kinawataka-Kireka'!M36,'31.07 Kinawataka-Kireka'!M36,'02.08 Kinawataka-Kireka'!M36,'01.08 Kinawataka-Kireka-24h'!M36,'03.08 Kinawataka-Kireka-24h'!M36,'04.08 Kinawataka-Kireka'!M36)</f>
        <v>102</v>
      </c>
      <c r="N36" s="49">
        <f>AVERAGE('29.07 Kinawataka-Kireka'!N36,'30.07 Kinawataka-Kireka'!N36,'31.07 Kinawataka-Kireka'!N36,'02.08 Kinawataka-Kireka'!N36,'01.08 Kinawataka-Kireka-24h'!N36,'03.08 Kinawataka-Kireka-24h'!N36,'04.08 Kinawataka-Kireka'!N36)</f>
        <v>0</v>
      </c>
      <c r="O36" s="15">
        <f t="shared" si="0"/>
        <v>87.571428571428569</v>
      </c>
      <c r="P36" s="15">
        <f t="shared" si="1"/>
        <v>189.57142857142856</v>
      </c>
      <c r="R36" s="38" t="s">
        <v>92</v>
      </c>
      <c r="S36" s="39">
        <f t="shared" ref="S36:AF36" si="28">MAX(S19:S21)</f>
        <v>294.85714285714289</v>
      </c>
      <c r="T36" s="39">
        <f t="shared" si="28"/>
        <v>39</v>
      </c>
      <c r="U36" s="39">
        <f t="shared" si="28"/>
        <v>48.857142857142861</v>
      </c>
      <c r="V36" s="39">
        <f t="shared" si="28"/>
        <v>70.142857142857153</v>
      </c>
      <c r="W36" s="39">
        <f t="shared" si="28"/>
        <v>11</v>
      </c>
      <c r="X36" s="39">
        <f t="shared" si="28"/>
        <v>1.2857142857142856</v>
      </c>
      <c r="Y36" s="39">
        <f t="shared" si="28"/>
        <v>35.857142857142854</v>
      </c>
      <c r="Z36" s="39">
        <f t="shared" si="28"/>
        <v>22.857142857142858</v>
      </c>
      <c r="AA36" s="39">
        <f t="shared" si="28"/>
        <v>14</v>
      </c>
      <c r="AB36" s="39">
        <f t="shared" si="28"/>
        <v>17.428571428571427</v>
      </c>
      <c r="AC36" s="39">
        <f t="shared" si="28"/>
        <v>455.28571428571433</v>
      </c>
      <c r="AD36" s="39">
        <f t="shared" si="28"/>
        <v>0.2857142857142857</v>
      </c>
      <c r="AE36" s="40">
        <f t="shared" si="28"/>
        <v>526.85714285714289</v>
      </c>
      <c r="AF36" s="40">
        <f t="shared" si="28"/>
        <v>982.14285714285711</v>
      </c>
    </row>
    <row r="37" spans="2:32" ht="23.1" customHeight="1" x14ac:dyDescent="0.25">
      <c r="B37" s="23" t="s">
        <v>64</v>
      </c>
      <c r="C37" s="49">
        <f>AVERAGE('29.07 Kinawataka-Kireka'!C37,'30.07 Kinawataka-Kireka'!C37,'31.07 Kinawataka-Kireka'!C37,'02.08 Kinawataka-Kireka'!C37,'01.08 Kinawataka-Kireka-24h'!C37,'03.08 Kinawataka-Kireka-24h'!C37,'04.08 Kinawataka-Kireka'!C37)</f>
        <v>48.714285714285715</v>
      </c>
      <c r="D37" s="49">
        <f>AVERAGE('29.07 Kinawataka-Kireka'!D37,'30.07 Kinawataka-Kireka'!D37,'31.07 Kinawataka-Kireka'!D37,'02.08 Kinawataka-Kireka'!D37,'01.08 Kinawataka-Kireka-24h'!D37,'03.08 Kinawataka-Kireka-24h'!D37,'04.08 Kinawataka-Kireka'!D37)</f>
        <v>5.1428571428571432</v>
      </c>
      <c r="E37" s="49">
        <f>AVERAGE('29.07 Kinawataka-Kireka'!E37,'30.07 Kinawataka-Kireka'!E37,'31.07 Kinawataka-Kireka'!E37,'02.08 Kinawataka-Kireka'!E37,'01.08 Kinawataka-Kireka-24h'!E37,'03.08 Kinawataka-Kireka-24h'!E37,'04.08 Kinawataka-Kireka'!E37)</f>
        <v>6.2857142857142856</v>
      </c>
      <c r="F37" s="49">
        <f>AVERAGE('29.07 Kinawataka-Kireka'!F37,'30.07 Kinawataka-Kireka'!F37,'31.07 Kinawataka-Kireka'!F37,'02.08 Kinawataka-Kireka'!F37,'01.08 Kinawataka-Kireka-24h'!F37,'03.08 Kinawataka-Kireka-24h'!F37,'04.08 Kinawataka-Kireka'!F37)</f>
        <v>10</v>
      </c>
      <c r="G37" s="49">
        <f>AVERAGE('29.07 Kinawataka-Kireka'!G37,'30.07 Kinawataka-Kireka'!G37,'31.07 Kinawataka-Kireka'!G37,'02.08 Kinawataka-Kireka'!G37,'01.08 Kinawataka-Kireka-24h'!G37,'03.08 Kinawataka-Kireka-24h'!G37,'04.08 Kinawataka-Kireka'!G37)</f>
        <v>1.8571428571428572</v>
      </c>
      <c r="H37" s="49">
        <f>AVERAGE('29.07 Kinawataka-Kireka'!H37,'30.07 Kinawataka-Kireka'!H37,'31.07 Kinawataka-Kireka'!H37,'02.08 Kinawataka-Kireka'!H37,'01.08 Kinawataka-Kireka-24h'!H37,'03.08 Kinawataka-Kireka-24h'!H37,'04.08 Kinawataka-Kireka'!H37)</f>
        <v>0.2857142857142857</v>
      </c>
      <c r="I37" s="49">
        <f>AVERAGE('29.07 Kinawataka-Kireka'!I37,'30.07 Kinawataka-Kireka'!I37,'31.07 Kinawataka-Kireka'!I37,'02.08 Kinawataka-Kireka'!I37,'01.08 Kinawataka-Kireka-24h'!I37,'03.08 Kinawataka-Kireka-24h'!I37,'04.08 Kinawataka-Kireka'!I37)</f>
        <v>8.8571428571428577</v>
      </c>
      <c r="J37" s="49">
        <f>AVERAGE('29.07 Kinawataka-Kireka'!J37,'30.07 Kinawataka-Kireka'!J37,'31.07 Kinawataka-Kireka'!J37,'02.08 Kinawataka-Kireka'!J37,'01.08 Kinawataka-Kireka-24h'!J37,'03.08 Kinawataka-Kireka-24h'!J37,'04.08 Kinawataka-Kireka'!J37)</f>
        <v>5.2857142857142856</v>
      </c>
      <c r="K37" s="49">
        <f>AVERAGE('29.07 Kinawataka-Kireka'!K37,'30.07 Kinawataka-Kireka'!K37,'31.07 Kinawataka-Kireka'!K37,'02.08 Kinawataka-Kireka'!K37,'01.08 Kinawataka-Kireka-24h'!K37,'03.08 Kinawataka-Kireka-24h'!K37,'04.08 Kinawataka-Kireka'!K37)</f>
        <v>3.2857142857142856</v>
      </c>
      <c r="L37" s="49">
        <f>AVERAGE('29.07 Kinawataka-Kireka'!L37,'30.07 Kinawataka-Kireka'!L37,'31.07 Kinawataka-Kireka'!L37,'02.08 Kinawataka-Kireka'!L37,'01.08 Kinawataka-Kireka-24h'!L37,'03.08 Kinawataka-Kireka-24h'!L37,'04.08 Kinawataka-Kireka'!L37)</f>
        <v>4.5714285714285712</v>
      </c>
      <c r="M37" s="49">
        <f>AVERAGE('29.07 Kinawataka-Kireka'!M37,'30.07 Kinawataka-Kireka'!M37,'31.07 Kinawataka-Kireka'!M37,'02.08 Kinawataka-Kireka'!M37,'01.08 Kinawataka-Kireka-24h'!M37,'03.08 Kinawataka-Kireka-24h'!M37,'04.08 Kinawataka-Kireka'!M37)</f>
        <v>100.71428571428571</v>
      </c>
      <c r="N37" s="49">
        <f>AVERAGE('29.07 Kinawataka-Kireka'!N37,'30.07 Kinawataka-Kireka'!N37,'31.07 Kinawataka-Kireka'!N37,'02.08 Kinawataka-Kireka'!N37,'01.08 Kinawataka-Kireka-24h'!N37,'03.08 Kinawataka-Kireka-24h'!N37,'04.08 Kinawataka-Kireka'!N37)</f>
        <v>0.14285714285714285</v>
      </c>
      <c r="O37" s="15">
        <f t="shared" si="0"/>
        <v>94.428571428571445</v>
      </c>
      <c r="P37" s="15">
        <f t="shared" si="1"/>
        <v>195.14285714285714</v>
      </c>
      <c r="R37" s="37" t="s">
        <v>85</v>
      </c>
      <c r="S37" s="35">
        <f t="shared" ref="S37:AF37" si="29">SUM(S10:S12)</f>
        <v>307.71428571428567</v>
      </c>
      <c r="T37" s="16">
        <f t="shared" si="29"/>
        <v>45.571428571428569</v>
      </c>
      <c r="U37" s="16">
        <f t="shared" si="29"/>
        <v>50.714285714285715</v>
      </c>
      <c r="V37" s="16">
        <f t="shared" si="29"/>
        <v>191</v>
      </c>
      <c r="W37" s="16">
        <f t="shared" si="29"/>
        <v>18.714285714285712</v>
      </c>
      <c r="X37" s="16">
        <f t="shared" si="29"/>
        <v>1.1428571428571426</v>
      </c>
      <c r="Y37" s="16">
        <f t="shared" si="29"/>
        <v>55.142857142857146</v>
      </c>
      <c r="Z37" s="16">
        <f t="shared" si="29"/>
        <v>22.285714285714285</v>
      </c>
      <c r="AA37" s="16">
        <f t="shared" si="29"/>
        <v>12.571428571428573</v>
      </c>
      <c r="AB37" s="16">
        <f t="shared" si="29"/>
        <v>17.142857142857142</v>
      </c>
      <c r="AC37" s="16">
        <f t="shared" si="29"/>
        <v>1292.4285714285713</v>
      </c>
      <c r="AD37" s="16">
        <f t="shared" si="29"/>
        <v>0.2857142857142857</v>
      </c>
      <c r="AE37" s="32">
        <f t="shared" si="29"/>
        <v>722.28571428571433</v>
      </c>
      <c r="AF37" s="32">
        <f t="shared" si="29"/>
        <v>2014.7142857142856</v>
      </c>
    </row>
    <row r="38" spans="2:32" ht="23.1" customHeight="1" x14ac:dyDescent="0.25">
      <c r="B38" s="24" t="s">
        <v>65</v>
      </c>
      <c r="C38" s="49">
        <f>AVERAGE('29.07 Kinawataka-Kireka'!C38,'30.07 Kinawataka-Kireka'!C38,'31.07 Kinawataka-Kireka'!C38,'02.08 Kinawataka-Kireka'!C38,'01.08 Kinawataka-Kireka-24h'!C38,'03.08 Kinawataka-Kireka-24h'!C38,'04.08 Kinawataka-Kireka'!C38)</f>
        <v>53.571428571428569</v>
      </c>
      <c r="D38" s="49">
        <f>AVERAGE('29.07 Kinawataka-Kireka'!D38,'30.07 Kinawataka-Kireka'!D38,'31.07 Kinawataka-Kireka'!D38,'02.08 Kinawataka-Kireka'!D38,'01.08 Kinawataka-Kireka-24h'!D38,'03.08 Kinawataka-Kireka-24h'!D38,'04.08 Kinawataka-Kireka'!D38)</f>
        <v>3.8571428571428572</v>
      </c>
      <c r="E38" s="49">
        <f>AVERAGE('29.07 Kinawataka-Kireka'!E38,'30.07 Kinawataka-Kireka'!E38,'31.07 Kinawataka-Kireka'!E38,'02.08 Kinawataka-Kireka'!E38,'01.08 Kinawataka-Kireka-24h'!E38,'03.08 Kinawataka-Kireka-24h'!E38,'04.08 Kinawataka-Kireka'!E38)</f>
        <v>7.7142857142857144</v>
      </c>
      <c r="F38" s="49">
        <f>AVERAGE('29.07 Kinawataka-Kireka'!F38,'30.07 Kinawataka-Kireka'!F38,'31.07 Kinawataka-Kireka'!F38,'02.08 Kinawataka-Kireka'!F38,'01.08 Kinawataka-Kireka-24h'!F38,'03.08 Kinawataka-Kireka-24h'!F38,'04.08 Kinawataka-Kireka'!F38)</f>
        <v>11.142857142857142</v>
      </c>
      <c r="G38" s="49">
        <f>AVERAGE('29.07 Kinawataka-Kireka'!G38,'30.07 Kinawataka-Kireka'!G38,'31.07 Kinawataka-Kireka'!G38,'02.08 Kinawataka-Kireka'!G38,'01.08 Kinawataka-Kireka-24h'!G38,'03.08 Kinawataka-Kireka-24h'!G38,'04.08 Kinawataka-Kireka'!G38)</f>
        <v>1.8571428571428572</v>
      </c>
      <c r="H38" s="49">
        <f>AVERAGE('29.07 Kinawataka-Kireka'!H38,'30.07 Kinawataka-Kireka'!H38,'31.07 Kinawataka-Kireka'!H38,'02.08 Kinawataka-Kireka'!H38,'01.08 Kinawataka-Kireka-24h'!H38,'03.08 Kinawataka-Kireka-24h'!H38,'04.08 Kinawataka-Kireka'!H38)</f>
        <v>0</v>
      </c>
      <c r="I38" s="49">
        <f>AVERAGE('29.07 Kinawataka-Kireka'!I38,'30.07 Kinawataka-Kireka'!I38,'31.07 Kinawataka-Kireka'!I38,'02.08 Kinawataka-Kireka'!I38,'01.08 Kinawataka-Kireka-24h'!I38,'03.08 Kinawataka-Kireka-24h'!I38,'04.08 Kinawataka-Kireka'!I38)</f>
        <v>8.8571428571428577</v>
      </c>
      <c r="J38" s="49">
        <f>AVERAGE('29.07 Kinawataka-Kireka'!J38,'30.07 Kinawataka-Kireka'!J38,'31.07 Kinawataka-Kireka'!J38,'02.08 Kinawataka-Kireka'!J38,'01.08 Kinawataka-Kireka-24h'!J38,'03.08 Kinawataka-Kireka-24h'!J38,'04.08 Kinawataka-Kireka'!J38)</f>
        <v>3.5714285714285716</v>
      </c>
      <c r="K38" s="49">
        <f>AVERAGE('29.07 Kinawataka-Kireka'!K38,'30.07 Kinawataka-Kireka'!K38,'31.07 Kinawataka-Kireka'!K38,'02.08 Kinawataka-Kireka'!K38,'01.08 Kinawataka-Kireka-24h'!K38,'03.08 Kinawataka-Kireka-24h'!K38,'04.08 Kinawataka-Kireka'!K38)</f>
        <v>2.2857142857142856</v>
      </c>
      <c r="L38" s="49">
        <f>AVERAGE('29.07 Kinawataka-Kireka'!L38,'30.07 Kinawataka-Kireka'!L38,'31.07 Kinawataka-Kireka'!L38,'02.08 Kinawataka-Kireka'!L38,'01.08 Kinawataka-Kireka-24h'!L38,'03.08 Kinawataka-Kireka-24h'!L38,'04.08 Kinawataka-Kireka'!L38)</f>
        <v>4.5714285714285712</v>
      </c>
      <c r="M38" s="49">
        <f>AVERAGE('29.07 Kinawataka-Kireka'!M38,'30.07 Kinawataka-Kireka'!M38,'31.07 Kinawataka-Kireka'!M38,'02.08 Kinawataka-Kireka'!M38,'01.08 Kinawataka-Kireka-24h'!M38,'03.08 Kinawataka-Kireka-24h'!M38,'04.08 Kinawataka-Kireka'!M38)</f>
        <v>98.142857142857139</v>
      </c>
      <c r="N38" s="49">
        <f>AVERAGE('29.07 Kinawataka-Kireka'!N38,'30.07 Kinawataka-Kireka'!N38,'31.07 Kinawataka-Kireka'!N38,'02.08 Kinawataka-Kireka'!N38,'01.08 Kinawataka-Kireka-24h'!N38,'03.08 Kinawataka-Kireka-24h'!N38,'04.08 Kinawataka-Kireka'!N38)</f>
        <v>0</v>
      </c>
      <c r="O38" s="15">
        <f t="shared" si="0"/>
        <v>97.428571428571431</v>
      </c>
      <c r="P38" s="15">
        <f t="shared" si="1"/>
        <v>195.57142857142856</v>
      </c>
      <c r="R38" s="28" t="s">
        <v>86</v>
      </c>
      <c r="S38" s="16">
        <f t="shared" ref="S38:AF38" si="30">SUM(S13:S18)</f>
        <v>1115</v>
      </c>
      <c r="T38" s="16">
        <f t="shared" si="30"/>
        <v>128</v>
      </c>
      <c r="U38" s="16">
        <f t="shared" si="30"/>
        <v>160.28571428571428</v>
      </c>
      <c r="V38" s="16">
        <f t="shared" si="30"/>
        <v>316.42857142857144</v>
      </c>
      <c r="W38" s="16">
        <f t="shared" si="30"/>
        <v>40.142857142857139</v>
      </c>
      <c r="X38" s="16">
        <f t="shared" si="30"/>
        <v>2.714285714285714</v>
      </c>
      <c r="Y38" s="16">
        <f t="shared" si="30"/>
        <v>210.42857142857144</v>
      </c>
      <c r="Z38" s="16">
        <f t="shared" si="30"/>
        <v>105.28571428571428</v>
      </c>
      <c r="AA38" s="16">
        <f t="shared" si="30"/>
        <v>64.428571428571416</v>
      </c>
      <c r="AB38" s="16">
        <f t="shared" si="30"/>
        <v>105.71428571428572</v>
      </c>
      <c r="AC38" s="16">
        <f t="shared" si="30"/>
        <v>2561.4285714285716</v>
      </c>
      <c r="AD38" s="16">
        <f t="shared" si="30"/>
        <v>0.5714285714285714</v>
      </c>
      <c r="AE38" s="32">
        <f t="shared" si="30"/>
        <v>2249</v>
      </c>
      <c r="AF38" s="32">
        <f t="shared" si="30"/>
        <v>4810.4285714285716</v>
      </c>
    </row>
    <row r="39" spans="2:32" ht="23.1" customHeight="1" x14ac:dyDescent="0.25">
      <c r="B39" s="24" t="s">
        <v>66</v>
      </c>
      <c r="C39" s="49">
        <f>AVERAGE('29.07 Kinawataka-Kireka'!C39,'30.07 Kinawataka-Kireka'!C39,'31.07 Kinawataka-Kireka'!C39,'02.08 Kinawataka-Kireka'!C39,'01.08 Kinawataka-Kireka-24h'!C39,'03.08 Kinawataka-Kireka-24h'!C39,'04.08 Kinawataka-Kireka'!C39)</f>
        <v>51.857142857142854</v>
      </c>
      <c r="D39" s="49">
        <f>AVERAGE('29.07 Kinawataka-Kireka'!D39,'30.07 Kinawataka-Kireka'!D39,'31.07 Kinawataka-Kireka'!D39,'02.08 Kinawataka-Kireka'!D39,'01.08 Kinawataka-Kireka-24h'!D39,'03.08 Kinawataka-Kireka-24h'!D39,'04.08 Kinawataka-Kireka'!D39)</f>
        <v>4.5714285714285712</v>
      </c>
      <c r="E39" s="49">
        <f>AVERAGE('29.07 Kinawataka-Kireka'!E39,'30.07 Kinawataka-Kireka'!E39,'31.07 Kinawataka-Kireka'!E39,'02.08 Kinawataka-Kireka'!E39,'01.08 Kinawataka-Kireka-24h'!E39,'03.08 Kinawataka-Kireka-24h'!E39,'04.08 Kinawataka-Kireka'!E39)</f>
        <v>5.4285714285714288</v>
      </c>
      <c r="F39" s="49">
        <f>AVERAGE('29.07 Kinawataka-Kireka'!F39,'30.07 Kinawataka-Kireka'!F39,'31.07 Kinawataka-Kireka'!F39,'02.08 Kinawataka-Kireka'!F39,'01.08 Kinawataka-Kireka-24h'!F39,'03.08 Kinawataka-Kireka-24h'!F39,'04.08 Kinawataka-Kireka'!F39)</f>
        <v>11.285714285714286</v>
      </c>
      <c r="G39" s="49">
        <f>AVERAGE('29.07 Kinawataka-Kireka'!G39,'30.07 Kinawataka-Kireka'!G39,'31.07 Kinawataka-Kireka'!G39,'02.08 Kinawataka-Kireka'!G39,'01.08 Kinawataka-Kireka-24h'!G39,'03.08 Kinawataka-Kireka-24h'!G39,'04.08 Kinawataka-Kireka'!G39)</f>
        <v>1.2857142857142858</v>
      </c>
      <c r="H39" s="49">
        <f>AVERAGE('29.07 Kinawataka-Kireka'!H39,'30.07 Kinawataka-Kireka'!H39,'31.07 Kinawataka-Kireka'!H39,'02.08 Kinawataka-Kireka'!H39,'01.08 Kinawataka-Kireka-24h'!H39,'03.08 Kinawataka-Kireka-24h'!H39,'04.08 Kinawataka-Kireka'!H39)</f>
        <v>0.2857142857142857</v>
      </c>
      <c r="I39" s="49">
        <f>AVERAGE('29.07 Kinawataka-Kireka'!I39,'30.07 Kinawataka-Kireka'!I39,'31.07 Kinawataka-Kireka'!I39,'02.08 Kinawataka-Kireka'!I39,'01.08 Kinawataka-Kireka-24h'!I39,'03.08 Kinawataka-Kireka-24h'!I39,'04.08 Kinawataka-Kireka'!I39)</f>
        <v>9</v>
      </c>
      <c r="J39" s="49">
        <f>AVERAGE('29.07 Kinawataka-Kireka'!J39,'30.07 Kinawataka-Kireka'!J39,'31.07 Kinawataka-Kireka'!J39,'02.08 Kinawataka-Kireka'!J39,'01.08 Kinawataka-Kireka-24h'!J39,'03.08 Kinawataka-Kireka-24h'!J39,'04.08 Kinawataka-Kireka'!J39)</f>
        <v>3.8571428571428572</v>
      </c>
      <c r="K39" s="49">
        <f>AVERAGE('29.07 Kinawataka-Kireka'!K39,'30.07 Kinawataka-Kireka'!K39,'31.07 Kinawataka-Kireka'!K39,'02.08 Kinawataka-Kireka'!K39,'01.08 Kinawataka-Kireka-24h'!K39,'03.08 Kinawataka-Kireka-24h'!K39,'04.08 Kinawataka-Kireka'!K39)</f>
        <v>2.8571428571428572</v>
      </c>
      <c r="L39" s="49">
        <f>AVERAGE('29.07 Kinawataka-Kireka'!L39,'30.07 Kinawataka-Kireka'!L39,'31.07 Kinawataka-Kireka'!L39,'02.08 Kinawataka-Kireka'!L39,'01.08 Kinawataka-Kireka-24h'!L39,'03.08 Kinawataka-Kireka-24h'!L39,'04.08 Kinawataka-Kireka'!L39)</f>
        <v>3.7142857142857144</v>
      </c>
      <c r="M39" s="49">
        <f>AVERAGE('29.07 Kinawataka-Kireka'!M39,'30.07 Kinawataka-Kireka'!M39,'31.07 Kinawataka-Kireka'!M39,'02.08 Kinawataka-Kireka'!M39,'01.08 Kinawataka-Kireka-24h'!M39,'03.08 Kinawataka-Kireka-24h'!M39,'04.08 Kinawataka-Kireka'!M39)</f>
        <v>91.714285714285708</v>
      </c>
      <c r="N39" s="49">
        <f>AVERAGE('29.07 Kinawataka-Kireka'!N39,'30.07 Kinawataka-Kireka'!N39,'31.07 Kinawataka-Kireka'!N39,'02.08 Kinawataka-Kireka'!N39,'01.08 Kinawataka-Kireka-24h'!N39,'03.08 Kinawataka-Kireka-24h'!N39,'04.08 Kinawataka-Kireka'!N39)</f>
        <v>0</v>
      </c>
      <c r="O39" s="15">
        <f t="shared" si="0"/>
        <v>94.142857142857153</v>
      </c>
      <c r="P39" s="15">
        <f t="shared" si="1"/>
        <v>185.85714285714286</v>
      </c>
      <c r="R39" s="29" t="s">
        <v>87</v>
      </c>
      <c r="S39" s="16">
        <f t="shared" ref="S39:AF39" si="31">SUM(S19:S21)</f>
        <v>868.71428571428567</v>
      </c>
      <c r="T39" s="16">
        <f t="shared" si="31"/>
        <v>109.42857142857143</v>
      </c>
      <c r="U39" s="16">
        <f t="shared" si="31"/>
        <v>129.28571428571428</v>
      </c>
      <c r="V39" s="16">
        <f t="shared" si="31"/>
        <v>183.28571428571428</v>
      </c>
      <c r="W39" s="16">
        <f t="shared" si="31"/>
        <v>28.428571428571427</v>
      </c>
      <c r="X39" s="16">
        <f t="shared" si="31"/>
        <v>2.2857142857142856</v>
      </c>
      <c r="Y39" s="16">
        <f t="shared" si="31"/>
        <v>89.714285714285708</v>
      </c>
      <c r="Z39" s="16">
        <f t="shared" si="31"/>
        <v>54.571428571428569</v>
      </c>
      <c r="AA39" s="16">
        <f t="shared" si="31"/>
        <v>30.285714285714285</v>
      </c>
      <c r="AB39" s="16">
        <f t="shared" si="31"/>
        <v>48</v>
      </c>
      <c r="AC39" s="16">
        <f t="shared" si="31"/>
        <v>1331.5714285714287</v>
      </c>
      <c r="AD39" s="16">
        <f t="shared" si="31"/>
        <v>0.5714285714285714</v>
      </c>
      <c r="AE39" s="32">
        <f t="shared" si="31"/>
        <v>1544.5714285714284</v>
      </c>
      <c r="AF39" s="32">
        <f t="shared" si="31"/>
        <v>2876.1428571428569</v>
      </c>
    </row>
    <row r="40" spans="2:32" ht="23.1" customHeight="1" x14ac:dyDescent="0.25">
      <c r="B40" s="24" t="s">
        <v>67</v>
      </c>
      <c r="C40" s="49">
        <f>AVERAGE('29.07 Kinawataka-Kireka'!C40,'30.07 Kinawataka-Kireka'!C40,'31.07 Kinawataka-Kireka'!C40,'02.08 Kinawataka-Kireka'!C40,'01.08 Kinawataka-Kireka-24h'!C40,'03.08 Kinawataka-Kireka-24h'!C40,'04.08 Kinawataka-Kireka'!C40)</f>
        <v>45.857142857142854</v>
      </c>
      <c r="D40" s="49">
        <f>AVERAGE('29.07 Kinawataka-Kireka'!D40,'30.07 Kinawataka-Kireka'!D40,'31.07 Kinawataka-Kireka'!D40,'02.08 Kinawataka-Kireka'!D40,'01.08 Kinawataka-Kireka-24h'!D40,'03.08 Kinawataka-Kireka-24h'!D40,'04.08 Kinawataka-Kireka'!D40)</f>
        <v>6.1428571428571432</v>
      </c>
      <c r="E40" s="49">
        <f>AVERAGE('29.07 Kinawataka-Kireka'!E40,'30.07 Kinawataka-Kireka'!E40,'31.07 Kinawataka-Kireka'!E40,'02.08 Kinawataka-Kireka'!E40,'01.08 Kinawataka-Kireka-24h'!E40,'03.08 Kinawataka-Kireka-24h'!E40,'04.08 Kinawataka-Kireka'!E40)</f>
        <v>6.2857142857142856</v>
      </c>
      <c r="F40" s="49">
        <f>AVERAGE('29.07 Kinawataka-Kireka'!F40,'30.07 Kinawataka-Kireka'!F40,'31.07 Kinawataka-Kireka'!F40,'02.08 Kinawataka-Kireka'!F40,'01.08 Kinawataka-Kireka-24h'!F40,'03.08 Kinawataka-Kireka-24h'!F40,'04.08 Kinawataka-Kireka'!F40)</f>
        <v>11.714285714285714</v>
      </c>
      <c r="G40" s="49">
        <f>AVERAGE('29.07 Kinawataka-Kireka'!G40,'30.07 Kinawataka-Kireka'!G40,'31.07 Kinawataka-Kireka'!G40,'02.08 Kinawataka-Kireka'!G40,'01.08 Kinawataka-Kireka-24h'!G40,'03.08 Kinawataka-Kireka-24h'!G40,'04.08 Kinawataka-Kireka'!G40)</f>
        <v>2</v>
      </c>
      <c r="H40" s="49">
        <f>AVERAGE('29.07 Kinawataka-Kireka'!H40,'30.07 Kinawataka-Kireka'!H40,'31.07 Kinawataka-Kireka'!H40,'02.08 Kinawataka-Kireka'!H40,'01.08 Kinawataka-Kireka-24h'!H40,'03.08 Kinawataka-Kireka-24h'!H40,'04.08 Kinawataka-Kireka'!H40)</f>
        <v>0</v>
      </c>
      <c r="I40" s="49">
        <f>AVERAGE('29.07 Kinawataka-Kireka'!I40,'30.07 Kinawataka-Kireka'!I40,'31.07 Kinawataka-Kireka'!I40,'02.08 Kinawataka-Kireka'!I40,'01.08 Kinawataka-Kireka-24h'!I40,'03.08 Kinawataka-Kireka-24h'!I40,'04.08 Kinawataka-Kireka'!I40)</f>
        <v>8</v>
      </c>
      <c r="J40" s="49">
        <f>AVERAGE('29.07 Kinawataka-Kireka'!J40,'30.07 Kinawataka-Kireka'!J40,'31.07 Kinawataka-Kireka'!J40,'02.08 Kinawataka-Kireka'!J40,'01.08 Kinawataka-Kireka-24h'!J40,'03.08 Kinawataka-Kireka-24h'!J40,'04.08 Kinawataka-Kireka'!J40)</f>
        <v>5.5714285714285712</v>
      </c>
      <c r="K40" s="49">
        <f>AVERAGE('29.07 Kinawataka-Kireka'!K40,'30.07 Kinawataka-Kireka'!K40,'31.07 Kinawataka-Kireka'!K40,'02.08 Kinawataka-Kireka'!K40,'01.08 Kinawataka-Kireka-24h'!K40,'03.08 Kinawataka-Kireka-24h'!K40,'04.08 Kinawataka-Kireka'!K40)</f>
        <v>2</v>
      </c>
      <c r="L40" s="49">
        <f>AVERAGE('29.07 Kinawataka-Kireka'!L40,'30.07 Kinawataka-Kireka'!L40,'31.07 Kinawataka-Kireka'!L40,'02.08 Kinawataka-Kireka'!L40,'01.08 Kinawataka-Kireka-24h'!L40,'03.08 Kinawataka-Kireka-24h'!L40,'04.08 Kinawataka-Kireka'!L40)</f>
        <v>4.8571428571428568</v>
      </c>
      <c r="M40" s="49">
        <f>AVERAGE('29.07 Kinawataka-Kireka'!M40,'30.07 Kinawataka-Kireka'!M40,'31.07 Kinawataka-Kireka'!M40,'02.08 Kinawataka-Kireka'!M40,'01.08 Kinawataka-Kireka-24h'!M40,'03.08 Kinawataka-Kireka-24h'!M40,'04.08 Kinawataka-Kireka'!M40)</f>
        <v>97.142857142857139</v>
      </c>
      <c r="N40" s="49">
        <f>AVERAGE('29.07 Kinawataka-Kireka'!N40,'30.07 Kinawataka-Kireka'!N40,'31.07 Kinawataka-Kireka'!N40,'02.08 Kinawataka-Kireka'!N40,'01.08 Kinawataka-Kireka-24h'!N40,'03.08 Kinawataka-Kireka-24h'!N40,'04.08 Kinawataka-Kireka'!N40)</f>
        <v>0</v>
      </c>
      <c r="O40" s="15">
        <f t="shared" si="0"/>
        <v>92.428571428571431</v>
      </c>
      <c r="P40" s="15">
        <f t="shared" si="1"/>
        <v>189.57142857142856</v>
      </c>
      <c r="R40" s="5" t="s">
        <v>17</v>
      </c>
      <c r="S40" s="16">
        <f t="shared" ref="S40:AF40" si="32">SUM(S10:S21)</f>
        <v>2291.4285714285716</v>
      </c>
      <c r="T40" s="16">
        <f t="shared" si="32"/>
        <v>283</v>
      </c>
      <c r="U40" s="16">
        <f t="shared" si="32"/>
        <v>340.28571428571428</v>
      </c>
      <c r="V40" s="16">
        <f t="shared" si="32"/>
        <v>690.71428571428578</v>
      </c>
      <c r="W40" s="16">
        <f t="shared" si="32"/>
        <v>87.285714285714278</v>
      </c>
      <c r="X40" s="16">
        <f t="shared" si="32"/>
        <v>6.1428571428571415</v>
      </c>
      <c r="Y40" s="16">
        <f t="shared" si="32"/>
        <v>355.28571428571422</v>
      </c>
      <c r="Z40" s="16">
        <f t="shared" si="32"/>
        <v>182.14285714285717</v>
      </c>
      <c r="AA40" s="16">
        <f t="shared" si="32"/>
        <v>107.28571428571428</v>
      </c>
      <c r="AB40" s="16">
        <f t="shared" si="32"/>
        <v>170.85714285714286</v>
      </c>
      <c r="AC40" s="16">
        <f t="shared" si="32"/>
        <v>5185.4285714285716</v>
      </c>
      <c r="AD40" s="16">
        <f t="shared" si="32"/>
        <v>1.4285714285714284</v>
      </c>
      <c r="AE40" s="32">
        <f t="shared" si="32"/>
        <v>4515.8571428571431</v>
      </c>
      <c r="AF40" s="32">
        <f t="shared" si="32"/>
        <v>9701.2857142857138</v>
      </c>
    </row>
    <row r="41" spans="2:32" ht="23.1" customHeight="1" x14ac:dyDescent="0.25">
      <c r="B41" s="23" t="s">
        <v>68</v>
      </c>
      <c r="C41" s="49">
        <f>AVERAGE('29.07 Kinawataka-Kireka'!C41,'30.07 Kinawataka-Kireka'!C41,'31.07 Kinawataka-Kireka'!C41,'02.08 Kinawataka-Kireka'!C41,'01.08 Kinawataka-Kireka-24h'!C41,'03.08 Kinawataka-Kireka-24h'!C41,'04.08 Kinawataka-Kireka'!C41)</f>
        <v>50.285714285714285</v>
      </c>
      <c r="D41" s="49">
        <f>AVERAGE('29.07 Kinawataka-Kireka'!D41,'30.07 Kinawataka-Kireka'!D41,'31.07 Kinawataka-Kireka'!D41,'02.08 Kinawataka-Kireka'!D41,'01.08 Kinawataka-Kireka-24h'!D41,'03.08 Kinawataka-Kireka-24h'!D41,'04.08 Kinawataka-Kireka'!D41)</f>
        <v>4.1428571428571432</v>
      </c>
      <c r="E41" s="49">
        <f>AVERAGE('29.07 Kinawataka-Kireka'!E41,'30.07 Kinawataka-Kireka'!E41,'31.07 Kinawataka-Kireka'!E41,'02.08 Kinawataka-Kireka'!E41,'01.08 Kinawataka-Kireka-24h'!E41,'03.08 Kinawataka-Kireka-24h'!E41,'04.08 Kinawataka-Kireka'!E41)</f>
        <v>8.1428571428571423</v>
      </c>
      <c r="F41" s="49">
        <f>AVERAGE('29.07 Kinawataka-Kireka'!F41,'30.07 Kinawataka-Kireka'!F41,'31.07 Kinawataka-Kireka'!F41,'02.08 Kinawataka-Kireka'!F41,'01.08 Kinawataka-Kireka-24h'!F41,'03.08 Kinawataka-Kireka-24h'!F41,'04.08 Kinawataka-Kireka'!F41)</f>
        <v>9.8571428571428577</v>
      </c>
      <c r="G41" s="49">
        <f>AVERAGE('29.07 Kinawataka-Kireka'!G41,'30.07 Kinawataka-Kireka'!G41,'31.07 Kinawataka-Kireka'!G41,'02.08 Kinawataka-Kireka'!G41,'01.08 Kinawataka-Kireka-24h'!G41,'03.08 Kinawataka-Kireka-24h'!G41,'04.08 Kinawataka-Kireka'!G41)</f>
        <v>2.1428571428571428</v>
      </c>
      <c r="H41" s="49">
        <f>AVERAGE('29.07 Kinawataka-Kireka'!H41,'30.07 Kinawataka-Kireka'!H41,'31.07 Kinawataka-Kireka'!H41,'02.08 Kinawataka-Kireka'!H41,'01.08 Kinawataka-Kireka-24h'!H41,'03.08 Kinawataka-Kireka-24h'!H41,'04.08 Kinawataka-Kireka'!H41)</f>
        <v>0.14285714285714285</v>
      </c>
      <c r="I41" s="49">
        <f>AVERAGE('29.07 Kinawataka-Kireka'!I41,'30.07 Kinawataka-Kireka'!I41,'31.07 Kinawataka-Kireka'!I41,'02.08 Kinawataka-Kireka'!I41,'01.08 Kinawataka-Kireka-24h'!I41,'03.08 Kinawataka-Kireka-24h'!I41,'04.08 Kinawataka-Kireka'!I41)</f>
        <v>8.4285714285714288</v>
      </c>
      <c r="J41" s="49">
        <f>AVERAGE('29.07 Kinawataka-Kireka'!J41,'30.07 Kinawataka-Kireka'!J41,'31.07 Kinawataka-Kireka'!J41,'02.08 Kinawataka-Kireka'!J41,'01.08 Kinawataka-Kireka-24h'!J41,'03.08 Kinawataka-Kireka-24h'!J41,'04.08 Kinawataka-Kireka'!J41)</f>
        <v>4.8571428571428568</v>
      </c>
      <c r="K41" s="49">
        <f>AVERAGE('29.07 Kinawataka-Kireka'!K41,'30.07 Kinawataka-Kireka'!K41,'31.07 Kinawataka-Kireka'!K41,'02.08 Kinawataka-Kireka'!K41,'01.08 Kinawataka-Kireka-24h'!K41,'03.08 Kinawataka-Kireka-24h'!K41,'04.08 Kinawataka-Kireka'!K41)</f>
        <v>2.1428571428571428</v>
      </c>
      <c r="L41" s="49">
        <f>AVERAGE('29.07 Kinawataka-Kireka'!L41,'30.07 Kinawataka-Kireka'!L41,'31.07 Kinawataka-Kireka'!L41,'02.08 Kinawataka-Kireka'!L41,'01.08 Kinawataka-Kireka-24h'!L41,'03.08 Kinawataka-Kireka-24h'!L41,'04.08 Kinawataka-Kireka'!L41)</f>
        <v>5.5714285714285712</v>
      </c>
      <c r="M41" s="49">
        <f>AVERAGE('29.07 Kinawataka-Kireka'!M41,'30.07 Kinawataka-Kireka'!M41,'31.07 Kinawataka-Kireka'!M41,'02.08 Kinawataka-Kireka'!M41,'01.08 Kinawataka-Kireka-24h'!M41,'03.08 Kinawataka-Kireka-24h'!M41,'04.08 Kinawataka-Kireka'!M41)</f>
        <v>97.857142857142861</v>
      </c>
      <c r="N41" s="49">
        <f>AVERAGE('29.07 Kinawataka-Kireka'!N41,'30.07 Kinawataka-Kireka'!N41,'31.07 Kinawataka-Kireka'!N41,'02.08 Kinawataka-Kireka'!N41,'01.08 Kinawataka-Kireka-24h'!N41,'03.08 Kinawataka-Kireka-24h'!N41,'04.08 Kinawataka-Kireka'!N41)</f>
        <v>0</v>
      </c>
      <c r="O41" s="15">
        <f t="shared" si="0"/>
        <v>95.714285714285708</v>
      </c>
      <c r="P41" s="15">
        <f t="shared" si="1"/>
        <v>193.57142857142856</v>
      </c>
      <c r="R41" s="5" t="s">
        <v>180</v>
      </c>
      <c r="S41" s="16">
        <f>SUM(S10:S33)</f>
        <v>3947.9285714285716</v>
      </c>
      <c r="T41" s="16">
        <f t="shared" ref="T41:AD41" si="33">SUM(T10:T33)</f>
        <v>445</v>
      </c>
      <c r="U41" s="16">
        <f t="shared" si="33"/>
        <v>480.78571428571428</v>
      </c>
      <c r="V41" s="16">
        <f t="shared" si="33"/>
        <v>1012.2142857142858</v>
      </c>
      <c r="W41" s="16">
        <f t="shared" si="33"/>
        <v>147.28571428571428</v>
      </c>
      <c r="X41" s="16">
        <f t="shared" si="33"/>
        <v>8.6428571428571423</v>
      </c>
      <c r="Y41" s="16">
        <f t="shared" si="33"/>
        <v>441.78571428571422</v>
      </c>
      <c r="Z41" s="16">
        <f t="shared" si="33"/>
        <v>246.64285714285717</v>
      </c>
      <c r="AA41" s="16">
        <f t="shared" si="33"/>
        <v>129.28571428571428</v>
      </c>
      <c r="AB41" s="16">
        <f t="shared" si="33"/>
        <v>202.35714285714286</v>
      </c>
      <c r="AC41" s="16">
        <f t="shared" si="33"/>
        <v>8944.9285714285725</v>
      </c>
      <c r="AD41" s="16">
        <f t="shared" si="33"/>
        <v>1.4285714285714284</v>
      </c>
      <c r="AE41" s="32">
        <f>SUM(AE10:AE33)</f>
        <v>7063.3571428571431</v>
      </c>
      <c r="AF41" s="32">
        <f>SUM(AF10:AF33)</f>
        <v>16008.285714285714</v>
      </c>
    </row>
    <row r="42" spans="2:32" ht="23.1" customHeight="1" x14ac:dyDescent="0.25">
      <c r="B42" s="24" t="s">
        <v>69</v>
      </c>
      <c r="C42" s="49">
        <f>AVERAGE('29.07 Kinawataka-Kireka'!C42,'30.07 Kinawataka-Kireka'!C42,'31.07 Kinawataka-Kireka'!C42,'02.08 Kinawataka-Kireka'!C42,'01.08 Kinawataka-Kireka-24h'!C42,'03.08 Kinawataka-Kireka-24h'!C42,'04.08 Kinawataka-Kireka'!C42)</f>
        <v>62.857142857142854</v>
      </c>
      <c r="D42" s="49">
        <f>AVERAGE('29.07 Kinawataka-Kireka'!D42,'30.07 Kinawataka-Kireka'!D42,'31.07 Kinawataka-Kireka'!D42,'02.08 Kinawataka-Kireka'!D42,'01.08 Kinawataka-Kireka-24h'!D42,'03.08 Kinawataka-Kireka-24h'!D42,'04.08 Kinawataka-Kireka'!D42)</f>
        <v>7.1428571428571432</v>
      </c>
      <c r="E42" s="49">
        <f>AVERAGE('29.07 Kinawataka-Kireka'!E42,'30.07 Kinawataka-Kireka'!E42,'31.07 Kinawataka-Kireka'!E42,'02.08 Kinawataka-Kireka'!E42,'01.08 Kinawataka-Kireka-24h'!E42,'03.08 Kinawataka-Kireka-24h'!E42,'04.08 Kinawataka-Kireka'!E42)</f>
        <v>8.7142857142857135</v>
      </c>
      <c r="F42" s="49">
        <f>AVERAGE('29.07 Kinawataka-Kireka'!F42,'30.07 Kinawataka-Kireka'!F42,'31.07 Kinawataka-Kireka'!F42,'02.08 Kinawataka-Kireka'!F42,'01.08 Kinawataka-Kireka-24h'!F42,'03.08 Kinawataka-Kireka-24h'!F42,'04.08 Kinawataka-Kireka'!F42)</f>
        <v>13</v>
      </c>
      <c r="G42" s="49">
        <f>AVERAGE('29.07 Kinawataka-Kireka'!G42,'30.07 Kinawataka-Kireka'!G42,'31.07 Kinawataka-Kireka'!G42,'02.08 Kinawataka-Kireka'!G42,'01.08 Kinawataka-Kireka-24h'!G42,'03.08 Kinawataka-Kireka-24h'!G42,'04.08 Kinawataka-Kireka'!G42)</f>
        <v>1.2857142857142858</v>
      </c>
      <c r="H42" s="49">
        <f>AVERAGE('29.07 Kinawataka-Kireka'!H42,'30.07 Kinawataka-Kireka'!H42,'31.07 Kinawataka-Kireka'!H42,'02.08 Kinawataka-Kireka'!H42,'01.08 Kinawataka-Kireka-24h'!H42,'03.08 Kinawataka-Kireka-24h'!H42,'04.08 Kinawataka-Kireka'!H42)</f>
        <v>0.14285714285714285</v>
      </c>
      <c r="I42" s="49">
        <f>AVERAGE('29.07 Kinawataka-Kireka'!I42,'30.07 Kinawataka-Kireka'!I42,'31.07 Kinawataka-Kireka'!I42,'02.08 Kinawataka-Kireka'!I42,'01.08 Kinawataka-Kireka-24h'!I42,'03.08 Kinawataka-Kireka-24h'!I42,'04.08 Kinawataka-Kireka'!I42)</f>
        <v>11</v>
      </c>
      <c r="J42" s="49">
        <f>AVERAGE('29.07 Kinawataka-Kireka'!J42,'30.07 Kinawataka-Kireka'!J42,'31.07 Kinawataka-Kireka'!J42,'02.08 Kinawataka-Kireka'!J42,'01.08 Kinawataka-Kireka-24h'!J42,'03.08 Kinawataka-Kireka-24h'!J42,'04.08 Kinawataka-Kireka'!J42)</f>
        <v>4.8571428571428568</v>
      </c>
      <c r="K42" s="49">
        <f>AVERAGE('29.07 Kinawataka-Kireka'!K42,'30.07 Kinawataka-Kireka'!K42,'31.07 Kinawataka-Kireka'!K42,'02.08 Kinawataka-Kireka'!K42,'01.08 Kinawataka-Kireka-24h'!K42,'03.08 Kinawataka-Kireka-24h'!K42,'04.08 Kinawataka-Kireka'!K42)</f>
        <v>1.5714285714285714</v>
      </c>
      <c r="L42" s="49">
        <f>AVERAGE('29.07 Kinawataka-Kireka'!L42,'30.07 Kinawataka-Kireka'!L42,'31.07 Kinawataka-Kireka'!L42,'02.08 Kinawataka-Kireka'!L42,'01.08 Kinawataka-Kireka-24h'!L42,'03.08 Kinawataka-Kireka-24h'!L42,'04.08 Kinawataka-Kireka'!L42)</f>
        <v>5.4285714285714288</v>
      </c>
      <c r="M42" s="49">
        <f>AVERAGE('29.07 Kinawataka-Kireka'!M42,'30.07 Kinawataka-Kireka'!M42,'31.07 Kinawataka-Kireka'!M42,'02.08 Kinawataka-Kireka'!M42,'01.08 Kinawataka-Kireka-24h'!M42,'03.08 Kinawataka-Kireka-24h'!M42,'04.08 Kinawataka-Kireka'!M42)</f>
        <v>121.71428571428571</v>
      </c>
      <c r="N42" s="49">
        <f>AVERAGE('29.07 Kinawataka-Kireka'!N42,'30.07 Kinawataka-Kireka'!N42,'31.07 Kinawataka-Kireka'!N42,'02.08 Kinawataka-Kireka'!N42,'01.08 Kinawataka-Kireka-24h'!N42,'03.08 Kinawataka-Kireka-24h'!N42,'04.08 Kinawataka-Kireka'!N42)</f>
        <v>0</v>
      </c>
      <c r="O42" s="15">
        <f t="shared" si="0"/>
        <v>116</v>
      </c>
      <c r="P42" s="15">
        <f t="shared" si="1"/>
        <v>237.71428571428572</v>
      </c>
      <c r="R42" s="5" t="s">
        <v>160</v>
      </c>
      <c r="S42" s="48">
        <f>S41/S40</f>
        <v>1.7229114713216958</v>
      </c>
      <c r="T42" s="48">
        <f t="shared" ref="T42:AF42" si="34">T41/T40</f>
        <v>1.5724381625441697</v>
      </c>
      <c r="U42" s="48">
        <f t="shared" si="34"/>
        <v>1.4128883291351806</v>
      </c>
      <c r="V42" s="48">
        <f t="shared" si="34"/>
        <v>1.4654601861427095</v>
      </c>
      <c r="W42" s="48">
        <f t="shared" si="34"/>
        <v>1.6873977086743044</v>
      </c>
      <c r="X42" s="48">
        <f t="shared" si="34"/>
        <v>1.4069767441860468</v>
      </c>
      <c r="Y42" s="48">
        <f t="shared" si="34"/>
        <v>1.2434660233212707</v>
      </c>
      <c r="Z42" s="48">
        <f t="shared" si="34"/>
        <v>1.3541176470588234</v>
      </c>
      <c r="AA42" s="48">
        <f t="shared" si="34"/>
        <v>1.2050599201065246</v>
      </c>
      <c r="AB42" s="48">
        <f t="shared" si="34"/>
        <v>1.1843645484949832</v>
      </c>
      <c r="AC42" s="48">
        <f t="shared" si="34"/>
        <v>1.7250123973772662</v>
      </c>
      <c r="AD42" s="48">
        <f t="shared" si="34"/>
        <v>1</v>
      </c>
      <c r="AE42" s="51">
        <f t="shared" si="34"/>
        <v>1.5641232482363734</v>
      </c>
      <c r="AF42" s="51">
        <f t="shared" si="34"/>
        <v>1.6501200135475416</v>
      </c>
    </row>
    <row r="43" spans="2:32" ht="23.1" customHeight="1" x14ac:dyDescent="0.25">
      <c r="B43" s="23" t="s">
        <v>70</v>
      </c>
      <c r="C43" s="49">
        <f>AVERAGE('29.07 Kinawataka-Kireka'!C43,'30.07 Kinawataka-Kireka'!C43,'31.07 Kinawataka-Kireka'!C43,'02.08 Kinawataka-Kireka'!C43,'01.08 Kinawataka-Kireka-24h'!C43,'03.08 Kinawataka-Kireka-24h'!C43,'04.08 Kinawataka-Kireka'!C43)</f>
        <v>51.428571428571431</v>
      </c>
      <c r="D43" s="49">
        <f>AVERAGE('29.07 Kinawataka-Kireka'!D43,'30.07 Kinawataka-Kireka'!D43,'31.07 Kinawataka-Kireka'!D43,'02.08 Kinawataka-Kireka'!D43,'01.08 Kinawataka-Kireka-24h'!D43,'03.08 Kinawataka-Kireka-24h'!D43,'04.08 Kinawataka-Kireka'!D43)</f>
        <v>6.2857142857142856</v>
      </c>
      <c r="E43" s="49">
        <f>AVERAGE('29.07 Kinawataka-Kireka'!E43,'30.07 Kinawataka-Kireka'!E43,'31.07 Kinawataka-Kireka'!E43,'02.08 Kinawataka-Kireka'!E43,'01.08 Kinawataka-Kireka-24h'!E43,'03.08 Kinawataka-Kireka-24h'!E43,'04.08 Kinawataka-Kireka'!E43)</f>
        <v>6.7142857142857144</v>
      </c>
      <c r="F43" s="49">
        <f>AVERAGE('29.07 Kinawataka-Kireka'!F43,'30.07 Kinawataka-Kireka'!F43,'31.07 Kinawataka-Kireka'!F43,'02.08 Kinawataka-Kireka'!F43,'01.08 Kinawataka-Kireka-24h'!F43,'03.08 Kinawataka-Kireka-24h'!F43,'04.08 Kinawataka-Kireka'!F43)</f>
        <v>10.714285714285714</v>
      </c>
      <c r="G43" s="49">
        <f>AVERAGE('29.07 Kinawataka-Kireka'!G43,'30.07 Kinawataka-Kireka'!G43,'31.07 Kinawataka-Kireka'!G43,'02.08 Kinawataka-Kireka'!G43,'01.08 Kinawataka-Kireka-24h'!G43,'03.08 Kinawataka-Kireka-24h'!G43,'04.08 Kinawataka-Kireka'!G43)</f>
        <v>1.8571428571428572</v>
      </c>
      <c r="H43" s="49">
        <f>AVERAGE('29.07 Kinawataka-Kireka'!H43,'30.07 Kinawataka-Kireka'!H43,'31.07 Kinawataka-Kireka'!H43,'02.08 Kinawataka-Kireka'!H43,'01.08 Kinawataka-Kireka-24h'!H43,'03.08 Kinawataka-Kireka-24h'!H43,'04.08 Kinawataka-Kireka'!H43)</f>
        <v>0</v>
      </c>
      <c r="I43" s="49">
        <f>AVERAGE('29.07 Kinawataka-Kireka'!I43,'30.07 Kinawataka-Kireka'!I43,'31.07 Kinawataka-Kireka'!I43,'02.08 Kinawataka-Kireka'!I43,'01.08 Kinawataka-Kireka-24h'!I43,'03.08 Kinawataka-Kireka-24h'!I43,'04.08 Kinawataka-Kireka'!I43)</f>
        <v>8.2857142857142865</v>
      </c>
      <c r="J43" s="49">
        <f>AVERAGE('29.07 Kinawataka-Kireka'!J43,'30.07 Kinawataka-Kireka'!J43,'31.07 Kinawataka-Kireka'!J43,'02.08 Kinawataka-Kireka'!J43,'01.08 Kinawataka-Kireka-24h'!J43,'03.08 Kinawataka-Kireka-24h'!J43,'04.08 Kinawataka-Kireka'!J43)</f>
        <v>5.1428571428571432</v>
      </c>
      <c r="K43" s="49">
        <f>AVERAGE('29.07 Kinawataka-Kireka'!K43,'30.07 Kinawataka-Kireka'!K43,'31.07 Kinawataka-Kireka'!K43,'02.08 Kinawataka-Kireka'!K43,'01.08 Kinawataka-Kireka-24h'!K43,'03.08 Kinawataka-Kireka-24h'!K43,'04.08 Kinawataka-Kireka'!K43)</f>
        <v>2</v>
      </c>
      <c r="L43" s="49">
        <f>AVERAGE('29.07 Kinawataka-Kireka'!L43,'30.07 Kinawataka-Kireka'!L43,'31.07 Kinawataka-Kireka'!L43,'02.08 Kinawataka-Kireka'!L43,'01.08 Kinawataka-Kireka-24h'!L43,'03.08 Kinawataka-Kireka-24h'!L43,'04.08 Kinawataka-Kireka'!L43)</f>
        <v>4.4285714285714288</v>
      </c>
      <c r="M43" s="49">
        <f>AVERAGE('29.07 Kinawataka-Kireka'!M43,'30.07 Kinawataka-Kireka'!M43,'31.07 Kinawataka-Kireka'!M43,'02.08 Kinawataka-Kireka'!M43,'01.08 Kinawataka-Kireka-24h'!M43,'03.08 Kinawataka-Kireka-24h'!M43,'04.08 Kinawataka-Kireka'!M43)</f>
        <v>107.85714285714286</v>
      </c>
      <c r="N43" s="49">
        <f>AVERAGE('29.07 Kinawataka-Kireka'!N43,'30.07 Kinawataka-Kireka'!N43,'31.07 Kinawataka-Kireka'!N43,'02.08 Kinawataka-Kireka'!N43,'01.08 Kinawataka-Kireka-24h'!N43,'03.08 Kinawataka-Kireka-24h'!N43,'04.08 Kinawataka-Kireka'!N43)</f>
        <v>0</v>
      </c>
      <c r="O43" s="15">
        <f t="shared" si="0"/>
        <v>96.857142857142861</v>
      </c>
      <c r="P43" s="15">
        <f t="shared" si="1"/>
        <v>204.71428571428572</v>
      </c>
    </row>
    <row r="44" spans="2:32" ht="23.1" customHeight="1" x14ac:dyDescent="0.25">
      <c r="B44" s="25" t="s">
        <v>71</v>
      </c>
      <c r="C44" s="49">
        <f>AVERAGE('29.07 Kinawataka-Kireka'!C44,'30.07 Kinawataka-Kireka'!C44,'31.07 Kinawataka-Kireka'!C44,'02.08 Kinawataka-Kireka'!C44,'01.08 Kinawataka-Kireka-24h'!C44,'03.08 Kinawataka-Kireka-24h'!C44,'04.08 Kinawataka-Kireka'!C44)</f>
        <v>58.142857142857146</v>
      </c>
      <c r="D44" s="49">
        <f>AVERAGE('29.07 Kinawataka-Kireka'!D44,'30.07 Kinawataka-Kireka'!D44,'31.07 Kinawataka-Kireka'!D44,'02.08 Kinawataka-Kireka'!D44,'01.08 Kinawataka-Kireka-24h'!D44,'03.08 Kinawataka-Kireka-24h'!D44,'04.08 Kinawataka-Kireka'!D44)</f>
        <v>7.7142857142857144</v>
      </c>
      <c r="E44" s="49">
        <f>AVERAGE('29.07 Kinawataka-Kireka'!E44,'30.07 Kinawataka-Kireka'!E44,'31.07 Kinawataka-Kireka'!E44,'02.08 Kinawataka-Kireka'!E44,'01.08 Kinawataka-Kireka-24h'!E44,'03.08 Kinawataka-Kireka-24h'!E44,'04.08 Kinawataka-Kireka'!E44)</f>
        <v>9.5714285714285712</v>
      </c>
      <c r="F44" s="49">
        <f>AVERAGE('29.07 Kinawataka-Kireka'!F44,'30.07 Kinawataka-Kireka'!F44,'31.07 Kinawataka-Kireka'!F44,'02.08 Kinawataka-Kireka'!F44,'01.08 Kinawataka-Kireka-24h'!F44,'03.08 Kinawataka-Kireka-24h'!F44,'04.08 Kinawataka-Kireka'!F44)</f>
        <v>15.428571428571429</v>
      </c>
      <c r="G44" s="49">
        <f>AVERAGE('29.07 Kinawataka-Kireka'!G44,'30.07 Kinawataka-Kireka'!G44,'31.07 Kinawataka-Kireka'!G44,'02.08 Kinawataka-Kireka'!G44,'01.08 Kinawataka-Kireka-24h'!G44,'03.08 Kinawataka-Kireka-24h'!G44,'04.08 Kinawataka-Kireka'!G44)</f>
        <v>1.8571428571428572</v>
      </c>
      <c r="H44" s="49">
        <f>AVERAGE('29.07 Kinawataka-Kireka'!H44,'30.07 Kinawataka-Kireka'!H44,'31.07 Kinawataka-Kireka'!H44,'02.08 Kinawataka-Kireka'!H44,'01.08 Kinawataka-Kireka-24h'!H44,'03.08 Kinawataka-Kireka-24h'!H44,'04.08 Kinawataka-Kireka'!H44)</f>
        <v>0.14285714285714285</v>
      </c>
      <c r="I44" s="49">
        <f>AVERAGE('29.07 Kinawataka-Kireka'!I44,'30.07 Kinawataka-Kireka'!I44,'31.07 Kinawataka-Kireka'!I44,'02.08 Kinawataka-Kireka'!I44,'01.08 Kinawataka-Kireka-24h'!I44,'03.08 Kinawataka-Kireka-24h'!I44,'04.08 Kinawataka-Kireka'!I44)</f>
        <v>8.1428571428571423</v>
      </c>
      <c r="J44" s="49">
        <f>AVERAGE('29.07 Kinawataka-Kireka'!J44,'30.07 Kinawataka-Kireka'!J44,'31.07 Kinawataka-Kireka'!J44,'02.08 Kinawataka-Kireka'!J44,'01.08 Kinawataka-Kireka-24h'!J44,'03.08 Kinawataka-Kireka-24h'!J44,'04.08 Kinawataka-Kireka'!J44)</f>
        <v>3.2857142857142856</v>
      </c>
      <c r="K44" s="49">
        <f>AVERAGE('29.07 Kinawataka-Kireka'!K44,'30.07 Kinawataka-Kireka'!K44,'31.07 Kinawataka-Kireka'!K44,'02.08 Kinawataka-Kireka'!K44,'01.08 Kinawataka-Kireka-24h'!K44,'03.08 Kinawataka-Kireka-24h'!K44,'04.08 Kinawataka-Kireka'!K44)</f>
        <v>2.1428571428571428</v>
      </c>
      <c r="L44" s="49">
        <f>AVERAGE('29.07 Kinawataka-Kireka'!L44,'30.07 Kinawataka-Kireka'!L44,'31.07 Kinawataka-Kireka'!L44,'02.08 Kinawataka-Kireka'!L44,'01.08 Kinawataka-Kireka-24h'!L44,'03.08 Kinawataka-Kireka-24h'!L44,'04.08 Kinawataka-Kireka'!L44)</f>
        <v>4.7142857142857144</v>
      </c>
      <c r="M44" s="49">
        <f>AVERAGE('29.07 Kinawataka-Kireka'!M44,'30.07 Kinawataka-Kireka'!M44,'31.07 Kinawataka-Kireka'!M44,'02.08 Kinawataka-Kireka'!M44,'01.08 Kinawataka-Kireka-24h'!M44,'03.08 Kinawataka-Kireka-24h'!M44,'04.08 Kinawataka-Kireka'!M44)</f>
        <v>110.57142857142857</v>
      </c>
      <c r="N44" s="49">
        <f>AVERAGE('29.07 Kinawataka-Kireka'!N44,'30.07 Kinawataka-Kireka'!N44,'31.07 Kinawataka-Kireka'!N44,'02.08 Kinawataka-Kireka'!N44,'01.08 Kinawataka-Kireka-24h'!N44,'03.08 Kinawataka-Kireka-24h'!N44,'04.08 Kinawataka-Kireka'!N44)</f>
        <v>0</v>
      </c>
      <c r="O44" s="15">
        <f t="shared" si="0"/>
        <v>111.14285714285714</v>
      </c>
      <c r="P44" s="15">
        <f t="shared" si="1"/>
        <v>221.71428571428572</v>
      </c>
    </row>
    <row r="45" spans="2:32" ht="23.1" customHeight="1" x14ac:dyDescent="0.25">
      <c r="B45" s="23" t="s">
        <v>72</v>
      </c>
      <c r="C45" s="49">
        <f>AVERAGE('29.07 Kinawataka-Kireka'!C45,'30.07 Kinawataka-Kireka'!C45,'31.07 Kinawataka-Kireka'!C45,'02.08 Kinawataka-Kireka'!C45,'01.08 Kinawataka-Kireka-24h'!C45,'03.08 Kinawataka-Kireka-24h'!C45,'04.08 Kinawataka-Kireka'!C45)</f>
        <v>67.285714285714292</v>
      </c>
      <c r="D45" s="49">
        <f>AVERAGE('29.07 Kinawataka-Kireka'!D45,'30.07 Kinawataka-Kireka'!D45,'31.07 Kinawataka-Kireka'!D45,'02.08 Kinawataka-Kireka'!D45,'01.08 Kinawataka-Kireka-24h'!D45,'03.08 Kinawataka-Kireka-24h'!D45,'04.08 Kinawataka-Kireka'!D45)</f>
        <v>9.4285714285714288</v>
      </c>
      <c r="E45" s="49">
        <f>AVERAGE('29.07 Kinawataka-Kireka'!E45,'30.07 Kinawataka-Kireka'!E45,'31.07 Kinawataka-Kireka'!E45,'02.08 Kinawataka-Kireka'!E45,'01.08 Kinawataka-Kireka-24h'!E45,'03.08 Kinawataka-Kireka-24h'!E45,'04.08 Kinawataka-Kireka'!E45)</f>
        <v>8</v>
      </c>
      <c r="F45" s="49">
        <f>AVERAGE('29.07 Kinawataka-Kireka'!F45,'30.07 Kinawataka-Kireka'!F45,'31.07 Kinawataka-Kireka'!F45,'02.08 Kinawataka-Kireka'!F45,'01.08 Kinawataka-Kireka-24h'!F45,'03.08 Kinawataka-Kireka-24h'!F45,'04.08 Kinawataka-Kireka'!F45)</f>
        <v>18</v>
      </c>
      <c r="G45" s="49">
        <f>AVERAGE('29.07 Kinawataka-Kireka'!G45,'30.07 Kinawataka-Kireka'!G45,'31.07 Kinawataka-Kireka'!G45,'02.08 Kinawataka-Kireka'!G45,'01.08 Kinawataka-Kireka-24h'!G45,'03.08 Kinawataka-Kireka-24h'!G45,'04.08 Kinawataka-Kireka'!G45)</f>
        <v>1.5714285714285714</v>
      </c>
      <c r="H45" s="49">
        <f>AVERAGE('29.07 Kinawataka-Kireka'!H45,'30.07 Kinawataka-Kireka'!H45,'31.07 Kinawataka-Kireka'!H45,'02.08 Kinawataka-Kireka'!H45,'01.08 Kinawataka-Kireka-24h'!H45,'03.08 Kinawataka-Kireka-24h'!H45,'04.08 Kinawataka-Kireka'!H45)</f>
        <v>0.14285714285714285</v>
      </c>
      <c r="I45" s="49">
        <f>AVERAGE('29.07 Kinawataka-Kireka'!I45,'30.07 Kinawataka-Kireka'!I45,'31.07 Kinawataka-Kireka'!I45,'02.08 Kinawataka-Kireka'!I45,'01.08 Kinawataka-Kireka-24h'!I45,'03.08 Kinawataka-Kireka-24h'!I45,'04.08 Kinawataka-Kireka'!I45)</f>
        <v>12.142857142857142</v>
      </c>
      <c r="J45" s="49">
        <f>AVERAGE('29.07 Kinawataka-Kireka'!J45,'30.07 Kinawataka-Kireka'!J45,'31.07 Kinawataka-Kireka'!J45,'02.08 Kinawataka-Kireka'!J45,'01.08 Kinawataka-Kireka-24h'!J45,'03.08 Kinawataka-Kireka-24h'!J45,'04.08 Kinawataka-Kireka'!J45)</f>
        <v>3.8571428571428572</v>
      </c>
      <c r="K45" s="49">
        <f>AVERAGE('29.07 Kinawataka-Kireka'!K45,'30.07 Kinawataka-Kireka'!K45,'31.07 Kinawataka-Kireka'!K45,'02.08 Kinawataka-Kireka'!K45,'01.08 Kinawataka-Kireka-24h'!K45,'03.08 Kinawataka-Kireka-24h'!K45,'04.08 Kinawataka-Kireka'!K45)</f>
        <v>2.1428571428571428</v>
      </c>
      <c r="L45" s="49">
        <f>AVERAGE('29.07 Kinawataka-Kireka'!L45,'30.07 Kinawataka-Kireka'!L45,'31.07 Kinawataka-Kireka'!L45,'02.08 Kinawataka-Kireka'!L45,'01.08 Kinawataka-Kireka-24h'!L45,'03.08 Kinawataka-Kireka-24h'!L45,'04.08 Kinawataka-Kireka'!L45)</f>
        <v>5.2857142857142856</v>
      </c>
      <c r="M45" s="49">
        <f>AVERAGE('29.07 Kinawataka-Kireka'!M45,'30.07 Kinawataka-Kireka'!M45,'31.07 Kinawataka-Kireka'!M45,'02.08 Kinawataka-Kireka'!M45,'01.08 Kinawataka-Kireka-24h'!M45,'03.08 Kinawataka-Kireka-24h'!M45,'04.08 Kinawataka-Kireka'!M45)</f>
        <v>81.571428571428569</v>
      </c>
      <c r="N45" s="49">
        <f>AVERAGE('29.07 Kinawataka-Kireka'!N45,'30.07 Kinawataka-Kireka'!N45,'31.07 Kinawataka-Kireka'!N45,'02.08 Kinawataka-Kireka'!N45,'01.08 Kinawataka-Kireka-24h'!N45,'03.08 Kinawataka-Kireka-24h'!N45,'04.08 Kinawataka-Kireka'!N45)</f>
        <v>0</v>
      </c>
      <c r="O45" s="15">
        <f t="shared" si="0"/>
        <v>127.85714285714286</v>
      </c>
      <c r="P45" s="15">
        <f t="shared" si="1"/>
        <v>209.42857142857144</v>
      </c>
    </row>
    <row r="46" spans="2:32" ht="23.1" customHeight="1" x14ac:dyDescent="0.25">
      <c r="B46" s="24" t="s">
        <v>73</v>
      </c>
      <c r="C46" s="49">
        <f>AVERAGE('29.07 Kinawataka-Kireka'!C46,'30.07 Kinawataka-Kireka'!C46,'31.07 Kinawataka-Kireka'!C46,'02.08 Kinawataka-Kireka'!C46,'01.08 Kinawataka-Kireka-24h'!C46,'03.08 Kinawataka-Kireka-24h'!C46,'04.08 Kinawataka-Kireka'!C46)</f>
        <v>69.714285714285708</v>
      </c>
      <c r="D46" s="49">
        <f>AVERAGE('29.07 Kinawataka-Kireka'!D46,'30.07 Kinawataka-Kireka'!D46,'31.07 Kinawataka-Kireka'!D46,'02.08 Kinawataka-Kireka'!D46,'01.08 Kinawataka-Kireka-24h'!D46,'03.08 Kinawataka-Kireka-24h'!D46,'04.08 Kinawataka-Kireka'!D46)</f>
        <v>8.2857142857142865</v>
      </c>
      <c r="E46" s="49">
        <f>AVERAGE('29.07 Kinawataka-Kireka'!E46,'30.07 Kinawataka-Kireka'!E46,'31.07 Kinawataka-Kireka'!E46,'02.08 Kinawataka-Kireka'!E46,'01.08 Kinawataka-Kireka-24h'!E46,'03.08 Kinawataka-Kireka-24h'!E46,'04.08 Kinawataka-Kireka'!E46)</f>
        <v>10.142857142857142</v>
      </c>
      <c r="F46" s="49">
        <f>AVERAGE('29.07 Kinawataka-Kireka'!F46,'30.07 Kinawataka-Kireka'!F46,'31.07 Kinawataka-Kireka'!F46,'02.08 Kinawataka-Kireka'!F46,'01.08 Kinawataka-Kireka-24h'!F46,'03.08 Kinawataka-Kireka-24h'!F46,'04.08 Kinawataka-Kireka'!F46)</f>
        <v>12.285714285714286</v>
      </c>
      <c r="G46" s="49">
        <f>AVERAGE('29.07 Kinawataka-Kireka'!G46,'30.07 Kinawataka-Kireka'!G46,'31.07 Kinawataka-Kireka'!G46,'02.08 Kinawataka-Kireka'!G46,'01.08 Kinawataka-Kireka-24h'!G46,'03.08 Kinawataka-Kireka-24h'!G46,'04.08 Kinawataka-Kireka'!G46)</f>
        <v>1.8571428571428572</v>
      </c>
      <c r="H46" s="49">
        <f>AVERAGE('29.07 Kinawataka-Kireka'!H46,'30.07 Kinawataka-Kireka'!H46,'31.07 Kinawataka-Kireka'!H46,'02.08 Kinawataka-Kireka'!H46,'01.08 Kinawataka-Kireka-24h'!H46,'03.08 Kinawataka-Kireka-24h'!H46,'04.08 Kinawataka-Kireka'!H46)</f>
        <v>0</v>
      </c>
      <c r="I46" s="49">
        <f>AVERAGE('29.07 Kinawataka-Kireka'!I46,'30.07 Kinawataka-Kireka'!I46,'31.07 Kinawataka-Kireka'!I46,'02.08 Kinawataka-Kireka'!I46,'01.08 Kinawataka-Kireka-24h'!I46,'03.08 Kinawataka-Kireka-24h'!I46,'04.08 Kinawataka-Kireka'!I46)</f>
        <v>8.5714285714285712</v>
      </c>
      <c r="J46" s="49">
        <f>AVERAGE('29.07 Kinawataka-Kireka'!J46,'30.07 Kinawataka-Kireka'!J46,'31.07 Kinawataka-Kireka'!J46,'02.08 Kinawataka-Kireka'!J46,'01.08 Kinawataka-Kireka-24h'!J46,'03.08 Kinawataka-Kireka-24h'!J46,'04.08 Kinawataka-Kireka'!J46)</f>
        <v>5.8571428571428568</v>
      </c>
      <c r="K46" s="49">
        <f>AVERAGE('29.07 Kinawataka-Kireka'!K46,'30.07 Kinawataka-Kireka'!K46,'31.07 Kinawataka-Kireka'!K46,'02.08 Kinawataka-Kireka'!K46,'01.08 Kinawataka-Kireka-24h'!K46,'03.08 Kinawataka-Kireka-24h'!K46,'04.08 Kinawataka-Kireka'!K46)</f>
        <v>1.7142857142857142</v>
      </c>
      <c r="L46" s="49">
        <f>AVERAGE('29.07 Kinawataka-Kireka'!L46,'30.07 Kinawataka-Kireka'!L46,'31.07 Kinawataka-Kireka'!L46,'02.08 Kinawataka-Kireka'!L46,'01.08 Kinawataka-Kireka-24h'!L46,'03.08 Kinawataka-Kireka-24h'!L46,'04.08 Kinawataka-Kireka'!L46)</f>
        <v>3.7142857142857144</v>
      </c>
      <c r="M46" s="49">
        <f>AVERAGE('29.07 Kinawataka-Kireka'!M46,'30.07 Kinawataka-Kireka'!M46,'31.07 Kinawataka-Kireka'!M46,'02.08 Kinawataka-Kireka'!M46,'01.08 Kinawataka-Kireka-24h'!M46,'03.08 Kinawataka-Kireka-24h'!M46,'04.08 Kinawataka-Kireka'!M46)</f>
        <v>118.14285714285714</v>
      </c>
      <c r="N46" s="49">
        <f>AVERAGE('29.07 Kinawataka-Kireka'!N46,'30.07 Kinawataka-Kireka'!N46,'31.07 Kinawataka-Kireka'!N46,'02.08 Kinawataka-Kireka'!N46,'01.08 Kinawataka-Kireka-24h'!N46,'03.08 Kinawataka-Kireka-24h'!N46,'04.08 Kinawataka-Kireka'!N46)</f>
        <v>0</v>
      </c>
      <c r="O46" s="15">
        <f t="shared" si="0"/>
        <v>122.14285714285714</v>
      </c>
      <c r="P46" s="15">
        <f t="shared" si="1"/>
        <v>240.28571428571428</v>
      </c>
      <c r="R46" s="8"/>
      <c r="T46"/>
    </row>
    <row r="47" spans="2:32" ht="23.1" customHeight="1" x14ac:dyDescent="0.25">
      <c r="B47" s="24" t="s">
        <v>74</v>
      </c>
      <c r="C47" s="49">
        <f>AVERAGE('29.07 Kinawataka-Kireka'!C47,'30.07 Kinawataka-Kireka'!C47,'31.07 Kinawataka-Kireka'!C47,'02.08 Kinawataka-Kireka'!C47,'01.08 Kinawataka-Kireka-24h'!C47,'03.08 Kinawataka-Kireka-24h'!C47,'04.08 Kinawataka-Kireka'!C47)</f>
        <v>64.857142857142861</v>
      </c>
      <c r="D47" s="49">
        <f>AVERAGE('29.07 Kinawataka-Kireka'!D47,'30.07 Kinawataka-Kireka'!D47,'31.07 Kinawataka-Kireka'!D47,'02.08 Kinawataka-Kireka'!D47,'01.08 Kinawataka-Kireka-24h'!D47,'03.08 Kinawataka-Kireka-24h'!D47,'04.08 Kinawataka-Kireka'!D47)</f>
        <v>8</v>
      </c>
      <c r="E47" s="49">
        <f>AVERAGE('29.07 Kinawataka-Kireka'!E47,'30.07 Kinawataka-Kireka'!E47,'31.07 Kinawataka-Kireka'!E47,'02.08 Kinawataka-Kireka'!E47,'01.08 Kinawataka-Kireka-24h'!E47,'03.08 Kinawataka-Kireka-24h'!E47,'04.08 Kinawataka-Kireka'!E47)</f>
        <v>8.8571428571428577</v>
      </c>
      <c r="F47" s="49">
        <f>AVERAGE('29.07 Kinawataka-Kireka'!F47,'30.07 Kinawataka-Kireka'!F47,'31.07 Kinawataka-Kireka'!F47,'02.08 Kinawataka-Kireka'!F47,'01.08 Kinawataka-Kireka-24h'!F47,'03.08 Kinawataka-Kireka-24h'!F47,'04.08 Kinawataka-Kireka'!F47)</f>
        <v>14.714285714285714</v>
      </c>
      <c r="G47" s="49">
        <f>AVERAGE('29.07 Kinawataka-Kireka'!G47,'30.07 Kinawataka-Kireka'!G47,'31.07 Kinawataka-Kireka'!G47,'02.08 Kinawataka-Kireka'!G47,'01.08 Kinawataka-Kireka-24h'!G47,'03.08 Kinawataka-Kireka-24h'!G47,'04.08 Kinawataka-Kireka'!G47)</f>
        <v>1.7142857142857142</v>
      </c>
      <c r="H47" s="49">
        <f>AVERAGE('29.07 Kinawataka-Kireka'!H47,'30.07 Kinawataka-Kireka'!H47,'31.07 Kinawataka-Kireka'!H47,'02.08 Kinawataka-Kireka'!H47,'01.08 Kinawataka-Kireka-24h'!H47,'03.08 Kinawataka-Kireka-24h'!H47,'04.08 Kinawataka-Kireka'!H47)</f>
        <v>0.2857142857142857</v>
      </c>
      <c r="I47" s="49">
        <f>AVERAGE('29.07 Kinawataka-Kireka'!I47,'30.07 Kinawataka-Kireka'!I47,'31.07 Kinawataka-Kireka'!I47,'02.08 Kinawataka-Kireka'!I47,'01.08 Kinawataka-Kireka-24h'!I47,'03.08 Kinawataka-Kireka-24h'!I47,'04.08 Kinawataka-Kireka'!I47)</f>
        <v>9.8571428571428577</v>
      </c>
      <c r="J47" s="49">
        <f>AVERAGE('29.07 Kinawataka-Kireka'!J47,'30.07 Kinawataka-Kireka'!J47,'31.07 Kinawataka-Kireka'!J47,'02.08 Kinawataka-Kireka'!J47,'01.08 Kinawataka-Kireka-24h'!J47,'03.08 Kinawataka-Kireka-24h'!J47,'04.08 Kinawataka-Kireka'!J47)</f>
        <v>5</v>
      </c>
      <c r="K47" s="49">
        <f>AVERAGE('29.07 Kinawataka-Kireka'!K47,'30.07 Kinawataka-Kireka'!K47,'31.07 Kinawataka-Kireka'!K47,'02.08 Kinawataka-Kireka'!K47,'01.08 Kinawataka-Kireka-24h'!K47,'03.08 Kinawataka-Kireka-24h'!K47,'04.08 Kinawataka-Kireka'!K47)</f>
        <v>3.4285714285714284</v>
      </c>
      <c r="L47" s="49">
        <f>AVERAGE('29.07 Kinawataka-Kireka'!L47,'30.07 Kinawataka-Kireka'!L47,'31.07 Kinawataka-Kireka'!L47,'02.08 Kinawataka-Kireka'!L47,'01.08 Kinawataka-Kireka-24h'!L47,'03.08 Kinawataka-Kireka-24h'!L47,'04.08 Kinawataka-Kireka'!L47)</f>
        <v>5.2857142857142856</v>
      </c>
      <c r="M47" s="49">
        <f>AVERAGE('29.07 Kinawataka-Kireka'!M47,'30.07 Kinawataka-Kireka'!M47,'31.07 Kinawataka-Kireka'!M47,'02.08 Kinawataka-Kireka'!M47,'01.08 Kinawataka-Kireka-24h'!M47,'03.08 Kinawataka-Kireka-24h'!M47,'04.08 Kinawataka-Kireka'!M47)</f>
        <v>110.85714285714286</v>
      </c>
      <c r="N47" s="49">
        <f>AVERAGE('29.07 Kinawataka-Kireka'!N47,'30.07 Kinawataka-Kireka'!N47,'31.07 Kinawataka-Kireka'!N47,'02.08 Kinawataka-Kireka'!N47,'01.08 Kinawataka-Kireka-24h'!N47,'03.08 Kinawataka-Kireka-24h'!N47,'04.08 Kinawataka-Kireka'!N47)</f>
        <v>0</v>
      </c>
      <c r="O47" s="15">
        <f t="shared" si="0"/>
        <v>122.00000000000001</v>
      </c>
      <c r="P47" s="15">
        <f t="shared" si="1"/>
        <v>232.85714285714289</v>
      </c>
      <c r="R47" s="8"/>
      <c r="T47"/>
    </row>
    <row r="48" spans="2:32" ht="23.1" customHeight="1" x14ac:dyDescent="0.25">
      <c r="B48" s="24" t="s">
        <v>75</v>
      </c>
      <c r="C48" s="49">
        <f>AVERAGE('29.07 Kinawataka-Kireka'!C48,'30.07 Kinawataka-Kireka'!C48,'31.07 Kinawataka-Kireka'!C48,'02.08 Kinawataka-Kireka'!C48,'01.08 Kinawataka-Kireka-24h'!C48,'03.08 Kinawataka-Kireka-24h'!C48,'04.08 Kinawataka-Kireka'!C48)</f>
        <v>70.571428571428569</v>
      </c>
      <c r="D48" s="49">
        <f>AVERAGE('29.07 Kinawataka-Kireka'!D48,'30.07 Kinawataka-Kireka'!D48,'31.07 Kinawataka-Kireka'!D48,'02.08 Kinawataka-Kireka'!D48,'01.08 Kinawataka-Kireka-24h'!D48,'03.08 Kinawataka-Kireka-24h'!D48,'04.08 Kinawataka-Kireka'!D48)</f>
        <v>9.1428571428571423</v>
      </c>
      <c r="E48" s="49">
        <f>AVERAGE('29.07 Kinawataka-Kireka'!E48,'30.07 Kinawataka-Kireka'!E48,'31.07 Kinawataka-Kireka'!E48,'02.08 Kinawataka-Kireka'!E48,'01.08 Kinawataka-Kireka-24h'!E48,'03.08 Kinawataka-Kireka-24h'!E48,'04.08 Kinawataka-Kireka'!E48)</f>
        <v>9</v>
      </c>
      <c r="F48" s="49">
        <f>AVERAGE('29.07 Kinawataka-Kireka'!F48,'30.07 Kinawataka-Kireka'!F48,'31.07 Kinawataka-Kireka'!F48,'02.08 Kinawataka-Kireka'!F48,'01.08 Kinawataka-Kireka-24h'!F48,'03.08 Kinawataka-Kireka-24h'!F48,'04.08 Kinawataka-Kireka'!F48)</f>
        <v>13.857142857142858</v>
      </c>
      <c r="G48" s="49">
        <f>AVERAGE('29.07 Kinawataka-Kireka'!G48,'30.07 Kinawataka-Kireka'!G48,'31.07 Kinawataka-Kireka'!G48,'02.08 Kinawataka-Kireka'!G48,'01.08 Kinawataka-Kireka-24h'!G48,'03.08 Kinawataka-Kireka-24h'!G48,'04.08 Kinawataka-Kireka'!G48)</f>
        <v>1.7142857142857142</v>
      </c>
      <c r="H48" s="49">
        <f>AVERAGE('29.07 Kinawataka-Kireka'!H48,'30.07 Kinawataka-Kireka'!H48,'31.07 Kinawataka-Kireka'!H48,'02.08 Kinawataka-Kireka'!H48,'01.08 Kinawataka-Kireka-24h'!H48,'03.08 Kinawataka-Kireka-24h'!H48,'04.08 Kinawataka-Kireka'!H48)</f>
        <v>0</v>
      </c>
      <c r="I48" s="49">
        <f>AVERAGE('29.07 Kinawataka-Kireka'!I48,'30.07 Kinawataka-Kireka'!I48,'31.07 Kinawataka-Kireka'!I48,'02.08 Kinawataka-Kireka'!I48,'01.08 Kinawataka-Kireka-24h'!I48,'03.08 Kinawataka-Kireka-24h'!I48,'04.08 Kinawataka-Kireka'!I48)</f>
        <v>9.5714285714285712</v>
      </c>
      <c r="J48" s="49">
        <f>AVERAGE('29.07 Kinawataka-Kireka'!J48,'30.07 Kinawataka-Kireka'!J48,'31.07 Kinawataka-Kireka'!J48,'02.08 Kinawataka-Kireka'!J48,'01.08 Kinawataka-Kireka-24h'!J48,'03.08 Kinawataka-Kireka-24h'!J48,'04.08 Kinawataka-Kireka'!J48)</f>
        <v>6.8571428571428568</v>
      </c>
      <c r="K48" s="49">
        <f>AVERAGE('29.07 Kinawataka-Kireka'!K48,'30.07 Kinawataka-Kireka'!K48,'31.07 Kinawataka-Kireka'!K48,'02.08 Kinawataka-Kireka'!K48,'01.08 Kinawataka-Kireka-24h'!K48,'03.08 Kinawataka-Kireka-24h'!K48,'04.08 Kinawataka-Kireka'!K48)</f>
        <v>5.4285714285714288</v>
      </c>
      <c r="L48" s="49">
        <f>AVERAGE('29.07 Kinawataka-Kireka'!L48,'30.07 Kinawataka-Kireka'!L48,'31.07 Kinawataka-Kireka'!L48,'02.08 Kinawataka-Kireka'!L48,'01.08 Kinawataka-Kireka-24h'!L48,'03.08 Kinawataka-Kireka-24h'!L48,'04.08 Kinawataka-Kireka'!L48)</f>
        <v>4.5714285714285712</v>
      </c>
      <c r="M48" s="49">
        <f>AVERAGE('29.07 Kinawataka-Kireka'!M48,'30.07 Kinawataka-Kireka'!M48,'31.07 Kinawataka-Kireka'!M48,'02.08 Kinawataka-Kireka'!M48,'01.08 Kinawataka-Kireka-24h'!M48,'03.08 Kinawataka-Kireka-24h'!M48,'04.08 Kinawataka-Kireka'!M48)</f>
        <v>100.85714285714286</v>
      </c>
      <c r="N48" s="49">
        <f>AVERAGE('29.07 Kinawataka-Kireka'!N48,'30.07 Kinawataka-Kireka'!N48,'31.07 Kinawataka-Kireka'!N48,'02.08 Kinawataka-Kireka'!N48,'01.08 Kinawataka-Kireka-24h'!N48,'03.08 Kinawataka-Kireka-24h'!N48,'04.08 Kinawataka-Kireka'!N48)</f>
        <v>0.14285714285714285</v>
      </c>
      <c r="O48" s="15">
        <f t="shared" si="0"/>
        <v>130.85714285714286</v>
      </c>
      <c r="P48" s="15">
        <f t="shared" si="1"/>
        <v>231.71428571428572</v>
      </c>
      <c r="R48" s="8"/>
      <c r="T48"/>
    </row>
    <row r="49" spans="2:20" ht="23.1" customHeight="1" x14ac:dyDescent="0.25">
      <c r="B49" s="23" t="s">
        <v>76</v>
      </c>
      <c r="C49" s="49">
        <f>AVERAGE('29.07 Kinawataka-Kireka'!C49,'30.07 Kinawataka-Kireka'!C49,'31.07 Kinawataka-Kireka'!C49,'02.08 Kinawataka-Kireka'!C49,'01.08 Kinawataka-Kireka-24h'!C49,'03.08 Kinawataka-Kireka-24h'!C49,'04.08 Kinawataka-Kireka'!C49)</f>
        <v>75.142857142857139</v>
      </c>
      <c r="D49" s="49">
        <f>AVERAGE('29.07 Kinawataka-Kireka'!D49,'30.07 Kinawataka-Kireka'!D49,'31.07 Kinawataka-Kireka'!D49,'02.08 Kinawataka-Kireka'!D49,'01.08 Kinawataka-Kireka-24h'!D49,'03.08 Kinawataka-Kireka-24h'!D49,'04.08 Kinawataka-Kireka'!D49)</f>
        <v>6.4285714285714288</v>
      </c>
      <c r="E49" s="49">
        <f>AVERAGE('29.07 Kinawataka-Kireka'!E49,'30.07 Kinawataka-Kireka'!E49,'31.07 Kinawataka-Kireka'!E49,'02.08 Kinawataka-Kireka'!E49,'01.08 Kinawataka-Kireka-24h'!E49,'03.08 Kinawataka-Kireka-24h'!E49,'04.08 Kinawataka-Kireka'!E49)</f>
        <v>10.142857142857142</v>
      </c>
      <c r="F49" s="49">
        <f>AVERAGE('29.07 Kinawataka-Kireka'!F49,'30.07 Kinawataka-Kireka'!F49,'31.07 Kinawataka-Kireka'!F49,'02.08 Kinawataka-Kireka'!F49,'01.08 Kinawataka-Kireka-24h'!F49,'03.08 Kinawataka-Kireka-24h'!F49,'04.08 Kinawataka-Kireka'!F49)</f>
        <v>12</v>
      </c>
      <c r="G49" s="49">
        <f>AVERAGE('29.07 Kinawataka-Kireka'!G49,'30.07 Kinawataka-Kireka'!G49,'31.07 Kinawataka-Kireka'!G49,'02.08 Kinawataka-Kireka'!G49,'01.08 Kinawataka-Kireka-24h'!G49,'03.08 Kinawataka-Kireka-24h'!G49,'04.08 Kinawataka-Kireka'!G49)</f>
        <v>2.2857142857142856</v>
      </c>
      <c r="H49" s="49">
        <f>AVERAGE('29.07 Kinawataka-Kireka'!H49,'30.07 Kinawataka-Kireka'!H49,'31.07 Kinawataka-Kireka'!H49,'02.08 Kinawataka-Kireka'!H49,'01.08 Kinawataka-Kireka-24h'!H49,'03.08 Kinawataka-Kireka-24h'!H49,'04.08 Kinawataka-Kireka'!H49)</f>
        <v>0.14285714285714285</v>
      </c>
      <c r="I49" s="49">
        <f>AVERAGE('29.07 Kinawataka-Kireka'!I49,'30.07 Kinawataka-Kireka'!I49,'31.07 Kinawataka-Kireka'!I49,'02.08 Kinawataka-Kireka'!I49,'01.08 Kinawataka-Kireka-24h'!I49,'03.08 Kinawataka-Kireka-24h'!I49,'04.08 Kinawataka-Kireka'!I49)</f>
        <v>7.8571428571428568</v>
      </c>
      <c r="J49" s="49">
        <f>AVERAGE('29.07 Kinawataka-Kireka'!J49,'30.07 Kinawataka-Kireka'!J49,'31.07 Kinawataka-Kireka'!J49,'02.08 Kinawataka-Kireka'!J49,'01.08 Kinawataka-Kireka-24h'!J49,'03.08 Kinawataka-Kireka-24h'!J49,'04.08 Kinawataka-Kireka'!J49)</f>
        <v>5.1428571428571432</v>
      </c>
      <c r="K49" s="49">
        <f>AVERAGE('29.07 Kinawataka-Kireka'!K49,'30.07 Kinawataka-Kireka'!K49,'31.07 Kinawataka-Kireka'!K49,'02.08 Kinawataka-Kireka'!K49,'01.08 Kinawataka-Kireka-24h'!K49,'03.08 Kinawataka-Kireka-24h'!K49,'04.08 Kinawataka-Kireka'!K49)</f>
        <v>3.4285714285714284</v>
      </c>
      <c r="L49" s="49">
        <f>AVERAGE('29.07 Kinawataka-Kireka'!L49,'30.07 Kinawataka-Kireka'!L49,'31.07 Kinawataka-Kireka'!L49,'02.08 Kinawataka-Kireka'!L49,'01.08 Kinawataka-Kireka-24h'!L49,'03.08 Kinawataka-Kireka-24h'!L49,'04.08 Kinawataka-Kireka'!L49)</f>
        <v>3.8571428571428572</v>
      </c>
      <c r="M49" s="49">
        <f>AVERAGE('29.07 Kinawataka-Kireka'!M49,'30.07 Kinawataka-Kireka'!M49,'31.07 Kinawataka-Kireka'!M49,'02.08 Kinawataka-Kireka'!M49,'01.08 Kinawataka-Kireka-24h'!M49,'03.08 Kinawataka-Kireka-24h'!M49,'04.08 Kinawataka-Kireka'!M49)</f>
        <v>105</v>
      </c>
      <c r="N49" s="49">
        <f>AVERAGE('29.07 Kinawataka-Kireka'!N49,'30.07 Kinawataka-Kireka'!N49,'31.07 Kinawataka-Kireka'!N49,'02.08 Kinawataka-Kireka'!N49,'01.08 Kinawataka-Kireka-24h'!N49,'03.08 Kinawataka-Kireka-24h'!N49,'04.08 Kinawataka-Kireka'!N49)</f>
        <v>0</v>
      </c>
      <c r="O49" s="15">
        <f t="shared" si="0"/>
        <v>126.42857142857143</v>
      </c>
      <c r="P49" s="15">
        <f t="shared" si="1"/>
        <v>231.42857142857144</v>
      </c>
      <c r="R49" s="8"/>
      <c r="T49"/>
    </row>
    <row r="50" spans="2:20" ht="23.1" customHeight="1" x14ac:dyDescent="0.25">
      <c r="B50" s="24" t="s">
        <v>77</v>
      </c>
      <c r="C50" s="49">
        <f>AVERAGE('29.07 Kinawataka-Kireka'!C50,'30.07 Kinawataka-Kireka'!C50,'31.07 Kinawataka-Kireka'!C50,'02.08 Kinawataka-Kireka'!C50,'01.08 Kinawataka-Kireka-24h'!C50,'03.08 Kinawataka-Kireka-24h'!C50,'04.08 Kinawataka-Kireka'!C50)</f>
        <v>64.571428571428569</v>
      </c>
      <c r="D50" s="49">
        <f>AVERAGE('29.07 Kinawataka-Kireka'!D50,'30.07 Kinawataka-Kireka'!D50,'31.07 Kinawataka-Kireka'!D50,'02.08 Kinawataka-Kireka'!D50,'01.08 Kinawataka-Kireka-24h'!D50,'03.08 Kinawataka-Kireka-24h'!D50,'04.08 Kinawataka-Kireka'!D50)</f>
        <v>7.4285714285714288</v>
      </c>
      <c r="E50" s="49">
        <f>AVERAGE('29.07 Kinawataka-Kireka'!E50,'30.07 Kinawataka-Kireka'!E50,'31.07 Kinawataka-Kireka'!E50,'02.08 Kinawataka-Kireka'!E50,'01.08 Kinawataka-Kireka-24h'!E50,'03.08 Kinawataka-Kireka-24h'!E50,'04.08 Kinawataka-Kireka'!E50)</f>
        <v>9</v>
      </c>
      <c r="F50" s="49">
        <f>AVERAGE('29.07 Kinawataka-Kireka'!F50,'30.07 Kinawataka-Kireka'!F50,'31.07 Kinawataka-Kireka'!F50,'02.08 Kinawataka-Kireka'!F50,'01.08 Kinawataka-Kireka-24h'!F50,'03.08 Kinawataka-Kireka-24h'!F50,'04.08 Kinawataka-Kireka'!F50)</f>
        <v>12.857142857142858</v>
      </c>
      <c r="G50" s="49">
        <f>AVERAGE('29.07 Kinawataka-Kireka'!G50,'30.07 Kinawataka-Kireka'!G50,'31.07 Kinawataka-Kireka'!G50,'02.08 Kinawataka-Kireka'!G50,'01.08 Kinawataka-Kireka-24h'!G50,'03.08 Kinawataka-Kireka-24h'!G50,'04.08 Kinawataka-Kireka'!G50)</f>
        <v>1.8571428571428572</v>
      </c>
      <c r="H50" s="49">
        <f>AVERAGE('29.07 Kinawataka-Kireka'!H50,'30.07 Kinawataka-Kireka'!H50,'31.07 Kinawataka-Kireka'!H50,'02.08 Kinawataka-Kireka'!H50,'01.08 Kinawataka-Kireka-24h'!H50,'03.08 Kinawataka-Kireka-24h'!H50,'04.08 Kinawataka-Kireka'!H50)</f>
        <v>0</v>
      </c>
      <c r="I50" s="49">
        <f>AVERAGE('29.07 Kinawataka-Kireka'!I50,'30.07 Kinawataka-Kireka'!I50,'31.07 Kinawataka-Kireka'!I50,'02.08 Kinawataka-Kireka'!I50,'01.08 Kinawataka-Kireka-24h'!I50,'03.08 Kinawataka-Kireka-24h'!I50,'04.08 Kinawataka-Kireka'!I50)</f>
        <v>6</v>
      </c>
      <c r="J50" s="49">
        <f>AVERAGE('29.07 Kinawataka-Kireka'!J50,'30.07 Kinawataka-Kireka'!J50,'31.07 Kinawataka-Kireka'!J50,'02.08 Kinawataka-Kireka'!J50,'01.08 Kinawataka-Kireka-24h'!J50,'03.08 Kinawataka-Kireka-24h'!J50,'04.08 Kinawataka-Kireka'!J50)</f>
        <v>3.2857142857142856</v>
      </c>
      <c r="K50" s="49">
        <f>AVERAGE('29.07 Kinawataka-Kireka'!K50,'30.07 Kinawataka-Kireka'!K50,'31.07 Kinawataka-Kireka'!K50,'02.08 Kinawataka-Kireka'!K50,'01.08 Kinawataka-Kireka-24h'!K50,'03.08 Kinawataka-Kireka-24h'!K50,'04.08 Kinawataka-Kireka'!K50)</f>
        <v>1.7142857142857142</v>
      </c>
      <c r="L50" s="49">
        <f>AVERAGE('29.07 Kinawataka-Kireka'!L50,'30.07 Kinawataka-Kireka'!L50,'31.07 Kinawataka-Kireka'!L50,'02.08 Kinawataka-Kireka'!L50,'01.08 Kinawataka-Kireka-24h'!L50,'03.08 Kinawataka-Kireka-24h'!L50,'04.08 Kinawataka-Kireka'!L50)</f>
        <v>3.5714285714285716</v>
      </c>
      <c r="M50" s="49">
        <f>AVERAGE('29.07 Kinawataka-Kireka'!M50,'30.07 Kinawataka-Kireka'!M50,'31.07 Kinawataka-Kireka'!M50,'02.08 Kinawataka-Kireka'!M50,'01.08 Kinawataka-Kireka-24h'!M50,'03.08 Kinawataka-Kireka-24h'!M50,'04.08 Kinawataka-Kireka'!M50)</f>
        <v>93.571428571428569</v>
      </c>
      <c r="N50" s="49">
        <f>AVERAGE('29.07 Kinawataka-Kireka'!N50,'30.07 Kinawataka-Kireka'!N50,'31.07 Kinawataka-Kireka'!N50,'02.08 Kinawataka-Kireka'!N50,'01.08 Kinawataka-Kireka-24h'!N50,'03.08 Kinawataka-Kireka-24h'!N50,'04.08 Kinawataka-Kireka'!N50)</f>
        <v>0.14285714285714285</v>
      </c>
      <c r="O50" s="15">
        <f t="shared" si="0"/>
        <v>110.42857142857143</v>
      </c>
      <c r="P50" s="15">
        <f t="shared" si="1"/>
        <v>204</v>
      </c>
      <c r="R50" s="8"/>
      <c r="T50"/>
    </row>
    <row r="51" spans="2:20" ht="23.1" customHeight="1" x14ac:dyDescent="0.25">
      <c r="B51" s="24" t="s">
        <v>78</v>
      </c>
      <c r="C51" s="49">
        <f>AVERAGE('29.07 Kinawataka-Kireka'!C51,'30.07 Kinawataka-Kireka'!C51,'31.07 Kinawataka-Kireka'!C51,'02.08 Kinawataka-Kireka'!C51,'01.08 Kinawataka-Kireka-24h'!C51,'03.08 Kinawataka-Kireka-24h'!C51,'04.08 Kinawataka-Kireka'!C51)</f>
        <v>76.571428571428569</v>
      </c>
      <c r="D51" s="49">
        <f>AVERAGE('29.07 Kinawataka-Kireka'!D51,'30.07 Kinawataka-Kireka'!D51,'31.07 Kinawataka-Kireka'!D51,'02.08 Kinawataka-Kireka'!D51,'01.08 Kinawataka-Kireka-24h'!D51,'03.08 Kinawataka-Kireka-24h'!D51,'04.08 Kinawataka-Kireka'!D51)</f>
        <v>10.714285714285714</v>
      </c>
      <c r="E51" s="49">
        <f>AVERAGE('29.07 Kinawataka-Kireka'!E51,'30.07 Kinawataka-Kireka'!E51,'31.07 Kinawataka-Kireka'!E51,'02.08 Kinawataka-Kireka'!E51,'01.08 Kinawataka-Kireka-24h'!E51,'03.08 Kinawataka-Kireka-24h'!E51,'04.08 Kinawataka-Kireka'!E51)</f>
        <v>10.857142857142858</v>
      </c>
      <c r="F51" s="49">
        <f>AVERAGE('29.07 Kinawataka-Kireka'!F51,'30.07 Kinawataka-Kireka'!F51,'31.07 Kinawataka-Kireka'!F51,'02.08 Kinawataka-Kireka'!F51,'01.08 Kinawataka-Kireka-24h'!F51,'03.08 Kinawataka-Kireka-24h'!F51,'04.08 Kinawataka-Kireka'!F51)</f>
        <v>21.428571428571427</v>
      </c>
      <c r="G51" s="49">
        <f>AVERAGE('29.07 Kinawataka-Kireka'!G51,'30.07 Kinawataka-Kireka'!G51,'31.07 Kinawataka-Kireka'!G51,'02.08 Kinawataka-Kireka'!G51,'01.08 Kinawataka-Kireka-24h'!G51,'03.08 Kinawataka-Kireka-24h'!G51,'04.08 Kinawataka-Kireka'!G51)</f>
        <v>4.1428571428571432</v>
      </c>
      <c r="H51" s="49">
        <f>AVERAGE('29.07 Kinawataka-Kireka'!H51,'30.07 Kinawataka-Kireka'!H51,'31.07 Kinawataka-Kireka'!H51,'02.08 Kinawataka-Kireka'!H51,'01.08 Kinawataka-Kireka-24h'!H51,'03.08 Kinawataka-Kireka-24h'!H51,'04.08 Kinawataka-Kireka'!H51)</f>
        <v>0.14285714285714285</v>
      </c>
      <c r="I51" s="49">
        <f>AVERAGE('29.07 Kinawataka-Kireka'!I51,'30.07 Kinawataka-Kireka'!I51,'31.07 Kinawataka-Kireka'!I51,'02.08 Kinawataka-Kireka'!I51,'01.08 Kinawataka-Kireka-24h'!I51,'03.08 Kinawataka-Kireka-24h'!I51,'04.08 Kinawataka-Kireka'!I51)</f>
        <v>8</v>
      </c>
      <c r="J51" s="49">
        <f>AVERAGE('29.07 Kinawataka-Kireka'!J51,'30.07 Kinawataka-Kireka'!J51,'31.07 Kinawataka-Kireka'!J51,'02.08 Kinawataka-Kireka'!J51,'01.08 Kinawataka-Kireka-24h'!J51,'03.08 Kinawataka-Kireka-24h'!J51,'04.08 Kinawataka-Kireka'!J51)</f>
        <v>4.4285714285714288</v>
      </c>
      <c r="K51" s="49">
        <f>AVERAGE('29.07 Kinawataka-Kireka'!K51,'30.07 Kinawataka-Kireka'!K51,'31.07 Kinawataka-Kireka'!K51,'02.08 Kinawataka-Kireka'!K51,'01.08 Kinawataka-Kireka-24h'!K51,'03.08 Kinawataka-Kireka-24h'!K51,'04.08 Kinawataka-Kireka'!K51)</f>
        <v>2.2857142857142856</v>
      </c>
      <c r="L51" s="49">
        <f>AVERAGE('29.07 Kinawataka-Kireka'!L51,'30.07 Kinawataka-Kireka'!L51,'31.07 Kinawataka-Kireka'!L51,'02.08 Kinawataka-Kireka'!L51,'01.08 Kinawataka-Kireka-24h'!L51,'03.08 Kinawataka-Kireka-24h'!L51,'04.08 Kinawataka-Kireka'!L51)</f>
        <v>6.2857142857142856</v>
      </c>
      <c r="M51" s="49">
        <f>AVERAGE('29.07 Kinawataka-Kireka'!M51,'30.07 Kinawataka-Kireka'!M51,'31.07 Kinawataka-Kireka'!M51,'02.08 Kinawataka-Kireka'!M51,'01.08 Kinawataka-Kireka-24h'!M51,'03.08 Kinawataka-Kireka-24h'!M51,'04.08 Kinawataka-Kireka'!M51)</f>
        <v>114.71428571428571</v>
      </c>
      <c r="N51" s="49">
        <f>AVERAGE('29.07 Kinawataka-Kireka'!N51,'30.07 Kinawataka-Kireka'!N51,'31.07 Kinawataka-Kireka'!N51,'02.08 Kinawataka-Kireka'!N51,'01.08 Kinawataka-Kireka-24h'!N51,'03.08 Kinawataka-Kireka-24h'!N51,'04.08 Kinawataka-Kireka'!N51)</f>
        <v>0</v>
      </c>
      <c r="O51" s="15">
        <f t="shared" si="0"/>
        <v>144.8571428571428</v>
      </c>
      <c r="P51" s="15">
        <f t="shared" si="1"/>
        <v>259.5714285714285</v>
      </c>
      <c r="R51" s="8"/>
      <c r="T51"/>
    </row>
    <row r="52" spans="2:20" ht="23.1" customHeight="1" x14ac:dyDescent="0.25">
      <c r="B52" s="24" t="s">
        <v>79</v>
      </c>
      <c r="C52" s="49">
        <f>AVERAGE('29.07 Kinawataka-Kireka'!C52,'30.07 Kinawataka-Kireka'!C52,'31.07 Kinawataka-Kireka'!C52,'02.08 Kinawataka-Kireka'!C52,'01.08 Kinawataka-Kireka-24h'!C52,'03.08 Kinawataka-Kireka-24h'!C52,'04.08 Kinawataka-Kireka'!C52)</f>
        <v>82.285714285714292</v>
      </c>
      <c r="D52" s="49">
        <f>AVERAGE('29.07 Kinawataka-Kireka'!D52,'30.07 Kinawataka-Kireka'!D52,'31.07 Kinawataka-Kireka'!D52,'02.08 Kinawataka-Kireka'!D52,'01.08 Kinawataka-Kireka-24h'!D52,'03.08 Kinawataka-Kireka-24h'!D52,'04.08 Kinawataka-Kireka'!D52)</f>
        <v>10.571428571428571</v>
      </c>
      <c r="E52" s="49">
        <f>AVERAGE('29.07 Kinawataka-Kireka'!E52,'30.07 Kinawataka-Kireka'!E52,'31.07 Kinawataka-Kireka'!E52,'02.08 Kinawataka-Kireka'!E52,'01.08 Kinawataka-Kireka-24h'!E52,'03.08 Kinawataka-Kireka-24h'!E52,'04.08 Kinawataka-Kireka'!E52)</f>
        <v>16.571428571428573</v>
      </c>
      <c r="F52" s="49">
        <f>AVERAGE('29.07 Kinawataka-Kireka'!F52,'30.07 Kinawataka-Kireka'!F52,'31.07 Kinawataka-Kireka'!F52,'02.08 Kinawataka-Kireka'!F52,'01.08 Kinawataka-Kireka-24h'!F52,'03.08 Kinawataka-Kireka-24h'!F52,'04.08 Kinawataka-Kireka'!F52)</f>
        <v>13.571428571428571</v>
      </c>
      <c r="G52" s="49">
        <f>AVERAGE('29.07 Kinawataka-Kireka'!G52,'30.07 Kinawataka-Kireka'!G52,'31.07 Kinawataka-Kireka'!G52,'02.08 Kinawataka-Kireka'!G52,'01.08 Kinawataka-Kireka-24h'!G52,'03.08 Kinawataka-Kireka-24h'!G52,'04.08 Kinawataka-Kireka'!G52)</f>
        <v>3</v>
      </c>
      <c r="H52" s="49">
        <f>AVERAGE('29.07 Kinawataka-Kireka'!H52,'30.07 Kinawataka-Kireka'!H52,'31.07 Kinawataka-Kireka'!H52,'02.08 Kinawataka-Kireka'!H52,'01.08 Kinawataka-Kireka-24h'!H52,'03.08 Kinawataka-Kireka-24h'!H52,'04.08 Kinawataka-Kireka'!H52)</f>
        <v>1</v>
      </c>
      <c r="I52" s="49">
        <f>AVERAGE('29.07 Kinawataka-Kireka'!I52,'30.07 Kinawataka-Kireka'!I52,'31.07 Kinawataka-Kireka'!I52,'02.08 Kinawataka-Kireka'!I52,'01.08 Kinawataka-Kireka-24h'!I52,'03.08 Kinawataka-Kireka-24h'!I52,'04.08 Kinawataka-Kireka'!I52)</f>
        <v>6</v>
      </c>
      <c r="J52" s="49">
        <f>AVERAGE('29.07 Kinawataka-Kireka'!J52,'30.07 Kinawataka-Kireka'!J52,'31.07 Kinawataka-Kireka'!J52,'02.08 Kinawataka-Kireka'!J52,'01.08 Kinawataka-Kireka-24h'!J52,'03.08 Kinawataka-Kireka-24h'!J52,'04.08 Kinawataka-Kireka'!J52)</f>
        <v>3</v>
      </c>
      <c r="K52" s="49">
        <f>AVERAGE('29.07 Kinawataka-Kireka'!K52,'30.07 Kinawataka-Kireka'!K52,'31.07 Kinawataka-Kireka'!K52,'02.08 Kinawataka-Kireka'!K52,'01.08 Kinawataka-Kireka-24h'!K52,'03.08 Kinawataka-Kireka-24h'!K52,'04.08 Kinawataka-Kireka'!K52)</f>
        <v>1.8571428571428572</v>
      </c>
      <c r="L52" s="49">
        <f>AVERAGE('29.07 Kinawataka-Kireka'!L52,'30.07 Kinawataka-Kireka'!L52,'31.07 Kinawataka-Kireka'!L52,'02.08 Kinawataka-Kireka'!L52,'01.08 Kinawataka-Kireka-24h'!L52,'03.08 Kinawataka-Kireka-24h'!L52,'04.08 Kinawataka-Kireka'!L52)</f>
        <v>3.4285714285714284</v>
      </c>
      <c r="M52" s="49">
        <f>AVERAGE('29.07 Kinawataka-Kireka'!M52,'30.07 Kinawataka-Kireka'!M52,'31.07 Kinawataka-Kireka'!M52,'02.08 Kinawataka-Kireka'!M52,'01.08 Kinawataka-Kireka-24h'!M52,'03.08 Kinawataka-Kireka-24h'!M52,'04.08 Kinawataka-Kireka'!M52)</f>
        <v>115.28571428571429</v>
      </c>
      <c r="N52" s="49">
        <f>AVERAGE('29.07 Kinawataka-Kireka'!N52,'30.07 Kinawataka-Kireka'!N52,'31.07 Kinawataka-Kireka'!N52,'02.08 Kinawataka-Kireka'!N52,'01.08 Kinawataka-Kireka-24h'!N52,'03.08 Kinawataka-Kireka-24h'!N52,'04.08 Kinawataka-Kireka'!N52)</f>
        <v>0.14285714285714285</v>
      </c>
      <c r="O52" s="15">
        <f t="shared" si="0"/>
        <v>141.42857142857142</v>
      </c>
      <c r="P52" s="15">
        <f t="shared" si="1"/>
        <v>256.71428571428572</v>
      </c>
      <c r="R52" s="8"/>
      <c r="T52"/>
    </row>
    <row r="53" spans="2:20" ht="23.1" customHeight="1" x14ac:dyDescent="0.25">
      <c r="B53" s="23" t="s">
        <v>80</v>
      </c>
      <c r="C53" s="49">
        <f>AVERAGE('29.07 Kinawataka-Kireka'!C53,'30.07 Kinawataka-Kireka'!C53,'31.07 Kinawataka-Kireka'!C53,'02.08 Kinawataka-Kireka'!C53,'01.08 Kinawataka-Kireka-24h'!C53,'03.08 Kinawataka-Kireka-24h'!C53,'04.08 Kinawataka-Kireka'!C53)</f>
        <v>70.142857142857139</v>
      </c>
      <c r="D53" s="49">
        <f>AVERAGE('29.07 Kinawataka-Kireka'!D53,'30.07 Kinawataka-Kireka'!D53,'31.07 Kinawataka-Kireka'!D53,'02.08 Kinawataka-Kireka'!D53,'01.08 Kinawataka-Kireka-24h'!D53,'03.08 Kinawataka-Kireka-24h'!D53,'04.08 Kinawataka-Kireka'!D53)</f>
        <v>10.285714285714286</v>
      </c>
      <c r="E53" s="49">
        <f>AVERAGE('29.07 Kinawataka-Kireka'!E53,'30.07 Kinawataka-Kireka'!E53,'31.07 Kinawataka-Kireka'!E53,'02.08 Kinawataka-Kireka'!E53,'01.08 Kinawataka-Kireka-24h'!E53,'03.08 Kinawataka-Kireka-24h'!E53,'04.08 Kinawataka-Kireka'!E53)</f>
        <v>12.428571428571429</v>
      </c>
      <c r="F53" s="49">
        <f>AVERAGE('29.07 Kinawataka-Kireka'!F53,'30.07 Kinawataka-Kireka'!F53,'31.07 Kinawataka-Kireka'!F53,'02.08 Kinawataka-Kireka'!F53,'01.08 Kinawataka-Kireka-24h'!F53,'03.08 Kinawataka-Kireka-24h'!F53,'04.08 Kinawataka-Kireka'!F53)</f>
        <v>12.428571428571429</v>
      </c>
      <c r="G53" s="49">
        <f>AVERAGE('29.07 Kinawataka-Kireka'!G53,'30.07 Kinawataka-Kireka'!G53,'31.07 Kinawataka-Kireka'!G53,'02.08 Kinawataka-Kireka'!G53,'01.08 Kinawataka-Kireka-24h'!G53,'03.08 Kinawataka-Kireka-24h'!G53,'04.08 Kinawataka-Kireka'!G53)</f>
        <v>2</v>
      </c>
      <c r="H53" s="49">
        <f>AVERAGE('29.07 Kinawataka-Kireka'!H53,'30.07 Kinawataka-Kireka'!H53,'31.07 Kinawataka-Kireka'!H53,'02.08 Kinawataka-Kireka'!H53,'01.08 Kinawataka-Kireka-24h'!H53,'03.08 Kinawataka-Kireka-24h'!H53,'04.08 Kinawataka-Kireka'!H53)</f>
        <v>0.14285714285714285</v>
      </c>
      <c r="I53" s="49">
        <f>AVERAGE('29.07 Kinawataka-Kireka'!I53,'30.07 Kinawataka-Kireka'!I53,'31.07 Kinawataka-Kireka'!I53,'02.08 Kinawataka-Kireka'!I53,'01.08 Kinawataka-Kireka-24h'!I53,'03.08 Kinawataka-Kireka-24h'!I53,'04.08 Kinawataka-Kireka'!I53)</f>
        <v>4.2857142857142856</v>
      </c>
      <c r="J53" s="49">
        <f>AVERAGE('29.07 Kinawataka-Kireka'!J53,'30.07 Kinawataka-Kireka'!J53,'31.07 Kinawataka-Kireka'!J53,'02.08 Kinawataka-Kireka'!J53,'01.08 Kinawataka-Kireka-24h'!J53,'03.08 Kinawataka-Kireka-24h'!J53,'04.08 Kinawataka-Kireka'!J53)</f>
        <v>3.1428571428571428</v>
      </c>
      <c r="K53" s="49">
        <f>AVERAGE('29.07 Kinawataka-Kireka'!K53,'30.07 Kinawataka-Kireka'!K53,'31.07 Kinawataka-Kireka'!K53,'02.08 Kinawataka-Kireka'!K53,'01.08 Kinawataka-Kireka-24h'!K53,'03.08 Kinawataka-Kireka-24h'!K53,'04.08 Kinawataka-Kireka'!K53)</f>
        <v>1.2857142857142858</v>
      </c>
      <c r="L53" s="49">
        <f>AVERAGE('29.07 Kinawataka-Kireka'!L53,'30.07 Kinawataka-Kireka'!L53,'31.07 Kinawataka-Kireka'!L53,'02.08 Kinawataka-Kireka'!L53,'01.08 Kinawataka-Kireka-24h'!L53,'03.08 Kinawataka-Kireka-24h'!L53,'04.08 Kinawataka-Kireka'!L53)</f>
        <v>3.4285714285714284</v>
      </c>
      <c r="M53" s="49">
        <f>AVERAGE('29.07 Kinawataka-Kireka'!M53,'30.07 Kinawataka-Kireka'!M53,'31.07 Kinawataka-Kireka'!M53,'02.08 Kinawataka-Kireka'!M53,'01.08 Kinawataka-Kireka-24h'!M53,'03.08 Kinawataka-Kireka-24h'!M53,'04.08 Kinawataka-Kireka'!M53)</f>
        <v>117.85714285714286</v>
      </c>
      <c r="N53" s="49">
        <f>AVERAGE('29.07 Kinawataka-Kireka'!N53,'30.07 Kinawataka-Kireka'!N53,'31.07 Kinawataka-Kireka'!N53,'02.08 Kinawataka-Kireka'!N53,'01.08 Kinawataka-Kireka-24h'!N53,'03.08 Kinawataka-Kireka-24h'!N53,'04.08 Kinawataka-Kireka'!N53)</f>
        <v>0</v>
      </c>
      <c r="O53" s="15">
        <f t="shared" si="0"/>
        <v>119.57142857142858</v>
      </c>
      <c r="P53" s="15">
        <f t="shared" si="1"/>
        <v>237.42857142857144</v>
      </c>
      <c r="R53" s="8"/>
      <c r="T53"/>
    </row>
    <row r="54" spans="2:20" ht="23.1" customHeight="1" x14ac:dyDescent="0.25">
      <c r="B54" s="23" t="s">
        <v>81</v>
      </c>
      <c r="C54" s="49">
        <f>AVERAGE('29.07 Kinawataka-Kireka'!C54,'30.07 Kinawataka-Kireka'!C54,'31.07 Kinawataka-Kireka'!C54,'02.08 Kinawataka-Kireka'!C54,'01.08 Kinawataka-Kireka-24h'!C54,'03.08 Kinawataka-Kireka-24h'!C54,'04.08 Kinawataka-Kireka'!C54)</f>
        <v>71.428571428571431</v>
      </c>
      <c r="D54" s="49">
        <f>AVERAGE('29.07 Kinawataka-Kireka'!D54,'30.07 Kinawataka-Kireka'!D54,'31.07 Kinawataka-Kireka'!D54,'02.08 Kinawataka-Kireka'!D54,'01.08 Kinawataka-Kireka-24h'!D54,'03.08 Kinawataka-Kireka-24h'!D54,'04.08 Kinawataka-Kireka'!D54)</f>
        <v>11.714285714285714</v>
      </c>
      <c r="E54" s="49">
        <f>AVERAGE('29.07 Kinawataka-Kireka'!E54,'30.07 Kinawataka-Kireka'!E54,'31.07 Kinawataka-Kireka'!E54,'02.08 Kinawataka-Kireka'!E54,'01.08 Kinawataka-Kireka-24h'!E54,'03.08 Kinawataka-Kireka-24h'!E54,'04.08 Kinawataka-Kireka'!E54)</f>
        <v>11.285714285714286</v>
      </c>
      <c r="F54" s="49">
        <f>AVERAGE('29.07 Kinawataka-Kireka'!F54,'30.07 Kinawataka-Kireka'!F54,'31.07 Kinawataka-Kireka'!F54,'02.08 Kinawataka-Kireka'!F54,'01.08 Kinawataka-Kireka-24h'!F54,'03.08 Kinawataka-Kireka-24h'!F54,'04.08 Kinawataka-Kireka'!F54)</f>
        <v>13.857142857142858</v>
      </c>
      <c r="G54" s="49">
        <f>AVERAGE('29.07 Kinawataka-Kireka'!G54,'30.07 Kinawataka-Kireka'!G54,'31.07 Kinawataka-Kireka'!G54,'02.08 Kinawataka-Kireka'!G54,'01.08 Kinawataka-Kireka-24h'!G54,'03.08 Kinawataka-Kireka-24h'!G54,'04.08 Kinawataka-Kireka'!G54)</f>
        <v>2.2857142857142856</v>
      </c>
      <c r="H54" s="49">
        <f>AVERAGE('29.07 Kinawataka-Kireka'!H54,'30.07 Kinawataka-Kireka'!H54,'31.07 Kinawataka-Kireka'!H54,'02.08 Kinawataka-Kireka'!H54,'01.08 Kinawataka-Kireka-24h'!H54,'03.08 Kinawataka-Kireka-24h'!H54,'04.08 Kinawataka-Kireka'!H54)</f>
        <v>0.2857142857142857</v>
      </c>
      <c r="I54" s="49">
        <f>AVERAGE('29.07 Kinawataka-Kireka'!I54,'30.07 Kinawataka-Kireka'!I54,'31.07 Kinawataka-Kireka'!I54,'02.08 Kinawataka-Kireka'!I54,'01.08 Kinawataka-Kireka-24h'!I54,'03.08 Kinawataka-Kireka-24h'!I54,'04.08 Kinawataka-Kireka'!I54)</f>
        <v>9.4285714285714288</v>
      </c>
      <c r="J54" s="49">
        <f>AVERAGE('29.07 Kinawataka-Kireka'!J54,'30.07 Kinawataka-Kireka'!J54,'31.07 Kinawataka-Kireka'!J54,'02.08 Kinawataka-Kireka'!J54,'01.08 Kinawataka-Kireka-24h'!J54,'03.08 Kinawataka-Kireka-24h'!J54,'04.08 Kinawataka-Kireka'!J54)</f>
        <v>3</v>
      </c>
      <c r="K54" s="49">
        <f>AVERAGE('29.07 Kinawataka-Kireka'!K54,'30.07 Kinawataka-Kireka'!K54,'31.07 Kinawataka-Kireka'!K54,'02.08 Kinawataka-Kireka'!K54,'01.08 Kinawataka-Kireka-24h'!K54,'03.08 Kinawataka-Kireka-24h'!K54,'04.08 Kinawataka-Kireka'!K54)</f>
        <v>0.8571428571428571</v>
      </c>
      <c r="L54" s="49">
        <f>AVERAGE('29.07 Kinawataka-Kireka'!L54,'30.07 Kinawataka-Kireka'!L54,'31.07 Kinawataka-Kireka'!L54,'02.08 Kinawataka-Kireka'!L54,'01.08 Kinawataka-Kireka-24h'!L54,'03.08 Kinawataka-Kireka-24h'!L54,'04.08 Kinawataka-Kireka'!L54)</f>
        <v>5.2857142857142856</v>
      </c>
      <c r="M54" s="49">
        <f>AVERAGE('29.07 Kinawataka-Kireka'!M54,'30.07 Kinawataka-Kireka'!M54,'31.07 Kinawataka-Kireka'!M54,'02.08 Kinawataka-Kireka'!M54,'01.08 Kinawataka-Kireka-24h'!M54,'03.08 Kinawataka-Kireka-24h'!M54,'04.08 Kinawataka-Kireka'!M54)</f>
        <v>104.28571428571429</v>
      </c>
      <c r="N54" s="49">
        <f>AVERAGE('29.07 Kinawataka-Kireka'!N54,'30.07 Kinawataka-Kireka'!N54,'31.07 Kinawataka-Kireka'!N54,'02.08 Kinawataka-Kireka'!N54,'01.08 Kinawataka-Kireka-24h'!N54,'03.08 Kinawataka-Kireka-24h'!N54,'04.08 Kinawataka-Kireka'!N54)</f>
        <v>0</v>
      </c>
      <c r="O54" s="15">
        <f t="shared" si="0"/>
        <v>129.42857142857144</v>
      </c>
      <c r="P54" s="15">
        <f t="shared" si="1"/>
        <v>233.71428571428572</v>
      </c>
      <c r="R54" s="8"/>
      <c r="T54"/>
    </row>
    <row r="55" spans="2:20" ht="23.1" customHeight="1" x14ac:dyDescent="0.25">
      <c r="B55" s="23" t="s">
        <v>82</v>
      </c>
      <c r="C55" s="49">
        <f>AVERAGE('29.07 Kinawataka-Kireka'!C55,'30.07 Kinawataka-Kireka'!C55,'31.07 Kinawataka-Kireka'!C55,'02.08 Kinawataka-Kireka'!C55,'01.08 Kinawataka-Kireka-24h'!C55,'03.08 Kinawataka-Kireka-24h'!C55,'04.08 Kinawataka-Kireka'!C55)</f>
        <v>75.428571428571431</v>
      </c>
      <c r="D55" s="49">
        <f>AVERAGE('29.07 Kinawataka-Kireka'!D55,'30.07 Kinawataka-Kireka'!D55,'31.07 Kinawataka-Kireka'!D55,'02.08 Kinawataka-Kireka'!D55,'01.08 Kinawataka-Kireka-24h'!D55,'03.08 Kinawataka-Kireka-24h'!D55,'04.08 Kinawataka-Kireka'!D55)</f>
        <v>11.571428571428571</v>
      </c>
      <c r="E55" s="49">
        <f>AVERAGE('29.07 Kinawataka-Kireka'!E55,'30.07 Kinawataka-Kireka'!E55,'31.07 Kinawataka-Kireka'!E55,'02.08 Kinawataka-Kireka'!E55,'01.08 Kinawataka-Kireka-24h'!E55,'03.08 Kinawataka-Kireka-24h'!E55,'04.08 Kinawataka-Kireka'!E55)</f>
        <v>8.2857142857142865</v>
      </c>
      <c r="F55" s="49">
        <f>AVERAGE('29.07 Kinawataka-Kireka'!F55,'30.07 Kinawataka-Kireka'!F55,'31.07 Kinawataka-Kireka'!F55,'02.08 Kinawataka-Kireka'!F55,'01.08 Kinawataka-Kireka-24h'!F55,'03.08 Kinawataka-Kireka-24h'!F55,'04.08 Kinawataka-Kireka'!F55)</f>
        <v>19</v>
      </c>
      <c r="G55" s="49">
        <f>AVERAGE('29.07 Kinawataka-Kireka'!G55,'30.07 Kinawataka-Kireka'!G55,'31.07 Kinawataka-Kireka'!G55,'02.08 Kinawataka-Kireka'!G55,'01.08 Kinawataka-Kireka-24h'!G55,'03.08 Kinawataka-Kireka-24h'!G55,'04.08 Kinawataka-Kireka'!G55)</f>
        <v>1.4285714285714286</v>
      </c>
      <c r="H55" s="49">
        <f>AVERAGE('29.07 Kinawataka-Kireka'!H55,'30.07 Kinawataka-Kireka'!H55,'31.07 Kinawataka-Kireka'!H55,'02.08 Kinawataka-Kireka'!H55,'01.08 Kinawataka-Kireka-24h'!H55,'03.08 Kinawataka-Kireka-24h'!H55,'04.08 Kinawataka-Kireka'!H55)</f>
        <v>0</v>
      </c>
      <c r="I55" s="49">
        <f>AVERAGE('29.07 Kinawataka-Kireka'!I55,'30.07 Kinawataka-Kireka'!I55,'31.07 Kinawataka-Kireka'!I55,'02.08 Kinawataka-Kireka'!I55,'01.08 Kinawataka-Kireka-24h'!I55,'03.08 Kinawataka-Kireka-24h'!I55,'04.08 Kinawataka-Kireka'!I55)</f>
        <v>6.4285714285714288</v>
      </c>
      <c r="J55" s="49">
        <f>AVERAGE('29.07 Kinawataka-Kireka'!J55,'30.07 Kinawataka-Kireka'!J55,'31.07 Kinawataka-Kireka'!J55,'02.08 Kinawataka-Kireka'!J55,'01.08 Kinawataka-Kireka-24h'!J55,'03.08 Kinawataka-Kireka-24h'!J55,'04.08 Kinawataka-Kireka'!J55)</f>
        <v>4.1428571428571432</v>
      </c>
      <c r="K55" s="49">
        <f>AVERAGE('29.07 Kinawataka-Kireka'!K55,'30.07 Kinawataka-Kireka'!K55,'31.07 Kinawataka-Kireka'!K55,'02.08 Kinawataka-Kireka'!K55,'01.08 Kinawataka-Kireka-24h'!K55,'03.08 Kinawataka-Kireka-24h'!K55,'04.08 Kinawataka-Kireka'!K55)</f>
        <v>3.7142857142857144</v>
      </c>
      <c r="L55" s="49">
        <f>AVERAGE('29.07 Kinawataka-Kireka'!L55,'30.07 Kinawataka-Kireka'!L55,'31.07 Kinawataka-Kireka'!L55,'02.08 Kinawataka-Kireka'!L55,'01.08 Kinawataka-Kireka-24h'!L55,'03.08 Kinawataka-Kireka-24h'!L55,'04.08 Kinawataka-Kireka'!L55)</f>
        <v>2.8571428571428572</v>
      </c>
      <c r="M55" s="49">
        <f>AVERAGE('29.07 Kinawataka-Kireka'!M55,'30.07 Kinawataka-Kireka'!M55,'31.07 Kinawataka-Kireka'!M55,'02.08 Kinawataka-Kireka'!M55,'01.08 Kinawataka-Kireka-24h'!M55,'03.08 Kinawataka-Kireka-24h'!M55,'04.08 Kinawataka-Kireka'!M55)</f>
        <v>109.28571428571429</v>
      </c>
      <c r="N55" s="49">
        <f>AVERAGE('29.07 Kinawataka-Kireka'!N55,'30.07 Kinawataka-Kireka'!N55,'31.07 Kinawataka-Kireka'!N55,'02.08 Kinawataka-Kireka'!N55,'01.08 Kinawataka-Kireka-24h'!N55,'03.08 Kinawataka-Kireka-24h'!N55,'04.08 Kinawataka-Kireka'!N55)</f>
        <v>0.14285714285714285</v>
      </c>
      <c r="O55" s="15">
        <f t="shared" si="0"/>
        <v>133</v>
      </c>
      <c r="P55" s="15">
        <f t="shared" si="1"/>
        <v>242.28571428571431</v>
      </c>
      <c r="R55" s="8"/>
      <c r="T55"/>
    </row>
    <row r="56" spans="2:20" ht="23.1" customHeight="1" x14ac:dyDescent="0.25">
      <c r="B56" s="23" t="s">
        <v>83</v>
      </c>
      <c r="C56" s="49">
        <f>AVERAGE('29.07 Kinawataka-Kireka'!C56,'30.07 Kinawataka-Kireka'!C56,'31.07 Kinawataka-Kireka'!C56,'02.08 Kinawataka-Kireka'!C56,'01.08 Kinawataka-Kireka-24h'!C56,'03.08 Kinawataka-Kireka-24h'!C56,'04.08 Kinawataka-Kireka'!C56)</f>
        <v>81.571428571428569</v>
      </c>
      <c r="D56" s="49">
        <f>AVERAGE('29.07 Kinawataka-Kireka'!D56,'30.07 Kinawataka-Kireka'!D56,'31.07 Kinawataka-Kireka'!D56,'02.08 Kinawataka-Kireka'!D56,'01.08 Kinawataka-Kireka-24h'!D56,'03.08 Kinawataka-Kireka-24h'!D56,'04.08 Kinawataka-Kireka'!D56)</f>
        <v>10.428571428571429</v>
      </c>
      <c r="E56" s="49">
        <f>AVERAGE('29.07 Kinawataka-Kireka'!E56,'30.07 Kinawataka-Kireka'!E56,'31.07 Kinawataka-Kireka'!E56,'02.08 Kinawataka-Kireka'!E56,'01.08 Kinawataka-Kireka-24h'!E56,'03.08 Kinawataka-Kireka-24h'!E56,'04.08 Kinawataka-Kireka'!E56)</f>
        <v>18.571428571428573</v>
      </c>
      <c r="F56" s="49">
        <f>AVERAGE('29.07 Kinawataka-Kireka'!F56,'30.07 Kinawataka-Kireka'!F56,'31.07 Kinawataka-Kireka'!F56,'02.08 Kinawataka-Kireka'!F56,'01.08 Kinawataka-Kireka-24h'!F56,'03.08 Kinawataka-Kireka-24h'!F56,'04.08 Kinawataka-Kireka'!F56)</f>
        <v>19.714285714285715</v>
      </c>
      <c r="G56" s="49">
        <f>AVERAGE('29.07 Kinawataka-Kireka'!G56,'30.07 Kinawataka-Kireka'!G56,'31.07 Kinawataka-Kireka'!G56,'02.08 Kinawataka-Kireka'!G56,'01.08 Kinawataka-Kireka-24h'!G56,'03.08 Kinawataka-Kireka-24h'!G56,'04.08 Kinawataka-Kireka'!G56)</f>
        <v>3.7142857142857144</v>
      </c>
      <c r="H56" s="49">
        <f>AVERAGE('29.07 Kinawataka-Kireka'!H56,'30.07 Kinawataka-Kireka'!H56,'31.07 Kinawataka-Kireka'!H56,'02.08 Kinawataka-Kireka'!H56,'01.08 Kinawataka-Kireka-24h'!H56,'03.08 Kinawataka-Kireka-24h'!H56,'04.08 Kinawataka-Kireka'!H56)</f>
        <v>0</v>
      </c>
      <c r="I56" s="49">
        <f>AVERAGE('29.07 Kinawataka-Kireka'!I56,'30.07 Kinawataka-Kireka'!I56,'31.07 Kinawataka-Kireka'!I56,'02.08 Kinawataka-Kireka'!I56,'01.08 Kinawataka-Kireka-24h'!I56,'03.08 Kinawataka-Kireka-24h'!I56,'04.08 Kinawataka-Kireka'!I56)</f>
        <v>7.1428571428571432</v>
      </c>
      <c r="J56" s="49">
        <f>AVERAGE('29.07 Kinawataka-Kireka'!J56,'30.07 Kinawataka-Kireka'!J56,'31.07 Kinawataka-Kireka'!J56,'02.08 Kinawataka-Kireka'!J56,'01.08 Kinawataka-Kireka-24h'!J56,'03.08 Kinawataka-Kireka-24h'!J56,'04.08 Kinawataka-Kireka'!J56)</f>
        <v>8.4285714285714288</v>
      </c>
      <c r="K56" s="49">
        <f>AVERAGE('29.07 Kinawataka-Kireka'!K56,'30.07 Kinawataka-Kireka'!K56,'31.07 Kinawataka-Kireka'!K56,'02.08 Kinawataka-Kireka'!K56,'01.08 Kinawataka-Kireka-24h'!K56,'03.08 Kinawataka-Kireka-24h'!K56,'04.08 Kinawataka-Kireka'!K56)</f>
        <v>3</v>
      </c>
      <c r="L56" s="49">
        <f>AVERAGE('29.07 Kinawataka-Kireka'!L56,'30.07 Kinawataka-Kireka'!L56,'31.07 Kinawataka-Kireka'!L56,'02.08 Kinawataka-Kireka'!L56,'01.08 Kinawataka-Kireka-24h'!L56,'03.08 Kinawataka-Kireka-24h'!L56,'04.08 Kinawataka-Kireka'!L56)</f>
        <v>2.8571428571428572</v>
      </c>
      <c r="M56" s="49">
        <f>AVERAGE('29.07 Kinawataka-Kireka'!M56,'30.07 Kinawataka-Kireka'!M56,'31.07 Kinawataka-Kireka'!M56,'02.08 Kinawataka-Kireka'!M56,'01.08 Kinawataka-Kireka-24h'!M56,'03.08 Kinawataka-Kireka-24h'!M56,'04.08 Kinawataka-Kireka'!M56)</f>
        <v>118.85714285714286</v>
      </c>
      <c r="N56" s="49">
        <f>AVERAGE('29.07 Kinawataka-Kireka'!N56,'30.07 Kinawataka-Kireka'!N56,'31.07 Kinawataka-Kireka'!N56,'02.08 Kinawataka-Kireka'!N56,'01.08 Kinawataka-Kireka-24h'!N56,'03.08 Kinawataka-Kireka-24h'!N56,'04.08 Kinawataka-Kireka'!N56)</f>
        <v>0</v>
      </c>
      <c r="O56" s="15">
        <f t="shared" si="0"/>
        <v>155.42857142857142</v>
      </c>
      <c r="P56" s="15">
        <f t="shared" si="1"/>
        <v>274.28571428571428</v>
      </c>
      <c r="R56" s="8"/>
      <c r="T56"/>
    </row>
    <row r="57" spans="2:20" ht="23.1" customHeight="1" x14ac:dyDescent="0.25">
      <c r="B57" s="23" t="s">
        <v>84</v>
      </c>
      <c r="C57" s="49">
        <f>AVERAGE('29.07 Kinawataka-Kireka'!C57,'30.07 Kinawataka-Kireka'!C57,'31.07 Kinawataka-Kireka'!C57,'02.08 Kinawataka-Kireka'!C57,'01.08 Kinawataka-Kireka-24h'!C57,'03.08 Kinawataka-Kireka-24h'!C57,'04.08 Kinawataka-Kireka'!C57)</f>
        <v>66.428571428571431</v>
      </c>
      <c r="D57" s="49">
        <f>AVERAGE('29.07 Kinawataka-Kireka'!D57,'30.07 Kinawataka-Kireka'!D57,'31.07 Kinawataka-Kireka'!D57,'02.08 Kinawataka-Kireka'!D57,'01.08 Kinawataka-Kireka-24h'!D57,'03.08 Kinawataka-Kireka-24h'!D57,'04.08 Kinawataka-Kireka'!D57)</f>
        <v>4.8571428571428568</v>
      </c>
      <c r="E57" s="49">
        <f>AVERAGE('29.07 Kinawataka-Kireka'!E57,'30.07 Kinawataka-Kireka'!E57,'31.07 Kinawataka-Kireka'!E57,'02.08 Kinawataka-Kireka'!E57,'01.08 Kinawataka-Kireka-24h'!E57,'03.08 Kinawataka-Kireka-24h'!E57,'04.08 Kinawataka-Kireka'!E57)</f>
        <v>4.1428571428571432</v>
      </c>
      <c r="F57" s="49">
        <f>AVERAGE('29.07 Kinawataka-Kireka'!F57,'30.07 Kinawataka-Kireka'!F57,'31.07 Kinawataka-Kireka'!F57,'02.08 Kinawataka-Kireka'!F57,'01.08 Kinawataka-Kireka-24h'!F57,'03.08 Kinawataka-Kireka-24h'!F57,'04.08 Kinawataka-Kireka'!F57)</f>
        <v>17.571428571428573</v>
      </c>
      <c r="G57" s="49">
        <f>AVERAGE('29.07 Kinawataka-Kireka'!G57,'30.07 Kinawataka-Kireka'!G57,'31.07 Kinawataka-Kireka'!G57,'02.08 Kinawataka-Kireka'!G57,'01.08 Kinawataka-Kireka-24h'!G57,'03.08 Kinawataka-Kireka-24h'!G57,'04.08 Kinawataka-Kireka'!G57)</f>
        <v>2.4285714285714284</v>
      </c>
      <c r="H57" s="49">
        <f>AVERAGE('29.07 Kinawataka-Kireka'!H57,'30.07 Kinawataka-Kireka'!H57,'31.07 Kinawataka-Kireka'!H57,'02.08 Kinawataka-Kireka'!H57,'01.08 Kinawataka-Kireka-24h'!H57,'03.08 Kinawataka-Kireka-24h'!H57,'04.08 Kinawataka-Kireka'!H57)</f>
        <v>0.2857142857142857</v>
      </c>
      <c r="I57" s="49">
        <f>AVERAGE('29.07 Kinawataka-Kireka'!I57,'30.07 Kinawataka-Kireka'!I57,'31.07 Kinawataka-Kireka'!I57,'02.08 Kinawataka-Kireka'!I57,'01.08 Kinawataka-Kireka-24h'!I57,'03.08 Kinawataka-Kireka-24h'!I57,'04.08 Kinawataka-Kireka'!I57)</f>
        <v>6.5714285714285712</v>
      </c>
      <c r="J57" s="49">
        <f>AVERAGE('29.07 Kinawataka-Kireka'!J57,'30.07 Kinawataka-Kireka'!J57,'31.07 Kinawataka-Kireka'!J57,'02.08 Kinawataka-Kireka'!J57,'01.08 Kinawataka-Kireka-24h'!J57,'03.08 Kinawataka-Kireka-24h'!J57,'04.08 Kinawataka-Kireka'!J57)</f>
        <v>2.2857142857142856</v>
      </c>
      <c r="K57" s="49">
        <f>AVERAGE('29.07 Kinawataka-Kireka'!K57,'30.07 Kinawataka-Kireka'!K57,'31.07 Kinawataka-Kireka'!K57,'02.08 Kinawataka-Kireka'!K57,'01.08 Kinawataka-Kireka-24h'!K57,'03.08 Kinawataka-Kireka-24h'!K57,'04.08 Kinawataka-Kireka'!K57)</f>
        <v>1.5714285714285714</v>
      </c>
      <c r="L57" s="49">
        <f>AVERAGE('29.07 Kinawataka-Kireka'!L57,'30.07 Kinawataka-Kireka'!L57,'31.07 Kinawataka-Kireka'!L57,'02.08 Kinawataka-Kireka'!L57,'01.08 Kinawataka-Kireka-24h'!L57,'03.08 Kinawataka-Kireka-24h'!L57,'04.08 Kinawataka-Kireka'!L57)</f>
        <v>2.8571428571428572</v>
      </c>
      <c r="M57" s="49">
        <f>AVERAGE('29.07 Kinawataka-Kireka'!M57,'30.07 Kinawataka-Kireka'!M57,'31.07 Kinawataka-Kireka'!M57,'02.08 Kinawataka-Kireka'!M57,'01.08 Kinawataka-Kireka-24h'!M57,'03.08 Kinawataka-Kireka-24h'!M57,'04.08 Kinawataka-Kireka'!M57)</f>
        <v>122.85714285714286</v>
      </c>
      <c r="N57" s="49">
        <f>AVERAGE('29.07 Kinawataka-Kireka'!N57,'30.07 Kinawataka-Kireka'!N57,'31.07 Kinawataka-Kireka'!N57,'02.08 Kinawataka-Kireka'!N57,'01.08 Kinawataka-Kireka-24h'!N57,'03.08 Kinawataka-Kireka-24h'!N57,'04.08 Kinawataka-Kireka'!N57)</f>
        <v>0</v>
      </c>
      <c r="O57" s="15">
        <f t="shared" si="0"/>
        <v>109.00000000000001</v>
      </c>
      <c r="P57" s="15">
        <f t="shared" si="1"/>
        <v>231.85714285714289</v>
      </c>
      <c r="R57" s="8"/>
      <c r="T57"/>
    </row>
    <row r="58" spans="2:20" ht="23.1" customHeight="1" x14ac:dyDescent="0.25">
      <c r="B58" s="23" t="s">
        <v>99</v>
      </c>
      <c r="C58" s="49">
        <f>AVERAGE('01.08 Kinawataka-Kireka-24h'!C58,'03.08 Kinawataka-Kireka-24h'!C58)</f>
        <v>63.5</v>
      </c>
      <c r="D58" s="49">
        <f>AVERAGE('01.08 Kinawataka-Kireka-24h'!D58,'03.08 Kinawataka-Kireka-24h'!D58)</f>
        <v>9.5</v>
      </c>
      <c r="E58" s="49">
        <f>AVERAGE('01.08 Kinawataka-Kireka-24h'!E58,'03.08 Kinawataka-Kireka-24h'!E58)</f>
        <v>4</v>
      </c>
      <c r="F58" s="49">
        <f>AVERAGE('01.08 Kinawataka-Kireka-24h'!F58,'03.08 Kinawataka-Kireka-24h'!F58)</f>
        <v>14</v>
      </c>
      <c r="G58" s="49">
        <f>AVERAGE('01.08 Kinawataka-Kireka-24h'!G58,'03.08 Kinawataka-Kireka-24h'!G58)</f>
        <v>8.5</v>
      </c>
      <c r="H58" s="49">
        <f>AVERAGE('01.08 Kinawataka-Kireka-24h'!H58,'03.08 Kinawataka-Kireka-24h'!H58)</f>
        <v>0.5</v>
      </c>
      <c r="I58" s="49">
        <f>AVERAGE('01.08 Kinawataka-Kireka-24h'!I58,'03.08 Kinawataka-Kireka-24h'!I58)</f>
        <v>6.5</v>
      </c>
      <c r="J58" s="49">
        <f>AVERAGE('01.08 Kinawataka-Kireka-24h'!J58,'03.08 Kinawataka-Kireka-24h'!J58)</f>
        <v>3</v>
      </c>
      <c r="K58" s="49">
        <f>AVERAGE('01.08 Kinawataka-Kireka-24h'!K58,'03.08 Kinawataka-Kireka-24h'!K58)</f>
        <v>2</v>
      </c>
      <c r="L58" s="49">
        <f>AVERAGE('01.08 Kinawataka-Kireka-24h'!L58,'03.08 Kinawataka-Kireka-24h'!L58)</f>
        <v>3</v>
      </c>
      <c r="M58" s="49">
        <f>AVERAGE('01.08 Kinawataka-Kireka-24h'!M58,'03.08 Kinawataka-Kireka-24h'!M58)</f>
        <v>90</v>
      </c>
      <c r="N58" s="49">
        <f>AVERAGE('01.08 Kinawataka-Kireka-24h'!N58,'03.08 Kinawataka-Kireka-24h'!N58)</f>
        <v>0</v>
      </c>
      <c r="O58" s="15">
        <f t="shared" si="0"/>
        <v>114.5</v>
      </c>
      <c r="P58" s="15">
        <f t="shared" si="1"/>
        <v>204.5</v>
      </c>
      <c r="R58" s="8"/>
      <c r="T58"/>
    </row>
    <row r="59" spans="2:20" ht="23.1" customHeight="1" x14ac:dyDescent="0.25">
      <c r="B59" s="23" t="s">
        <v>100</v>
      </c>
      <c r="C59" s="49">
        <f>AVERAGE('01.08 Kinawataka-Kireka-24h'!C59,'03.08 Kinawataka-Kireka-24h'!C59)</f>
        <v>52</v>
      </c>
      <c r="D59" s="49">
        <f>AVERAGE('01.08 Kinawataka-Kireka-24h'!D59,'03.08 Kinawataka-Kireka-24h'!D59)</f>
        <v>11</v>
      </c>
      <c r="E59" s="49">
        <f>AVERAGE('01.08 Kinawataka-Kireka-24h'!E59,'03.08 Kinawataka-Kireka-24h'!E59)</f>
        <v>6.5</v>
      </c>
      <c r="F59" s="49">
        <f>AVERAGE('01.08 Kinawataka-Kireka-24h'!F59,'03.08 Kinawataka-Kireka-24h'!F59)</f>
        <v>12</v>
      </c>
      <c r="G59" s="49">
        <f>AVERAGE('01.08 Kinawataka-Kireka-24h'!G59,'03.08 Kinawataka-Kireka-24h'!G59)</f>
        <v>1.5</v>
      </c>
      <c r="H59" s="49">
        <f>AVERAGE('01.08 Kinawataka-Kireka-24h'!H59,'03.08 Kinawataka-Kireka-24h'!H59)</f>
        <v>0</v>
      </c>
      <c r="I59" s="49">
        <f>AVERAGE('01.08 Kinawataka-Kireka-24h'!I59,'03.08 Kinawataka-Kireka-24h'!I59)</f>
        <v>3</v>
      </c>
      <c r="J59" s="49">
        <f>AVERAGE('01.08 Kinawataka-Kireka-24h'!J59,'03.08 Kinawataka-Kireka-24h'!J59)</f>
        <v>2.5</v>
      </c>
      <c r="K59" s="49">
        <f>AVERAGE('01.08 Kinawataka-Kireka-24h'!K59,'03.08 Kinawataka-Kireka-24h'!K59)</f>
        <v>2.5</v>
      </c>
      <c r="L59" s="49">
        <f>AVERAGE('01.08 Kinawataka-Kireka-24h'!L59,'03.08 Kinawataka-Kireka-24h'!L59)</f>
        <v>3.5</v>
      </c>
      <c r="M59" s="49">
        <f>AVERAGE('01.08 Kinawataka-Kireka-24h'!M59,'03.08 Kinawataka-Kireka-24h'!M59)</f>
        <v>133</v>
      </c>
      <c r="N59" s="49">
        <f>AVERAGE('01.08 Kinawataka-Kireka-24h'!N59,'03.08 Kinawataka-Kireka-24h'!N59)</f>
        <v>0</v>
      </c>
      <c r="O59" s="15">
        <f t="shared" si="0"/>
        <v>94.5</v>
      </c>
      <c r="P59" s="15">
        <f t="shared" si="1"/>
        <v>227.5</v>
      </c>
      <c r="R59" s="8"/>
      <c r="T59"/>
    </row>
    <row r="60" spans="2:20" ht="23.1" customHeight="1" x14ac:dyDescent="0.25">
      <c r="B60" s="23" t="s">
        <v>101</v>
      </c>
      <c r="C60" s="49">
        <f>AVERAGE('01.08 Kinawataka-Kireka-24h'!C60,'03.08 Kinawataka-Kireka-24h'!C60)</f>
        <v>80.5</v>
      </c>
      <c r="D60" s="49">
        <f>AVERAGE('01.08 Kinawataka-Kireka-24h'!D60,'03.08 Kinawataka-Kireka-24h'!D60)</f>
        <v>8.5</v>
      </c>
      <c r="E60" s="49">
        <f>AVERAGE('01.08 Kinawataka-Kireka-24h'!E60,'03.08 Kinawataka-Kireka-24h'!E60)</f>
        <v>9.5</v>
      </c>
      <c r="F60" s="49">
        <f>AVERAGE('01.08 Kinawataka-Kireka-24h'!F60,'03.08 Kinawataka-Kireka-24h'!F60)</f>
        <v>13.5</v>
      </c>
      <c r="G60" s="49">
        <f>AVERAGE('01.08 Kinawataka-Kireka-24h'!G60,'03.08 Kinawataka-Kireka-24h'!G60)</f>
        <v>3.5</v>
      </c>
      <c r="H60" s="49">
        <f>AVERAGE('01.08 Kinawataka-Kireka-24h'!H60,'03.08 Kinawataka-Kireka-24h'!H60)</f>
        <v>0.5</v>
      </c>
      <c r="I60" s="49">
        <f>AVERAGE('01.08 Kinawataka-Kireka-24h'!I60,'03.08 Kinawataka-Kireka-24h'!I60)</f>
        <v>5</v>
      </c>
      <c r="J60" s="49">
        <f>AVERAGE('01.08 Kinawataka-Kireka-24h'!J60,'03.08 Kinawataka-Kireka-24h'!J60)</f>
        <v>3</v>
      </c>
      <c r="K60" s="49">
        <f>AVERAGE('01.08 Kinawataka-Kireka-24h'!K60,'03.08 Kinawataka-Kireka-24h'!K60)</f>
        <v>1.5</v>
      </c>
      <c r="L60" s="49">
        <f>AVERAGE('01.08 Kinawataka-Kireka-24h'!L60,'03.08 Kinawataka-Kireka-24h'!L60)</f>
        <v>1.5</v>
      </c>
      <c r="M60" s="49">
        <f>AVERAGE('01.08 Kinawataka-Kireka-24h'!M60,'03.08 Kinawataka-Kireka-24h'!M60)</f>
        <v>145</v>
      </c>
      <c r="N60" s="49">
        <f>AVERAGE('01.08 Kinawataka-Kireka-24h'!N60,'03.08 Kinawataka-Kireka-24h'!N60)</f>
        <v>0</v>
      </c>
      <c r="O60" s="15">
        <f t="shared" si="0"/>
        <v>127</v>
      </c>
      <c r="P60" s="15">
        <f t="shared" si="1"/>
        <v>272</v>
      </c>
      <c r="R60" s="8"/>
      <c r="T60"/>
    </row>
    <row r="61" spans="2:20" ht="23.1" customHeight="1" x14ac:dyDescent="0.25">
      <c r="B61" s="23" t="s">
        <v>102</v>
      </c>
      <c r="C61" s="49">
        <f>AVERAGE('01.08 Kinawataka-Kireka-24h'!C61,'03.08 Kinawataka-Kireka-24h'!C61)</f>
        <v>82.5</v>
      </c>
      <c r="D61" s="49">
        <f>AVERAGE('01.08 Kinawataka-Kireka-24h'!D61,'03.08 Kinawataka-Kireka-24h'!D61)</f>
        <v>8.5</v>
      </c>
      <c r="E61" s="49">
        <f>AVERAGE('01.08 Kinawataka-Kireka-24h'!E61,'03.08 Kinawataka-Kireka-24h'!E61)</f>
        <v>6.5</v>
      </c>
      <c r="F61" s="49">
        <f>AVERAGE('01.08 Kinawataka-Kireka-24h'!F61,'03.08 Kinawataka-Kireka-24h'!F61)</f>
        <v>20.5</v>
      </c>
      <c r="G61" s="49">
        <f>AVERAGE('01.08 Kinawataka-Kireka-24h'!G61,'03.08 Kinawataka-Kireka-24h'!G61)</f>
        <v>4.5</v>
      </c>
      <c r="H61" s="49">
        <f>AVERAGE('01.08 Kinawataka-Kireka-24h'!H61,'03.08 Kinawataka-Kireka-24h'!H61)</f>
        <v>0.5</v>
      </c>
      <c r="I61" s="49">
        <f>AVERAGE('01.08 Kinawataka-Kireka-24h'!I61,'03.08 Kinawataka-Kireka-24h'!I61)</f>
        <v>4.5</v>
      </c>
      <c r="J61" s="49">
        <f>AVERAGE('01.08 Kinawataka-Kireka-24h'!J61,'03.08 Kinawataka-Kireka-24h'!J61)</f>
        <v>4</v>
      </c>
      <c r="K61" s="49">
        <f>AVERAGE('01.08 Kinawataka-Kireka-24h'!K61,'03.08 Kinawataka-Kireka-24h'!K61)</f>
        <v>0</v>
      </c>
      <c r="L61" s="49">
        <f>AVERAGE('01.08 Kinawataka-Kireka-24h'!L61,'03.08 Kinawataka-Kireka-24h'!L61)</f>
        <v>1.5</v>
      </c>
      <c r="M61" s="49">
        <f>AVERAGE('01.08 Kinawataka-Kireka-24h'!M61,'03.08 Kinawataka-Kireka-24h'!M61)</f>
        <v>233.5</v>
      </c>
      <c r="N61" s="49">
        <f>AVERAGE('01.08 Kinawataka-Kireka-24h'!N61,'03.08 Kinawataka-Kireka-24h'!N61)</f>
        <v>0</v>
      </c>
      <c r="O61" s="15">
        <f t="shared" si="0"/>
        <v>133</v>
      </c>
      <c r="P61" s="15">
        <f t="shared" si="1"/>
        <v>366.5</v>
      </c>
      <c r="R61" s="8"/>
      <c r="T61"/>
    </row>
    <row r="62" spans="2:20" ht="23.1" customHeight="1" x14ac:dyDescent="0.25">
      <c r="B62" s="23" t="s">
        <v>107</v>
      </c>
      <c r="C62" s="49">
        <f>AVERAGE('01.08 Kinawataka-Kireka-24h'!C62,'03.08 Kinawataka-Kireka-24h'!C62)</f>
        <v>74</v>
      </c>
      <c r="D62" s="49">
        <f>AVERAGE('01.08 Kinawataka-Kireka-24h'!D62,'03.08 Kinawataka-Kireka-24h'!D62)</f>
        <v>9.5</v>
      </c>
      <c r="E62" s="49">
        <f>AVERAGE('01.08 Kinawataka-Kireka-24h'!E62,'03.08 Kinawataka-Kireka-24h'!E62)</f>
        <v>5.5</v>
      </c>
      <c r="F62" s="49">
        <f>AVERAGE('01.08 Kinawataka-Kireka-24h'!F62,'03.08 Kinawataka-Kireka-24h'!F62)</f>
        <v>16</v>
      </c>
      <c r="G62" s="49">
        <f>AVERAGE('01.08 Kinawataka-Kireka-24h'!G62,'03.08 Kinawataka-Kireka-24h'!G62)</f>
        <v>5.5</v>
      </c>
      <c r="H62" s="49">
        <f>AVERAGE('01.08 Kinawataka-Kireka-24h'!H62,'03.08 Kinawataka-Kireka-24h'!H62)</f>
        <v>0</v>
      </c>
      <c r="I62" s="49">
        <f>AVERAGE('01.08 Kinawataka-Kireka-24h'!I62,'03.08 Kinawataka-Kireka-24h'!I62)</f>
        <v>3</v>
      </c>
      <c r="J62" s="49">
        <f>AVERAGE('01.08 Kinawataka-Kireka-24h'!J62,'03.08 Kinawataka-Kireka-24h'!J62)</f>
        <v>1.5</v>
      </c>
      <c r="K62" s="49">
        <f>AVERAGE('01.08 Kinawataka-Kireka-24h'!K62,'03.08 Kinawataka-Kireka-24h'!K62)</f>
        <v>1</v>
      </c>
      <c r="L62" s="49">
        <f>AVERAGE('01.08 Kinawataka-Kireka-24h'!L62,'03.08 Kinawataka-Kireka-24h'!L62)</f>
        <v>1</v>
      </c>
      <c r="M62" s="49">
        <f>AVERAGE('01.08 Kinawataka-Kireka-24h'!M62,'03.08 Kinawataka-Kireka-24h'!M62)</f>
        <v>166</v>
      </c>
      <c r="N62" s="49">
        <f>AVERAGE('01.08 Kinawataka-Kireka-24h'!N62,'03.08 Kinawataka-Kireka-24h'!N62)</f>
        <v>0</v>
      </c>
      <c r="O62" s="15">
        <f t="shared" si="0"/>
        <v>117</v>
      </c>
      <c r="P62" s="15">
        <f t="shared" si="1"/>
        <v>283</v>
      </c>
      <c r="R62" s="8"/>
      <c r="T62"/>
    </row>
    <row r="63" spans="2:20" ht="23.1" customHeight="1" x14ac:dyDescent="0.25">
      <c r="B63" s="23" t="s">
        <v>108</v>
      </c>
      <c r="C63" s="49">
        <f>AVERAGE('01.08 Kinawataka-Kireka-24h'!C63,'03.08 Kinawataka-Kireka-24h'!C63)</f>
        <v>81.5</v>
      </c>
      <c r="D63" s="49">
        <f>AVERAGE('01.08 Kinawataka-Kireka-24h'!D63,'03.08 Kinawataka-Kireka-24h'!D63)</f>
        <v>4</v>
      </c>
      <c r="E63" s="49">
        <f>AVERAGE('01.08 Kinawataka-Kireka-24h'!E63,'03.08 Kinawataka-Kireka-24h'!E63)</f>
        <v>4</v>
      </c>
      <c r="F63" s="49">
        <f>AVERAGE('01.08 Kinawataka-Kireka-24h'!F63,'03.08 Kinawataka-Kireka-24h'!F63)</f>
        <v>8.5</v>
      </c>
      <c r="G63" s="49">
        <f>AVERAGE('01.08 Kinawataka-Kireka-24h'!G63,'03.08 Kinawataka-Kireka-24h'!G63)</f>
        <v>4.5</v>
      </c>
      <c r="H63" s="49">
        <f>AVERAGE('01.08 Kinawataka-Kireka-24h'!H63,'03.08 Kinawataka-Kireka-24h'!H63)</f>
        <v>0.5</v>
      </c>
      <c r="I63" s="49">
        <f>AVERAGE('01.08 Kinawataka-Kireka-24h'!I63,'03.08 Kinawataka-Kireka-24h'!I63)</f>
        <v>3</v>
      </c>
      <c r="J63" s="49">
        <f>AVERAGE('01.08 Kinawataka-Kireka-24h'!J63,'03.08 Kinawataka-Kireka-24h'!J63)</f>
        <v>1.5</v>
      </c>
      <c r="K63" s="49">
        <f>AVERAGE('01.08 Kinawataka-Kireka-24h'!K63,'03.08 Kinawataka-Kireka-24h'!K63)</f>
        <v>0.5</v>
      </c>
      <c r="L63" s="49">
        <f>AVERAGE('01.08 Kinawataka-Kireka-24h'!L63,'03.08 Kinawataka-Kireka-24h'!L63)</f>
        <v>1</v>
      </c>
      <c r="M63" s="49">
        <f>AVERAGE('01.08 Kinawataka-Kireka-24h'!M63,'03.08 Kinawataka-Kireka-24h'!M63)</f>
        <v>232.5</v>
      </c>
      <c r="N63" s="49">
        <f>AVERAGE('01.08 Kinawataka-Kireka-24h'!N63,'03.08 Kinawataka-Kireka-24h'!N63)</f>
        <v>0</v>
      </c>
      <c r="O63" s="15">
        <f t="shared" si="0"/>
        <v>109</v>
      </c>
      <c r="P63" s="15">
        <f t="shared" si="1"/>
        <v>341.5</v>
      </c>
      <c r="R63" s="8"/>
      <c r="T63"/>
    </row>
    <row r="64" spans="2:20" ht="23.1" customHeight="1" x14ac:dyDescent="0.25">
      <c r="B64" s="23" t="s">
        <v>109</v>
      </c>
      <c r="C64" s="49">
        <f>AVERAGE('01.08 Kinawataka-Kireka-24h'!C64,'03.08 Kinawataka-Kireka-24h'!C64)</f>
        <v>78</v>
      </c>
      <c r="D64" s="49">
        <f>AVERAGE('01.08 Kinawataka-Kireka-24h'!D64,'03.08 Kinawataka-Kireka-24h'!D64)</f>
        <v>4.5</v>
      </c>
      <c r="E64" s="49">
        <f>AVERAGE('01.08 Kinawataka-Kireka-24h'!E64,'03.08 Kinawataka-Kireka-24h'!E64)</f>
        <v>4.5</v>
      </c>
      <c r="F64" s="49">
        <f>AVERAGE('01.08 Kinawataka-Kireka-24h'!F64,'03.08 Kinawataka-Kireka-24h'!F64)</f>
        <v>11.5</v>
      </c>
      <c r="G64" s="49">
        <f>AVERAGE('01.08 Kinawataka-Kireka-24h'!G64,'03.08 Kinawataka-Kireka-24h'!G64)</f>
        <v>2.5</v>
      </c>
      <c r="H64" s="49">
        <f>AVERAGE('01.08 Kinawataka-Kireka-24h'!H64,'03.08 Kinawataka-Kireka-24h'!H64)</f>
        <v>0</v>
      </c>
      <c r="I64" s="49">
        <f>AVERAGE('01.08 Kinawataka-Kireka-24h'!I64,'03.08 Kinawataka-Kireka-24h'!I64)</f>
        <v>3.5</v>
      </c>
      <c r="J64" s="49">
        <f>AVERAGE('01.08 Kinawataka-Kireka-24h'!J64,'03.08 Kinawataka-Kireka-24h'!J64)</f>
        <v>2.5</v>
      </c>
      <c r="K64" s="49">
        <f>AVERAGE('01.08 Kinawataka-Kireka-24h'!K64,'03.08 Kinawataka-Kireka-24h'!K64)</f>
        <v>0.5</v>
      </c>
      <c r="L64" s="49">
        <f>AVERAGE('01.08 Kinawataka-Kireka-24h'!L64,'03.08 Kinawataka-Kireka-24h'!L64)</f>
        <v>2</v>
      </c>
      <c r="M64" s="49">
        <f>AVERAGE('01.08 Kinawataka-Kireka-24h'!M64,'03.08 Kinawataka-Kireka-24h'!M64)</f>
        <v>212.5</v>
      </c>
      <c r="N64" s="49">
        <f>AVERAGE('01.08 Kinawataka-Kireka-24h'!N64,'03.08 Kinawataka-Kireka-24h'!N64)</f>
        <v>0</v>
      </c>
      <c r="O64" s="15">
        <f t="shared" si="0"/>
        <v>109.5</v>
      </c>
      <c r="P64" s="15">
        <f t="shared" si="1"/>
        <v>322</v>
      </c>
      <c r="R64" s="8"/>
      <c r="T64"/>
    </row>
    <row r="65" spans="2:20" ht="23.1" customHeight="1" x14ac:dyDescent="0.25">
      <c r="B65" s="23" t="s">
        <v>158</v>
      </c>
      <c r="C65" s="49">
        <f>AVERAGE('01.08 Kinawataka-Kireka-24h'!C65,'03.08 Kinawataka-Kireka-24h'!C65)</f>
        <v>72.5</v>
      </c>
      <c r="D65" s="49">
        <f>AVERAGE('01.08 Kinawataka-Kireka-24h'!D65,'03.08 Kinawataka-Kireka-24h'!D65)</f>
        <v>6</v>
      </c>
      <c r="E65" s="49">
        <f>AVERAGE('01.08 Kinawataka-Kireka-24h'!E65,'03.08 Kinawataka-Kireka-24h'!E65)</f>
        <v>3.5</v>
      </c>
      <c r="F65" s="49">
        <f>AVERAGE('01.08 Kinawataka-Kireka-24h'!F65,'03.08 Kinawataka-Kireka-24h'!F65)</f>
        <v>13</v>
      </c>
      <c r="G65" s="49">
        <f>AVERAGE('01.08 Kinawataka-Kireka-24h'!G65,'03.08 Kinawataka-Kireka-24h'!G65)</f>
        <v>2</v>
      </c>
      <c r="H65" s="49">
        <f>AVERAGE('01.08 Kinawataka-Kireka-24h'!H65,'03.08 Kinawataka-Kireka-24h'!H65)</f>
        <v>0</v>
      </c>
      <c r="I65" s="49">
        <f>AVERAGE('01.08 Kinawataka-Kireka-24h'!I65,'03.08 Kinawataka-Kireka-24h'!I65)</f>
        <v>2</v>
      </c>
      <c r="J65" s="49">
        <f>AVERAGE('01.08 Kinawataka-Kireka-24h'!J65,'03.08 Kinawataka-Kireka-24h'!J65)</f>
        <v>2.5</v>
      </c>
      <c r="K65" s="49">
        <f>AVERAGE('01.08 Kinawataka-Kireka-24h'!K65,'03.08 Kinawataka-Kireka-24h'!K65)</f>
        <v>0.5</v>
      </c>
      <c r="L65" s="49">
        <f>AVERAGE('01.08 Kinawataka-Kireka-24h'!L65,'03.08 Kinawataka-Kireka-24h'!L65)</f>
        <v>0</v>
      </c>
      <c r="M65" s="49">
        <f>AVERAGE('01.08 Kinawataka-Kireka-24h'!M65,'03.08 Kinawataka-Kireka-24h'!M65)</f>
        <v>197.5</v>
      </c>
      <c r="N65" s="49">
        <f>AVERAGE('01.08 Kinawataka-Kireka-24h'!N65,'03.08 Kinawataka-Kireka-24h'!N65)</f>
        <v>0</v>
      </c>
      <c r="O65" s="15">
        <f t="shared" si="0"/>
        <v>102</v>
      </c>
      <c r="P65" s="15">
        <f t="shared" si="1"/>
        <v>299.5</v>
      </c>
      <c r="R65" s="8"/>
      <c r="T65"/>
    </row>
    <row r="66" spans="2:20" ht="23.1" customHeight="1" x14ac:dyDescent="0.25">
      <c r="B66" s="23" t="s">
        <v>103</v>
      </c>
      <c r="C66" s="49">
        <f>AVERAGE('01.08 Kinawataka-Kireka-24h'!C66,'03.08 Kinawataka-Kireka-24h'!C66)</f>
        <v>38.5</v>
      </c>
      <c r="D66" s="49">
        <f>AVERAGE('01.08 Kinawataka-Kireka-24h'!D66,'03.08 Kinawataka-Kireka-24h'!D66)</f>
        <v>8</v>
      </c>
      <c r="E66" s="49">
        <f>AVERAGE('01.08 Kinawataka-Kireka-24h'!E66,'03.08 Kinawataka-Kireka-24h'!E66)</f>
        <v>6.5</v>
      </c>
      <c r="F66" s="49">
        <f>AVERAGE('01.08 Kinawataka-Kireka-24h'!F66,'03.08 Kinawataka-Kireka-24h'!F66)</f>
        <v>10</v>
      </c>
      <c r="G66" s="49">
        <f>AVERAGE('01.08 Kinawataka-Kireka-24h'!G66,'03.08 Kinawataka-Kireka-24h'!G66)</f>
        <v>1.5</v>
      </c>
      <c r="H66" s="49">
        <f>AVERAGE('01.08 Kinawataka-Kireka-24h'!H66,'03.08 Kinawataka-Kireka-24h'!H66)</f>
        <v>0</v>
      </c>
      <c r="I66" s="49">
        <f>AVERAGE('01.08 Kinawataka-Kireka-24h'!I66,'03.08 Kinawataka-Kireka-24h'!I66)</f>
        <v>3</v>
      </c>
      <c r="J66" s="49">
        <f>AVERAGE('01.08 Kinawataka-Kireka-24h'!J66,'03.08 Kinawataka-Kireka-24h'!J66)</f>
        <v>2</v>
      </c>
      <c r="K66" s="49">
        <f>AVERAGE('01.08 Kinawataka-Kireka-24h'!K66,'03.08 Kinawataka-Kireka-24h'!K66)</f>
        <v>0</v>
      </c>
      <c r="L66" s="49">
        <f>AVERAGE('01.08 Kinawataka-Kireka-24h'!L66,'03.08 Kinawataka-Kireka-24h'!L66)</f>
        <v>1.5</v>
      </c>
      <c r="M66" s="49">
        <f>AVERAGE('01.08 Kinawataka-Kireka-24h'!M66,'03.08 Kinawataka-Kireka-24h'!M66)</f>
        <v>145</v>
      </c>
      <c r="N66" s="49">
        <f>AVERAGE('01.08 Kinawataka-Kireka-24h'!N66,'03.08 Kinawataka-Kireka-24h'!N66)</f>
        <v>0</v>
      </c>
      <c r="O66" s="15">
        <f t="shared" si="0"/>
        <v>71</v>
      </c>
      <c r="P66" s="15">
        <f t="shared" si="1"/>
        <v>216</v>
      </c>
      <c r="R66" s="8"/>
      <c r="T66"/>
    </row>
    <row r="67" spans="2:20" ht="23.1" customHeight="1" x14ac:dyDescent="0.25">
      <c r="B67" s="23" t="s">
        <v>104</v>
      </c>
      <c r="C67" s="49">
        <f>AVERAGE('01.08 Kinawataka-Kireka-24h'!C67,'03.08 Kinawataka-Kireka-24h'!C67)</f>
        <v>74.5</v>
      </c>
      <c r="D67" s="49">
        <f>AVERAGE('01.08 Kinawataka-Kireka-24h'!D67,'03.08 Kinawataka-Kireka-24h'!D67)</f>
        <v>5.5</v>
      </c>
      <c r="E67" s="49">
        <f>AVERAGE('01.08 Kinawataka-Kireka-24h'!E67,'03.08 Kinawataka-Kireka-24h'!E67)</f>
        <v>7.5</v>
      </c>
      <c r="F67" s="49">
        <f>AVERAGE('01.08 Kinawataka-Kireka-24h'!F67,'03.08 Kinawataka-Kireka-24h'!F67)</f>
        <v>13</v>
      </c>
      <c r="G67" s="49">
        <f>AVERAGE('01.08 Kinawataka-Kireka-24h'!G67,'03.08 Kinawataka-Kireka-24h'!G67)</f>
        <v>5</v>
      </c>
      <c r="H67" s="49">
        <f>AVERAGE('01.08 Kinawataka-Kireka-24h'!H67,'03.08 Kinawataka-Kireka-24h'!H67)</f>
        <v>0</v>
      </c>
      <c r="I67" s="49">
        <f>AVERAGE('01.08 Kinawataka-Kireka-24h'!I67,'03.08 Kinawataka-Kireka-24h'!I67)</f>
        <v>4</v>
      </c>
      <c r="J67" s="49">
        <f>AVERAGE('01.08 Kinawataka-Kireka-24h'!J67,'03.08 Kinawataka-Kireka-24h'!J67)</f>
        <v>2</v>
      </c>
      <c r="K67" s="49">
        <f>AVERAGE('01.08 Kinawataka-Kireka-24h'!K67,'03.08 Kinawataka-Kireka-24h'!K67)</f>
        <v>1.5</v>
      </c>
      <c r="L67" s="49">
        <f>AVERAGE('01.08 Kinawataka-Kireka-24h'!L67,'03.08 Kinawataka-Kireka-24h'!L67)</f>
        <v>1.5</v>
      </c>
      <c r="M67" s="49">
        <f>AVERAGE('01.08 Kinawataka-Kireka-24h'!M67,'03.08 Kinawataka-Kireka-24h'!M67)</f>
        <v>145</v>
      </c>
      <c r="N67" s="49">
        <f>AVERAGE('01.08 Kinawataka-Kireka-24h'!N67,'03.08 Kinawataka-Kireka-24h'!N67)</f>
        <v>0</v>
      </c>
      <c r="O67" s="15">
        <f t="shared" si="0"/>
        <v>114.5</v>
      </c>
      <c r="P67" s="15">
        <f t="shared" si="1"/>
        <v>259.5</v>
      </c>
      <c r="R67" s="8"/>
      <c r="T67"/>
    </row>
    <row r="68" spans="2:20" ht="23.1" customHeight="1" x14ac:dyDescent="0.25">
      <c r="B68" s="23" t="s">
        <v>105</v>
      </c>
      <c r="C68" s="49">
        <f>AVERAGE('01.08 Kinawataka-Kireka-24h'!C68,'03.08 Kinawataka-Kireka-24h'!C68)</f>
        <v>70.5</v>
      </c>
      <c r="D68" s="49">
        <f>AVERAGE('01.08 Kinawataka-Kireka-24h'!D68,'03.08 Kinawataka-Kireka-24h'!D68)</f>
        <v>10.5</v>
      </c>
      <c r="E68" s="49">
        <f>AVERAGE('01.08 Kinawataka-Kireka-24h'!E68,'03.08 Kinawataka-Kireka-24h'!E68)</f>
        <v>8.5</v>
      </c>
      <c r="F68" s="49">
        <f>AVERAGE('01.08 Kinawataka-Kireka-24h'!F68,'03.08 Kinawataka-Kireka-24h'!F68)</f>
        <v>19</v>
      </c>
      <c r="G68" s="49">
        <f>AVERAGE('01.08 Kinawataka-Kireka-24h'!G68,'03.08 Kinawataka-Kireka-24h'!G68)</f>
        <v>3.5</v>
      </c>
      <c r="H68" s="49">
        <f>AVERAGE('01.08 Kinawataka-Kireka-24h'!H68,'03.08 Kinawataka-Kireka-24h'!H68)</f>
        <v>0</v>
      </c>
      <c r="I68" s="49">
        <f>AVERAGE('01.08 Kinawataka-Kireka-24h'!I68,'03.08 Kinawataka-Kireka-24h'!I68)</f>
        <v>6</v>
      </c>
      <c r="J68" s="49">
        <f>AVERAGE('01.08 Kinawataka-Kireka-24h'!J68,'03.08 Kinawataka-Kireka-24h'!J68)</f>
        <v>0.5</v>
      </c>
      <c r="K68" s="49">
        <f>AVERAGE('01.08 Kinawataka-Kireka-24h'!K68,'03.08 Kinawataka-Kireka-24h'!K68)</f>
        <v>1</v>
      </c>
      <c r="L68" s="49">
        <f>AVERAGE('01.08 Kinawataka-Kireka-24h'!L68,'03.08 Kinawataka-Kireka-24h'!L68)</f>
        <v>0.5</v>
      </c>
      <c r="M68" s="49">
        <f>AVERAGE('01.08 Kinawataka-Kireka-24h'!M68,'03.08 Kinawataka-Kireka-24h'!M68)</f>
        <v>135</v>
      </c>
      <c r="N68" s="49">
        <f>AVERAGE('01.08 Kinawataka-Kireka-24h'!N68,'03.08 Kinawataka-Kireka-24h'!N68)</f>
        <v>0</v>
      </c>
      <c r="O68" s="15">
        <f t="shared" si="0"/>
        <v>120</v>
      </c>
      <c r="P68" s="15">
        <f t="shared" si="1"/>
        <v>255</v>
      </c>
      <c r="R68" s="8"/>
      <c r="T68"/>
    </row>
    <row r="69" spans="2:20" ht="23.1" customHeight="1" x14ac:dyDescent="0.25">
      <c r="B69" s="23" t="s">
        <v>106</v>
      </c>
      <c r="C69" s="49">
        <f>AVERAGE('01.08 Kinawataka-Kireka-24h'!C69,'03.08 Kinawataka-Kireka-24h'!C69)</f>
        <v>117</v>
      </c>
      <c r="D69" s="49">
        <f>AVERAGE('01.08 Kinawataka-Kireka-24h'!D69,'03.08 Kinawataka-Kireka-24h'!D69)</f>
        <v>10</v>
      </c>
      <c r="E69" s="49">
        <f>AVERAGE('01.08 Kinawataka-Kireka-24h'!E69,'03.08 Kinawataka-Kireka-24h'!E69)</f>
        <v>6</v>
      </c>
      <c r="F69" s="49">
        <f>AVERAGE('01.08 Kinawataka-Kireka-24h'!F69,'03.08 Kinawataka-Kireka-24h'!F69)</f>
        <v>18.5</v>
      </c>
      <c r="G69" s="49">
        <f>AVERAGE('01.08 Kinawataka-Kireka-24h'!G69,'03.08 Kinawataka-Kireka-24h'!G69)</f>
        <v>2.5</v>
      </c>
      <c r="H69" s="49">
        <f>AVERAGE('01.08 Kinawataka-Kireka-24h'!H69,'03.08 Kinawataka-Kireka-24h'!H69)</f>
        <v>0</v>
      </c>
      <c r="I69" s="49">
        <f>AVERAGE('01.08 Kinawataka-Kireka-24h'!I69,'03.08 Kinawataka-Kireka-24h'!I69)</f>
        <v>4.5</v>
      </c>
      <c r="J69" s="49">
        <f>AVERAGE('01.08 Kinawataka-Kireka-24h'!J69,'03.08 Kinawataka-Kireka-24h'!J69)</f>
        <v>2</v>
      </c>
      <c r="K69" s="49">
        <f>AVERAGE('01.08 Kinawataka-Kireka-24h'!K69,'03.08 Kinawataka-Kireka-24h'!K69)</f>
        <v>1</v>
      </c>
      <c r="L69" s="49">
        <f>AVERAGE('01.08 Kinawataka-Kireka-24h'!L69,'03.08 Kinawataka-Kireka-24h'!L69)</f>
        <v>0.5</v>
      </c>
      <c r="M69" s="49">
        <f>AVERAGE('01.08 Kinawataka-Kireka-24h'!M69,'03.08 Kinawataka-Kireka-24h'!M69)</f>
        <v>172.5</v>
      </c>
      <c r="N69" s="49">
        <f>AVERAGE('01.08 Kinawataka-Kireka-24h'!N69,'03.08 Kinawataka-Kireka-24h'!N69)</f>
        <v>0</v>
      </c>
      <c r="O69" s="15">
        <f t="shared" si="0"/>
        <v>162</v>
      </c>
      <c r="P69" s="15">
        <f t="shared" si="1"/>
        <v>334.5</v>
      </c>
      <c r="R69" s="8"/>
      <c r="T69"/>
    </row>
    <row r="70" spans="2:20" ht="23.1" customHeight="1" x14ac:dyDescent="0.25">
      <c r="B70" s="23" t="s">
        <v>110</v>
      </c>
      <c r="C70" s="49">
        <f>AVERAGE('01.08 Kinawataka-Kireka-24h'!C70,'03.08 Kinawataka-Kireka-24h'!C70)</f>
        <v>92.5</v>
      </c>
      <c r="D70" s="49">
        <f>AVERAGE('01.08 Kinawataka-Kireka-24h'!D70,'03.08 Kinawataka-Kireka-24h'!D70)</f>
        <v>7.5</v>
      </c>
      <c r="E70" s="49">
        <f>AVERAGE('01.08 Kinawataka-Kireka-24h'!E70,'03.08 Kinawataka-Kireka-24h'!E70)</f>
        <v>6.5</v>
      </c>
      <c r="F70" s="49">
        <f>AVERAGE('01.08 Kinawataka-Kireka-24h'!F70,'03.08 Kinawataka-Kireka-24h'!F70)</f>
        <v>11.5</v>
      </c>
      <c r="G70" s="49">
        <f>AVERAGE('01.08 Kinawataka-Kireka-24h'!G70,'03.08 Kinawataka-Kireka-24h'!G70)</f>
        <v>1.5</v>
      </c>
      <c r="H70" s="49">
        <f>AVERAGE('01.08 Kinawataka-Kireka-24h'!H70,'03.08 Kinawataka-Kireka-24h'!H70)</f>
        <v>0</v>
      </c>
      <c r="I70" s="49">
        <f>AVERAGE('01.08 Kinawataka-Kireka-24h'!I70,'03.08 Kinawataka-Kireka-24h'!I70)</f>
        <v>4</v>
      </c>
      <c r="J70" s="49">
        <f>AVERAGE('01.08 Kinawataka-Kireka-24h'!J70,'03.08 Kinawataka-Kireka-24h'!J70)</f>
        <v>1</v>
      </c>
      <c r="K70" s="49">
        <f>AVERAGE('01.08 Kinawataka-Kireka-24h'!K70,'03.08 Kinawataka-Kireka-24h'!K70)</f>
        <v>1.5</v>
      </c>
      <c r="L70" s="49">
        <f>AVERAGE('01.08 Kinawataka-Kireka-24h'!L70,'03.08 Kinawataka-Kireka-24h'!L70)</f>
        <v>0.5</v>
      </c>
      <c r="M70" s="49">
        <f>AVERAGE('01.08 Kinawataka-Kireka-24h'!M70,'03.08 Kinawataka-Kireka-24h'!M70)</f>
        <v>122.5</v>
      </c>
      <c r="N70" s="49">
        <f>AVERAGE('01.08 Kinawataka-Kireka-24h'!N70,'03.08 Kinawataka-Kireka-24h'!N70)</f>
        <v>0</v>
      </c>
      <c r="O70" s="15">
        <f t="shared" si="0"/>
        <v>126.5</v>
      </c>
      <c r="P70" s="15">
        <f t="shared" si="1"/>
        <v>249</v>
      </c>
      <c r="R70" s="8"/>
      <c r="T70"/>
    </row>
    <row r="71" spans="2:20" ht="23.1" customHeight="1" x14ac:dyDescent="0.25">
      <c r="B71" s="23" t="s">
        <v>111</v>
      </c>
      <c r="C71" s="49">
        <f>AVERAGE('01.08 Kinawataka-Kireka-24h'!C71,'03.08 Kinawataka-Kireka-24h'!C71)</f>
        <v>89.5</v>
      </c>
      <c r="D71" s="49">
        <f>AVERAGE('01.08 Kinawataka-Kireka-24h'!D71,'03.08 Kinawataka-Kireka-24h'!D71)</f>
        <v>3</v>
      </c>
      <c r="E71" s="49">
        <f>AVERAGE('01.08 Kinawataka-Kireka-24h'!E71,'03.08 Kinawataka-Kireka-24h'!E71)</f>
        <v>9.5</v>
      </c>
      <c r="F71" s="49">
        <f>AVERAGE('01.08 Kinawataka-Kireka-24h'!F71,'03.08 Kinawataka-Kireka-24h'!F71)</f>
        <v>15.5</v>
      </c>
      <c r="G71" s="49">
        <f>AVERAGE('01.08 Kinawataka-Kireka-24h'!G71,'03.08 Kinawataka-Kireka-24h'!G71)</f>
        <v>1</v>
      </c>
      <c r="H71" s="49">
        <f>AVERAGE('01.08 Kinawataka-Kireka-24h'!H71,'03.08 Kinawataka-Kireka-24h'!H71)</f>
        <v>0.5</v>
      </c>
      <c r="I71" s="49">
        <f>AVERAGE('01.08 Kinawataka-Kireka-24h'!I71,'03.08 Kinawataka-Kireka-24h'!I71)</f>
        <v>2.5</v>
      </c>
      <c r="J71" s="49">
        <f>AVERAGE('01.08 Kinawataka-Kireka-24h'!J71,'03.08 Kinawataka-Kireka-24h'!J71)</f>
        <v>3</v>
      </c>
      <c r="K71" s="49">
        <f>AVERAGE('01.08 Kinawataka-Kireka-24h'!K71,'03.08 Kinawataka-Kireka-24h'!K71)</f>
        <v>1.5</v>
      </c>
      <c r="L71" s="49">
        <f>AVERAGE('01.08 Kinawataka-Kireka-24h'!L71,'03.08 Kinawataka-Kireka-24h'!L71)</f>
        <v>1</v>
      </c>
      <c r="M71" s="49">
        <f>AVERAGE('01.08 Kinawataka-Kireka-24h'!M71,'03.08 Kinawataka-Kireka-24h'!M71)</f>
        <v>149</v>
      </c>
      <c r="N71" s="49">
        <f>AVERAGE('01.08 Kinawataka-Kireka-24h'!N71,'03.08 Kinawataka-Kireka-24h'!N71)</f>
        <v>0</v>
      </c>
      <c r="O71" s="15">
        <f t="shared" si="0"/>
        <v>127</v>
      </c>
      <c r="P71" s="15">
        <f t="shared" si="1"/>
        <v>276</v>
      </c>
      <c r="R71" s="8"/>
      <c r="T71"/>
    </row>
    <row r="72" spans="2:20" ht="23.1" customHeight="1" x14ac:dyDescent="0.25">
      <c r="B72" s="23" t="s">
        <v>112</v>
      </c>
      <c r="C72" s="49">
        <f>AVERAGE('01.08 Kinawataka-Kireka-24h'!C72,'03.08 Kinawataka-Kireka-24h'!C72)</f>
        <v>87</v>
      </c>
      <c r="D72" s="49">
        <f>AVERAGE('01.08 Kinawataka-Kireka-24h'!D72,'03.08 Kinawataka-Kireka-24h'!D72)</f>
        <v>5.5</v>
      </c>
      <c r="E72" s="49">
        <f>AVERAGE('01.08 Kinawataka-Kireka-24h'!E72,'03.08 Kinawataka-Kireka-24h'!E72)</f>
        <v>7.5</v>
      </c>
      <c r="F72" s="49">
        <f>AVERAGE('01.08 Kinawataka-Kireka-24h'!F72,'03.08 Kinawataka-Kireka-24h'!F72)</f>
        <v>12.5</v>
      </c>
      <c r="G72" s="49">
        <f>AVERAGE('01.08 Kinawataka-Kireka-24h'!G72,'03.08 Kinawataka-Kireka-24h'!G72)</f>
        <v>2.5</v>
      </c>
      <c r="H72" s="49">
        <f>AVERAGE('01.08 Kinawataka-Kireka-24h'!H72,'03.08 Kinawataka-Kireka-24h'!H72)</f>
        <v>0</v>
      </c>
      <c r="I72" s="49">
        <f>AVERAGE('01.08 Kinawataka-Kireka-24h'!I72,'03.08 Kinawataka-Kireka-24h'!I72)</f>
        <v>2.5</v>
      </c>
      <c r="J72" s="49">
        <f>AVERAGE('01.08 Kinawataka-Kireka-24h'!J72,'03.08 Kinawataka-Kireka-24h'!J72)</f>
        <v>3</v>
      </c>
      <c r="K72" s="49">
        <f>AVERAGE('01.08 Kinawataka-Kireka-24h'!K72,'03.08 Kinawataka-Kireka-24h'!K72)</f>
        <v>1</v>
      </c>
      <c r="L72" s="49">
        <f>AVERAGE('01.08 Kinawataka-Kireka-24h'!L72,'03.08 Kinawataka-Kireka-24h'!L72)</f>
        <v>0.5</v>
      </c>
      <c r="M72" s="49">
        <f>AVERAGE('01.08 Kinawataka-Kireka-24h'!M72,'03.08 Kinawataka-Kireka-24h'!M72)</f>
        <v>152.5</v>
      </c>
      <c r="N72" s="49">
        <f>AVERAGE('01.08 Kinawataka-Kireka-24h'!N72,'03.08 Kinawataka-Kireka-24h'!N72)</f>
        <v>0</v>
      </c>
      <c r="O72" s="15">
        <f t="shared" si="0"/>
        <v>122</v>
      </c>
      <c r="P72" s="15">
        <f t="shared" si="1"/>
        <v>274.5</v>
      </c>
      <c r="R72" s="8"/>
      <c r="T72"/>
    </row>
    <row r="73" spans="2:20" ht="23.1" customHeight="1" x14ac:dyDescent="0.25">
      <c r="B73" s="23" t="s">
        <v>113</v>
      </c>
      <c r="C73" s="49">
        <f>AVERAGE('01.08 Kinawataka-Kireka-24h'!C73,'03.08 Kinawataka-Kireka-24h'!C73)</f>
        <v>55.5</v>
      </c>
      <c r="D73" s="49">
        <f>AVERAGE('01.08 Kinawataka-Kireka-24h'!D73,'03.08 Kinawataka-Kireka-24h'!D73)</f>
        <v>6</v>
      </c>
      <c r="E73" s="49">
        <f>AVERAGE('01.08 Kinawataka-Kireka-24h'!E73,'03.08 Kinawataka-Kireka-24h'!E73)</f>
        <v>4.5</v>
      </c>
      <c r="F73" s="49">
        <f>AVERAGE('01.08 Kinawataka-Kireka-24h'!F73,'03.08 Kinawataka-Kireka-24h'!F73)</f>
        <v>10</v>
      </c>
      <c r="G73" s="49">
        <f>AVERAGE('01.08 Kinawataka-Kireka-24h'!G73,'03.08 Kinawataka-Kireka-24h'!G73)</f>
        <v>1.5</v>
      </c>
      <c r="H73" s="49">
        <f>AVERAGE('01.08 Kinawataka-Kireka-24h'!H73,'03.08 Kinawataka-Kireka-24h'!H73)</f>
        <v>0</v>
      </c>
      <c r="I73" s="49">
        <f>AVERAGE('01.08 Kinawataka-Kireka-24h'!I73,'03.08 Kinawataka-Kireka-24h'!I73)</f>
        <v>2.5</v>
      </c>
      <c r="J73" s="49">
        <f>AVERAGE('01.08 Kinawataka-Kireka-24h'!J73,'03.08 Kinawataka-Kireka-24h'!J73)</f>
        <v>1.5</v>
      </c>
      <c r="K73" s="49">
        <f>AVERAGE('01.08 Kinawataka-Kireka-24h'!K73,'03.08 Kinawataka-Kireka-24h'!K73)</f>
        <v>0.5</v>
      </c>
      <c r="L73" s="49">
        <f>AVERAGE('01.08 Kinawataka-Kireka-24h'!L73,'03.08 Kinawataka-Kireka-24h'!L73)</f>
        <v>0.5</v>
      </c>
      <c r="M73" s="49">
        <f>AVERAGE('01.08 Kinawataka-Kireka-24h'!M73,'03.08 Kinawataka-Kireka-24h'!M73)</f>
        <v>136.5</v>
      </c>
      <c r="N73" s="49">
        <f>AVERAGE('01.08 Kinawataka-Kireka-24h'!N73,'03.08 Kinawataka-Kireka-24h'!N73)</f>
        <v>0</v>
      </c>
      <c r="O73" s="15">
        <f t="shared" si="0"/>
        <v>82.5</v>
      </c>
      <c r="P73" s="15">
        <f t="shared" si="1"/>
        <v>219</v>
      </c>
      <c r="R73" s="8"/>
      <c r="T73"/>
    </row>
    <row r="74" spans="2:20" ht="23.1" customHeight="1" x14ac:dyDescent="0.25">
      <c r="B74" s="23" t="s">
        <v>114</v>
      </c>
      <c r="C74" s="49">
        <f>AVERAGE('01.08 Kinawataka-Kireka-24h'!C74,'03.08 Kinawataka-Kireka-24h'!C74)</f>
        <v>52</v>
      </c>
      <c r="D74" s="49">
        <f>AVERAGE('01.08 Kinawataka-Kireka-24h'!D74,'03.08 Kinawataka-Kireka-24h'!D74)</f>
        <v>3</v>
      </c>
      <c r="E74" s="49">
        <f>AVERAGE('01.08 Kinawataka-Kireka-24h'!E74,'03.08 Kinawataka-Kireka-24h'!E74)</f>
        <v>2</v>
      </c>
      <c r="F74" s="49">
        <f>AVERAGE('01.08 Kinawataka-Kireka-24h'!F74,'03.08 Kinawataka-Kireka-24h'!F74)</f>
        <v>7.5</v>
      </c>
      <c r="G74" s="49">
        <f>AVERAGE('01.08 Kinawataka-Kireka-24h'!G74,'03.08 Kinawataka-Kireka-24h'!G74)</f>
        <v>0.5</v>
      </c>
      <c r="H74" s="49">
        <f>AVERAGE('01.08 Kinawataka-Kireka-24h'!H74,'03.08 Kinawataka-Kireka-24h'!H74)</f>
        <v>0</v>
      </c>
      <c r="I74" s="49">
        <f>AVERAGE('01.08 Kinawataka-Kireka-24h'!I74,'03.08 Kinawataka-Kireka-24h'!I74)</f>
        <v>0.5</v>
      </c>
      <c r="J74" s="49">
        <f>AVERAGE('01.08 Kinawataka-Kireka-24h'!J74,'03.08 Kinawataka-Kireka-24h'!J74)</f>
        <v>2</v>
      </c>
      <c r="K74" s="49">
        <f>AVERAGE('01.08 Kinawataka-Kireka-24h'!K74,'03.08 Kinawataka-Kireka-24h'!K74)</f>
        <v>0</v>
      </c>
      <c r="L74" s="49">
        <f>AVERAGE('01.08 Kinawataka-Kireka-24h'!L74,'03.08 Kinawataka-Kireka-24h'!L74)</f>
        <v>0</v>
      </c>
      <c r="M74" s="49">
        <f>AVERAGE('01.08 Kinawataka-Kireka-24h'!M74,'03.08 Kinawataka-Kireka-24h'!M74)</f>
        <v>105.5</v>
      </c>
      <c r="N74" s="49">
        <f>AVERAGE('01.08 Kinawataka-Kireka-24h'!N74,'03.08 Kinawataka-Kireka-24h'!N74)</f>
        <v>0</v>
      </c>
      <c r="O74" s="15">
        <f t="shared" ref="O74:O105" si="35">SUM(C74:L74,N74)</f>
        <v>67.5</v>
      </c>
      <c r="P74" s="15">
        <f t="shared" ref="P74:P105" si="36">SUM(C74:N74)</f>
        <v>173</v>
      </c>
      <c r="R74" s="8"/>
      <c r="T74"/>
    </row>
    <row r="75" spans="2:20" ht="23.1" customHeight="1" x14ac:dyDescent="0.25">
      <c r="B75" s="23" t="s">
        <v>115</v>
      </c>
      <c r="C75" s="49">
        <f>AVERAGE('01.08 Kinawataka-Kireka-24h'!C75,'03.08 Kinawataka-Kireka-24h'!C75)</f>
        <v>50</v>
      </c>
      <c r="D75" s="49">
        <f>AVERAGE('01.08 Kinawataka-Kireka-24h'!D75,'03.08 Kinawataka-Kireka-24h'!D75)</f>
        <v>6</v>
      </c>
      <c r="E75" s="49">
        <f>AVERAGE('01.08 Kinawataka-Kireka-24h'!E75,'03.08 Kinawataka-Kireka-24h'!E75)</f>
        <v>6.5</v>
      </c>
      <c r="F75" s="49">
        <f>AVERAGE('01.08 Kinawataka-Kireka-24h'!F75,'03.08 Kinawataka-Kireka-24h'!F75)</f>
        <v>7.5</v>
      </c>
      <c r="G75" s="49">
        <f>AVERAGE('01.08 Kinawataka-Kireka-24h'!G75,'03.08 Kinawataka-Kireka-24h'!G75)</f>
        <v>1</v>
      </c>
      <c r="H75" s="49">
        <f>AVERAGE('01.08 Kinawataka-Kireka-24h'!H75,'03.08 Kinawataka-Kireka-24h'!H75)</f>
        <v>0</v>
      </c>
      <c r="I75" s="49">
        <f>AVERAGE('01.08 Kinawataka-Kireka-24h'!I75,'03.08 Kinawataka-Kireka-24h'!I75)</f>
        <v>1.5</v>
      </c>
      <c r="J75" s="49">
        <f>AVERAGE('01.08 Kinawataka-Kireka-24h'!J75,'03.08 Kinawataka-Kireka-24h'!J75)</f>
        <v>1.5</v>
      </c>
      <c r="K75" s="49">
        <f>AVERAGE('01.08 Kinawataka-Kireka-24h'!K75,'03.08 Kinawataka-Kireka-24h'!K75)</f>
        <v>0.5</v>
      </c>
      <c r="L75" s="49">
        <f>AVERAGE('01.08 Kinawataka-Kireka-24h'!L75,'03.08 Kinawataka-Kireka-24h'!L75)</f>
        <v>0</v>
      </c>
      <c r="M75" s="49">
        <f>AVERAGE('01.08 Kinawataka-Kireka-24h'!M75,'03.08 Kinawataka-Kireka-24h'!M75)</f>
        <v>125</v>
      </c>
      <c r="N75" s="49">
        <f>AVERAGE('01.08 Kinawataka-Kireka-24h'!N75,'03.08 Kinawataka-Kireka-24h'!N75)</f>
        <v>0</v>
      </c>
      <c r="O75" s="15">
        <f t="shared" si="35"/>
        <v>74.5</v>
      </c>
      <c r="P75" s="15">
        <f t="shared" si="36"/>
        <v>199.5</v>
      </c>
      <c r="R75" s="8"/>
      <c r="T75"/>
    </row>
    <row r="76" spans="2:20" ht="23.1" customHeight="1" x14ac:dyDescent="0.25">
      <c r="B76" s="23" t="s">
        <v>116</v>
      </c>
      <c r="C76" s="49">
        <f>AVERAGE('01.08 Kinawataka-Kireka-24h'!C76,'03.08 Kinawataka-Kireka-24h'!C76)</f>
        <v>40</v>
      </c>
      <c r="D76" s="49">
        <f>AVERAGE('01.08 Kinawataka-Kireka-24h'!D76,'03.08 Kinawataka-Kireka-24h'!D76)</f>
        <v>3.5</v>
      </c>
      <c r="E76" s="49">
        <f>AVERAGE('01.08 Kinawataka-Kireka-24h'!E76,'03.08 Kinawataka-Kireka-24h'!E76)</f>
        <v>1.5</v>
      </c>
      <c r="F76" s="49">
        <f>AVERAGE('01.08 Kinawataka-Kireka-24h'!F76,'03.08 Kinawataka-Kireka-24h'!F76)</f>
        <v>4</v>
      </c>
      <c r="G76" s="49">
        <f>AVERAGE('01.08 Kinawataka-Kireka-24h'!G76,'03.08 Kinawataka-Kireka-24h'!G76)</f>
        <v>0.5</v>
      </c>
      <c r="H76" s="49">
        <f>AVERAGE('01.08 Kinawataka-Kireka-24h'!H76,'03.08 Kinawataka-Kireka-24h'!H76)</f>
        <v>0</v>
      </c>
      <c r="I76" s="49">
        <f>AVERAGE('01.08 Kinawataka-Kireka-24h'!I76,'03.08 Kinawataka-Kireka-24h'!I76)</f>
        <v>4</v>
      </c>
      <c r="J76" s="49">
        <f>AVERAGE('01.08 Kinawataka-Kireka-24h'!J76,'03.08 Kinawataka-Kireka-24h'!J76)</f>
        <v>2</v>
      </c>
      <c r="K76" s="49">
        <f>AVERAGE('01.08 Kinawataka-Kireka-24h'!K76,'03.08 Kinawataka-Kireka-24h'!K76)</f>
        <v>0.5</v>
      </c>
      <c r="L76" s="49">
        <f>AVERAGE('01.08 Kinawataka-Kireka-24h'!L76,'03.08 Kinawataka-Kireka-24h'!L76)</f>
        <v>0</v>
      </c>
      <c r="M76" s="49">
        <f>AVERAGE('01.08 Kinawataka-Kireka-24h'!M76,'03.08 Kinawataka-Kireka-24h'!M76)</f>
        <v>82</v>
      </c>
      <c r="N76" s="49">
        <f>AVERAGE('01.08 Kinawataka-Kireka-24h'!N76,'03.08 Kinawataka-Kireka-24h'!N76)</f>
        <v>0</v>
      </c>
      <c r="O76" s="15">
        <f t="shared" si="35"/>
        <v>56</v>
      </c>
      <c r="P76" s="15">
        <f t="shared" si="36"/>
        <v>138</v>
      </c>
      <c r="R76" s="8"/>
      <c r="T76"/>
    </row>
    <row r="77" spans="2:20" ht="23.1" customHeight="1" x14ac:dyDescent="0.25">
      <c r="B77" s="23" t="s">
        <v>117</v>
      </c>
      <c r="C77" s="49">
        <f>AVERAGE('01.08 Kinawataka-Kireka-24h'!C77,'03.08 Kinawataka-Kireka-24h'!C77)</f>
        <v>25</v>
      </c>
      <c r="D77" s="49">
        <f>AVERAGE('01.08 Kinawataka-Kireka-24h'!D77,'03.08 Kinawataka-Kireka-24h'!D77)</f>
        <v>5</v>
      </c>
      <c r="E77" s="49">
        <f>AVERAGE('01.08 Kinawataka-Kireka-24h'!E77,'03.08 Kinawataka-Kireka-24h'!E77)</f>
        <v>0.5</v>
      </c>
      <c r="F77" s="49">
        <f>AVERAGE('01.08 Kinawataka-Kireka-24h'!F77,'03.08 Kinawataka-Kireka-24h'!F77)</f>
        <v>3.5</v>
      </c>
      <c r="G77" s="49">
        <f>AVERAGE('01.08 Kinawataka-Kireka-24h'!G77,'03.08 Kinawataka-Kireka-24h'!G77)</f>
        <v>0</v>
      </c>
      <c r="H77" s="49">
        <f>AVERAGE('01.08 Kinawataka-Kireka-24h'!H77,'03.08 Kinawataka-Kireka-24h'!H77)</f>
        <v>0</v>
      </c>
      <c r="I77" s="49">
        <f>AVERAGE('01.08 Kinawataka-Kireka-24h'!I77,'03.08 Kinawataka-Kireka-24h'!I77)</f>
        <v>1</v>
      </c>
      <c r="J77" s="49">
        <f>AVERAGE('01.08 Kinawataka-Kireka-24h'!J77,'03.08 Kinawataka-Kireka-24h'!J77)</f>
        <v>1.5</v>
      </c>
      <c r="K77" s="49">
        <f>AVERAGE('01.08 Kinawataka-Kireka-24h'!K77,'03.08 Kinawataka-Kireka-24h'!K77)</f>
        <v>0</v>
      </c>
      <c r="L77" s="49">
        <f>AVERAGE('01.08 Kinawataka-Kireka-24h'!L77,'03.08 Kinawataka-Kireka-24h'!L77)</f>
        <v>0</v>
      </c>
      <c r="M77" s="49">
        <f>AVERAGE('01.08 Kinawataka-Kireka-24h'!M77,'03.08 Kinawataka-Kireka-24h'!M77)</f>
        <v>79</v>
      </c>
      <c r="N77" s="49">
        <f>AVERAGE('01.08 Kinawataka-Kireka-24h'!N77,'03.08 Kinawataka-Kireka-24h'!N77)</f>
        <v>0</v>
      </c>
      <c r="O77" s="15">
        <f t="shared" si="35"/>
        <v>36.5</v>
      </c>
      <c r="P77" s="15">
        <f t="shared" si="36"/>
        <v>115.5</v>
      </c>
      <c r="R77" s="8"/>
      <c r="T77"/>
    </row>
    <row r="78" spans="2:20" ht="23.1" customHeight="1" x14ac:dyDescent="0.25">
      <c r="B78" s="24" t="s">
        <v>118</v>
      </c>
      <c r="C78" s="49">
        <f>AVERAGE('01.08 Kinawataka-Kireka-24h'!C78,'03.08 Kinawataka-Kireka-24h'!C78)</f>
        <v>17.5</v>
      </c>
      <c r="D78" s="49">
        <f>AVERAGE('01.08 Kinawataka-Kireka-24h'!D78,'03.08 Kinawataka-Kireka-24h'!D78)</f>
        <v>2.5</v>
      </c>
      <c r="E78" s="49">
        <f>AVERAGE('01.08 Kinawataka-Kireka-24h'!E78,'03.08 Kinawataka-Kireka-24h'!E78)</f>
        <v>2.5</v>
      </c>
      <c r="F78" s="49">
        <f>AVERAGE('01.08 Kinawataka-Kireka-24h'!F78,'03.08 Kinawataka-Kireka-24h'!F78)</f>
        <v>4.5</v>
      </c>
      <c r="G78" s="49">
        <f>AVERAGE('01.08 Kinawataka-Kireka-24h'!G78,'03.08 Kinawataka-Kireka-24h'!G78)</f>
        <v>0</v>
      </c>
      <c r="H78" s="49">
        <f>AVERAGE('01.08 Kinawataka-Kireka-24h'!H78,'03.08 Kinawataka-Kireka-24h'!H78)</f>
        <v>0</v>
      </c>
      <c r="I78" s="49">
        <f>AVERAGE('01.08 Kinawataka-Kireka-24h'!I78,'03.08 Kinawataka-Kireka-24h'!I78)</f>
        <v>1</v>
      </c>
      <c r="J78" s="49">
        <f>AVERAGE('01.08 Kinawataka-Kireka-24h'!J78,'03.08 Kinawataka-Kireka-24h'!J78)</f>
        <v>0.5</v>
      </c>
      <c r="K78" s="49">
        <f>AVERAGE('01.08 Kinawataka-Kireka-24h'!K78,'03.08 Kinawataka-Kireka-24h'!K78)</f>
        <v>0</v>
      </c>
      <c r="L78" s="49">
        <f>AVERAGE('01.08 Kinawataka-Kireka-24h'!L78,'03.08 Kinawataka-Kireka-24h'!L78)</f>
        <v>0</v>
      </c>
      <c r="M78" s="49">
        <f>AVERAGE('01.08 Kinawataka-Kireka-24h'!M78,'03.08 Kinawataka-Kireka-24h'!M78)</f>
        <v>55</v>
      </c>
      <c r="N78" s="49">
        <f>AVERAGE('01.08 Kinawataka-Kireka-24h'!N78,'03.08 Kinawataka-Kireka-24h'!N78)</f>
        <v>0</v>
      </c>
      <c r="O78" s="15">
        <f t="shared" si="35"/>
        <v>28.5</v>
      </c>
      <c r="P78" s="15">
        <f t="shared" si="36"/>
        <v>83.5</v>
      </c>
      <c r="R78" s="8"/>
      <c r="T78"/>
    </row>
    <row r="79" spans="2:20" ht="23.1" customHeight="1" x14ac:dyDescent="0.25">
      <c r="B79" s="23" t="s">
        <v>119</v>
      </c>
      <c r="C79" s="49">
        <f>AVERAGE('01.08 Kinawataka-Kireka-24h'!C79,'03.08 Kinawataka-Kireka-24h'!C79)</f>
        <v>22.5</v>
      </c>
      <c r="D79" s="49">
        <f>AVERAGE('01.08 Kinawataka-Kireka-24h'!D79,'03.08 Kinawataka-Kireka-24h'!D79)</f>
        <v>0.5</v>
      </c>
      <c r="E79" s="49">
        <f>AVERAGE('01.08 Kinawataka-Kireka-24h'!E79,'03.08 Kinawataka-Kireka-24h'!E79)</f>
        <v>1</v>
      </c>
      <c r="F79" s="49">
        <f>AVERAGE('01.08 Kinawataka-Kireka-24h'!F79,'03.08 Kinawataka-Kireka-24h'!F79)</f>
        <v>2.5</v>
      </c>
      <c r="G79" s="49">
        <f>AVERAGE('01.08 Kinawataka-Kireka-24h'!G79,'03.08 Kinawataka-Kireka-24h'!G79)</f>
        <v>0</v>
      </c>
      <c r="H79" s="49">
        <f>AVERAGE('01.08 Kinawataka-Kireka-24h'!H79,'03.08 Kinawataka-Kireka-24h'!H79)</f>
        <v>0</v>
      </c>
      <c r="I79" s="49">
        <f>AVERAGE('01.08 Kinawataka-Kireka-24h'!I79,'03.08 Kinawataka-Kireka-24h'!I79)</f>
        <v>1.5</v>
      </c>
      <c r="J79" s="49">
        <f>AVERAGE('01.08 Kinawataka-Kireka-24h'!J79,'03.08 Kinawataka-Kireka-24h'!J79)</f>
        <v>0</v>
      </c>
      <c r="K79" s="49">
        <f>AVERAGE('01.08 Kinawataka-Kireka-24h'!K79,'03.08 Kinawataka-Kireka-24h'!K79)</f>
        <v>0</v>
      </c>
      <c r="L79" s="49">
        <f>AVERAGE('01.08 Kinawataka-Kireka-24h'!L79,'03.08 Kinawataka-Kireka-24h'!L79)</f>
        <v>0.5</v>
      </c>
      <c r="M79" s="49">
        <f>AVERAGE('01.08 Kinawataka-Kireka-24h'!M79,'03.08 Kinawataka-Kireka-24h'!M79)</f>
        <v>51</v>
      </c>
      <c r="N79" s="49">
        <f>AVERAGE('01.08 Kinawataka-Kireka-24h'!N79,'03.08 Kinawataka-Kireka-24h'!N79)</f>
        <v>0</v>
      </c>
      <c r="O79" s="15">
        <f t="shared" si="35"/>
        <v>28.5</v>
      </c>
      <c r="P79" s="15">
        <f t="shared" si="36"/>
        <v>79.5</v>
      </c>
      <c r="R79" s="8"/>
      <c r="T79"/>
    </row>
    <row r="80" spans="2:20" ht="23.1" customHeight="1" x14ac:dyDescent="0.25">
      <c r="B80" s="25" t="s">
        <v>120</v>
      </c>
      <c r="C80" s="49">
        <f>AVERAGE('01.08 Kinawataka-Kireka-24h'!C80,'03.08 Kinawataka-Kireka-24h'!C80)</f>
        <v>15.5</v>
      </c>
      <c r="D80" s="49">
        <f>AVERAGE('01.08 Kinawataka-Kireka-24h'!D80,'03.08 Kinawataka-Kireka-24h'!D80)</f>
        <v>1.5</v>
      </c>
      <c r="E80" s="49">
        <f>AVERAGE('01.08 Kinawataka-Kireka-24h'!E80,'03.08 Kinawataka-Kireka-24h'!E80)</f>
        <v>1.5</v>
      </c>
      <c r="F80" s="49">
        <f>AVERAGE('01.08 Kinawataka-Kireka-24h'!F80,'03.08 Kinawataka-Kireka-24h'!F80)</f>
        <v>4</v>
      </c>
      <c r="G80" s="49">
        <f>AVERAGE('01.08 Kinawataka-Kireka-24h'!G80,'03.08 Kinawataka-Kireka-24h'!G80)</f>
        <v>0</v>
      </c>
      <c r="H80" s="49">
        <f>AVERAGE('01.08 Kinawataka-Kireka-24h'!H80,'03.08 Kinawataka-Kireka-24h'!H80)</f>
        <v>0</v>
      </c>
      <c r="I80" s="49">
        <f>AVERAGE('01.08 Kinawataka-Kireka-24h'!I80,'03.08 Kinawataka-Kireka-24h'!I80)</f>
        <v>1.5</v>
      </c>
      <c r="J80" s="49">
        <f>AVERAGE('01.08 Kinawataka-Kireka-24h'!J80,'03.08 Kinawataka-Kireka-24h'!J80)</f>
        <v>0</v>
      </c>
      <c r="K80" s="49">
        <f>AVERAGE('01.08 Kinawataka-Kireka-24h'!K80,'03.08 Kinawataka-Kireka-24h'!K80)</f>
        <v>0</v>
      </c>
      <c r="L80" s="49">
        <f>AVERAGE('01.08 Kinawataka-Kireka-24h'!L80,'03.08 Kinawataka-Kireka-24h'!L80)</f>
        <v>1</v>
      </c>
      <c r="M80" s="49">
        <f>AVERAGE('01.08 Kinawataka-Kireka-24h'!M80,'03.08 Kinawataka-Kireka-24h'!M80)</f>
        <v>47.5</v>
      </c>
      <c r="N80" s="49">
        <f>AVERAGE('01.08 Kinawataka-Kireka-24h'!N80,'03.08 Kinawataka-Kireka-24h'!N80)</f>
        <v>0</v>
      </c>
      <c r="O80" s="15">
        <f t="shared" si="35"/>
        <v>25</v>
      </c>
      <c r="P80" s="15">
        <f t="shared" si="36"/>
        <v>72.5</v>
      </c>
      <c r="R80" s="8"/>
      <c r="T80"/>
    </row>
    <row r="81" spans="2:20" ht="23.1" customHeight="1" x14ac:dyDescent="0.25">
      <c r="B81" s="23" t="s">
        <v>121</v>
      </c>
      <c r="C81" s="49">
        <f>AVERAGE('01.08 Kinawataka-Kireka-24h'!C81,'03.08 Kinawataka-Kireka-24h'!C81)</f>
        <v>11</v>
      </c>
      <c r="D81" s="49">
        <f>AVERAGE('01.08 Kinawataka-Kireka-24h'!D81,'03.08 Kinawataka-Kireka-24h'!D81)</f>
        <v>1</v>
      </c>
      <c r="E81" s="49">
        <f>AVERAGE('01.08 Kinawataka-Kireka-24h'!E81,'03.08 Kinawataka-Kireka-24h'!E81)</f>
        <v>1.5</v>
      </c>
      <c r="F81" s="49">
        <f>AVERAGE('01.08 Kinawataka-Kireka-24h'!F81,'03.08 Kinawataka-Kireka-24h'!F81)</f>
        <v>2.5</v>
      </c>
      <c r="G81" s="49">
        <f>AVERAGE('01.08 Kinawataka-Kireka-24h'!G81,'03.08 Kinawataka-Kireka-24h'!G81)</f>
        <v>0</v>
      </c>
      <c r="H81" s="49">
        <f>AVERAGE('01.08 Kinawataka-Kireka-24h'!H81,'03.08 Kinawataka-Kireka-24h'!H81)</f>
        <v>0</v>
      </c>
      <c r="I81" s="49">
        <f>AVERAGE('01.08 Kinawataka-Kireka-24h'!I81,'03.08 Kinawataka-Kireka-24h'!I81)</f>
        <v>0.5</v>
      </c>
      <c r="J81" s="49">
        <f>AVERAGE('01.08 Kinawataka-Kireka-24h'!J81,'03.08 Kinawataka-Kireka-24h'!J81)</f>
        <v>0</v>
      </c>
      <c r="K81" s="49">
        <f>AVERAGE('01.08 Kinawataka-Kireka-24h'!K81,'03.08 Kinawataka-Kireka-24h'!K81)</f>
        <v>0</v>
      </c>
      <c r="L81" s="49">
        <f>AVERAGE('01.08 Kinawataka-Kireka-24h'!L81,'03.08 Kinawataka-Kireka-24h'!L81)</f>
        <v>0.5</v>
      </c>
      <c r="M81" s="49">
        <f>AVERAGE('01.08 Kinawataka-Kireka-24h'!M81,'03.08 Kinawataka-Kireka-24h'!M81)</f>
        <v>39</v>
      </c>
      <c r="N81" s="49">
        <f>AVERAGE('01.08 Kinawataka-Kireka-24h'!N81,'03.08 Kinawataka-Kireka-24h'!N81)</f>
        <v>0</v>
      </c>
      <c r="O81" s="15">
        <f t="shared" si="35"/>
        <v>17</v>
      </c>
      <c r="P81" s="15">
        <f t="shared" si="36"/>
        <v>56</v>
      </c>
      <c r="R81" s="8"/>
      <c r="T81"/>
    </row>
    <row r="82" spans="2:20" ht="23.1" customHeight="1" x14ac:dyDescent="0.25">
      <c r="B82" s="24" t="s">
        <v>122</v>
      </c>
      <c r="C82" s="49">
        <f>AVERAGE('01.08 Kinawataka-Kireka-24h'!C82,'03.08 Kinawataka-Kireka-24h'!C82)</f>
        <v>17</v>
      </c>
      <c r="D82" s="49">
        <f>AVERAGE('01.08 Kinawataka-Kireka-24h'!D82,'03.08 Kinawataka-Kireka-24h'!D82)</f>
        <v>0</v>
      </c>
      <c r="E82" s="49">
        <f>AVERAGE('01.08 Kinawataka-Kireka-24h'!E82,'03.08 Kinawataka-Kireka-24h'!E82)</f>
        <v>1.5</v>
      </c>
      <c r="F82" s="49">
        <f>AVERAGE('01.08 Kinawataka-Kireka-24h'!F82,'03.08 Kinawataka-Kireka-24h'!F82)</f>
        <v>1</v>
      </c>
      <c r="G82" s="49">
        <f>AVERAGE('01.08 Kinawataka-Kireka-24h'!G82,'03.08 Kinawataka-Kireka-24h'!G82)</f>
        <v>0</v>
      </c>
      <c r="H82" s="49">
        <f>AVERAGE('01.08 Kinawataka-Kireka-24h'!H82,'03.08 Kinawataka-Kireka-24h'!H82)</f>
        <v>0</v>
      </c>
      <c r="I82" s="49">
        <f>AVERAGE('01.08 Kinawataka-Kireka-24h'!I82,'03.08 Kinawataka-Kireka-24h'!I82)</f>
        <v>1</v>
      </c>
      <c r="J82" s="49">
        <f>AVERAGE('01.08 Kinawataka-Kireka-24h'!J82,'03.08 Kinawataka-Kireka-24h'!J82)</f>
        <v>0</v>
      </c>
      <c r="K82" s="49">
        <f>AVERAGE('01.08 Kinawataka-Kireka-24h'!K82,'03.08 Kinawataka-Kireka-24h'!K82)</f>
        <v>0</v>
      </c>
      <c r="L82" s="49">
        <f>AVERAGE('01.08 Kinawataka-Kireka-24h'!L82,'03.08 Kinawataka-Kireka-24h'!L82)</f>
        <v>0.5</v>
      </c>
      <c r="M82" s="49">
        <f>AVERAGE('01.08 Kinawataka-Kireka-24h'!M82,'03.08 Kinawataka-Kireka-24h'!M82)</f>
        <v>37</v>
      </c>
      <c r="N82" s="49">
        <f>AVERAGE('01.08 Kinawataka-Kireka-24h'!N82,'03.08 Kinawataka-Kireka-24h'!N82)</f>
        <v>0</v>
      </c>
      <c r="O82" s="15">
        <f t="shared" si="35"/>
        <v>21</v>
      </c>
      <c r="P82" s="15">
        <f t="shared" si="36"/>
        <v>58</v>
      </c>
      <c r="R82" s="8"/>
      <c r="T82"/>
    </row>
    <row r="83" spans="2:20" ht="23.1" customHeight="1" x14ac:dyDescent="0.25">
      <c r="B83" s="23" t="s">
        <v>123</v>
      </c>
      <c r="C83" s="49">
        <f>AVERAGE('01.08 Kinawataka-Kireka-24h'!C83,'03.08 Kinawataka-Kireka-24h'!C83)</f>
        <v>16.5</v>
      </c>
      <c r="D83" s="49">
        <f>AVERAGE('01.08 Kinawataka-Kireka-24h'!D83,'03.08 Kinawataka-Kireka-24h'!D83)</f>
        <v>1.5</v>
      </c>
      <c r="E83" s="49">
        <f>AVERAGE('01.08 Kinawataka-Kireka-24h'!E83,'03.08 Kinawataka-Kireka-24h'!E83)</f>
        <v>0.5</v>
      </c>
      <c r="F83" s="49">
        <f>AVERAGE('01.08 Kinawataka-Kireka-24h'!F83,'03.08 Kinawataka-Kireka-24h'!F83)</f>
        <v>1</v>
      </c>
      <c r="G83" s="49">
        <f>AVERAGE('01.08 Kinawataka-Kireka-24h'!G83,'03.08 Kinawataka-Kireka-24h'!G83)</f>
        <v>0</v>
      </c>
      <c r="H83" s="49">
        <f>AVERAGE('01.08 Kinawataka-Kireka-24h'!H83,'03.08 Kinawataka-Kireka-24h'!H83)</f>
        <v>0</v>
      </c>
      <c r="I83" s="49">
        <f>AVERAGE('01.08 Kinawataka-Kireka-24h'!I83,'03.08 Kinawataka-Kireka-24h'!I83)</f>
        <v>0</v>
      </c>
      <c r="J83" s="49">
        <f>AVERAGE('01.08 Kinawataka-Kireka-24h'!J83,'03.08 Kinawataka-Kireka-24h'!J83)</f>
        <v>0.5</v>
      </c>
      <c r="K83" s="49">
        <f>AVERAGE('01.08 Kinawataka-Kireka-24h'!K83,'03.08 Kinawataka-Kireka-24h'!K83)</f>
        <v>0</v>
      </c>
      <c r="L83" s="49">
        <f>AVERAGE('01.08 Kinawataka-Kireka-24h'!L83,'03.08 Kinawataka-Kireka-24h'!L83)</f>
        <v>0</v>
      </c>
      <c r="M83" s="49">
        <f>AVERAGE('01.08 Kinawataka-Kireka-24h'!M83,'03.08 Kinawataka-Kireka-24h'!M83)</f>
        <v>34</v>
      </c>
      <c r="N83" s="49">
        <f>AVERAGE('01.08 Kinawataka-Kireka-24h'!N83,'03.08 Kinawataka-Kireka-24h'!N83)</f>
        <v>0</v>
      </c>
      <c r="O83" s="15">
        <f t="shared" si="35"/>
        <v>20</v>
      </c>
      <c r="P83" s="15">
        <f t="shared" si="36"/>
        <v>54</v>
      </c>
      <c r="R83" s="8"/>
      <c r="T83"/>
    </row>
    <row r="84" spans="2:20" ht="23.1" customHeight="1" x14ac:dyDescent="0.25">
      <c r="B84" s="25" t="s">
        <v>124</v>
      </c>
      <c r="C84" s="49">
        <f>AVERAGE('01.08 Kinawataka-Kireka-24h'!C84,'03.08 Kinawataka-Kireka-24h'!C84)</f>
        <v>13</v>
      </c>
      <c r="D84" s="49">
        <f>AVERAGE('01.08 Kinawataka-Kireka-24h'!D84,'03.08 Kinawataka-Kireka-24h'!D84)</f>
        <v>1</v>
      </c>
      <c r="E84" s="49">
        <f>AVERAGE('01.08 Kinawataka-Kireka-24h'!E84,'03.08 Kinawataka-Kireka-24h'!E84)</f>
        <v>0.5</v>
      </c>
      <c r="F84" s="49">
        <f>AVERAGE('01.08 Kinawataka-Kireka-24h'!F84,'03.08 Kinawataka-Kireka-24h'!F84)</f>
        <v>2.5</v>
      </c>
      <c r="G84" s="49">
        <f>AVERAGE('01.08 Kinawataka-Kireka-24h'!G84,'03.08 Kinawataka-Kireka-24h'!G84)</f>
        <v>0</v>
      </c>
      <c r="H84" s="49">
        <f>AVERAGE('01.08 Kinawataka-Kireka-24h'!H84,'03.08 Kinawataka-Kireka-24h'!H84)</f>
        <v>0</v>
      </c>
      <c r="I84" s="49">
        <f>AVERAGE('01.08 Kinawataka-Kireka-24h'!I84,'03.08 Kinawataka-Kireka-24h'!I84)</f>
        <v>0.5</v>
      </c>
      <c r="J84" s="49">
        <f>AVERAGE('01.08 Kinawataka-Kireka-24h'!J84,'03.08 Kinawataka-Kireka-24h'!J84)</f>
        <v>1.5</v>
      </c>
      <c r="K84" s="49">
        <f>AVERAGE('01.08 Kinawataka-Kireka-24h'!K84,'03.08 Kinawataka-Kireka-24h'!K84)</f>
        <v>0</v>
      </c>
      <c r="L84" s="49">
        <f>AVERAGE('01.08 Kinawataka-Kireka-24h'!L84,'03.08 Kinawataka-Kireka-24h'!L84)</f>
        <v>0.5</v>
      </c>
      <c r="M84" s="49">
        <f>AVERAGE('01.08 Kinawataka-Kireka-24h'!M84,'03.08 Kinawataka-Kireka-24h'!M84)</f>
        <v>23.5</v>
      </c>
      <c r="N84" s="49">
        <f>AVERAGE('01.08 Kinawataka-Kireka-24h'!N84,'03.08 Kinawataka-Kireka-24h'!N84)</f>
        <v>0</v>
      </c>
      <c r="O84" s="15">
        <f t="shared" si="35"/>
        <v>19.5</v>
      </c>
      <c r="P84" s="15">
        <f t="shared" si="36"/>
        <v>43</v>
      </c>
      <c r="R84" s="8"/>
      <c r="T84"/>
    </row>
    <row r="85" spans="2:20" ht="23.1" customHeight="1" x14ac:dyDescent="0.25">
      <c r="B85" s="23" t="s">
        <v>125</v>
      </c>
      <c r="C85" s="49">
        <f>AVERAGE('01.08 Kinawataka-Kireka-24h'!C85,'03.08 Kinawataka-Kireka-24h'!C85)</f>
        <v>9.5</v>
      </c>
      <c r="D85" s="49">
        <f>AVERAGE('01.08 Kinawataka-Kireka-24h'!D85,'03.08 Kinawataka-Kireka-24h'!D85)</f>
        <v>0</v>
      </c>
      <c r="E85" s="49">
        <f>AVERAGE('01.08 Kinawataka-Kireka-24h'!E85,'03.08 Kinawataka-Kireka-24h'!E85)</f>
        <v>1</v>
      </c>
      <c r="F85" s="49">
        <f>AVERAGE('01.08 Kinawataka-Kireka-24h'!F85,'03.08 Kinawataka-Kireka-24h'!F85)</f>
        <v>0.5</v>
      </c>
      <c r="G85" s="49">
        <f>AVERAGE('01.08 Kinawataka-Kireka-24h'!G85,'03.08 Kinawataka-Kireka-24h'!G85)</f>
        <v>0</v>
      </c>
      <c r="H85" s="49">
        <f>AVERAGE('01.08 Kinawataka-Kireka-24h'!H85,'03.08 Kinawataka-Kireka-24h'!H85)</f>
        <v>0</v>
      </c>
      <c r="I85" s="49">
        <f>AVERAGE('01.08 Kinawataka-Kireka-24h'!I85,'03.08 Kinawataka-Kireka-24h'!I85)</f>
        <v>0</v>
      </c>
      <c r="J85" s="49">
        <f>AVERAGE('01.08 Kinawataka-Kireka-24h'!J85,'03.08 Kinawataka-Kireka-24h'!J85)</f>
        <v>0.5</v>
      </c>
      <c r="K85" s="49">
        <f>AVERAGE('01.08 Kinawataka-Kireka-24h'!K85,'03.08 Kinawataka-Kireka-24h'!K85)</f>
        <v>1</v>
      </c>
      <c r="L85" s="49">
        <f>AVERAGE('01.08 Kinawataka-Kireka-24h'!L85,'03.08 Kinawataka-Kireka-24h'!L85)</f>
        <v>0</v>
      </c>
      <c r="M85" s="49">
        <f>AVERAGE('01.08 Kinawataka-Kireka-24h'!M85,'03.08 Kinawataka-Kireka-24h'!M85)</f>
        <v>27</v>
      </c>
      <c r="N85" s="49">
        <f>AVERAGE('01.08 Kinawataka-Kireka-24h'!N85,'03.08 Kinawataka-Kireka-24h'!N85)</f>
        <v>0</v>
      </c>
      <c r="O85" s="15">
        <f t="shared" si="35"/>
        <v>12.5</v>
      </c>
      <c r="P85" s="15">
        <f t="shared" si="36"/>
        <v>39.5</v>
      </c>
      <c r="R85" s="8"/>
      <c r="T85"/>
    </row>
    <row r="86" spans="2:20" ht="23.1" customHeight="1" x14ac:dyDescent="0.25">
      <c r="B86" s="24" t="s">
        <v>126</v>
      </c>
      <c r="C86" s="49">
        <f>AVERAGE('01.08 Kinawataka-Kireka-24h'!C86,'03.08 Kinawataka-Kireka-24h'!C86)</f>
        <v>6</v>
      </c>
      <c r="D86" s="49">
        <f>AVERAGE('01.08 Kinawataka-Kireka-24h'!D86,'03.08 Kinawataka-Kireka-24h'!D86)</f>
        <v>0</v>
      </c>
      <c r="E86" s="49">
        <f>AVERAGE('01.08 Kinawataka-Kireka-24h'!E86,'03.08 Kinawataka-Kireka-24h'!E86)</f>
        <v>0</v>
      </c>
      <c r="F86" s="49">
        <f>AVERAGE('01.08 Kinawataka-Kireka-24h'!F86,'03.08 Kinawataka-Kireka-24h'!F86)</f>
        <v>1.5</v>
      </c>
      <c r="G86" s="49">
        <f>AVERAGE('01.08 Kinawataka-Kireka-24h'!G86,'03.08 Kinawataka-Kireka-24h'!G86)</f>
        <v>0</v>
      </c>
      <c r="H86" s="49">
        <f>AVERAGE('01.08 Kinawataka-Kireka-24h'!H86,'03.08 Kinawataka-Kireka-24h'!H86)</f>
        <v>0</v>
      </c>
      <c r="I86" s="49">
        <f>AVERAGE('01.08 Kinawataka-Kireka-24h'!I86,'03.08 Kinawataka-Kireka-24h'!I86)</f>
        <v>1</v>
      </c>
      <c r="J86" s="49">
        <f>AVERAGE('01.08 Kinawataka-Kireka-24h'!J86,'03.08 Kinawataka-Kireka-24h'!J86)</f>
        <v>1</v>
      </c>
      <c r="K86" s="49">
        <f>AVERAGE('01.08 Kinawataka-Kireka-24h'!K86,'03.08 Kinawataka-Kireka-24h'!K86)</f>
        <v>0.5</v>
      </c>
      <c r="L86" s="49">
        <f>AVERAGE('01.08 Kinawataka-Kireka-24h'!L86,'03.08 Kinawataka-Kireka-24h'!L86)</f>
        <v>0.5</v>
      </c>
      <c r="M86" s="49">
        <f>AVERAGE('01.08 Kinawataka-Kireka-24h'!M86,'03.08 Kinawataka-Kireka-24h'!M86)</f>
        <v>16</v>
      </c>
      <c r="N86" s="49">
        <f>AVERAGE('01.08 Kinawataka-Kireka-24h'!N86,'03.08 Kinawataka-Kireka-24h'!N86)</f>
        <v>0</v>
      </c>
      <c r="O86" s="15">
        <f t="shared" si="35"/>
        <v>10.5</v>
      </c>
      <c r="P86" s="15">
        <f t="shared" si="36"/>
        <v>26.5</v>
      </c>
      <c r="R86" s="8"/>
      <c r="T86"/>
    </row>
    <row r="87" spans="2:20" ht="23.1" customHeight="1" x14ac:dyDescent="0.25">
      <c r="B87" s="23" t="s">
        <v>127</v>
      </c>
      <c r="C87" s="49">
        <f>AVERAGE('01.08 Kinawataka-Kireka-24h'!C87,'03.08 Kinawataka-Kireka-24h'!C87)</f>
        <v>8.5</v>
      </c>
      <c r="D87" s="49">
        <f>AVERAGE('01.08 Kinawataka-Kireka-24h'!D87,'03.08 Kinawataka-Kireka-24h'!D87)</f>
        <v>2</v>
      </c>
      <c r="E87" s="49">
        <f>AVERAGE('01.08 Kinawataka-Kireka-24h'!E87,'03.08 Kinawataka-Kireka-24h'!E87)</f>
        <v>0.5</v>
      </c>
      <c r="F87" s="49">
        <f>AVERAGE('01.08 Kinawataka-Kireka-24h'!F87,'03.08 Kinawataka-Kireka-24h'!F87)</f>
        <v>1</v>
      </c>
      <c r="G87" s="49">
        <f>AVERAGE('01.08 Kinawataka-Kireka-24h'!G87,'03.08 Kinawataka-Kireka-24h'!G87)</f>
        <v>0</v>
      </c>
      <c r="H87" s="49">
        <f>AVERAGE('01.08 Kinawataka-Kireka-24h'!H87,'03.08 Kinawataka-Kireka-24h'!H87)</f>
        <v>0</v>
      </c>
      <c r="I87" s="49">
        <f>AVERAGE('01.08 Kinawataka-Kireka-24h'!I87,'03.08 Kinawataka-Kireka-24h'!I87)</f>
        <v>0</v>
      </c>
      <c r="J87" s="49">
        <f>AVERAGE('01.08 Kinawataka-Kireka-24h'!J87,'03.08 Kinawataka-Kireka-24h'!J87)</f>
        <v>0.5</v>
      </c>
      <c r="K87" s="49">
        <f>AVERAGE('01.08 Kinawataka-Kireka-24h'!K87,'03.08 Kinawataka-Kireka-24h'!K87)</f>
        <v>0.5</v>
      </c>
      <c r="L87" s="49">
        <f>AVERAGE('01.08 Kinawataka-Kireka-24h'!L87,'03.08 Kinawataka-Kireka-24h'!L87)</f>
        <v>3.5</v>
      </c>
      <c r="M87" s="49">
        <f>AVERAGE('01.08 Kinawataka-Kireka-24h'!M87,'03.08 Kinawataka-Kireka-24h'!M87)</f>
        <v>18.5</v>
      </c>
      <c r="N87" s="49">
        <f>AVERAGE('01.08 Kinawataka-Kireka-24h'!N87,'03.08 Kinawataka-Kireka-24h'!N87)</f>
        <v>0</v>
      </c>
      <c r="O87" s="15">
        <f t="shared" si="35"/>
        <v>16.5</v>
      </c>
      <c r="P87" s="15">
        <f t="shared" si="36"/>
        <v>35</v>
      </c>
      <c r="R87" s="8"/>
      <c r="T87"/>
    </row>
    <row r="88" spans="2:20" ht="23.1" customHeight="1" x14ac:dyDescent="0.25">
      <c r="B88" s="25" t="s">
        <v>128</v>
      </c>
      <c r="C88" s="49">
        <f>AVERAGE('01.08 Kinawataka-Kireka-24h'!C88,'03.08 Kinawataka-Kireka-24h'!C88)</f>
        <v>8.5</v>
      </c>
      <c r="D88" s="49">
        <f>AVERAGE('01.08 Kinawataka-Kireka-24h'!D88,'03.08 Kinawataka-Kireka-24h'!D88)</f>
        <v>1</v>
      </c>
      <c r="E88" s="49">
        <f>AVERAGE('01.08 Kinawataka-Kireka-24h'!E88,'03.08 Kinawataka-Kireka-24h'!E88)</f>
        <v>0.5</v>
      </c>
      <c r="F88" s="49">
        <f>AVERAGE('01.08 Kinawataka-Kireka-24h'!F88,'03.08 Kinawataka-Kireka-24h'!F88)</f>
        <v>0.5</v>
      </c>
      <c r="G88" s="49">
        <f>AVERAGE('01.08 Kinawataka-Kireka-24h'!G88,'03.08 Kinawataka-Kireka-24h'!G88)</f>
        <v>0</v>
      </c>
      <c r="H88" s="49">
        <f>AVERAGE('01.08 Kinawataka-Kireka-24h'!H88,'03.08 Kinawataka-Kireka-24h'!H88)</f>
        <v>0</v>
      </c>
      <c r="I88" s="49">
        <f>AVERAGE('01.08 Kinawataka-Kireka-24h'!I88,'03.08 Kinawataka-Kireka-24h'!I88)</f>
        <v>0.5</v>
      </c>
      <c r="J88" s="49">
        <f>AVERAGE('01.08 Kinawataka-Kireka-24h'!J88,'03.08 Kinawataka-Kireka-24h'!J88)</f>
        <v>0.5</v>
      </c>
      <c r="K88" s="49">
        <f>AVERAGE('01.08 Kinawataka-Kireka-24h'!K88,'03.08 Kinawataka-Kireka-24h'!K88)</f>
        <v>0</v>
      </c>
      <c r="L88" s="49">
        <f>AVERAGE('01.08 Kinawataka-Kireka-24h'!L88,'03.08 Kinawataka-Kireka-24h'!L88)</f>
        <v>0</v>
      </c>
      <c r="M88" s="49">
        <f>AVERAGE('01.08 Kinawataka-Kireka-24h'!M88,'03.08 Kinawataka-Kireka-24h'!M88)</f>
        <v>14.5</v>
      </c>
      <c r="N88" s="49">
        <f>AVERAGE('01.08 Kinawataka-Kireka-24h'!N88,'03.08 Kinawataka-Kireka-24h'!N88)</f>
        <v>0</v>
      </c>
      <c r="O88" s="15">
        <f t="shared" si="35"/>
        <v>11.5</v>
      </c>
      <c r="P88" s="15">
        <f t="shared" si="36"/>
        <v>26</v>
      </c>
      <c r="R88" s="8"/>
      <c r="T88"/>
    </row>
    <row r="89" spans="2:20" ht="23.1" customHeight="1" x14ac:dyDescent="0.25">
      <c r="B89" s="23" t="s">
        <v>129</v>
      </c>
      <c r="C89" s="49">
        <f>AVERAGE('01.08 Kinawataka-Kireka-24h'!C89,'03.08 Kinawataka-Kireka-24h'!C89)</f>
        <v>8.5</v>
      </c>
      <c r="D89" s="49">
        <f>AVERAGE('01.08 Kinawataka-Kireka-24h'!D89,'03.08 Kinawataka-Kireka-24h'!D89)</f>
        <v>1.5</v>
      </c>
      <c r="E89" s="49">
        <f>AVERAGE('01.08 Kinawataka-Kireka-24h'!E89,'03.08 Kinawataka-Kireka-24h'!E89)</f>
        <v>0</v>
      </c>
      <c r="F89" s="49">
        <f>AVERAGE('01.08 Kinawataka-Kireka-24h'!F89,'03.08 Kinawataka-Kireka-24h'!F89)</f>
        <v>3</v>
      </c>
      <c r="G89" s="49">
        <f>AVERAGE('01.08 Kinawataka-Kireka-24h'!G89,'03.08 Kinawataka-Kireka-24h'!G89)</f>
        <v>0</v>
      </c>
      <c r="H89" s="49">
        <f>AVERAGE('01.08 Kinawataka-Kireka-24h'!H89,'03.08 Kinawataka-Kireka-24h'!H89)</f>
        <v>0</v>
      </c>
      <c r="I89" s="49">
        <f>AVERAGE('01.08 Kinawataka-Kireka-24h'!I89,'03.08 Kinawataka-Kireka-24h'!I89)</f>
        <v>1</v>
      </c>
      <c r="J89" s="49">
        <f>AVERAGE('01.08 Kinawataka-Kireka-24h'!J89,'03.08 Kinawataka-Kireka-24h'!J89)</f>
        <v>1</v>
      </c>
      <c r="K89" s="49">
        <f>AVERAGE('01.08 Kinawataka-Kireka-24h'!K89,'03.08 Kinawataka-Kireka-24h'!K89)</f>
        <v>0</v>
      </c>
      <c r="L89" s="49">
        <f>AVERAGE('01.08 Kinawataka-Kireka-24h'!L89,'03.08 Kinawataka-Kireka-24h'!L89)</f>
        <v>0</v>
      </c>
      <c r="M89" s="49">
        <f>AVERAGE('01.08 Kinawataka-Kireka-24h'!M89,'03.08 Kinawataka-Kireka-24h'!M89)</f>
        <v>15.5</v>
      </c>
      <c r="N89" s="49">
        <f>AVERAGE('01.08 Kinawataka-Kireka-24h'!N89,'03.08 Kinawataka-Kireka-24h'!N89)</f>
        <v>0</v>
      </c>
      <c r="O89" s="15">
        <f t="shared" si="35"/>
        <v>15</v>
      </c>
      <c r="P89" s="15">
        <f t="shared" si="36"/>
        <v>30.5</v>
      </c>
      <c r="R89" s="8"/>
      <c r="T89"/>
    </row>
    <row r="90" spans="2:20" ht="23.1" customHeight="1" x14ac:dyDescent="0.25">
      <c r="B90" s="24" t="s">
        <v>130</v>
      </c>
      <c r="C90" s="49">
        <f>AVERAGE('01.08 Kinawataka-Kireka-24h'!C90,'03.08 Kinawataka-Kireka-24h'!C90)</f>
        <v>5.5</v>
      </c>
      <c r="D90" s="49">
        <f>AVERAGE('01.08 Kinawataka-Kireka-24h'!D90,'03.08 Kinawataka-Kireka-24h'!D90)</f>
        <v>0.5</v>
      </c>
      <c r="E90" s="49">
        <f>AVERAGE('01.08 Kinawataka-Kireka-24h'!E90,'03.08 Kinawataka-Kireka-24h'!E90)</f>
        <v>0</v>
      </c>
      <c r="F90" s="49">
        <f>AVERAGE('01.08 Kinawataka-Kireka-24h'!F90,'03.08 Kinawataka-Kireka-24h'!F90)</f>
        <v>0.5</v>
      </c>
      <c r="G90" s="49">
        <f>AVERAGE('01.08 Kinawataka-Kireka-24h'!G90,'03.08 Kinawataka-Kireka-24h'!G90)</f>
        <v>0</v>
      </c>
      <c r="H90" s="49">
        <f>AVERAGE('01.08 Kinawataka-Kireka-24h'!H90,'03.08 Kinawataka-Kireka-24h'!H90)</f>
        <v>0</v>
      </c>
      <c r="I90" s="49">
        <f>AVERAGE('01.08 Kinawataka-Kireka-24h'!I90,'03.08 Kinawataka-Kireka-24h'!I90)</f>
        <v>0.5</v>
      </c>
      <c r="J90" s="49">
        <f>AVERAGE('01.08 Kinawataka-Kireka-24h'!J90,'03.08 Kinawataka-Kireka-24h'!J90)</f>
        <v>0</v>
      </c>
      <c r="K90" s="49">
        <f>AVERAGE('01.08 Kinawataka-Kireka-24h'!K90,'03.08 Kinawataka-Kireka-24h'!K90)</f>
        <v>0</v>
      </c>
      <c r="L90" s="49">
        <f>AVERAGE('01.08 Kinawataka-Kireka-24h'!L90,'03.08 Kinawataka-Kireka-24h'!L90)</f>
        <v>0</v>
      </c>
      <c r="M90" s="49">
        <f>AVERAGE('01.08 Kinawataka-Kireka-24h'!M90,'03.08 Kinawataka-Kireka-24h'!M90)</f>
        <v>20</v>
      </c>
      <c r="N90" s="49">
        <f>AVERAGE('01.08 Kinawataka-Kireka-24h'!N90,'03.08 Kinawataka-Kireka-24h'!N90)</f>
        <v>0</v>
      </c>
      <c r="O90" s="15">
        <f t="shared" si="35"/>
        <v>7</v>
      </c>
      <c r="P90" s="15">
        <f t="shared" si="36"/>
        <v>27</v>
      </c>
      <c r="R90" s="8"/>
      <c r="T90"/>
    </row>
    <row r="91" spans="2:20" ht="23.1" customHeight="1" x14ac:dyDescent="0.25">
      <c r="B91" s="23" t="s">
        <v>131</v>
      </c>
      <c r="C91" s="49">
        <f>AVERAGE('01.08 Kinawataka-Kireka-24h'!C91,'03.08 Kinawataka-Kireka-24h'!C91)</f>
        <v>6.5</v>
      </c>
      <c r="D91" s="49">
        <f>AVERAGE('01.08 Kinawataka-Kireka-24h'!D91,'03.08 Kinawataka-Kireka-24h'!D91)</f>
        <v>0</v>
      </c>
      <c r="E91" s="49">
        <f>AVERAGE('01.08 Kinawataka-Kireka-24h'!E91,'03.08 Kinawataka-Kireka-24h'!E91)</f>
        <v>0</v>
      </c>
      <c r="F91" s="49">
        <f>AVERAGE('01.08 Kinawataka-Kireka-24h'!F91,'03.08 Kinawataka-Kireka-24h'!F91)</f>
        <v>0.5</v>
      </c>
      <c r="G91" s="49">
        <f>AVERAGE('01.08 Kinawataka-Kireka-24h'!G91,'03.08 Kinawataka-Kireka-24h'!G91)</f>
        <v>0</v>
      </c>
      <c r="H91" s="49">
        <f>AVERAGE('01.08 Kinawataka-Kireka-24h'!H91,'03.08 Kinawataka-Kireka-24h'!H91)</f>
        <v>0</v>
      </c>
      <c r="I91" s="49">
        <f>AVERAGE('01.08 Kinawataka-Kireka-24h'!I91,'03.08 Kinawataka-Kireka-24h'!I91)</f>
        <v>1</v>
      </c>
      <c r="J91" s="49">
        <f>AVERAGE('01.08 Kinawataka-Kireka-24h'!J91,'03.08 Kinawataka-Kireka-24h'!J91)</f>
        <v>0</v>
      </c>
      <c r="K91" s="49">
        <f>AVERAGE('01.08 Kinawataka-Kireka-24h'!K91,'03.08 Kinawataka-Kireka-24h'!K91)</f>
        <v>0</v>
      </c>
      <c r="L91" s="49">
        <f>AVERAGE('01.08 Kinawataka-Kireka-24h'!L91,'03.08 Kinawataka-Kireka-24h'!L91)</f>
        <v>0</v>
      </c>
      <c r="M91" s="49">
        <f>AVERAGE('01.08 Kinawataka-Kireka-24h'!M91,'03.08 Kinawataka-Kireka-24h'!M91)</f>
        <v>8.5</v>
      </c>
      <c r="N91" s="49">
        <f>AVERAGE('01.08 Kinawataka-Kireka-24h'!N91,'03.08 Kinawataka-Kireka-24h'!N91)</f>
        <v>0</v>
      </c>
      <c r="O91" s="15">
        <f t="shared" si="35"/>
        <v>8</v>
      </c>
      <c r="P91" s="15">
        <f t="shared" si="36"/>
        <v>16.5</v>
      </c>
      <c r="R91" s="8"/>
      <c r="T91"/>
    </row>
    <row r="92" spans="2:20" ht="23.1" customHeight="1" x14ac:dyDescent="0.25">
      <c r="B92" s="25" t="s">
        <v>132</v>
      </c>
      <c r="C92" s="49">
        <f>AVERAGE('01.08 Kinawataka-Kireka-24h'!C92,'03.08 Kinawataka-Kireka-24h'!C92)</f>
        <v>5.5</v>
      </c>
      <c r="D92" s="49">
        <f>AVERAGE('01.08 Kinawataka-Kireka-24h'!D92,'03.08 Kinawataka-Kireka-24h'!D92)</f>
        <v>0.5</v>
      </c>
      <c r="E92" s="49">
        <f>AVERAGE('01.08 Kinawataka-Kireka-24h'!E92,'03.08 Kinawataka-Kireka-24h'!E92)</f>
        <v>0.5</v>
      </c>
      <c r="F92" s="49">
        <f>AVERAGE('01.08 Kinawataka-Kireka-24h'!F92,'03.08 Kinawataka-Kireka-24h'!F92)</f>
        <v>0.5</v>
      </c>
      <c r="G92" s="49">
        <f>AVERAGE('01.08 Kinawataka-Kireka-24h'!G92,'03.08 Kinawataka-Kireka-24h'!G92)</f>
        <v>0</v>
      </c>
      <c r="H92" s="49">
        <f>AVERAGE('01.08 Kinawataka-Kireka-24h'!H92,'03.08 Kinawataka-Kireka-24h'!H92)</f>
        <v>0</v>
      </c>
      <c r="I92" s="49">
        <f>AVERAGE('01.08 Kinawataka-Kireka-24h'!I92,'03.08 Kinawataka-Kireka-24h'!I92)</f>
        <v>1</v>
      </c>
      <c r="J92" s="49">
        <f>AVERAGE('01.08 Kinawataka-Kireka-24h'!J92,'03.08 Kinawataka-Kireka-24h'!J92)</f>
        <v>0.5</v>
      </c>
      <c r="K92" s="49">
        <f>AVERAGE('01.08 Kinawataka-Kireka-24h'!K92,'03.08 Kinawataka-Kireka-24h'!K92)</f>
        <v>0</v>
      </c>
      <c r="L92" s="49">
        <f>AVERAGE('01.08 Kinawataka-Kireka-24h'!L92,'03.08 Kinawataka-Kireka-24h'!L92)</f>
        <v>0</v>
      </c>
      <c r="M92" s="49">
        <f>AVERAGE('01.08 Kinawataka-Kireka-24h'!M92,'03.08 Kinawataka-Kireka-24h'!M92)</f>
        <v>14.5</v>
      </c>
      <c r="N92" s="49">
        <f>AVERAGE('01.08 Kinawataka-Kireka-24h'!N92,'03.08 Kinawataka-Kireka-24h'!N92)</f>
        <v>0</v>
      </c>
      <c r="O92" s="15">
        <f t="shared" si="35"/>
        <v>8.5</v>
      </c>
      <c r="P92" s="15">
        <f t="shared" si="36"/>
        <v>23</v>
      </c>
      <c r="R92" s="8"/>
      <c r="T92"/>
    </row>
    <row r="93" spans="2:20" ht="23.1" customHeight="1" x14ac:dyDescent="0.25">
      <c r="B93" s="23" t="s">
        <v>133</v>
      </c>
      <c r="C93" s="49">
        <f>AVERAGE('01.08 Kinawataka-Kireka-24h'!C93,'03.08 Kinawataka-Kireka-24h'!C93)</f>
        <v>5</v>
      </c>
      <c r="D93" s="49">
        <f>AVERAGE('01.08 Kinawataka-Kireka-24h'!D93,'03.08 Kinawataka-Kireka-24h'!D93)</f>
        <v>0</v>
      </c>
      <c r="E93" s="49">
        <f>AVERAGE('01.08 Kinawataka-Kireka-24h'!E93,'03.08 Kinawataka-Kireka-24h'!E93)</f>
        <v>0</v>
      </c>
      <c r="F93" s="49">
        <f>AVERAGE('01.08 Kinawataka-Kireka-24h'!F93,'03.08 Kinawataka-Kireka-24h'!F93)</f>
        <v>1</v>
      </c>
      <c r="G93" s="49">
        <f>AVERAGE('01.08 Kinawataka-Kireka-24h'!G93,'03.08 Kinawataka-Kireka-24h'!G93)</f>
        <v>0</v>
      </c>
      <c r="H93" s="49">
        <f>AVERAGE('01.08 Kinawataka-Kireka-24h'!H93,'03.08 Kinawataka-Kireka-24h'!H93)</f>
        <v>0</v>
      </c>
      <c r="I93" s="49">
        <f>AVERAGE('01.08 Kinawataka-Kireka-24h'!I93,'03.08 Kinawataka-Kireka-24h'!I93)</f>
        <v>0.5</v>
      </c>
      <c r="J93" s="49">
        <f>AVERAGE('01.08 Kinawataka-Kireka-24h'!J93,'03.08 Kinawataka-Kireka-24h'!J93)</f>
        <v>0</v>
      </c>
      <c r="K93" s="49">
        <f>AVERAGE('01.08 Kinawataka-Kireka-24h'!K93,'03.08 Kinawataka-Kireka-24h'!K93)</f>
        <v>0</v>
      </c>
      <c r="L93" s="49">
        <f>AVERAGE('01.08 Kinawataka-Kireka-24h'!L93,'03.08 Kinawataka-Kireka-24h'!L93)</f>
        <v>0</v>
      </c>
      <c r="M93" s="49">
        <f>AVERAGE('01.08 Kinawataka-Kireka-24h'!M93,'03.08 Kinawataka-Kireka-24h'!M93)</f>
        <v>14</v>
      </c>
      <c r="N93" s="49">
        <f>AVERAGE('01.08 Kinawataka-Kireka-24h'!N93,'03.08 Kinawataka-Kireka-24h'!N93)</f>
        <v>0</v>
      </c>
      <c r="O93" s="15">
        <f t="shared" si="35"/>
        <v>6.5</v>
      </c>
      <c r="P93" s="15">
        <f t="shared" si="36"/>
        <v>20.5</v>
      </c>
      <c r="R93" s="8"/>
      <c r="T93"/>
    </row>
    <row r="94" spans="2:20" ht="23.1" customHeight="1" x14ac:dyDescent="0.25">
      <c r="B94" s="24" t="s">
        <v>134</v>
      </c>
      <c r="C94" s="49">
        <f>AVERAGE('01.08 Kinawataka-Kireka-24h'!C94,'03.08 Kinawataka-Kireka-24h'!C94)</f>
        <v>3.5</v>
      </c>
      <c r="D94" s="49">
        <f>AVERAGE('01.08 Kinawataka-Kireka-24h'!D94,'03.08 Kinawataka-Kireka-24h'!D94)</f>
        <v>0.5</v>
      </c>
      <c r="E94" s="49">
        <f>AVERAGE('01.08 Kinawataka-Kireka-24h'!E94,'03.08 Kinawataka-Kireka-24h'!E94)</f>
        <v>0</v>
      </c>
      <c r="F94" s="49">
        <f>AVERAGE('01.08 Kinawataka-Kireka-24h'!F94,'03.08 Kinawataka-Kireka-24h'!F94)</f>
        <v>0</v>
      </c>
      <c r="G94" s="49">
        <f>AVERAGE('01.08 Kinawataka-Kireka-24h'!G94,'03.08 Kinawataka-Kireka-24h'!G94)</f>
        <v>0</v>
      </c>
      <c r="H94" s="49">
        <f>AVERAGE('01.08 Kinawataka-Kireka-24h'!H94,'03.08 Kinawataka-Kireka-24h'!H94)</f>
        <v>0</v>
      </c>
      <c r="I94" s="49">
        <f>AVERAGE('01.08 Kinawataka-Kireka-24h'!I94,'03.08 Kinawataka-Kireka-24h'!I94)</f>
        <v>0</v>
      </c>
      <c r="J94" s="49">
        <f>AVERAGE('01.08 Kinawataka-Kireka-24h'!J94,'03.08 Kinawataka-Kireka-24h'!J94)</f>
        <v>0.5</v>
      </c>
      <c r="K94" s="49">
        <f>AVERAGE('01.08 Kinawataka-Kireka-24h'!K94,'03.08 Kinawataka-Kireka-24h'!K94)</f>
        <v>0</v>
      </c>
      <c r="L94" s="49">
        <f>AVERAGE('01.08 Kinawataka-Kireka-24h'!L94,'03.08 Kinawataka-Kireka-24h'!L94)</f>
        <v>0</v>
      </c>
      <c r="M94" s="49">
        <f>AVERAGE('01.08 Kinawataka-Kireka-24h'!M94,'03.08 Kinawataka-Kireka-24h'!M94)</f>
        <v>9.5</v>
      </c>
      <c r="N94" s="49">
        <f>AVERAGE('01.08 Kinawataka-Kireka-24h'!N94,'03.08 Kinawataka-Kireka-24h'!N94)</f>
        <v>0</v>
      </c>
      <c r="O94" s="15">
        <f t="shared" si="35"/>
        <v>4.5</v>
      </c>
      <c r="P94" s="15">
        <f t="shared" si="36"/>
        <v>14</v>
      </c>
      <c r="R94" s="8"/>
      <c r="T94"/>
    </row>
    <row r="95" spans="2:20" ht="23.1" customHeight="1" x14ac:dyDescent="0.25">
      <c r="B95" s="23" t="s">
        <v>135</v>
      </c>
      <c r="C95" s="49">
        <f>AVERAGE('01.08 Kinawataka-Kireka-24h'!C95,'03.08 Kinawataka-Kireka-24h'!C95)</f>
        <v>4</v>
      </c>
      <c r="D95" s="49">
        <f>AVERAGE('01.08 Kinawataka-Kireka-24h'!D95,'03.08 Kinawataka-Kireka-24h'!D95)</f>
        <v>0.5</v>
      </c>
      <c r="E95" s="49">
        <f>AVERAGE('01.08 Kinawataka-Kireka-24h'!E95,'03.08 Kinawataka-Kireka-24h'!E95)</f>
        <v>0</v>
      </c>
      <c r="F95" s="49">
        <f>AVERAGE('01.08 Kinawataka-Kireka-24h'!F95,'03.08 Kinawataka-Kireka-24h'!F95)</f>
        <v>0.5</v>
      </c>
      <c r="G95" s="49">
        <f>AVERAGE('01.08 Kinawataka-Kireka-24h'!G95,'03.08 Kinawataka-Kireka-24h'!G95)</f>
        <v>0</v>
      </c>
      <c r="H95" s="49">
        <f>AVERAGE('01.08 Kinawataka-Kireka-24h'!H95,'03.08 Kinawataka-Kireka-24h'!H95)</f>
        <v>0</v>
      </c>
      <c r="I95" s="49">
        <f>AVERAGE('01.08 Kinawataka-Kireka-24h'!I95,'03.08 Kinawataka-Kireka-24h'!I95)</f>
        <v>0</v>
      </c>
      <c r="J95" s="49">
        <f>AVERAGE('01.08 Kinawataka-Kireka-24h'!J95,'03.08 Kinawataka-Kireka-24h'!J95)</f>
        <v>0</v>
      </c>
      <c r="K95" s="49">
        <f>AVERAGE('01.08 Kinawataka-Kireka-24h'!K95,'03.08 Kinawataka-Kireka-24h'!K95)</f>
        <v>0</v>
      </c>
      <c r="L95" s="49">
        <f>AVERAGE('01.08 Kinawataka-Kireka-24h'!L95,'03.08 Kinawataka-Kireka-24h'!L95)</f>
        <v>0</v>
      </c>
      <c r="M95" s="49">
        <f>AVERAGE('01.08 Kinawataka-Kireka-24h'!M95,'03.08 Kinawataka-Kireka-24h'!M95)</f>
        <v>14</v>
      </c>
      <c r="N95" s="49">
        <f>AVERAGE('01.08 Kinawataka-Kireka-24h'!N95,'03.08 Kinawataka-Kireka-24h'!N95)</f>
        <v>0</v>
      </c>
      <c r="O95" s="15">
        <f t="shared" si="35"/>
        <v>5</v>
      </c>
      <c r="P95" s="15">
        <f t="shared" si="36"/>
        <v>19</v>
      </c>
      <c r="R95" s="8"/>
      <c r="T95"/>
    </row>
    <row r="96" spans="2:20" ht="23.1" customHeight="1" x14ac:dyDescent="0.25">
      <c r="B96" s="25" t="s">
        <v>136</v>
      </c>
      <c r="C96" s="49">
        <f>AVERAGE('01.08 Kinawataka-Kireka-24h'!C96,'03.08 Kinawataka-Kireka-24h'!C96)</f>
        <v>6.5</v>
      </c>
      <c r="D96" s="49">
        <f>AVERAGE('01.08 Kinawataka-Kireka-24h'!D96,'03.08 Kinawataka-Kireka-24h'!D96)</f>
        <v>0</v>
      </c>
      <c r="E96" s="49">
        <f>AVERAGE('01.08 Kinawataka-Kireka-24h'!E96,'03.08 Kinawataka-Kireka-24h'!E96)</f>
        <v>0.5</v>
      </c>
      <c r="F96" s="49">
        <f>AVERAGE('01.08 Kinawataka-Kireka-24h'!F96,'03.08 Kinawataka-Kireka-24h'!F96)</f>
        <v>2</v>
      </c>
      <c r="G96" s="49">
        <f>AVERAGE('01.08 Kinawataka-Kireka-24h'!G96,'03.08 Kinawataka-Kireka-24h'!G96)</f>
        <v>0</v>
      </c>
      <c r="H96" s="49">
        <f>AVERAGE('01.08 Kinawataka-Kireka-24h'!H96,'03.08 Kinawataka-Kireka-24h'!H96)</f>
        <v>0</v>
      </c>
      <c r="I96" s="49">
        <f>AVERAGE('01.08 Kinawataka-Kireka-24h'!I96,'03.08 Kinawataka-Kireka-24h'!I96)</f>
        <v>0</v>
      </c>
      <c r="J96" s="49">
        <f>AVERAGE('01.08 Kinawataka-Kireka-24h'!J96,'03.08 Kinawataka-Kireka-24h'!J96)</f>
        <v>1</v>
      </c>
      <c r="K96" s="49">
        <f>AVERAGE('01.08 Kinawataka-Kireka-24h'!K96,'03.08 Kinawataka-Kireka-24h'!K96)</f>
        <v>0</v>
      </c>
      <c r="L96" s="49">
        <f>AVERAGE('01.08 Kinawataka-Kireka-24h'!L96,'03.08 Kinawataka-Kireka-24h'!L96)</f>
        <v>0</v>
      </c>
      <c r="M96" s="49">
        <f>AVERAGE('01.08 Kinawataka-Kireka-24h'!M96,'03.08 Kinawataka-Kireka-24h'!M96)</f>
        <v>14</v>
      </c>
      <c r="N96" s="49">
        <f>AVERAGE('01.08 Kinawataka-Kireka-24h'!N96,'03.08 Kinawataka-Kireka-24h'!N96)</f>
        <v>0</v>
      </c>
      <c r="O96" s="15">
        <f t="shared" si="35"/>
        <v>10</v>
      </c>
      <c r="P96" s="15">
        <f t="shared" si="36"/>
        <v>24</v>
      </c>
      <c r="R96" s="8"/>
      <c r="T96"/>
    </row>
    <row r="97" spans="2:20" ht="23.1" customHeight="1" x14ac:dyDescent="0.25">
      <c r="B97" s="23" t="s">
        <v>137</v>
      </c>
      <c r="C97" s="49">
        <f>AVERAGE('01.08 Kinawataka-Kireka-24h'!C97,'03.08 Kinawataka-Kireka-24h'!C97)</f>
        <v>4.5</v>
      </c>
      <c r="D97" s="49">
        <f>AVERAGE('01.08 Kinawataka-Kireka-24h'!D97,'03.08 Kinawataka-Kireka-24h'!D97)</f>
        <v>0</v>
      </c>
      <c r="E97" s="49">
        <f>AVERAGE('01.08 Kinawataka-Kireka-24h'!E97,'03.08 Kinawataka-Kireka-24h'!E97)</f>
        <v>1</v>
      </c>
      <c r="F97" s="49">
        <f>AVERAGE('01.08 Kinawataka-Kireka-24h'!F97,'03.08 Kinawataka-Kireka-24h'!F97)</f>
        <v>2</v>
      </c>
      <c r="G97" s="49">
        <f>AVERAGE('01.08 Kinawataka-Kireka-24h'!G97,'03.08 Kinawataka-Kireka-24h'!G97)</f>
        <v>0</v>
      </c>
      <c r="H97" s="49">
        <f>AVERAGE('01.08 Kinawataka-Kireka-24h'!H97,'03.08 Kinawataka-Kireka-24h'!H97)</f>
        <v>0</v>
      </c>
      <c r="I97" s="49">
        <f>AVERAGE('01.08 Kinawataka-Kireka-24h'!I97,'03.08 Kinawataka-Kireka-24h'!I97)</f>
        <v>0</v>
      </c>
      <c r="J97" s="49">
        <f>AVERAGE('01.08 Kinawataka-Kireka-24h'!J97,'03.08 Kinawataka-Kireka-24h'!J97)</f>
        <v>0</v>
      </c>
      <c r="K97" s="49">
        <f>AVERAGE('01.08 Kinawataka-Kireka-24h'!K97,'03.08 Kinawataka-Kireka-24h'!K97)</f>
        <v>0.5</v>
      </c>
      <c r="L97" s="49">
        <f>AVERAGE('01.08 Kinawataka-Kireka-24h'!L97,'03.08 Kinawataka-Kireka-24h'!L97)</f>
        <v>0</v>
      </c>
      <c r="M97" s="49">
        <f>AVERAGE('01.08 Kinawataka-Kireka-24h'!M97,'03.08 Kinawataka-Kireka-24h'!M97)</f>
        <v>21</v>
      </c>
      <c r="N97" s="49">
        <f>AVERAGE('01.08 Kinawataka-Kireka-24h'!N97,'03.08 Kinawataka-Kireka-24h'!N97)</f>
        <v>0</v>
      </c>
      <c r="O97" s="15">
        <f t="shared" si="35"/>
        <v>8</v>
      </c>
      <c r="P97" s="15">
        <f t="shared" si="36"/>
        <v>29</v>
      </c>
      <c r="R97" s="8"/>
      <c r="T97"/>
    </row>
    <row r="98" spans="2:20" ht="23.1" customHeight="1" x14ac:dyDescent="0.25">
      <c r="B98" s="24" t="s">
        <v>138</v>
      </c>
      <c r="C98" s="49">
        <f>AVERAGE('01.08 Kinawataka-Kireka-24h'!C98,'03.08 Kinawataka-Kireka-24h'!C98)</f>
        <v>6.5</v>
      </c>
      <c r="D98" s="49">
        <f>AVERAGE('01.08 Kinawataka-Kireka-24h'!D98,'03.08 Kinawataka-Kireka-24h'!D98)</f>
        <v>0.5</v>
      </c>
      <c r="E98" s="49">
        <f>AVERAGE('01.08 Kinawataka-Kireka-24h'!E98,'03.08 Kinawataka-Kireka-24h'!E98)</f>
        <v>0.5</v>
      </c>
      <c r="F98" s="49">
        <f>AVERAGE('01.08 Kinawataka-Kireka-24h'!F98,'03.08 Kinawataka-Kireka-24h'!F98)</f>
        <v>1</v>
      </c>
      <c r="G98" s="49">
        <f>AVERAGE('01.08 Kinawataka-Kireka-24h'!G98,'03.08 Kinawataka-Kireka-24h'!G98)</f>
        <v>1</v>
      </c>
      <c r="H98" s="49">
        <f>AVERAGE('01.08 Kinawataka-Kireka-24h'!H98,'03.08 Kinawataka-Kireka-24h'!H98)</f>
        <v>0</v>
      </c>
      <c r="I98" s="49">
        <f>AVERAGE('01.08 Kinawataka-Kireka-24h'!I98,'03.08 Kinawataka-Kireka-24h'!I98)</f>
        <v>1</v>
      </c>
      <c r="J98" s="49">
        <f>AVERAGE('01.08 Kinawataka-Kireka-24h'!J98,'03.08 Kinawataka-Kireka-24h'!J98)</f>
        <v>1</v>
      </c>
      <c r="K98" s="49">
        <f>AVERAGE('01.08 Kinawataka-Kireka-24h'!K98,'03.08 Kinawataka-Kireka-24h'!K98)</f>
        <v>0</v>
      </c>
      <c r="L98" s="49">
        <f>AVERAGE('01.08 Kinawataka-Kireka-24h'!L98,'03.08 Kinawataka-Kireka-24h'!L98)</f>
        <v>0</v>
      </c>
      <c r="M98" s="49">
        <f>AVERAGE('01.08 Kinawataka-Kireka-24h'!M98,'03.08 Kinawataka-Kireka-24h'!M98)</f>
        <v>18.5</v>
      </c>
      <c r="N98" s="49">
        <f>AVERAGE('01.08 Kinawataka-Kireka-24h'!N98,'03.08 Kinawataka-Kireka-24h'!N98)</f>
        <v>0</v>
      </c>
      <c r="O98" s="15">
        <f t="shared" si="35"/>
        <v>11.5</v>
      </c>
      <c r="P98" s="15">
        <f t="shared" si="36"/>
        <v>30</v>
      </c>
      <c r="R98" s="8"/>
      <c r="T98"/>
    </row>
    <row r="99" spans="2:20" ht="23.1" customHeight="1" x14ac:dyDescent="0.25">
      <c r="B99" s="23" t="s">
        <v>139</v>
      </c>
      <c r="C99" s="49">
        <f>AVERAGE('01.08 Kinawataka-Kireka-24h'!C99,'03.08 Kinawataka-Kireka-24h'!C99)</f>
        <v>4.5</v>
      </c>
      <c r="D99" s="49">
        <f>AVERAGE('01.08 Kinawataka-Kireka-24h'!D99,'03.08 Kinawataka-Kireka-24h'!D99)</f>
        <v>0.5</v>
      </c>
      <c r="E99" s="49">
        <f>AVERAGE('01.08 Kinawataka-Kireka-24h'!E99,'03.08 Kinawataka-Kireka-24h'!E99)</f>
        <v>0.5</v>
      </c>
      <c r="F99" s="49">
        <f>AVERAGE('01.08 Kinawataka-Kireka-24h'!F99,'03.08 Kinawataka-Kireka-24h'!F99)</f>
        <v>3</v>
      </c>
      <c r="G99" s="49">
        <f>AVERAGE('01.08 Kinawataka-Kireka-24h'!G99,'03.08 Kinawataka-Kireka-24h'!G99)</f>
        <v>0</v>
      </c>
      <c r="H99" s="49">
        <f>AVERAGE('01.08 Kinawataka-Kireka-24h'!H99,'03.08 Kinawataka-Kireka-24h'!H99)</f>
        <v>0</v>
      </c>
      <c r="I99" s="49">
        <f>AVERAGE('01.08 Kinawataka-Kireka-24h'!I99,'03.08 Kinawataka-Kireka-24h'!I99)</f>
        <v>0</v>
      </c>
      <c r="J99" s="49">
        <f>AVERAGE('01.08 Kinawataka-Kireka-24h'!J99,'03.08 Kinawataka-Kireka-24h'!J99)</f>
        <v>0.5</v>
      </c>
      <c r="K99" s="49">
        <f>AVERAGE('01.08 Kinawataka-Kireka-24h'!K99,'03.08 Kinawataka-Kireka-24h'!K99)</f>
        <v>0</v>
      </c>
      <c r="L99" s="49">
        <f>AVERAGE('01.08 Kinawataka-Kireka-24h'!L99,'03.08 Kinawataka-Kireka-24h'!L99)</f>
        <v>0</v>
      </c>
      <c r="M99" s="49">
        <f>AVERAGE('01.08 Kinawataka-Kireka-24h'!M99,'03.08 Kinawataka-Kireka-24h'!M99)</f>
        <v>20</v>
      </c>
      <c r="N99" s="49">
        <f>AVERAGE('01.08 Kinawataka-Kireka-24h'!N99,'03.08 Kinawataka-Kireka-24h'!N99)</f>
        <v>0</v>
      </c>
      <c r="O99" s="15">
        <f t="shared" si="35"/>
        <v>9</v>
      </c>
      <c r="P99" s="15">
        <f t="shared" si="36"/>
        <v>29</v>
      </c>
      <c r="R99" s="8"/>
      <c r="T99"/>
    </row>
    <row r="100" spans="2:20" ht="23.1" customHeight="1" x14ac:dyDescent="0.25">
      <c r="B100" s="25" t="s">
        <v>140</v>
      </c>
      <c r="C100" s="49">
        <f>AVERAGE('01.08 Kinawataka-Kireka-24h'!C100,'03.08 Kinawataka-Kireka-24h'!C100)</f>
        <v>4</v>
      </c>
      <c r="D100" s="49">
        <f>AVERAGE('01.08 Kinawataka-Kireka-24h'!D100,'03.08 Kinawataka-Kireka-24h'!D100)</f>
        <v>0.5</v>
      </c>
      <c r="E100" s="49">
        <f>AVERAGE('01.08 Kinawataka-Kireka-24h'!E100,'03.08 Kinawataka-Kireka-24h'!E100)</f>
        <v>2.5</v>
      </c>
      <c r="F100" s="49">
        <f>AVERAGE('01.08 Kinawataka-Kireka-24h'!F100,'03.08 Kinawataka-Kireka-24h'!F100)</f>
        <v>5</v>
      </c>
      <c r="G100" s="49">
        <f>AVERAGE('01.08 Kinawataka-Kireka-24h'!G100,'03.08 Kinawataka-Kireka-24h'!G100)</f>
        <v>1.5</v>
      </c>
      <c r="H100" s="49">
        <f>AVERAGE('01.08 Kinawataka-Kireka-24h'!H100,'03.08 Kinawataka-Kireka-24h'!H100)</f>
        <v>0</v>
      </c>
      <c r="I100" s="49">
        <f>AVERAGE('01.08 Kinawataka-Kireka-24h'!I100,'03.08 Kinawataka-Kireka-24h'!I100)</f>
        <v>0</v>
      </c>
      <c r="J100" s="49">
        <f>AVERAGE('01.08 Kinawataka-Kireka-24h'!J100,'03.08 Kinawataka-Kireka-24h'!J100)</f>
        <v>0.5</v>
      </c>
      <c r="K100" s="49">
        <f>AVERAGE('01.08 Kinawataka-Kireka-24h'!K100,'03.08 Kinawataka-Kireka-24h'!K100)</f>
        <v>0.5</v>
      </c>
      <c r="L100" s="49">
        <f>AVERAGE('01.08 Kinawataka-Kireka-24h'!L100,'03.08 Kinawataka-Kireka-24h'!L100)</f>
        <v>2</v>
      </c>
      <c r="M100" s="49">
        <f>AVERAGE('01.08 Kinawataka-Kireka-24h'!M100,'03.08 Kinawataka-Kireka-24h'!M100)</f>
        <v>34.5</v>
      </c>
      <c r="N100" s="49">
        <f>AVERAGE('01.08 Kinawataka-Kireka-24h'!N100,'03.08 Kinawataka-Kireka-24h'!N100)</f>
        <v>0</v>
      </c>
      <c r="O100" s="15">
        <f t="shared" si="35"/>
        <v>16.5</v>
      </c>
      <c r="P100" s="15">
        <f t="shared" si="36"/>
        <v>51</v>
      </c>
      <c r="R100" s="8"/>
      <c r="T100"/>
    </row>
    <row r="101" spans="2:20" ht="23.1" customHeight="1" x14ac:dyDescent="0.25">
      <c r="B101" s="23" t="s">
        <v>141</v>
      </c>
      <c r="C101" s="49">
        <f>AVERAGE('01.08 Kinawataka-Kireka-24h'!C101,'03.08 Kinawataka-Kireka-24h'!C101)</f>
        <v>10</v>
      </c>
      <c r="D101" s="49">
        <f>AVERAGE('01.08 Kinawataka-Kireka-24h'!D101,'03.08 Kinawataka-Kireka-24h'!D101)</f>
        <v>2</v>
      </c>
      <c r="E101" s="49">
        <f>AVERAGE('01.08 Kinawataka-Kireka-24h'!E101,'03.08 Kinawataka-Kireka-24h'!E101)</f>
        <v>0</v>
      </c>
      <c r="F101" s="49">
        <f>AVERAGE('01.08 Kinawataka-Kireka-24h'!F101,'03.08 Kinawataka-Kireka-24h'!F101)</f>
        <v>4.5</v>
      </c>
      <c r="G101" s="49">
        <f>AVERAGE('01.08 Kinawataka-Kireka-24h'!G101,'03.08 Kinawataka-Kireka-24h'!G101)</f>
        <v>1.5</v>
      </c>
      <c r="H101" s="49">
        <f>AVERAGE('01.08 Kinawataka-Kireka-24h'!H101,'03.08 Kinawataka-Kireka-24h'!H101)</f>
        <v>0</v>
      </c>
      <c r="I101" s="49">
        <f>AVERAGE('01.08 Kinawataka-Kireka-24h'!I101,'03.08 Kinawataka-Kireka-24h'!I101)</f>
        <v>0</v>
      </c>
      <c r="J101" s="49">
        <f>AVERAGE('01.08 Kinawataka-Kireka-24h'!J101,'03.08 Kinawataka-Kireka-24h'!J101)</f>
        <v>0.5</v>
      </c>
      <c r="K101" s="49">
        <f>AVERAGE('01.08 Kinawataka-Kireka-24h'!K101,'03.08 Kinawataka-Kireka-24h'!K101)</f>
        <v>0</v>
      </c>
      <c r="L101" s="49">
        <f>AVERAGE('01.08 Kinawataka-Kireka-24h'!L101,'03.08 Kinawataka-Kireka-24h'!L101)</f>
        <v>0.5</v>
      </c>
      <c r="M101" s="49">
        <f>AVERAGE('01.08 Kinawataka-Kireka-24h'!M101,'03.08 Kinawataka-Kireka-24h'!M101)</f>
        <v>24</v>
      </c>
      <c r="N101" s="49">
        <f>AVERAGE('01.08 Kinawataka-Kireka-24h'!N101,'03.08 Kinawataka-Kireka-24h'!N101)</f>
        <v>0</v>
      </c>
      <c r="O101" s="15">
        <f t="shared" si="35"/>
        <v>19</v>
      </c>
      <c r="P101" s="15">
        <f t="shared" si="36"/>
        <v>43</v>
      </c>
      <c r="R101" s="8"/>
      <c r="T101"/>
    </row>
    <row r="102" spans="2:20" ht="23.1" customHeight="1" x14ac:dyDescent="0.25">
      <c r="B102" s="24" t="s">
        <v>142</v>
      </c>
      <c r="C102" s="49">
        <f>AVERAGE('01.08 Kinawataka-Kireka-24h'!C102,'03.08 Kinawataka-Kireka-24h'!C102)</f>
        <v>10.5</v>
      </c>
      <c r="D102" s="49">
        <f>AVERAGE('01.08 Kinawataka-Kireka-24h'!D102,'03.08 Kinawataka-Kireka-24h'!D102)</f>
        <v>2.5</v>
      </c>
      <c r="E102" s="49">
        <f>AVERAGE('01.08 Kinawataka-Kireka-24h'!E102,'03.08 Kinawataka-Kireka-24h'!E102)</f>
        <v>3.5</v>
      </c>
      <c r="F102" s="49">
        <f>AVERAGE('01.08 Kinawataka-Kireka-24h'!F102,'03.08 Kinawataka-Kireka-24h'!F102)</f>
        <v>8</v>
      </c>
      <c r="G102" s="49">
        <f>AVERAGE('01.08 Kinawataka-Kireka-24h'!G102,'03.08 Kinawataka-Kireka-24h'!G102)</f>
        <v>1</v>
      </c>
      <c r="H102" s="49">
        <f>AVERAGE('01.08 Kinawataka-Kireka-24h'!H102,'03.08 Kinawataka-Kireka-24h'!H102)</f>
        <v>0</v>
      </c>
      <c r="I102" s="49">
        <f>AVERAGE('01.08 Kinawataka-Kireka-24h'!I102,'03.08 Kinawataka-Kireka-24h'!I102)</f>
        <v>0.5</v>
      </c>
      <c r="J102" s="49">
        <f>AVERAGE('01.08 Kinawataka-Kireka-24h'!J102,'03.08 Kinawataka-Kireka-24h'!J102)</f>
        <v>1</v>
      </c>
      <c r="K102" s="49">
        <f>AVERAGE('01.08 Kinawataka-Kireka-24h'!K102,'03.08 Kinawataka-Kireka-24h'!K102)</f>
        <v>0</v>
      </c>
      <c r="L102" s="49">
        <f>AVERAGE('01.08 Kinawataka-Kireka-24h'!L102,'03.08 Kinawataka-Kireka-24h'!L102)</f>
        <v>0</v>
      </c>
      <c r="M102" s="49">
        <f>AVERAGE('01.08 Kinawataka-Kireka-24h'!M102,'03.08 Kinawataka-Kireka-24h'!M102)</f>
        <v>35.5</v>
      </c>
      <c r="N102" s="49">
        <f>AVERAGE('01.08 Kinawataka-Kireka-24h'!N102,'03.08 Kinawataka-Kireka-24h'!N102)</f>
        <v>0</v>
      </c>
      <c r="O102" s="15">
        <f t="shared" si="35"/>
        <v>27</v>
      </c>
      <c r="P102" s="15">
        <f t="shared" si="36"/>
        <v>62.5</v>
      </c>
      <c r="R102" s="8"/>
      <c r="T102"/>
    </row>
    <row r="103" spans="2:20" ht="23.1" customHeight="1" x14ac:dyDescent="0.25">
      <c r="B103" s="23" t="s">
        <v>143</v>
      </c>
      <c r="C103" s="49">
        <f>AVERAGE('01.08 Kinawataka-Kireka-24h'!C103,'03.08 Kinawataka-Kireka-24h'!C103)</f>
        <v>14</v>
      </c>
      <c r="D103" s="49">
        <f>AVERAGE('01.08 Kinawataka-Kireka-24h'!D103,'03.08 Kinawataka-Kireka-24h'!D103)</f>
        <v>2</v>
      </c>
      <c r="E103" s="49">
        <f>AVERAGE('01.08 Kinawataka-Kireka-24h'!E103,'03.08 Kinawataka-Kireka-24h'!E103)</f>
        <v>4.5</v>
      </c>
      <c r="F103" s="49">
        <f>AVERAGE('01.08 Kinawataka-Kireka-24h'!F103,'03.08 Kinawataka-Kireka-24h'!F103)</f>
        <v>6</v>
      </c>
      <c r="G103" s="49">
        <f>AVERAGE('01.08 Kinawataka-Kireka-24h'!G103,'03.08 Kinawataka-Kireka-24h'!G103)</f>
        <v>0</v>
      </c>
      <c r="H103" s="49">
        <f>AVERAGE('01.08 Kinawataka-Kireka-24h'!H103,'03.08 Kinawataka-Kireka-24h'!H103)</f>
        <v>0</v>
      </c>
      <c r="I103" s="49">
        <f>AVERAGE('01.08 Kinawataka-Kireka-24h'!I103,'03.08 Kinawataka-Kireka-24h'!I103)</f>
        <v>2</v>
      </c>
      <c r="J103" s="49">
        <f>AVERAGE('01.08 Kinawataka-Kireka-24h'!J103,'03.08 Kinawataka-Kireka-24h'!J103)</f>
        <v>1</v>
      </c>
      <c r="K103" s="49">
        <f>AVERAGE('01.08 Kinawataka-Kireka-24h'!K103,'03.08 Kinawataka-Kireka-24h'!K103)</f>
        <v>0.5</v>
      </c>
      <c r="L103" s="49">
        <f>AVERAGE('01.08 Kinawataka-Kireka-24h'!L103,'03.08 Kinawataka-Kireka-24h'!L103)</f>
        <v>0</v>
      </c>
      <c r="M103" s="49">
        <f>AVERAGE('01.08 Kinawataka-Kireka-24h'!M103,'03.08 Kinawataka-Kireka-24h'!M103)</f>
        <v>57</v>
      </c>
      <c r="N103" s="49">
        <f>AVERAGE('01.08 Kinawataka-Kireka-24h'!N103,'03.08 Kinawataka-Kireka-24h'!N103)</f>
        <v>0</v>
      </c>
      <c r="O103" s="15">
        <f t="shared" si="35"/>
        <v>30</v>
      </c>
      <c r="P103" s="15">
        <f t="shared" si="36"/>
        <v>87</v>
      </c>
      <c r="R103" s="8"/>
      <c r="T103"/>
    </row>
    <row r="104" spans="2:20" ht="23.1" customHeight="1" x14ac:dyDescent="0.25">
      <c r="B104" s="25" t="s">
        <v>144</v>
      </c>
      <c r="C104" s="49">
        <f>AVERAGE('01.08 Kinawataka-Kireka-24h'!C104,'03.08 Kinawataka-Kireka-24h'!C104)</f>
        <v>15.5</v>
      </c>
      <c r="D104" s="49">
        <f>AVERAGE('01.08 Kinawataka-Kireka-24h'!D104,'03.08 Kinawataka-Kireka-24h'!D104)</f>
        <v>2.5</v>
      </c>
      <c r="E104" s="49">
        <f>AVERAGE('01.08 Kinawataka-Kireka-24h'!E104,'03.08 Kinawataka-Kireka-24h'!E104)</f>
        <v>2</v>
      </c>
      <c r="F104" s="49">
        <f>AVERAGE('01.08 Kinawataka-Kireka-24h'!F104,'03.08 Kinawataka-Kireka-24h'!F104)</f>
        <v>8.5</v>
      </c>
      <c r="G104" s="49">
        <f>AVERAGE('01.08 Kinawataka-Kireka-24h'!G104,'03.08 Kinawataka-Kireka-24h'!G104)</f>
        <v>0</v>
      </c>
      <c r="H104" s="49">
        <f>AVERAGE('01.08 Kinawataka-Kireka-24h'!H104,'03.08 Kinawataka-Kireka-24h'!H104)</f>
        <v>0</v>
      </c>
      <c r="I104" s="49">
        <f>AVERAGE('01.08 Kinawataka-Kireka-24h'!I104,'03.08 Kinawataka-Kireka-24h'!I104)</f>
        <v>2</v>
      </c>
      <c r="J104" s="49">
        <f>AVERAGE('01.08 Kinawataka-Kireka-24h'!J104,'03.08 Kinawataka-Kireka-24h'!J104)</f>
        <v>4</v>
      </c>
      <c r="K104" s="49">
        <f>AVERAGE('01.08 Kinawataka-Kireka-24h'!K104,'03.08 Kinawataka-Kireka-24h'!K104)</f>
        <v>1</v>
      </c>
      <c r="L104" s="49">
        <f>AVERAGE('01.08 Kinawataka-Kireka-24h'!L104,'03.08 Kinawataka-Kireka-24h'!L104)</f>
        <v>0.5</v>
      </c>
      <c r="M104" s="49">
        <f>AVERAGE('01.08 Kinawataka-Kireka-24h'!M104,'03.08 Kinawataka-Kireka-24h'!M104)</f>
        <v>52</v>
      </c>
      <c r="N104" s="49">
        <f>AVERAGE('01.08 Kinawataka-Kireka-24h'!N104,'03.08 Kinawataka-Kireka-24h'!N104)</f>
        <v>0</v>
      </c>
      <c r="O104" s="15">
        <f t="shared" si="35"/>
        <v>36</v>
      </c>
      <c r="P104" s="15">
        <f t="shared" si="36"/>
        <v>88</v>
      </c>
      <c r="R104" s="8"/>
      <c r="T104"/>
    </row>
    <row r="105" spans="2:20" ht="23.1" customHeight="1" x14ac:dyDescent="0.25">
      <c r="B105" s="23" t="s">
        <v>145</v>
      </c>
      <c r="C105" s="49">
        <f>AVERAGE('01.08 Kinawataka-Kireka-24h'!C105,'03.08 Kinawataka-Kireka-24h'!C105)</f>
        <v>20</v>
      </c>
      <c r="D105" s="49">
        <f>AVERAGE('01.08 Kinawataka-Kireka-24h'!D105,'03.08 Kinawataka-Kireka-24h'!D105)</f>
        <v>2</v>
      </c>
      <c r="E105" s="49">
        <f>AVERAGE('01.08 Kinawataka-Kireka-24h'!E105,'03.08 Kinawataka-Kireka-24h'!E105)</f>
        <v>3</v>
      </c>
      <c r="F105" s="49">
        <f>AVERAGE('01.08 Kinawataka-Kireka-24h'!F105,'03.08 Kinawataka-Kireka-24h'!F105)</f>
        <v>12.5</v>
      </c>
      <c r="G105" s="49">
        <f>AVERAGE('01.08 Kinawataka-Kireka-24h'!G105,'03.08 Kinawataka-Kireka-24h'!G105)</f>
        <v>1.5</v>
      </c>
      <c r="H105" s="49">
        <f>AVERAGE('01.08 Kinawataka-Kireka-24h'!H105,'03.08 Kinawataka-Kireka-24h'!H105)</f>
        <v>0</v>
      </c>
      <c r="I105" s="49">
        <f>AVERAGE('01.08 Kinawataka-Kireka-24h'!I105,'03.08 Kinawataka-Kireka-24h'!I105)</f>
        <v>3</v>
      </c>
      <c r="J105" s="49">
        <f>AVERAGE('01.08 Kinawataka-Kireka-24h'!J105,'03.08 Kinawataka-Kireka-24h'!J105)</f>
        <v>5.5</v>
      </c>
      <c r="K105" s="49">
        <f>AVERAGE('01.08 Kinawataka-Kireka-24h'!K105,'03.08 Kinawataka-Kireka-24h'!K105)</f>
        <v>0</v>
      </c>
      <c r="L105" s="49">
        <f>AVERAGE('01.08 Kinawataka-Kireka-24h'!L105,'03.08 Kinawataka-Kireka-24h'!L105)</f>
        <v>1.5</v>
      </c>
      <c r="M105" s="49">
        <f>AVERAGE('01.08 Kinawataka-Kireka-24h'!M105,'03.08 Kinawataka-Kireka-24h'!M105)</f>
        <v>64.5</v>
      </c>
      <c r="N105" s="49">
        <f>AVERAGE('01.08 Kinawataka-Kireka-24h'!N105,'03.08 Kinawataka-Kireka-24h'!N105)</f>
        <v>0</v>
      </c>
      <c r="O105" s="15">
        <f t="shared" si="35"/>
        <v>49</v>
      </c>
      <c r="P105" s="15">
        <f t="shared" si="36"/>
        <v>113.5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3947.9285714285716</v>
      </c>
      <c r="D106" s="16">
        <f t="shared" ref="D106:P106" si="37">SUM(D10:D105)</f>
        <v>444.99999999999994</v>
      </c>
      <c r="E106" s="16">
        <f t="shared" si="37"/>
        <v>480.78571428571422</v>
      </c>
      <c r="F106" s="16">
        <f t="shared" si="37"/>
        <v>1012.2142857142857</v>
      </c>
      <c r="G106" s="16">
        <f t="shared" si="37"/>
        <v>147.28571428571428</v>
      </c>
      <c r="H106" s="16">
        <f t="shared" si="37"/>
        <v>8.6428571428571423</v>
      </c>
      <c r="I106" s="16">
        <f t="shared" si="37"/>
        <v>441.78571428571422</v>
      </c>
      <c r="J106" s="16">
        <f t="shared" si="37"/>
        <v>246.64285714285711</v>
      </c>
      <c r="K106" s="16">
        <f t="shared" si="37"/>
        <v>129.28571428571428</v>
      </c>
      <c r="L106" s="16">
        <f t="shared" si="37"/>
        <v>202.35714285714289</v>
      </c>
      <c r="M106" s="16">
        <f t="shared" si="37"/>
        <v>8944.9285714285725</v>
      </c>
      <c r="N106" s="16">
        <f t="shared" si="37"/>
        <v>1.4285714285714282</v>
      </c>
      <c r="O106" s="16">
        <f t="shared" si="37"/>
        <v>7063.3571428571431</v>
      </c>
      <c r="P106" s="16">
        <f t="shared" si="37"/>
        <v>16008.285714285714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0.24661782291313428</v>
      </c>
      <c r="D107" s="43">
        <f t="shared" si="38"/>
        <v>2.7798104552999338E-2</v>
      </c>
      <c r="E107" s="43">
        <f t="shared" si="38"/>
        <v>3.0033554052365737E-2</v>
      </c>
      <c r="F107" s="43">
        <f t="shared" si="38"/>
        <v>6.3230648414214066E-2</v>
      </c>
      <c r="G107" s="43">
        <f t="shared" si="38"/>
        <v>9.2005925502864593E-3</v>
      </c>
      <c r="H107" s="43">
        <f t="shared" si="38"/>
        <v>5.3989898088489883E-4</v>
      </c>
      <c r="I107" s="43">
        <f t="shared" si="38"/>
        <v>2.7597315675810738E-2</v>
      </c>
      <c r="J107" s="43">
        <f t="shared" si="38"/>
        <v>1.5407199842938478E-2</v>
      </c>
      <c r="K107" s="43">
        <f t="shared" si="38"/>
        <v>8.0761748380303051E-3</v>
      </c>
      <c r="L107" s="43">
        <f t="shared" si="38"/>
        <v>1.2640775312784453E-2</v>
      </c>
      <c r="M107" s="43">
        <f t="shared" si="38"/>
        <v>0.55876867336557867</v>
      </c>
      <c r="N107" s="43">
        <f t="shared" si="38"/>
        <v>8.9239500972710544E-5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0.55893090092732112</v>
      </c>
      <c r="D108" s="44">
        <f t="shared" ref="D108:N108" si="39">D106/$O$106</f>
        <v>6.3001203393772673E-2</v>
      </c>
      <c r="E108" s="44">
        <f t="shared" si="39"/>
        <v>6.806759230232487E-2</v>
      </c>
      <c r="F108" s="44">
        <f t="shared" si="39"/>
        <v>0.14330498447723158</v>
      </c>
      <c r="G108" s="44">
        <f t="shared" si="39"/>
        <v>2.085208369148624E-2</v>
      </c>
      <c r="H108" s="44">
        <f t="shared" si="39"/>
        <v>1.223618878113402E-3</v>
      </c>
      <c r="I108" s="44">
        <f t="shared" si="39"/>
        <v>6.2546138521747036E-2</v>
      </c>
      <c r="J108" s="44">
        <f t="shared" si="39"/>
        <v>3.4918644513434523E-2</v>
      </c>
      <c r="K108" s="44">
        <f t="shared" si="39"/>
        <v>1.8303720408142626E-2</v>
      </c>
      <c r="L108" s="44">
        <f t="shared" si="39"/>
        <v>2.8648861832192302E-2</v>
      </c>
      <c r="M108" s="44"/>
      <c r="N108" s="44">
        <f t="shared" si="39"/>
        <v>2.0225105423362012E-4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I49" zoomScale="60" workbookViewId="0">
      <selection activeCell="AC58" sqref="A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1" width="10.7109375" customWidth="1"/>
    <col min="32" max="32" width="11.85546875" bestFit="1" customWidth="1"/>
    <col min="33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Kireka-Kinawataka'!C3:G3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'04.08 Kireka-Kinawataka'!G5:H5</f>
        <v>Kireka road</v>
      </c>
      <c r="H5" s="64"/>
      <c r="I5" s="14"/>
      <c r="J5" s="2" t="s">
        <v>5</v>
      </c>
      <c r="K5" s="63" t="str">
        <f>'04.08 Kireka-Kinawataka'!K5:L5</f>
        <v>Mirembe Keren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3" t="str">
        <f>'04.08 Kireka-Kinawataka'!D6:E6</f>
        <v>Kireka</v>
      </c>
      <c r="E6" s="64"/>
      <c r="F6" s="2" t="s">
        <v>2</v>
      </c>
      <c r="G6" s="63" t="str">
        <f>'04.08 Kireka-Kinawataka'!G6:H6</f>
        <v>Kinawataka</v>
      </c>
      <c r="H6" s="64"/>
      <c r="J6" s="2" t="s">
        <v>21</v>
      </c>
      <c r="K6" s="63" t="str">
        <f>'04.08 Kireka-Kinawataka'!K6:L6</f>
        <v>Batrice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AVERAGE('29.07 Kireka-Kinawataka'!C10,'30.07 Kireka-Kinawataka'!C10,'31.07 Kireka-Kinawataka'!C10,'02.08 Kireka-Kinawataka'!C10,'01.08 Kireka-Kinawataka-24h'!C10,'03.08 Kireka-Kinawataka-24h'!C10,'04.08 Kireka-Kinawataka'!C10)</f>
        <v>31.428571428571427</v>
      </c>
      <c r="D10" s="49">
        <f>AVERAGE('29.07 Kireka-Kinawataka'!D10,'30.07 Kireka-Kinawataka'!D10,'31.07 Kireka-Kinawataka'!D10,'02.08 Kireka-Kinawataka'!D10,'01.08 Kireka-Kinawataka-24h'!D10,'03.08 Kireka-Kinawataka-24h'!D10,'04.08 Kireka-Kinawataka'!D10)</f>
        <v>16.285714285714285</v>
      </c>
      <c r="E10" s="49">
        <f>AVERAGE('29.07 Kireka-Kinawataka'!E10,'30.07 Kireka-Kinawataka'!E10,'31.07 Kireka-Kinawataka'!E10,'02.08 Kireka-Kinawataka'!E10,'01.08 Kireka-Kinawataka-24h'!E10,'03.08 Kireka-Kinawataka-24h'!E10,'04.08 Kireka-Kinawataka'!E10)</f>
        <v>4.1428571428571432</v>
      </c>
      <c r="F10" s="49">
        <f>AVERAGE('29.07 Kireka-Kinawataka'!F10,'30.07 Kireka-Kinawataka'!F10,'31.07 Kireka-Kinawataka'!F10,'02.08 Kireka-Kinawataka'!F10,'01.08 Kireka-Kinawataka-24h'!F10,'03.08 Kireka-Kinawataka-24h'!F10,'04.08 Kireka-Kinawataka'!F10)</f>
        <v>15.714285714285714</v>
      </c>
      <c r="G10" s="49">
        <f>AVERAGE('29.07 Kireka-Kinawataka'!G10,'30.07 Kireka-Kinawataka'!G10,'31.07 Kireka-Kinawataka'!G10,'02.08 Kireka-Kinawataka'!G10,'01.08 Kireka-Kinawataka-24h'!G10,'03.08 Kireka-Kinawataka-24h'!G10,'04.08 Kireka-Kinawataka'!G10)</f>
        <v>0.8571428571428571</v>
      </c>
      <c r="H10" s="49">
        <f>AVERAGE('29.07 Kireka-Kinawataka'!H10,'30.07 Kireka-Kinawataka'!H10,'31.07 Kireka-Kinawataka'!H10,'02.08 Kireka-Kinawataka'!H10,'01.08 Kireka-Kinawataka-24h'!H10,'03.08 Kireka-Kinawataka-24h'!H10,'04.08 Kireka-Kinawataka'!H10)</f>
        <v>0</v>
      </c>
      <c r="I10" s="49">
        <f>AVERAGE('29.07 Kireka-Kinawataka'!I10,'30.07 Kireka-Kinawataka'!I10,'31.07 Kireka-Kinawataka'!I10,'02.08 Kireka-Kinawataka'!I10,'01.08 Kireka-Kinawataka-24h'!I10,'03.08 Kireka-Kinawataka-24h'!I10,'04.08 Kireka-Kinawataka'!I10)</f>
        <v>1.8571428571428572</v>
      </c>
      <c r="J10" s="49">
        <f>AVERAGE('29.07 Kireka-Kinawataka'!J10,'30.07 Kireka-Kinawataka'!J10,'31.07 Kireka-Kinawataka'!J10,'02.08 Kireka-Kinawataka'!J10,'01.08 Kireka-Kinawataka-24h'!J10,'03.08 Kireka-Kinawataka-24h'!J10,'04.08 Kireka-Kinawataka'!J10)</f>
        <v>1.5714285714285714</v>
      </c>
      <c r="K10" s="49">
        <f>AVERAGE('29.07 Kireka-Kinawataka'!K10,'30.07 Kireka-Kinawataka'!K10,'31.07 Kireka-Kinawataka'!K10,'02.08 Kireka-Kinawataka'!K10,'01.08 Kireka-Kinawataka-24h'!K10,'03.08 Kireka-Kinawataka-24h'!K10,'04.08 Kireka-Kinawataka'!K10)</f>
        <v>0.2857142857142857</v>
      </c>
      <c r="L10" s="49">
        <f>AVERAGE('29.07 Kireka-Kinawataka'!L10,'30.07 Kireka-Kinawataka'!L10,'31.07 Kireka-Kinawataka'!L10,'02.08 Kireka-Kinawataka'!L10,'01.08 Kireka-Kinawataka-24h'!L10,'03.08 Kireka-Kinawataka-24h'!L10,'04.08 Kireka-Kinawataka'!L10)</f>
        <v>0.8571428571428571</v>
      </c>
      <c r="M10" s="49">
        <f>AVERAGE('29.07 Kireka-Kinawataka'!M10,'30.07 Kireka-Kinawataka'!M10,'31.07 Kireka-Kinawataka'!M10,'02.08 Kireka-Kinawataka'!M10,'01.08 Kireka-Kinawataka-24h'!M10,'03.08 Kireka-Kinawataka-24h'!M10,'04.08 Kireka-Kinawataka'!M10)</f>
        <v>92.285714285714292</v>
      </c>
      <c r="N10" s="49">
        <f>AVERAGE('29.07 Kireka-Kinawataka'!N10,'30.07 Kireka-Kinawataka'!N10,'31.07 Kireka-Kinawataka'!N10,'02.08 Kireka-Kinawataka'!N10,'01.08 Kireka-Kinawataka-24h'!N10,'03.08 Kireka-Kinawataka-24h'!N10,'04.08 Kireka-Kinawataka'!N10)</f>
        <v>0</v>
      </c>
      <c r="O10" s="15">
        <f t="shared" ref="O10:O56" si="0">SUM(C10:L10,N10)</f>
        <v>73.000000000000014</v>
      </c>
      <c r="P10" s="15">
        <f t="shared" ref="P10:P56" si="1">SUM(C10:N10)</f>
        <v>165.28571428571431</v>
      </c>
      <c r="R10" s="1" t="s">
        <v>6</v>
      </c>
      <c r="S10" s="17">
        <f t="shared" ref="S10:AF10" si="2">SUM(C10:C13)</f>
        <v>183.71428571428572</v>
      </c>
      <c r="T10" s="17">
        <f t="shared" si="2"/>
        <v>102.42857142857142</v>
      </c>
      <c r="U10" s="17">
        <f t="shared" si="2"/>
        <v>27.714285714285719</v>
      </c>
      <c r="V10" s="17">
        <f t="shared" si="2"/>
        <v>78.714285714285722</v>
      </c>
      <c r="W10" s="17">
        <f t="shared" si="2"/>
        <v>5.1428571428571423</v>
      </c>
      <c r="X10" s="17">
        <f t="shared" si="2"/>
        <v>1</v>
      </c>
      <c r="Y10" s="17">
        <f t="shared" si="2"/>
        <v>8</v>
      </c>
      <c r="Z10" s="17">
        <f t="shared" si="2"/>
        <v>15.285714285714285</v>
      </c>
      <c r="AA10" s="17">
        <f t="shared" si="2"/>
        <v>4.5714285714285712</v>
      </c>
      <c r="AB10" s="17">
        <f t="shared" si="2"/>
        <v>5</v>
      </c>
      <c r="AC10" s="17">
        <f t="shared" si="2"/>
        <v>498.14285714285711</v>
      </c>
      <c r="AD10" s="17">
        <f t="shared" si="2"/>
        <v>0</v>
      </c>
      <c r="AE10" s="31">
        <f t="shared" si="2"/>
        <v>431.57142857142861</v>
      </c>
      <c r="AF10" s="31">
        <f t="shared" si="2"/>
        <v>929.71428571428578</v>
      </c>
    </row>
    <row r="11" spans="2:32" s="6" customFormat="1" ht="23.1" customHeight="1" x14ac:dyDescent="0.25">
      <c r="B11" s="23" t="s">
        <v>38</v>
      </c>
      <c r="C11" s="49">
        <f>AVERAGE('29.07 Kireka-Kinawataka'!C11,'30.07 Kireka-Kinawataka'!C11,'31.07 Kireka-Kinawataka'!C11,'02.08 Kireka-Kinawataka'!C11,'01.08 Kireka-Kinawataka-24h'!C11,'03.08 Kireka-Kinawataka-24h'!C11,'04.08 Kireka-Kinawataka'!C11)</f>
        <v>48</v>
      </c>
      <c r="D11" s="49">
        <f>AVERAGE('29.07 Kireka-Kinawataka'!D11,'30.07 Kireka-Kinawataka'!D11,'31.07 Kireka-Kinawataka'!D11,'02.08 Kireka-Kinawataka'!D11,'01.08 Kireka-Kinawataka-24h'!D11,'03.08 Kireka-Kinawataka-24h'!D11,'04.08 Kireka-Kinawataka'!D11)</f>
        <v>26.857142857142858</v>
      </c>
      <c r="E11" s="49">
        <f>AVERAGE('29.07 Kireka-Kinawataka'!E11,'30.07 Kireka-Kinawataka'!E11,'31.07 Kireka-Kinawataka'!E11,'02.08 Kireka-Kinawataka'!E11,'01.08 Kireka-Kinawataka-24h'!E11,'03.08 Kireka-Kinawataka-24h'!E11,'04.08 Kireka-Kinawataka'!E11)</f>
        <v>9.2857142857142865</v>
      </c>
      <c r="F11" s="49">
        <f>AVERAGE('29.07 Kireka-Kinawataka'!F11,'30.07 Kireka-Kinawataka'!F11,'31.07 Kireka-Kinawataka'!F11,'02.08 Kireka-Kinawataka'!F11,'01.08 Kireka-Kinawataka-24h'!F11,'03.08 Kireka-Kinawataka-24h'!F11,'04.08 Kireka-Kinawataka'!F11)</f>
        <v>22</v>
      </c>
      <c r="G11" s="49">
        <f>AVERAGE('29.07 Kireka-Kinawataka'!G11,'30.07 Kireka-Kinawataka'!G11,'31.07 Kireka-Kinawataka'!G11,'02.08 Kireka-Kinawataka'!G11,'01.08 Kireka-Kinawataka-24h'!G11,'03.08 Kireka-Kinawataka-24h'!G11,'04.08 Kireka-Kinawataka'!G11)</f>
        <v>1.8571428571428572</v>
      </c>
      <c r="H11" s="49">
        <f>AVERAGE('29.07 Kireka-Kinawataka'!H11,'30.07 Kireka-Kinawataka'!H11,'31.07 Kireka-Kinawataka'!H11,'02.08 Kireka-Kinawataka'!H11,'01.08 Kireka-Kinawataka-24h'!H11,'03.08 Kireka-Kinawataka-24h'!H11,'04.08 Kireka-Kinawataka'!H11)</f>
        <v>0.14285714285714285</v>
      </c>
      <c r="I11" s="49">
        <f>AVERAGE('29.07 Kireka-Kinawataka'!I11,'30.07 Kireka-Kinawataka'!I11,'31.07 Kireka-Kinawataka'!I11,'02.08 Kireka-Kinawataka'!I11,'01.08 Kireka-Kinawataka-24h'!I11,'03.08 Kireka-Kinawataka-24h'!I11,'04.08 Kireka-Kinawataka'!I11)</f>
        <v>2</v>
      </c>
      <c r="J11" s="49">
        <f>AVERAGE('29.07 Kireka-Kinawataka'!J11,'30.07 Kireka-Kinawataka'!J11,'31.07 Kireka-Kinawataka'!J11,'02.08 Kireka-Kinawataka'!J11,'01.08 Kireka-Kinawataka-24h'!J11,'03.08 Kireka-Kinawataka-24h'!J11,'04.08 Kireka-Kinawataka'!J11)</f>
        <v>4.5714285714285712</v>
      </c>
      <c r="K11" s="49">
        <f>AVERAGE('29.07 Kireka-Kinawataka'!K11,'30.07 Kireka-Kinawataka'!K11,'31.07 Kireka-Kinawataka'!K11,'02.08 Kireka-Kinawataka'!K11,'01.08 Kireka-Kinawataka-24h'!K11,'03.08 Kireka-Kinawataka-24h'!K11,'04.08 Kireka-Kinawataka'!K11)</f>
        <v>2.1428571428571428</v>
      </c>
      <c r="L11" s="49">
        <f>AVERAGE('29.07 Kireka-Kinawataka'!L11,'30.07 Kireka-Kinawataka'!L11,'31.07 Kireka-Kinawataka'!L11,'02.08 Kireka-Kinawataka'!L11,'01.08 Kireka-Kinawataka-24h'!L11,'03.08 Kireka-Kinawataka-24h'!L11,'04.08 Kireka-Kinawataka'!L11)</f>
        <v>1</v>
      </c>
      <c r="M11" s="49">
        <f>AVERAGE('29.07 Kireka-Kinawataka'!M11,'30.07 Kireka-Kinawataka'!M11,'31.07 Kireka-Kinawataka'!M11,'02.08 Kireka-Kinawataka'!M11,'01.08 Kireka-Kinawataka-24h'!M11,'03.08 Kireka-Kinawataka-24h'!M11,'04.08 Kireka-Kinawataka'!M11)</f>
        <v>125</v>
      </c>
      <c r="N11" s="49">
        <f>AVERAGE('29.07 Kireka-Kinawataka'!N11,'30.07 Kireka-Kinawataka'!N11,'31.07 Kireka-Kinawataka'!N11,'02.08 Kireka-Kinawataka'!N11,'01.08 Kireka-Kinawataka-24h'!N11,'03.08 Kireka-Kinawataka-24h'!N11,'04.08 Kireka-Kinawataka'!N11)</f>
        <v>0</v>
      </c>
      <c r="O11" s="15">
        <f t="shared" si="0"/>
        <v>117.85714285714286</v>
      </c>
      <c r="P11" s="15">
        <f t="shared" si="1"/>
        <v>242.85714285714286</v>
      </c>
      <c r="R11" s="1" t="s">
        <v>7</v>
      </c>
      <c r="S11" s="17">
        <f t="shared" ref="S11:AF11" si="3">SUM(C14:C17)</f>
        <v>196.14285714285714</v>
      </c>
      <c r="T11" s="17">
        <f t="shared" si="3"/>
        <v>119</v>
      </c>
      <c r="U11" s="17">
        <f t="shared" si="3"/>
        <v>30.571428571428569</v>
      </c>
      <c r="V11" s="17">
        <f t="shared" si="3"/>
        <v>86.857142857142861</v>
      </c>
      <c r="W11" s="17">
        <f t="shared" si="3"/>
        <v>5.2857142857142856</v>
      </c>
      <c r="X11" s="17">
        <f t="shared" si="3"/>
        <v>2.2857142857142856</v>
      </c>
      <c r="Y11" s="17">
        <f t="shared" si="3"/>
        <v>16.285714285714285</v>
      </c>
      <c r="Z11" s="17">
        <f t="shared" si="3"/>
        <v>20.571428571428573</v>
      </c>
      <c r="AA11" s="17">
        <f t="shared" si="3"/>
        <v>7.8571428571428559</v>
      </c>
      <c r="AB11" s="17">
        <f t="shared" si="3"/>
        <v>6.4285714285714288</v>
      </c>
      <c r="AC11" s="17">
        <f t="shared" si="3"/>
        <v>538.57142857142867</v>
      </c>
      <c r="AD11" s="17">
        <f t="shared" si="3"/>
        <v>0</v>
      </c>
      <c r="AE11" s="31">
        <f t="shared" si="3"/>
        <v>491.28571428571422</v>
      </c>
      <c r="AF11" s="31">
        <f t="shared" si="3"/>
        <v>1029.8571428571429</v>
      </c>
    </row>
    <row r="12" spans="2:32" ht="23.1" customHeight="1" x14ac:dyDescent="0.25">
      <c r="B12" s="23" t="s">
        <v>39</v>
      </c>
      <c r="C12" s="49">
        <f>AVERAGE('29.07 Kireka-Kinawataka'!C12,'30.07 Kireka-Kinawataka'!C12,'31.07 Kireka-Kinawataka'!C12,'02.08 Kireka-Kinawataka'!C12,'01.08 Kireka-Kinawataka-24h'!C12,'03.08 Kireka-Kinawataka-24h'!C12,'04.08 Kireka-Kinawataka'!C12)</f>
        <v>51.285714285714285</v>
      </c>
      <c r="D12" s="49">
        <f>AVERAGE('29.07 Kireka-Kinawataka'!D12,'30.07 Kireka-Kinawataka'!D12,'31.07 Kireka-Kinawataka'!D12,'02.08 Kireka-Kinawataka'!D12,'01.08 Kireka-Kinawataka-24h'!D12,'03.08 Kireka-Kinawataka-24h'!D12,'04.08 Kireka-Kinawataka'!D12)</f>
        <v>29.285714285714285</v>
      </c>
      <c r="E12" s="49">
        <f>AVERAGE('29.07 Kireka-Kinawataka'!E12,'30.07 Kireka-Kinawataka'!E12,'31.07 Kireka-Kinawataka'!E12,'02.08 Kireka-Kinawataka'!E12,'01.08 Kireka-Kinawataka-24h'!E12,'03.08 Kireka-Kinawataka-24h'!E12,'04.08 Kireka-Kinawataka'!E12)</f>
        <v>7.4285714285714288</v>
      </c>
      <c r="F12" s="49">
        <f>AVERAGE('29.07 Kireka-Kinawataka'!F12,'30.07 Kireka-Kinawataka'!F12,'31.07 Kireka-Kinawataka'!F12,'02.08 Kireka-Kinawataka'!F12,'01.08 Kireka-Kinawataka-24h'!F12,'03.08 Kireka-Kinawataka-24h'!F12,'04.08 Kireka-Kinawataka'!F12)</f>
        <v>21.285714285714285</v>
      </c>
      <c r="G12" s="49">
        <f>AVERAGE('29.07 Kireka-Kinawataka'!G12,'30.07 Kireka-Kinawataka'!G12,'31.07 Kireka-Kinawataka'!G12,'02.08 Kireka-Kinawataka'!G12,'01.08 Kireka-Kinawataka-24h'!G12,'03.08 Kireka-Kinawataka-24h'!G12,'04.08 Kireka-Kinawataka'!G12)</f>
        <v>1.2857142857142858</v>
      </c>
      <c r="H12" s="49">
        <f>AVERAGE('29.07 Kireka-Kinawataka'!H12,'30.07 Kireka-Kinawataka'!H12,'31.07 Kireka-Kinawataka'!H12,'02.08 Kireka-Kinawataka'!H12,'01.08 Kireka-Kinawataka-24h'!H12,'03.08 Kireka-Kinawataka-24h'!H12,'04.08 Kireka-Kinawataka'!H12)</f>
        <v>0.14285714285714285</v>
      </c>
      <c r="I12" s="49">
        <f>AVERAGE('29.07 Kireka-Kinawataka'!I12,'30.07 Kireka-Kinawataka'!I12,'31.07 Kireka-Kinawataka'!I12,'02.08 Kireka-Kinawataka'!I12,'01.08 Kireka-Kinawataka-24h'!I12,'03.08 Kireka-Kinawataka-24h'!I12,'04.08 Kireka-Kinawataka'!I12)</f>
        <v>1.2857142857142858</v>
      </c>
      <c r="J12" s="49">
        <f>AVERAGE('29.07 Kireka-Kinawataka'!J12,'30.07 Kireka-Kinawataka'!J12,'31.07 Kireka-Kinawataka'!J12,'02.08 Kireka-Kinawataka'!J12,'01.08 Kireka-Kinawataka-24h'!J12,'03.08 Kireka-Kinawataka-24h'!J12,'04.08 Kireka-Kinawataka'!J12)</f>
        <v>4.2857142857142856</v>
      </c>
      <c r="K12" s="49">
        <f>AVERAGE('29.07 Kireka-Kinawataka'!K12,'30.07 Kireka-Kinawataka'!K12,'31.07 Kireka-Kinawataka'!K12,'02.08 Kireka-Kinawataka'!K12,'01.08 Kireka-Kinawataka-24h'!K12,'03.08 Kireka-Kinawataka-24h'!K12,'04.08 Kireka-Kinawataka'!K12)</f>
        <v>1.1428571428571428</v>
      </c>
      <c r="L12" s="49">
        <f>AVERAGE('29.07 Kireka-Kinawataka'!L12,'30.07 Kireka-Kinawataka'!L12,'31.07 Kireka-Kinawataka'!L12,'02.08 Kireka-Kinawataka'!L12,'01.08 Kireka-Kinawataka-24h'!L12,'03.08 Kireka-Kinawataka-24h'!L12,'04.08 Kireka-Kinawataka'!L12)</f>
        <v>1.1428571428571428</v>
      </c>
      <c r="M12" s="49">
        <f>AVERAGE('29.07 Kireka-Kinawataka'!M12,'30.07 Kireka-Kinawataka'!M12,'31.07 Kireka-Kinawataka'!M12,'02.08 Kireka-Kinawataka'!M12,'01.08 Kireka-Kinawataka-24h'!M12,'03.08 Kireka-Kinawataka-24h'!M12,'04.08 Kireka-Kinawataka'!M12)</f>
        <v>138.85714285714286</v>
      </c>
      <c r="N12" s="49">
        <f>AVERAGE('29.07 Kireka-Kinawataka'!N12,'30.07 Kireka-Kinawataka'!N12,'31.07 Kireka-Kinawataka'!N12,'02.08 Kireka-Kinawataka'!N12,'01.08 Kireka-Kinawataka-24h'!N12,'03.08 Kireka-Kinawataka-24h'!N12,'04.08 Kireka-Kinawataka'!N12)</f>
        <v>0</v>
      </c>
      <c r="O12" s="15">
        <f t="shared" si="0"/>
        <v>118.57142857142857</v>
      </c>
      <c r="P12" s="15">
        <f t="shared" si="1"/>
        <v>257.42857142857144</v>
      </c>
      <c r="R12" s="1" t="s">
        <v>8</v>
      </c>
      <c r="S12" s="17">
        <f t="shared" ref="S12:AF12" si="4">SUM(C18:C21)</f>
        <v>145.71428571428572</v>
      </c>
      <c r="T12" s="17">
        <f t="shared" si="4"/>
        <v>108.42857142857143</v>
      </c>
      <c r="U12" s="17">
        <f t="shared" si="4"/>
        <v>34.285714285714292</v>
      </c>
      <c r="V12" s="17">
        <f t="shared" si="4"/>
        <v>81</v>
      </c>
      <c r="W12" s="17">
        <f t="shared" si="4"/>
        <v>12.285714285714286</v>
      </c>
      <c r="X12" s="17">
        <f t="shared" si="4"/>
        <v>2.4285714285714284</v>
      </c>
      <c r="Y12" s="17">
        <f t="shared" si="4"/>
        <v>15</v>
      </c>
      <c r="Z12" s="17">
        <f t="shared" si="4"/>
        <v>23.857142857142858</v>
      </c>
      <c r="AA12" s="17">
        <f t="shared" si="4"/>
        <v>11.285714285714286</v>
      </c>
      <c r="AB12" s="17">
        <f t="shared" si="4"/>
        <v>11.142857142857142</v>
      </c>
      <c r="AC12" s="17">
        <f t="shared" si="4"/>
        <v>508.85714285714283</v>
      </c>
      <c r="AD12" s="17">
        <f t="shared" si="4"/>
        <v>0</v>
      </c>
      <c r="AE12" s="31">
        <f t="shared" si="4"/>
        <v>445.42857142857144</v>
      </c>
      <c r="AF12" s="31">
        <f t="shared" si="4"/>
        <v>954.28571428571422</v>
      </c>
    </row>
    <row r="13" spans="2:32" ht="23.1" customHeight="1" x14ac:dyDescent="0.25">
      <c r="B13" s="23" t="s">
        <v>40</v>
      </c>
      <c r="C13" s="49">
        <f>AVERAGE('29.07 Kireka-Kinawataka'!C13,'30.07 Kireka-Kinawataka'!C13,'31.07 Kireka-Kinawataka'!C13,'02.08 Kireka-Kinawataka'!C13,'01.08 Kireka-Kinawataka-24h'!C13,'03.08 Kireka-Kinawataka-24h'!C13,'04.08 Kireka-Kinawataka'!C13)</f>
        <v>53</v>
      </c>
      <c r="D13" s="49">
        <f>AVERAGE('29.07 Kireka-Kinawataka'!D13,'30.07 Kireka-Kinawataka'!D13,'31.07 Kireka-Kinawataka'!D13,'02.08 Kireka-Kinawataka'!D13,'01.08 Kireka-Kinawataka-24h'!D13,'03.08 Kireka-Kinawataka-24h'!D13,'04.08 Kireka-Kinawataka'!D13)</f>
        <v>30</v>
      </c>
      <c r="E13" s="49">
        <f>AVERAGE('29.07 Kireka-Kinawataka'!E13,'30.07 Kireka-Kinawataka'!E13,'31.07 Kireka-Kinawataka'!E13,'02.08 Kireka-Kinawataka'!E13,'01.08 Kireka-Kinawataka-24h'!E13,'03.08 Kireka-Kinawataka-24h'!E13,'04.08 Kireka-Kinawataka'!E13)</f>
        <v>6.8571428571428568</v>
      </c>
      <c r="F13" s="49">
        <f>AVERAGE('29.07 Kireka-Kinawataka'!F13,'30.07 Kireka-Kinawataka'!F13,'31.07 Kireka-Kinawataka'!F13,'02.08 Kireka-Kinawataka'!F13,'01.08 Kireka-Kinawataka-24h'!F13,'03.08 Kireka-Kinawataka-24h'!F13,'04.08 Kireka-Kinawataka'!F13)</f>
        <v>19.714285714285715</v>
      </c>
      <c r="G13" s="49">
        <f>AVERAGE('29.07 Kireka-Kinawataka'!G13,'30.07 Kireka-Kinawataka'!G13,'31.07 Kireka-Kinawataka'!G13,'02.08 Kireka-Kinawataka'!G13,'01.08 Kireka-Kinawataka-24h'!G13,'03.08 Kireka-Kinawataka-24h'!G13,'04.08 Kireka-Kinawataka'!G13)</f>
        <v>1.1428571428571428</v>
      </c>
      <c r="H13" s="49">
        <f>AVERAGE('29.07 Kireka-Kinawataka'!H13,'30.07 Kireka-Kinawataka'!H13,'31.07 Kireka-Kinawataka'!H13,'02.08 Kireka-Kinawataka'!H13,'01.08 Kireka-Kinawataka-24h'!H13,'03.08 Kireka-Kinawataka-24h'!H13,'04.08 Kireka-Kinawataka'!H13)</f>
        <v>0.7142857142857143</v>
      </c>
      <c r="I13" s="49">
        <f>AVERAGE('29.07 Kireka-Kinawataka'!I13,'30.07 Kireka-Kinawataka'!I13,'31.07 Kireka-Kinawataka'!I13,'02.08 Kireka-Kinawataka'!I13,'01.08 Kireka-Kinawataka-24h'!I13,'03.08 Kireka-Kinawataka-24h'!I13,'04.08 Kireka-Kinawataka'!I13)</f>
        <v>2.8571428571428572</v>
      </c>
      <c r="J13" s="49">
        <f>AVERAGE('29.07 Kireka-Kinawataka'!J13,'30.07 Kireka-Kinawataka'!J13,'31.07 Kireka-Kinawataka'!J13,'02.08 Kireka-Kinawataka'!J13,'01.08 Kireka-Kinawataka-24h'!J13,'03.08 Kireka-Kinawataka-24h'!J13,'04.08 Kireka-Kinawataka'!J13)</f>
        <v>4.8571428571428568</v>
      </c>
      <c r="K13" s="49">
        <f>AVERAGE('29.07 Kireka-Kinawataka'!K13,'30.07 Kireka-Kinawataka'!K13,'31.07 Kireka-Kinawataka'!K13,'02.08 Kireka-Kinawataka'!K13,'01.08 Kireka-Kinawataka-24h'!K13,'03.08 Kireka-Kinawataka-24h'!K13,'04.08 Kireka-Kinawataka'!K13)</f>
        <v>1</v>
      </c>
      <c r="L13" s="49">
        <f>AVERAGE('29.07 Kireka-Kinawataka'!L13,'30.07 Kireka-Kinawataka'!L13,'31.07 Kireka-Kinawataka'!L13,'02.08 Kireka-Kinawataka'!L13,'01.08 Kireka-Kinawataka-24h'!L13,'03.08 Kireka-Kinawataka-24h'!L13,'04.08 Kireka-Kinawataka'!L13)</f>
        <v>2</v>
      </c>
      <c r="M13" s="49">
        <f>AVERAGE('29.07 Kireka-Kinawataka'!M13,'30.07 Kireka-Kinawataka'!M13,'31.07 Kireka-Kinawataka'!M13,'02.08 Kireka-Kinawataka'!M13,'01.08 Kireka-Kinawataka-24h'!M13,'03.08 Kireka-Kinawataka-24h'!M13,'04.08 Kireka-Kinawataka'!M13)</f>
        <v>142</v>
      </c>
      <c r="N13" s="49">
        <f>AVERAGE('29.07 Kireka-Kinawataka'!N13,'30.07 Kireka-Kinawataka'!N13,'31.07 Kireka-Kinawataka'!N13,'02.08 Kireka-Kinawataka'!N13,'01.08 Kireka-Kinawataka-24h'!N13,'03.08 Kireka-Kinawataka-24h'!N13,'04.08 Kireka-Kinawataka'!N13)</f>
        <v>0</v>
      </c>
      <c r="O13" s="15">
        <f t="shared" si="0"/>
        <v>122.14285714285715</v>
      </c>
      <c r="P13" s="15">
        <f t="shared" si="1"/>
        <v>264.14285714285717</v>
      </c>
      <c r="R13" s="1" t="s">
        <v>9</v>
      </c>
      <c r="S13" s="17">
        <f t="shared" ref="S13:AF13" si="5">SUM(C22:C25)</f>
        <v>168.71428571428572</v>
      </c>
      <c r="T13" s="17">
        <f t="shared" si="5"/>
        <v>119</v>
      </c>
      <c r="U13" s="17">
        <f t="shared" si="5"/>
        <v>31.714285714285715</v>
      </c>
      <c r="V13" s="17">
        <f t="shared" si="5"/>
        <v>87.857142857142861</v>
      </c>
      <c r="W13" s="17">
        <f t="shared" si="5"/>
        <v>7</v>
      </c>
      <c r="X13" s="17">
        <f t="shared" si="5"/>
        <v>2.4285714285714284</v>
      </c>
      <c r="Y13" s="17">
        <f t="shared" si="5"/>
        <v>22.428571428571431</v>
      </c>
      <c r="Z13" s="17">
        <f t="shared" si="5"/>
        <v>31.857142857142854</v>
      </c>
      <c r="AA13" s="17">
        <f t="shared" si="5"/>
        <v>12.428571428571429</v>
      </c>
      <c r="AB13" s="17">
        <f t="shared" si="5"/>
        <v>11.285714285714286</v>
      </c>
      <c r="AC13" s="17">
        <f t="shared" si="5"/>
        <v>476.57142857142856</v>
      </c>
      <c r="AD13" s="17">
        <f t="shared" si="5"/>
        <v>0.14285714285714285</v>
      </c>
      <c r="AE13" s="31">
        <f t="shared" si="5"/>
        <v>494.85714285714283</v>
      </c>
      <c r="AF13" s="31">
        <f t="shared" si="5"/>
        <v>971.42857142857144</v>
      </c>
    </row>
    <row r="14" spans="2:32" ht="23.1" customHeight="1" x14ac:dyDescent="0.25">
      <c r="B14" s="23" t="s">
        <v>41</v>
      </c>
      <c r="C14" s="49">
        <f>AVERAGE('29.07 Kireka-Kinawataka'!C14,'30.07 Kireka-Kinawataka'!C14,'31.07 Kireka-Kinawataka'!C14,'02.08 Kireka-Kinawataka'!C14,'01.08 Kireka-Kinawataka-24h'!C14,'03.08 Kireka-Kinawataka-24h'!C14,'04.08 Kireka-Kinawataka'!C14)</f>
        <v>46.857142857142854</v>
      </c>
      <c r="D14" s="49">
        <f>AVERAGE('29.07 Kireka-Kinawataka'!D14,'30.07 Kireka-Kinawataka'!D14,'31.07 Kireka-Kinawataka'!D14,'02.08 Kireka-Kinawataka'!D14,'01.08 Kireka-Kinawataka-24h'!D14,'03.08 Kireka-Kinawataka-24h'!D14,'04.08 Kireka-Kinawataka'!D14)</f>
        <v>25</v>
      </c>
      <c r="E14" s="49">
        <f>AVERAGE('29.07 Kireka-Kinawataka'!E14,'30.07 Kireka-Kinawataka'!E14,'31.07 Kireka-Kinawataka'!E14,'02.08 Kireka-Kinawataka'!E14,'01.08 Kireka-Kinawataka-24h'!E14,'03.08 Kireka-Kinawataka-24h'!E14,'04.08 Kireka-Kinawataka'!E14)</f>
        <v>6.2857142857142856</v>
      </c>
      <c r="F14" s="49">
        <f>AVERAGE('29.07 Kireka-Kinawataka'!F14,'30.07 Kireka-Kinawataka'!F14,'31.07 Kireka-Kinawataka'!F14,'02.08 Kireka-Kinawataka'!F14,'01.08 Kireka-Kinawataka-24h'!F14,'03.08 Kireka-Kinawataka-24h'!F14,'04.08 Kireka-Kinawataka'!F14)</f>
        <v>18.571428571428573</v>
      </c>
      <c r="G14" s="49">
        <f>AVERAGE('29.07 Kireka-Kinawataka'!G14,'30.07 Kireka-Kinawataka'!G14,'31.07 Kireka-Kinawataka'!G14,'02.08 Kireka-Kinawataka'!G14,'01.08 Kireka-Kinawataka-24h'!G14,'03.08 Kireka-Kinawataka-24h'!G14,'04.08 Kireka-Kinawataka'!G14)</f>
        <v>1</v>
      </c>
      <c r="H14" s="49">
        <f>AVERAGE('29.07 Kireka-Kinawataka'!H14,'30.07 Kireka-Kinawataka'!H14,'31.07 Kireka-Kinawataka'!H14,'02.08 Kireka-Kinawataka'!H14,'01.08 Kireka-Kinawataka-24h'!H14,'03.08 Kireka-Kinawataka-24h'!H14,'04.08 Kireka-Kinawataka'!H14)</f>
        <v>0.5714285714285714</v>
      </c>
      <c r="I14" s="49">
        <f>AVERAGE('29.07 Kireka-Kinawataka'!I14,'30.07 Kireka-Kinawataka'!I14,'31.07 Kireka-Kinawataka'!I14,'02.08 Kireka-Kinawataka'!I14,'01.08 Kireka-Kinawataka-24h'!I14,'03.08 Kireka-Kinawataka-24h'!I14,'04.08 Kireka-Kinawataka'!I14)</f>
        <v>3.8571428571428572</v>
      </c>
      <c r="J14" s="49">
        <f>AVERAGE('29.07 Kireka-Kinawataka'!J14,'30.07 Kireka-Kinawataka'!J14,'31.07 Kireka-Kinawataka'!J14,'02.08 Kireka-Kinawataka'!J14,'01.08 Kireka-Kinawataka-24h'!J14,'03.08 Kireka-Kinawataka-24h'!J14,'04.08 Kireka-Kinawataka'!J14)</f>
        <v>4.2857142857142856</v>
      </c>
      <c r="K14" s="49">
        <f>AVERAGE('29.07 Kireka-Kinawataka'!K14,'30.07 Kireka-Kinawataka'!K14,'31.07 Kireka-Kinawataka'!K14,'02.08 Kireka-Kinawataka'!K14,'01.08 Kireka-Kinawataka-24h'!K14,'03.08 Kireka-Kinawataka-24h'!K14,'04.08 Kireka-Kinawataka'!K14)</f>
        <v>1.7142857142857142</v>
      </c>
      <c r="L14" s="49">
        <f>AVERAGE('29.07 Kireka-Kinawataka'!L14,'30.07 Kireka-Kinawataka'!L14,'31.07 Kireka-Kinawataka'!L14,'02.08 Kireka-Kinawataka'!L14,'01.08 Kireka-Kinawataka-24h'!L14,'03.08 Kireka-Kinawataka-24h'!L14,'04.08 Kireka-Kinawataka'!L14)</f>
        <v>1.2857142857142858</v>
      </c>
      <c r="M14" s="49">
        <f>AVERAGE('29.07 Kireka-Kinawataka'!M14,'30.07 Kireka-Kinawataka'!M14,'31.07 Kireka-Kinawataka'!M14,'02.08 Kireka-Kinawataka'!M14,'01.08 Kireka-Kinawataka-24h'!M14,'03.08 Kireka-Kinawataka-24h'!M14,'04.08 Kireka-Kinawataka'!M14)</f>
        <v>140.42857142857142</v>
      </c>
      <c r="N14" s="49">
        <f>AVERAGE('29.07 Kireka-Kinawataka'!N14,'30.07 Kireka-Kinawataka'!N14,'31.07 Kireka-Kinawataka'!N14,'02.08 Kireka-Kinawataka'!N14,'01.08 Kireka-Kinawataka-24h'!N14,'03.08 Kireka-Kinawataka-24h'!N14,'04.08 Kireka-Kinawataka'!N14)</f>
        <v>0</v>
      </c>
      <c r="O14" s="15">
        <f t="shared" si="0"/>
        <v>109.42857142857144</v>
      </c>
      <c r="P14" s="15">
        <f t="shared" si="1"/>
        <v>249.85714285714286</v>
      </c>
      <c r="R14" s="1" t="s">
        <v>10</v>
      </c>
      <c r="S14" s="17">
        <f t="shared" ref="S14:AF14" si="6">SUM(C26:C29)</f>
        <v>153.57142857142858</v>
      </c>
      <c r="T14" s="17">
        <f t="shared" si="6"/>
        <v>99.714285714285722</v>
      </c>
      <c r="U14" s="17">
        <f t="shared" si="6"/>
        <v>31.714285714285715</v>
      </c>
      <c r="V14" s="17">
        <f t="shared" si="6"/>
        <v>69.714285714285722</v>
      </c>
      <c r="W14" s="17">
        <f t="shared" si="6"/>
        <v>2.7142857142857144</v>
      </c>
      <c r="X14" s="17">
        <f t="shared" si="6"/>
        <v>0.99999999999999989</v>
      </c>
      <c r="Y14" s="17">
        <f t="shared" si="6"/>
        <v>22.428571428571427</v>
      </c>
      <c r="Z14" s="17">
        <f t="shared" si="6"/>
        <v>30.428571428571427</v>
      </c>
      <c r="AA14" s="17">
        <f t="shared" si="6"/>
        <v>26.714285714285712</v>
      </c>
      <c r="AB14" s="17">
        <f t="shared" si="6"/>
        <v>14.571428571428573</v>
      </c>
      <c r="AC14" s="17">
        <f t="shared" si="6"/>
        <v>412.42857142857144</v>
      </c>
      <c r="AD14" s="17">
        <f t="shared" si="6"/>
        <v>0.14285714285714285</v>
      </c>
      <c r="AE14" s="31">
        <f t="shared" si="6"/>
        <v>452.71428571428578</v>
      </c>
      <c r="AF14" s="31">
        <f t="shared" si="6"/>
        <v>865.14285714285711</v>
      </c>
    </row>
    <row r="15" spans="2:32" ht="23.1" customHeight="1" x14ac:dyDescent="0.25">
      <c r="B15" s="23" t="s">
        <v>42</v>
      </c>
      <c r="C15" s="49">
        <f>AVERAGE('29.07 Kireka-Kinawataka'!C15,'30.07 Kireka-Kinawataka'!C15,'31.07 Kireka-Kinawataka'!C15,'02.08 Kireka-Kinawataka'!C15,'01.08 Kireka-Kinawataka-24h'!C15,'03.08 Kireka-Kinawataka-24h'!C15,'04.08 Kireka-Kinawataka'!C15)</f>
        <v>50.428571428571431</v>
      </c>
      <c r="D15" s="49">
        <f>AVERAGE('29.07 Kireka-Kinawataka'!D15,'30.07 Kireka-Kinawataka'!D15,'31.07 Kireka-Kinawataka'!D15,'02.08 Kireka-Kinawataka'!D15,'01.08 Kireka-Kinawataka-24h'!D15,'03.08 Kireka-Kinawataka-24h'!D15,'04.08 Kireka-Kinawataka'!D15)</f>
        <v>27.714285714285715</v>
      </c>
      <c r="E15" s="49">
        <f>AVERAGE('29.07 Kireka-Kinawataka'!E15,'30.07 Kireka-Kinawataka'!E15,'31.07 Kireka-Kinawataka'!E15,'02.08 Kireka-Kinawataka'!E15,'01.08 Kireka-Kinawataka-24h'!E15,'03.08 Kireka-Kinawataka-24h'!E15,'04.08 Kireka-Kinawataka'!E15)</f>
        <v>7.8571428571428568</v>
      </c>
      <c r="F15" s="49">
        <f>AVERAGE('29.07 Kireka-Kinawataka'!F15,'30.07 Kireka-Kinawataka'!F15,'31.07 Kireka-Kinawataka'!F15,'02.08 Kireka-Kinawataka'!F15,'01.08 Kireka-Kinawataka-24h'!F15,'03.08 Kireka-Kinawataka-24h'!F15,'04.08 Kireka-Kinawataka'!F15)</f>
        <v>19.428571428571427</v>
      </c>
      <c r="G15" s="49">
        <f>AVERAGE('29.07 Kireka-Kinawataka'!G15,'30.07 Kireka-Kinawataka'!G15,'31.07 Kireka-Kinawataka'!G15,'02.08 Kireka-Kinawataka'!G15,'01.08 Kireka-Kinawataka-24h'!G15,'03.08 Kireka-Kinawataka-24h'!G15,'04.08 Kireka-Kinawataka'!G15)</f>
        <v>1.7142857142857142</v>
      </c>
      <c r="H15" s="49">
        <f>AVERAGE('29.07 Kireka-Kinawataka'!H15,'30.07 Kireka-Kinawataka'!H15,'31.07 Kireka-Kinawataka'!H15,'02.08 Kireka-Kinawataka'!H15,'01.08 Kireka-Kinawataka-24h'!H15,'03.08 Kireka-Kinawataka-24h'!H15,'04.08 Kireka-Kinawataka'!H15)</f>
        <v>0.7142857142857143</v>
      </c>
      <c r="I15" s="49">
        <f>AVERAGE('29.07 Kireka-Kinawataka'!I15,'30.07 Kireka-Kinawataka'!I15,'31.07 Kireka-Kinawataka'!I15,'02.08 Kireka-Kinawataka'!I15,'01.08 Kireka-Kinawataka-24h'!I15,'03.08 Kireka-Kinawataka-24h'!I15,'04.08 Kireka-Kinawataka'!I15)</f>
        <v>4.2857142857142856</v>
      </c>
      <c r="J15" s="49">
        <f>AVERAGE('29.07 Kireka-Kinawataka'!J15,'30.07 Kireka-Kinawataka'!J15,'31.07 Kireka-Kinawataka'!J15,'02.08 Kireka-Kinawataka'!J15,'01.08 Kireka-Kinawataka-24h'!J15,'03.08 Kireka-Kinawataka-24h'!J15,'04.08 Kireka-Kinawataka'!J15)</f>
        <v>3.7142857142857144</v>
      </c>
      <c r="K15" s="49">
        <f>AVERAGE('29.07 Kireka-Kinawataka'!K15,'30.07 Kireka-Kinawataka'!K15,'31.07 Kireka-Kinawataka'!K15,'02.08 Kireka-Kinawataka'!K15,'01.08 Kireka-Kinawataka-24h'!K15,'03.08 Kireka-Kinawataka-24h'!K15,'04.08 Kireka-Kinawataka'!K15)</f>
        <v>1.1428571428571428</v>
      </c>
      <c r="L15" s="49">
        <f>AVERAGE('29.07 Kireka-Kinawataka'!L15,'30.07 Kireka-Kinawataka'!L15,'31.07 Kireka-Kinawataka'!L15,'02.08 Kireka-Kinawataka'!L15,'01.08 Kireka-Kinawataka-24h'!L15,'03.08 Kireka-Kinawataka-24h'!L15,'04.08 Kireka-Kinawataka'!L15)</f>
        <v>1.5714285714285714</v>
      </c>
      <c r="M15" s="49">
        <f>AVERAGE('29.07 Kireka-Kinawataka'!M15,'30.07 Kireka-Kinawataka'!M15,'31.07 Kireka-Kinawataka'!M15,'02.08 Kireka-Kinawataka'!M15,'01.08 Kireka-Kinawataka-24h'!M15,'03.08 Kireka-Kinawataka-24h'!M15,'04.08 Kireka-Kinawataka'!M15)</f>
        <v>139</v>
      </c>
      <c r="N15" s="49">
        <f>AVERAGE('29.07 Kireka-Kinawataka'!N15,'30.07 Kireka-Kinawataka'!N15,'31.07 Kireka-Kinawataka'!N15,'02.08 Kireka-Kinawataka'!N15,'01.08 Kireka-Kinawataka-24h'!N15,'03.08 Kireka-Kinawataka-24h'!N15,'04.08 Kireka-Kinawataka'!N15)</f>
        <v>0</v>
      </c>
      <c r="O15" s="15">
        <f t="shared" si="0"/>
        <v>118.57142857142856</v>
      </c>
      <c r="P15" s="15">
        <f t="shared" si="1"/>
        <v>257.57142857142856</v>
      </c>
      <c r="R15" s="1" t="s">
        <v>11</v>
      </c>
      <c r="S15" s="17">
        <f t="shared" ref="S15:AF15" si="7">SUM(C30:C33)</f>
        <v>134.42857142857142</v>
      </c>
      <c r="T15" s="17">
        <f t="shared" si="7"/>
        <v>82.714285714285708</v>
      </c>
      <c r="U15" s="17">
        <f t="shared" si="7"/>
        <v>26.285714285714285</v>
      </c>
      <c r="V15" s="17">
        <f t="shared" si="7"/>
        <v>58.999999999999993</v>
      </c>
      <c r="W15" s="17">
        <f t="shared" si="7"/>
        <v>2.2857142857142856</v>
      </c>
      <c r="X15" s="17">
        <f t="shared" si="7"/>
        <v>0.5714285714285714</v>
      </c>
      <c r="Y15" s="17">
        <f t="shared" si="7"/>
        <v>27.428571428571427</v>
      </c>
      <c r="Z15" s="17">
        <f t="shared" si="7"/>
        <v>31.857142857142858</v>
      </c>
      <c r="AA15" s="17">
        <f t="shared" si="7"/>
        <v>11.142857142857142</v>
      </c>
      <c r="AB15" s="17">
        <f t="shared" si="7"/>
        <v>13</v>
      </c>
      <c r="AC15" s="17">
        <f t="shared" si="7"/>
        <v>405</v>
      </c>
      <c r="AD15" s="17">
        <f t="shared" si="7"/>
        <v>0.14285714285714285</v>
      </c>
      <c r="AE15" s="31">
        <f t="shared" si="7"/>
        <v>388.85714285714289</v>
      </c>
      <c r="AF15" s="31">
        <f t="shared" si="7"/>
        <v>793.85714285714289</v>
      </c>
    </row>
    <row r="16" spans="2:32" ht="23.1" customHeight="1" x14ac:dyDescent="0.25">
      <c r="B16" s="23" t="s">
        <v>43</v>
      </c>
      <c r="C16" s="49">
        <f>AVERAGE('29.07 Kireka-Kinawataka'!C16,'30.07 Kireka-Kinawataka'!C16,'31.07 Kireka-Kinawataka'!C16,'02.08 Kireka-Kinawataka'!C16,'01.08 Kireka-Kinawataka-24h'!C16,'03.08 Kireka-Kinawataka-24h'!C16,'04.08 Kireka-Kinawataka'!C16)</f>
        <v>47.714285714285715</v>
      </c>
      <c r="D16" s="49">
        <f>AVERAGE('29.07 Kireka-Kinawataka'!D16,'30.07 Kireka-Kinawataka'!D16,'31.07 Kireka-Kinawataka'!D16,'02.08 Kireka-Kinawataka'!D16,'01.08 Kireka-Kinawataka-24h'!D16,'03.08 Kireka-Kinawataka-24h'!D16,'04.08 Kireka-Kinawataka'!D16)</f>
        <v>30.714285714285715</v>
      </c>
      <c r="E16" s="49">
        <f>AVERAGE('29.07 Kireka-Kinawataka'!E16,'30.07 Kireka-Kinawataka'!E16,'31.07 Kireka-Kinawataka'!E16,'02.08 Kireka-Kinawataka'!E16,'01.08 Kireka-Kinawataka-24h'!E16,'03.08 Kireka-Kinawataka-24h'!E16,'04.08 Kireka-Kinawataka'!E16)</f>
        <v>5.7142857142857144</v>
      </c>
      <c r="F16" s="49">
        <f>AVERAGE('29.07 Kireka-Kinawataka'!F16,'30.07 Kireka-Kinawataka'!F16,'31.07 Kireka-Kinawataka'!F16,'02.08 Kireka-Kinawataka'!F16,'01.08 Kireka-Kinawataka-24h'!F16,'03.08 Kireka-Kinawataka-24h'!F16,'04.08 Kireka-Kinawataka'!F16)</f>
        <v>23.285714285714285</v>
      </c>
      <c r="G16" s="49">
        <f>AVERAGE('29.07 Kireka-Kinawataka'!G16,'30.07 Kireka-Kinawataka'!G16,'31.07 Kireka-Kinawataka'!G16,'02.08 Kireka-Kinawataka'!G16,'01.08 Kireka-Kinawataka-24h'!G16,'03.08 Kireka-Kinawataka-24h'!G16,'04.08 Kireka-Kinawataka'!G16)</f>
        <v>1</v>
      </c>
      <c r="H16" s="49">
        <f>AVERAGE('29.07 Kireka-Kinawataka'!H16,'30.07 Kireka-Kinawataka'!H16,'31.07 Kireka-Kinawataka'!H16,'02.08 Kireka-Kinawataka'!H16,'01.08 Kireka-Kinawataka-24h'!H16,'03.08 Kireka-Kinawataka-24h'!H16,'04.08 Kireka-Kinawataka'!H16)</f>
        <v>0.5714285714285714</v>
      </c>
      <c r="I16" s="49">
        <f>AVERAGE('29.07 Kireka-Kinawataka'!I16,'30.07 Kireka-Kinawataka'!I16,'31.07 Kireka-Kinawataka'!I16,'02.08 Kireka-Kinawataka'!I16,'01.08 Kireka-Kinawataka-24h'!I16,'03.08 Kireka-Kinawataka-24h'!I16,'04.08 Kireka-Kinawataka'!I16)</f>
        <v>3.4285714285714284</v>
      </c>
      <c r="J16" s="49">
        <f>AVERAGE('29.07 Kireka-Kinawataka'!J16,'30.07 Kireka-Kinawataka'!J16,'31.07 Kireka-Kinawataka'!J16,'02.08 Kireka-Kinawataka'!J16,'01.08 Kireka-Kinawataka-24h'!J16,'03.08 Kireka-Kinawataka-24h'!J16,'04.08 Kireka-Kinawataka'!J16)</f>
        <v>6.4285714285714288</v>
      </c>
      <c r="K16" s="49">
        <f>AVERAGE('29.07 Kireka-Kinawataka'!K16,'30.07 Kireka-Kinawataka'!K16,'31.07 Kireka-Kinawataka'!K16,'02.08 Kireka-Kinawataka'!K16,'01.08 Kireka-Kinawataka-24h'!K16,'03.08 Kireka-Kinawataka-24h'!K16,'04.08 Kireka-Kinawataka'!K16)</f>
        <v>1.8571428571428572</v>
      </c>
      <c r="L16" s="49">
        <f>AVERAGE('29.07 Kireka-Kinawataka'!L16,'30.07 Kireka-Kinawataka'!L16,'31.07 Kireka-Kinawataka'!L16,'02.08 Kireka-Kinawataka'!L16,'01.08 Kireka-Kinawataka-24h'!L16,'03.08 Kireka-Kinawataka-24h'!L16,'04.08 Kireka-Kinawataka'!L16)</f>
        <v>2.1428571428571428</v>
      </c>
      <c r="M16" s="49">
        <f>AVERAGE('29.07 Kireka-Kinawataka'!M16,'30.07 Kireka-Kinawataka'!M16,'31.07 Kireka-Kinawataka'!M16,'02.08 Kireka-Kinawataka'!M16,'01.08 Kireka-Kinawataka-24h'!M16,'03.08 Kireka-Kinawataka-24h'!M16,'04.08 Kireka-Kinawataka'!M16)</f>
        <v>134.85714285714286</v>
      </c>
      <c r="N16" s="49">
        <f>AVERAGE('29.07 Kireka-Kinawataka'!N16,'30.07 Kireka-Kinawataka'!N16,'31.07 Kireka-Kinawataka'!N16,'02.08 Kireka-Kinawataka'!N16,'01.08 Kireka-Kinawataka-24h'!N16,'03.08 Kireka-Kinawataka-24h'!N16,'04.08 Kireka-Kinawataka'!N16)</f>
        <v>0</v>
      </c>
      <c r="O16" s="15">
        <f t="shared" si="0"/>
        <v>122.85714285714285</v>
      </c>
      <c r="P16" s="15">
        <f t="shared" si="1"/>
        <v>257.71428571428572</v>
      </c>
      <c r="R16" s="1" t="s">
        <v>12</v>
      </c>
      <c r="S16" s="17">
        <f t="shared" ref="S16:AF16" si="8">SUM(C34:C37)</f>
        <v>120.42857142857142</v>
      </c>
      <c r="T16" s="17">
        <f t="shared" si="8"/>
        <v>75.714285714285708</v>
      </c>
      <c r="U16" s="17">
        <f t="shared" si="8"/>
        <v>27.714285714285715</v>
      </c>
      <c r="V16" s="17">
        <f t="shared" si="8"/>
        <v>59</v>
      </c>
      <c r="W16" s="17">
        <f t="shared" si="8"/>
        <v>1.5714285714285714</v>
      </c>
      <c r="X16" s="17">
        <f t="shared" si="8"/>
        <v>0.5714285714285714</v>
      </c>
      <c r="Y16" s="17">
        <f t="shared" si="8"/>
        <v>23.857142857142858</v>
      </c>
      <c r="Z16" s="17">
        <f t="shared" si="8"/>
        <v>28</v>
      </c>
      <c r="AA16" s="17">
        <f t="shared" si="8"/>
        <v>14.142857142857144</v>
      </c>
      <c r="AB16" s="17">
        <f t="shared" si="8"/>
        <v>16.142857142857142</v>
      </c>
      <c r="AC16" s="17">
        <f t="shared" si="8"/>
        <v>329.28571428571433</v>
      </c>
      <c r="AD16" s="17">
        <f t="shared" si="8"/>
        <v>0.2857142857142857</v>
      </c>
      <c r="AE16" s="31">
        <f t="shared" si="8"/>
        <v>367.42857142857144</v>
      </c>
      <c r="AF16" s="31">
        <f t="shared" si="8"/>
        <v>696.71428571428567</v>
      </c>
    </row>
    <row r="17" spans="2:32" ht="23.1" customHeight="1" x14ac:dyDescent="0.25">
      <c r="B17" s="23" t="s">
        <v>44</v>
      </c>
      <c r="C17" s="49">
        <f>AVERAGE('29.07 Kireka-Kinawataka'!C17,'30.07 Kireka-Kinawataka'!C17,'31.07 Kireka-Kinawataka'!C17,'02.08 Kireka-Kinawataka'!C17,'01.08 Kireka-Kinawataka-24h'!C17,'03.08 Kireka-Kinawataka-24h'!C17,'04.08 Kireka-Kinawataka'!C17)</f>
        <v>51.142857142857146</v>
      </c>
      <c r="D17" s="49">
        <f>AVERAGE('29.07 Kireka-Kinawataka'!D17,'30.07 Kireka-Kinawataka'!D17,'31.07 Kireka-Kinawataka'!D17,'02.08 Kireka-Kinawataka'!D17,'01.08 Kireka-Kinawataka-24h'!D17,'03.08 Kireka-Kinawataka-24h'!D17,'04.08 Kireka-Kinawataka'!D17)</f>
        <v>35.571428571428569</v>
      </c>
      <c r="E17" s="49">
        <f>AVERAGE('29.07 Kireka-Kinawataka'!E17,'30.07 Kireka-Kinawataka'!E17,'31.07 Kireka-Kinawataka'!E17,'02.08 Kireka-Kinawataka'!E17,'01.08 Kireka-Kinawataka-24h'!E17,'03.08 Kireka-Kinawataka-24h'!E17,'04.08 Kireka-Kinawataka'!E17)</f>
        <v>10.714285714285714</v>
      </c>
      <c r="F17" s="49">
        <f>AVERAGE('29.07 Kireka-Kinawataka'!F17,'30.07 Kireka-Kinawataka'!F17,'31.07 Kireka-Kinawataka'!F17,'02.08 Kireka-Kinawataka'!F17,'01.08 Kireka-Kinawataka-24h'!F17,'03.08 Kireka-Kinawataka-24h'!F17,'04.08 Kireka-Kinawataka'!F17)</f>
        <v>25.571428571428573</v>
      </c>
      <c r="G17" s="49">
        <f>AVERAGE('29.07 Kireka-Kinawataka'!G17,'30.07 Kireka-Kinawataka'!G17,'31.07 Kireka-Kinawataka'!G17,'02.08 Kireka-Kinawataka'!G17,'01.08 Kireka-Kinawataka-24h'!G17,'03.08 Kireka-Kinawataka-24h'!G17,'04.08 Kireka-Kinawataka'!G17)</f>
        <v>1.5714285714285714</v>
      </c>
      <c r="H17" s="49">
        <f>AVERAGE('29.07 Kireka-Kinawataka'!H17,'30.07 Kireka-Kinawataka'!H17,'31.07 Kireka-Kinawataka'!H17,'02.08 Kireka-Kinawataka'!H17,'01.08 Kireka-Kinawataka-24h'!H17,'03.08 Kireka-Kinawataka-24h'!H17,'04.08 Kireka-Kinawataka'!H17)</f>
        <v>0.42857142857142855</v>
      </c>
      <c r="I17" s="49">
        <f>AVERAGE('29.07 Kireka-Kinawataka'!I17,'30.07 Kireka-Kinawataka'!I17,'31.07 Kireka-Kinawataka'!I17,'02.08 Kireka-Kinawataka'!I17,'01.08 Kireka-Kinawataka-24h'!I17,'03.08 Kireka-Kinawataka-24h'!I17,'04.08 Kireka-Kinawataka'!I17)</f>
        <v>4.7142857142857144</v>
      </c>
      <c r="J17" s="49">
        <f>AVERAGE('29.07 Kireka-Kinawataka'!J17,'30.07 Kireka-Kinawataka'!J17,'31.07 Kireka-Kinawataka'!J17,'02.08 Kireka-Kinawataka'!J17,'01.08 Kireka-Kinawataka-24h'!J17,'03.08 Kireka-Kinawataka-24h'!J17,'04.08 Kireka-Kinawataka'!J17)</f>
        <v>6.1428571428571432</v>
      </c>
      <c r="K17" s="49">
        <f>AVERAGE('29.07 Kireka-Kinawataka'!K17,'30.07 Kireka-Kinawataka'!K17,'31.07 Kireka-Kinawataka'!K17,'02.08 Kireka-Kinawataka'!K17,'01.08 Kireka-Kinawataka-24h'!K17,'03.08 Kireka-Kinawataka-24h'!K17,'04.08 Kireka-Kinawataka'!K17)</f>
        <v>3.1428571428571428</v>
      </c>
      <c r="L17" s="49">
        <f>AVERAGE('29.07 Kireka-Kinawataka'!L17,'30.07 Kireka-Kinawataka'!L17,'31.07 Kireka-Kinawataka'!L17,'02.08 Kireka-Kinawataka'!L17,'01.08 Kireka-Kinawataka-24h'!L17,'03.08 Kireka-Kinawataka-24h'!L17,'04.08 Kireka-Kinawataka'!L17)</f>
        <v>1.4285714285714286</v>
      </c>
      <c r="M17" s="49">
        <f>AVERAGE('29.07 Kireka-Kinawataka'!M17,'30.07 Kireka-Kinawataka'!M17,'31.07 Kireka-Kinawataka'!M17,'02.08 Kireka-Kinawataka'!M17,'01.08 Kireka-Kinawataka-24h'!M17,'03.08 Kireka-Kinawataka-24h'!M17,'04.08 Kireka-Kinawataka'!M17)</f>
        <v>124.28571428571429</v>
      </c>
      <c r="N17" s="49">
        <f>AVERAGE('29.07 Kireka-Kinawataka'!N17,'30.07 Kireka-Kinawataka'!N17,'31.07 Kireka-Kinawataka'!N17,'02.08 Kireka-Kinawataka'!N17,'01.08 Kireka-Kinawataka-24h'!N17,'03.08 Kireka-Kinawataka-24h'!N17,'04.08 Kireka-Kinawataka'!N17)</f>
        <v>0</v>
      </c>
      <c r="O17" s="15">
        <f t="shared" si="0"/>
        <v>140.42857142857142</v>
      </c>
      <c r="P17" s="15">
        <f t="shared" si="1"/>
        <v>264.71428571428572</v>
      </c>
      <c r="R17" s="1" t="s">
        <v>13</v>
      </c>
      <c r="S17" s="17">
        <f t="shared" ref="S17:AF17" si="9">SUM(C38:C41)</f>
        <v>125.71428571428572</v>
      </c>
      <c r="T17" s="17">
        <f t="shared" si="9"/>
        <v>83.285714285714292</v>
      </c>
      <c r="U17" s="17">
        <f t="shared" si="9"/>
        <v>30.428571428571431</v>
      </c>
      <c r="V17" s="17">
        <f t="shared" si="9"/>
        <v>64</v>
      </c>
      <c r="W17" s="17">
        <f t="shared" si="9"/>
        <v>2.4285714285714284</v>
      </c>
      <c r="X17" s="17">
        <f t="shared" si="9"/>
        <v>0.42857142857142855</v>
      </c>
      <c r="Y17" s="17">
        <f t="shared" si="9"/>
        <v>24</v>
      </c>
      <c r="Z17" s="17">
        <f t="shared" si="9"/>
        <v>31.571428571428573</v>
      </c>
      <c r="AA17" s="17">
        <f t="shared" si="9"/>
        <v>10.571428571428573</v>
      </c>
      <c r="AB17" s="17">
        <f t="shared" si="9"/>
        <v>10.285714285714286</v>
      </c>
      <c r="AC17" s="17">
        <f t="shared" si="9"/>
        <v>383.14285714285717</v>
      </c>
      <c r="AD17" s="17">
        <f t="shared" si="9"/>
        <v>0</v>
      </c>
      <c r="AE17" s="31">
        <f t="shared" si="9"/>
        <v>382.71428571428572</v>
      </c>
      <c r="AF17" s="31">
        <f t="shared" si="9"/>
        <v>765.85714285714289</v>
      </c>
    </row>
    <row r="18" spans="2:32" ht="23.1" customHeight="1" x14ac:dyDescent="0.25">
      <c r="B18" s="23" t="s">
        <v>45</v>
      </c>
      <c r="C18" s="49">
        <f>AVERAGE('29.07 Kireka-Kinawataka'!C18,'30.07 Kireka-Kinawataka'!C18,'31.07 Kireka-Kinawataka'!C18,'02.08 Kireka-Kinawataka'!C18,'01.08 Kireka-Kinawataka-24h'!C18,'03.08 Kireka-Kinawataka-24h'!C18,'04.08 Kireka-Kinawataka'!C18)</f>
        <v>38.428571428571431</v>
      </c>
      <c r="D18" s="49">
        <f>AVERAGE('29.07 Kireka-Kinawataka'!D18,'30.07 Kireka-Kinawataka'!D18,'31.07 Kireka-Kinawataka'!D18,'02.08 Kireka-Kinawataka'!D18,'01.08 Kireka-Kinawataka-24h'!D18,'03.08 Kireka-Kinawataka-24h'!D18,'04.08 Kireka-Kinawataka'!D18)</f>
        <v>28</v>
      </c>
      <c r="E18" s="49">
        <f>AVERAGE('29.07 Kireka-Kinawataka'!E18,'30.07 Kireka-Kinawataka'!E18,'31.07 Kireka-Kinawataka'!E18,'02.08 Kireka-Kinawataka'!E18,'01.08 Kireka-Kinawataka-24h'!E18,'03.08 Kireka-Kinawataka-24h'!E18,'04.08 Kireka-Kinawataka'!E18)</f>
        <v>8.2857142857142865</v>
      </c>
      <c r="F18" s="49">
        <f>AVERAGE('29.07 Kireka-Kinawataka'!F18,'30.07 Kireka-Kinawataka'!F18,'31.07 Kireka-Kinawataka'!F18,'02.08 Kireka-Kinawataka'!F18,'01.08 Kireka-Kinawataka-24h'!F18,'03.08 Kireka-Kinawataka-24h'!F18,'04.08 Kireka-Kinawataka'!F18)</f>
        <v>18.142857142857142</v>
      </c>
      <c r="G18" s="49">
        <f>AVERAGE('29.07 Kireka-Kinawataka'!G18,'30.07 Kireka-Kinawataka'!G18,'31.07 Kireka-Kinawataka'!G18,'02.08 Kireka-Kinawataka'!G18,'01.08 Kireka-Kinawataka-24h'!G18,'03.08 Kireka-Kinawataka-24h'!G18,'04.08 Kireka-Kinawataka'!G18)</f>
        <v>6.7142857142857144</v>
      </c>
      <c r="H18" s="49">
        <f>AVERAGE('29.07 Kireka-Kinawataka'!H18,'30.07 Kireka-Kinawataka'!H18,'31.07 Kireka-Kinawataka'!H18,'02.08 Kireka-Kinawataka'!H18,'01.08 Kireka-Kinawataka-24h'!H18,'03.08 Kireka-Kinawataka-24h'!H18,'04.08 Kireka-Kinawataka'!H18)</f>
        <v>0.42857142857142855</v>
      </c>
      <c r="I18" s="49">
        <f>AVERAGE('29.07 Kireka-Kinawataka'!I18,'30.07 Kireka-Kinawataka'!I18,'31.07 Kireka-Kinawataka'!I18,'02.08 Kireka-Kinawataka'!I18,'01.08 Kireka-Kinawataka-24h'!I18,'03.08 Kireka-Kinawataka-24h'!I18,'04.08 Kireka-Kinawataka'!I18)</f>
        <v>3.7142857142857144</v>
      </c>
      <c r="J18" s="49">
        <f>AVERAGE('29.07 Kireka-Kinawataka'!J18,'30.07 Kireka-Kinawataka'!J18,'31.07 Kireka-Kinawataka'!J18,'02.08 Kireka-Kinawataka'!J18,'01.08 Kireka-Kinawataka-24h'!J18,'03.08 Kireka-Kinawataka-24h'!J18,'04.08 Kireka-Kinawataka'!J18)</f>
        <v>6.7142857142857144</v>
      </c>
      <c r="K18" s="49">
        <f>AVERAGE('29.07 Kireka-Kinawataka'!K18,'30.07 Kireka-Kinawataka'!K18,'31.07 Kireka-Kinawataka'!K18,'02.08 Kireka-Kinawataka'!K18,'01.08 Kireka-Kinawataka-24h'!K18,'03.08 Kireka-Kinawataka-24h'!K18,'04.08 Kireka-Kinawataka'!K18)</f>
        <v>1.2857142857142858</v>
      </c>
      <c r="L18" s="49">
        <f>AVERAGE('29.07 Kireka-Kinawataka'!L18,'30.07 Kireka-Kinawataka'!L18,'31.07 Kireka-Kinawataka'!L18,'02.08 Kireka-Kinawataka'!L18,'01.08 Kireka-Kinawataka-24h'!L18,'03.08 Kireka-Kinawataka-24h'!L18,'04.08 Kireka-Kinawataka'!L18)</f>
        <v>1.7142857142857142</v>
      </c>
      <c r="M18" s="49">
        <f>AVERAGE('29.07 Kireka-Kinawataka'!M18,'30.07 Kireka-Kinawataka'!M18,'31.07 Kireka-Kinawataka'!M18,'02.08 Kireka-Kinawataka'!M18,'01.08 Kireka-Kinawataka-24h'!M18,'03.08 Kireka-Kinawataka-24h'!M18,'04.08 Kireka-Kinawataka'!M18)</f>
        <v>126.57142857142857</v>
      </c>
      <c r="N18" s="49">
        <f>AVERAGE('29.07 Kireka-Kinawataka'!N18,'30.07 Kireka-Kinawataka'!N18,'31.07 Kireka-Kinawataka'!N18,'02.08 Kireka-Kinawataka'!N18,'01.08 Kireka-Kinawataka-24h'!N18,'03.08 Kireka-Kinawataka-24h'!N18,'04.08 Kireka-Kinawataka'!N18)</f>
        <v>0</v>
      </c>
      <c r="O18" s="15">
        <f t="shared" si="0"/>
        <v>113.42857142857142</v>
      </c>
      <c r="P18" s="15">
        <f t="shared" si="1"/>
        <v>240</v>
      </c>
      <c r="R18" s="1" t="s">
        <v>14</v>
      </c>
      <c r="S18" s="17">
        <f t="shared" ref="S18:AF18" si="10">SUM(C42:C45)</f>
        <v>133.85714285714286</v>
      </c>
      <c r="T18" s="17">
        <f t="shared" si="10"/>
        <v>94.142857142857139</v>
      </c>
      <c r="U18" s="17">
        <f t="shared" si="10"/>
        <v>32.571428571428569</v>
      </c>
      <c r="V18" s="17">
        <f t="shared" si="10"/>
        <v>66.428571428571431</v>
      </c>
      <c r="W18" s="17">
        <f t="shared" si="10"/>
        <v>1.1428571428571428</v>
      </c>
      <c r="X18" s="17">
        <f t="shared" si="10"/>
        <v>0.8571428571428571</v>
      </c>
      <c r="Y18" s="17">
        <f t="shared" si="10"/>
        <v>24.857142857142858</v>
      </c>
      <c r="Z18" s="17">
        <f t="shared" si="10"/>
        <v>34.142857142857139</v>
      </c>
      <c r="AA18" s="17">
        <f t="shared" si="10"/>
        <v>11</v>
      </c>
      <c r="AB18" s="17">
        <f t="shared" si="10"/>
        <v>12.142857142857142</v>
      </c>
      <c r="AC18" s="17">
        <f t="shared" si="10"/>
        <v>356.57142857142861</v>
      </c>
      <c r="AD18" s="17">
        <f t="shared" si="10"/>
        <v>0.14285714285714285</v>
      </c>
      <c r="AE18" s="31">
        <f t="shared" si="10"/>
        <v>411.28571428571428</v>
      </c>
      <c r="AF18" s="31">
        <f t="shared" si="10"/>
        <v>767.85714285714278</v>
      </c>
    </row>
    <row r="19" spans="2:32" ht="23.1" customHeight="1" x14ac:dyDescent="0.25">
      <c r="B19" s="23" t="s">
        <v>46</v>
      </c>
      <c r="C19" s="49">
        <f>AVERAGE('29.07 Kireka-Kinawataka'!C19,'30.07 Kireka-Kinawataka'!C19,'31.07 Kireka-Kinawataka'!C19,'02.08 Kireka-Kinawataka'!C19,'01.08 Kireka-Kinawataka-24h'!C19,'03.08 Kireka-Kinawataka-24h'!C19,'04.08 Kireka-Kinawataka'!C19)</f>
        <v>38</v>
      </c>
      <c r="D19" s="49">
        <f>AVERAGE('29.07 Kireka-Kinawataka'!D19,'30.07 Kireka-Kinawataka'!D19,'31.07 Kireka-Kinawataka'!D19,'02.08 Kireka-Kinawataka'!D19,'01.08 Kireka-Kinawataka-24h'!D19,'03.08 Kireka-Kinawataka-24h'!D19,'04.08 Kireka-Kinawataka'!D19)</f>
        <v>23.285714285714285</v>
      </c>
      <c r="E19" s="49">
        <f>AVERAGE('29.07 Kireka-Kinawataka'!E19,'30.07 Kireka-Kinawataka'!E19,'31.07 Kireka-Kinawataka'!E19,'02.08 Kireka-Kinawataka'!E19,'01.08 Kireka-Kinawataka-24h'!E19,'03.08 Kireka-Kinawataka-24h'!E19,'04.08 Kireka-Kinawataka'!E19)</f>
        <v>7.1428571428571432</v>
      </c>
      <c r="F19" s="49">
        <f>AVERAGE('29.07 Kireka-Kinawataka'!F19,'30.07 Kireka-Kinawataka'!F19,'31.07 Kireka-Kinawataka'!F19,'02.08 Kireka-Kinawataka'!F19,'01.08 Kireka-Kinawataka-24h'!F19,'03.08 Kireka-Kinawataka-24h'!F19,'04.08 Kireka-Kinawataka'!F19)</f>
        <v>18.714285714285715</v>
      </c>
      <c r="G19" s="49">
        <f>AVERAGE('29.07 Kireka-Kinawataka'!G19,'30.07 Kireka-Kinawataka'!G19,'31.07 Kireka-Kinawataka'!G19,'02.08 Kireka-Kinawataka'!G19,'01.08 Kireka-Kinawataka-24h'!G19,'03.08 Kireka-Kinawataka-24h'!G19,'04.08 Kireka-Kinawataka'!G19)</f>
        <v>1.1428571428571428</v>
      </c>
      <c r="H19" s="49">
        <f>AVERAGE('29.07 Kireka-Kinawataka'!H19,'30.07 Kireka-Kinawataka'!H19,'31.07 Kireka-Kinawataka'!H19,'02.08 Kireka-Kinawataka'!H19,'01.08 Kireka-Kinawataka-24h'!H19,'03.08 Kireka-Kinawataka-24h'!H19,'04.08 Kireka-Kinawataka'!H19)</f>
        <v>0.8571428571428571</v>
      </c>
      <c r="I19" s="49">
        <f>AVERAGE('29.07 Kireka-Kinawataka'!I19,'30.07 Kireka-Kinawataka'!I19,'31.07 Kireka-Kinawataka'!I19,'02.08 Kireka-Kinawataka'!I19,'01.08 Kireka-Kinawataka-24h'!I19,'03.08 Kireka-Kinawataka-24h'!I19,'04.08 Kireka-Kinawataka'!I19)</f>
        <v>3.5714285714285716</v>
      </c>
      <c r="J19" s="49">
        <f>AVERAGE('29.07 Kireka-Kinawataka'!J19,'30.07 Kireka-Kinawataka'!J19,'31.07 Kireka-Kinawataka'!J19,'02.08 Kireka-Kinawataka'!J19,'01.08 Kireka-Kinawataka-24h'!J19,'03.08 Kireka-Kinawataka-24h'!J19,'04.08 Kireka-Kinawataka'!J19)</f>
        <v>6</v>
      </c>
      <c r="K19" s="49">
        <f>AVERAGE('29.07 Kireka-Kinawataka'!K19,'30.07 Kireka-Kinawataka'!K19,'31.07 Kireka-Kinawataka'!K19,'02.08 Kireka-Kinawataka'!K19,'01.08 Kireka-Kinawataka-24h'!K19,'03.08 Kireka-Kinawataka-24h'!K19,'04.08 Kireka-Kinawataka'!K19)</f>
        <v>3.4285714285714284</v>
      </c>
      <c r="L19" s="49">
        <f>AVERAGE('29.07 Kireka-Kinawataka'!L19,'30.07 Kireka-Kinawataka'!L19,'31.07 Kireka-Kinawataka'!L19,'02.08 Kireka-Kinawataka'!L19,'01.08 Kireka-Kinawataka-24h'!L19,'03.08 Kireka-Kinawataka-24h'!L19,'04.08 Kireka-Kinawataka'!L19)</f>
        <v>3.1428571428571428</v>
      </c>
      <c r="M19" s="49">
        <f>AVERAGE('29.07 Kireka-Kinawataka'!M19,'30.07 Kireka-Kinawataka'!M19,'31.07 Kireka-Kinawataka'!M19,'02.08 Kireka-Kinawataka'!M19,'01.08 Kireka-Kinawataka-24h'!M19,'03.08 Kireka-Kinawataka-24h'!M19,'04.08 Kireka-Kinawataka'!M19)</f>
        <v>115.85714285714286</v>
      </c>
      <c r="N19" s="49">
        <f>AVERAGE('29.07 Kireka-Kinawataka'!N19,'30.07 Kireka-Kinawataka'!N19,'31.07 Kireka-Kinawataka'!N19,'02.08 Kireka-Kinawataka'!N19,'01.08 Kireka-Kinawataka-24h'!N19,'03.08 Kireka-Kinawataka-24h'!N19,'04.08 Kireka-Kinawataka'!N19)</f>
        <v>0</v>
      </c>
      <c r="O19" s="15">
        <f t="shared" si="0"/>
        <v>105.28571428571428</v>
      </c>
      <c r="P19" s="15">
        <f t="shared" si="1"/>
        <v>221.14285714285714</v>
      </c>
      <c r="R19" s="1" t="s">
        <v>15</v>
      </c>
      <c r="S19" s="17">
        <f t="shared" ref="S19:AF19" si="11">SUM(C46:C49)</f>
        <v>143.57142857142856</v>
      </c>
      <c r="T19" s="17">
        <f t="shared" si="11"/>
        <v>84.285714285714278</v>
      </c>
      <c r="U19" s="17">
        <f t="shared" si="11"/>
        <v>31</v>
      </c>
      <c r="V19" s="17">
        <f t="shared" si="11"/>
        <v>68.714285714285708</v>
      </c>
      <c r="W19" s="17">
        <f t="shared" si="11"/>
        <v>2.8571428571428572</v>
      </c>
      <c r="X19" s="17">
        <f t="shared" si="11"/>
        <v>0</v>
      </c>
      <c r="Y19" s="17">
        <f t="shared" si="11"/>
        <v>24.571428571428573</v>
      </c>
      <c r="Z19" s="17">
        <f t="shared" si="11"/>
        <v>33.285714285714285</v>
      </c>
      <c r="AA19" s="17">
        <f t="shared" si="11"/>
        <v>10.285714285714286</v>
      </c>
      <c r="AB19" s="17">
        <f t="shared" si="11"/>
        <v>9.5714285714285712</v>
      </c>
      <c r="AC19" s="17">
        <f t="shared" si="11"/>
        <v>352.14285714285717</v>
      </c>
      <c r="AD19" s="17">
        <f t="shared" si="11"/>
        <v>0.2857142857142857</v>
      </c>
      <c r="AE19" s="31">
        <f t="shared" si="11"/>
        <v>408.42857142857139</v>
      </c>
      <c r="AF19" s="31">
        <f t="shared" si="11"/>
        <v>760.57142857142844</v>
      </c>
    </row>
    <row r="20" spans="2:32" ht="23.1" customHeight="1" x14ac:dyDescent="0.25">
      <c r="B20" s="23" t="s">
        <v>47</v>
      </c>
      <c r="C20" s="49">
        <f>AVERAGE('29.07 Kireka-Kinawataka'!C20,'30.07 Kireka-Kinawataka'!C20,'31.07 Kireka-Kinawataka'!C20,'02.08 Kireka-Kinawataka'!C20,'01.08 Kireka-Kinawataka-24h'!C20,'03.08 Kireka-Kinawataka-24h'!C20,'04.08 Kireka-Kinawataka'!C20)</f>
        <v>32</v>
      </c>
      <c r="D20" s="49">
        <f>AVERAGE('29.07 Kireka-Kinawataka'!D20,'30.07 Kireka-Kinawataka'!D20,'31.07 Kireka-Kinawataka'!D20,'02.08 Kireka-Kinawataka'!D20,'01.08 Kireka-Kinawataka-24h'!D20,'03.08 Kireka-Kinawataka-24h'!D20,'04.08 Kireka-Kinawataka'!D20)</f>
        <v>30.714285714285715</v>
      </c>
      <c r="E20" s="49">
        <f>AVERAGE('29.07 Kireka-Kinawataka'!E20,'30.07 Kireka-Kinawataka'!E20,'31.07 Kireka-Kinawataka'!E20,'02.08 Kireka-Kinawataka'!E20,'01.08 Kireka-Kinawataka-24h'!E20,'03.08 Kireka-Kinawataka-24h'!E20,'04.08 Kireka-Kinawataka'!E20)</f>
        <v>8</v>
      </c>
      <c r="F20" s="49">
        <f>AVERAGE('29.07 Kireka-Kinawataka'!F20,'30.07 Kireka-Kinawataka'!F20,'31.07 Kireka-Kinawataka'!F20,'02.08 Kireka-Kinawataka'!F20,'01.08 Kireka-Kinawataka-24h'!F20,'03.08 Kireka-Kinawataka-24h'!F20,'04.08 Kireka-Kinawataka'!F20)</f>
        <v>20.714285714285715</v>
      </c>
      <c r="G20" s="49">
        <f>AVERAGE('29.07 Kireka-Kinawataka'!G20,'30.07 Kireka-Kinawataka'!G20,'31.07 Kireka-Kinawataka'!G20,'02.08 Kireka-Kinawataka'!G20,'01.08 Kireka-Kinawataka-24h'!G20,'03.08 Kireka-Kinawataka-24h'!G20,'04.08 Kireka-Kinawataka'!G20)</f>
        <v>1.8571428571428572</v>
      </c>
      <c r="H20" s="49">
        <f>AVERAGE('29.07 Kireka-Kinawataka'!H20,'30.07 Kireka-Kinawataka'!H20,'31.07 Kireka-Kinawataka'!H20,'02.08 Kireka-Kinawataka'!H20,'01.08 Kireka-Kinawataka-24h'!H20,'03.08 Kireka-Kinawataka-24h'!H20,'04.08 Kireka-Kinawataka'!H20)</f>
        <v>0.8571428571428571</v>
      </c>
      <c r="I20" s="49">
        <f>AVERAGE('29.07 Kireka-Kinawataka'!I20,'30.07 Kireka-Kinawataka'!I20,'31.07 Kireka-Kinawataka'!I20,'02.08 Kireka-Kinawataka'!I20,'01.08 Kireka-Kinawataka-24h'!I20,'03.08 Kireka-Kinawataka-24h'!I20,'04.08 Kireka-Kinawataka'!I20)</f>
        <v>3.4285714285714284</v>
      </c>
      <c r="J20" s="49">
        <f>AVERAGE('29.07 Kireka-Kinawataka'!J20,'30.07 Kireka-Kinawataka'!J20,'31.07 Kireka-Kinawataka'!J20,'02.08 Kireka-Kinawataka'!J20,'01.08 Kireka-Kinawataka-24h'!J20,'03.08 Kireka-Kinawataka-24h'!J20,'04.08 Kireka-Kinawataka'!J20)</f>
        <v>5.2857142857142856</v>
      </c>
      <c r="K20" s="49">
        <f>AVERAGE('29.07 Kireka-Kinawataka'!K20,'30.07 Kireka-Kinawataka'!K20,'31.07 Kireka-Kinawataka'!K20,'02.08 Kireka-Kinawataka'!K20,'01.08 Kireka-Kinawataka-24h'!K20,'03.08 Kireka-Kinawataka-24h'!K20,'04.08 Kireka-Kinawataka'!K20)</f>
        <v>3</v>
      </c>
      <c r="L20" s="49">
        <f>AVERAGE('29.07 Kireka-Kinawataka'!L20,'30.07 Kireka-Kinawataka'!L20,'31.07 Kireka-Kinawataka'!L20,'02.08 Kireka-Kinawataka'!L20,'01.08 Kireka-Kinawataka-24h'!L20,'03.08 Kireka-Kinawataka-24h'!L20,'04.08 Kireka-Kinawataka'!L20)</f>
        <v>3.1428571428571428</v>
      </c>
      <c r="M20" s="49">
        <f>AVERAGE('29.07 Kireka-Kinawataka'!M20,'30.07 Kireka-Kinawataka'!M20,'31.07 Kireka-Kinawataka'!M20,'02.08 Kireka-Kinawataka'!M20,'01.08 Kireka-Kinawataka-24h'!M20,'03.08 Kireka-Kinawataka-24h'!M20,'04.08 Kireka-Kinawataka'!M20)</f>
        <v>125.14285714285714</v>
      </c>
      <c r="N20" s="49">
        <f>AVERAGE('29.07 Kireka-Kinawataka'!N20,'30.07 Kireka-Kinawataka'!N20,'31.07 Kireka-Kinawataka'!N20,'02.08 Kireka-Kinawataka'!N20,'01.08 Kireka-Kinawataka-24h'!N20,'03.08 Kireka-Kinawataka-24h'!N20,'04.08 Kireka-Kinawataka'!N20)</f>
        <v>0</v>
      </c>
      <c r="O20" s="15">
        <f t="shared" si="0"/>
        <v>109.00000000000003</v>
      </c>
      <c r="P20" s="15">
        <f t="shared" si="1"/>
        <v>234.14285714285717</v>
      </c>
      <c r="R20" s="1" t="s">
        <v>16</v>
      </c>
      <c r="S20" s="17">
        <f t="shared" ref="S20:AF20" si="12">SUM(C50:C53)</f>
        <v>133.57142857142856</v>
      </c>
      <c r="T20" s="17">
        <f t="shared" si="12"/>
        <v>91.857142857142861</v>
      </c>
      <c r="U20" s="17">
        <f t="shared" si="12"/>
        <v>32.285714285714285</v>
      </c>
      <c r="V20" s="17">
        <f t="shared" si="12"/>
        <v>82.142857142857153</v>
      </c>
      <c r="W20" s="17">
        <f t="shared" si="12"/>
        <v>5.8571428571428577</v>
      </c>
      <c r="X20" s="17">
        <f t="shared" si="12"/>
        <v>0.2857142857142857</v>
      </c>
      <c r="Y20" s="17">
        <f t="shared" si="12"/>
        <v>23.428571428571427</v>
      </c>
      <c r="Z20" s="17">
        <f t="shared" si="12"/>
        <v>32.571428571428569</v>
      </c>
      <c r="AA20" s="17">
        <f t="shared" si="12"/>
        <v>9.428571428571427</v>
      </c>
      <c r="AB20" s="17">
        <f t="shared" si="12"/>
        <v>10.428571428571429</v>
      </c>
      <c r="AC20" s="17">
        <f t="shared" si="12"/>
        <v>354.42857142857144</v>
      </c>
      <c r="AD20" s="17">
        <f t="shared" si="12"/>
        <v>0</v>
      </c>
      <c r="AE20" s="31">
        <f t="shared" si="12"/>
        <v>421.85714285714283</v>
      </c>
      <c r="AF20" s="31">
        <f t="shared" si="12"/>
        <v>776.28571428571422</v>
      </c>
    </row>
    <row r="21" spans="2:32" ht="23.1" customHeight="1" x14ac:dyDescent="0.25">
      <c r="B21" s="23" t="s">
        <v>48</v>
      </c>
      <c r="C21" s="49">
        <f>AVERAGE('29.07 Kireka-Kinawataka'!C21,'30.07 Kireka-Kinawataka'!C21,'31.07 Kireka-Kinawataka'!C21,'02.08 Kireka-Kinawataka'!C21,'01.08 Kireka-Kinawataka-24h'!C21,'03.08 Kireka-Kinawataka-24h'!C21,'04.08 Kireka-Kinawataka'!C21)</f>
        <v>37.285714285714285</v>
      </c>
      <c r="D21" s="49">
        <f>AVERAGE('29.07 Kireka-Kinawataka'!D21,'30.07 Kireka-Kinawataka'!D21,'31.07 Kireka-Kinawataka'!D21,'02.08 Kireka-Kinawataka'!D21,'01.08 Kireka-Kinawataka-24h'!D21,'03.08 Kireka-Kinawataka-24h'!D21,'04.08 Kireka-Kinawataka'!D21)</f>
        <v>26.428571428571427</v>
      </c>
      <c r="E21" s="49">
        <f>AVERAGE('29.07 Kireka-Kinawataka'!E21,'30.07 Kireka-Kinawataka'!E21,'31.07 Kireka-Kinawataka'!E21,'02.08 Kireka-Kinawataka'!E21,'01.08 Kireka-Kinawataka-24h'!E21,'03.08 Kireka-Kinawataka-24h'!E21,'04.08 Kireka-Kinawataka'!E21)</f>
        <v>10.857142857142858</v>
      </c>
      <c r="F21" s="49">
        <f>AVERAGE('29.07 Kireka-Kinawataka'!F21,'30.07 Kireka-Kinawataka'!F21,'31.07 Kireka-Kinawataka'!F21,'02.08 Kireka-Kinawataka'!F21,'01.08 Kireka-Kinawataka-24h'!F21,'03.08 Kireka-Kinawataka-24h'!F21,'04.08 Kireka-Kinawataka'!F21)</f>
        <v>23.428571428571427</v>
      </c>
      <c r="G21" s="49">
        <f>AVERAGE('29.07 Kireka-Kinawataka'!G21,'30.07 Kireka-Kinawataka'!G21,'31.07 Kireka-Kinawataka'!G21,'02.08 Kireka-Kinawataka'!G21,'01.08 Kireka-Kinawataka-24h'!G21,'03.08 Kireka-Kinawataka-24h'!G21,'04.08 Kireka-Kinawataka'!G21)</f>
        <v>2.5714285714285716</v>
      </c>
      <c r="H21" s="49">
        <f>AVERAGE('29.07 Kireka-Kinawataka'!H21,'30.07 Kireka-Kinawataka'!H21,'31.07 Kireka-Kinawataka'!H21,'02.08 Kireka-Kinawataka'!H21,'01.08 Kireka-Kinawataka-24h'!H21,'03.08 Kireka-Kinawataka-24h'!H21,'04.08 Kireka-Kinawataka'!H21)</f>
        <v>0.2857142857142857</v>
      </c>
      <c r="I21" s="49">
        <f>AVERAGE('29.07 Kireka-Kinawataka'!I21,'30.07 Kireka-Kinawataka'!I21,'31.07 Kireka-Kinawataka'!I21,'02.08 Kireka-Kinawataka'!I21,'01.08 Kireka-Kinawataka-24h'!I21,'03.08 Kireka-Kinawataka-24h'!I21,'04.08 Kireka-Kinawataka'!I21)</f>
        <v>4.2857142857142856</v>
      </c>
      <c r="J21" s="49">
        <f>AVERAGE('29.07 Kireka-Kinawataka'!J21,'30.07 Kireka-Kinawataka'!J21,'31.07 Kireka-Kinawataka'!J21,'02.08 Kireka-Kinawataka'!J21,'01.08 Kireka-Kinawataka-24h'!J21,'03.08 Kireka-Kinawataka-24h'!J21,'04.08 Kireka-Kinawataka'!J21)</f>
        <v>5.8571428571428568</v>
      </c>
      <c r="K21" s="49">
        <f>AVERAGE('29.07 Kireka-Kinawataka'!K21,'30.07 Kireka-Kinawataka'!K21,'31.07 Kireka-Kinawataka'!K21,'02.08 Kireka-Kinawataka'!K21,'01.08 Kireka-Kinawataka-24h'!K21,'03.08 Kireka-Kinawataka-24h'!K21,'04.08 Kireka-Kinawataka'!K21)</f>
        <v>3.5714285714285716</v>
      </c>
      <c r="L21" s="49">
        <f>AVERAGE('29.07 Kireka-Kinawataka'!L21,'30.07 Kireka-Kinawataka'!L21,'31.07 Kireka-Kinawataka'!L21,'02.08 Kireka-Kinawataka'!L21,'01.08 Kireka-Kinawataka-24h'!L21,'03.08 Kireka-Kinawataka-24h'!L21,'04.08 Kireka-Kinawataka'!L21)</f>
        <v>3.1428571428571428</v>
      </c>
      <c r="M21" s="49">
        <f>AVERAGE('29.07 Kireka-Kinawataka'!M21,'30.07 Kireka-Kinawataka'!M21,'31.07 Kireka-Kinawataka'!M21,'02.08 Kireka-Kinawataka'!M21,'01.08 Kireka-Kinawataka-24h'!M21,'03.08 Kireka-Kinawataka-24h'!M21,'04.08 Kireka-Kinawataka'!M21)</f>
        <v>141.28571428571428</v>
      </c>
      <c r="N21" s="49">
        <f>AVERAGE('29.07 Kireka-Kinawataka'!N21,'30.07 Kireka-Kinawataka'!N21,'31.07 Kireka-Kinawataka'!N21,'02.08 Kireka-Kinawataka'!N21,'01.08 Kireka-Kinawataka-24h'!N21,'03.08 Kireka-Kinawataka-24h'!N21,'04.08 Kireka-Kinawataka'!N21)</f>
        <v>0</v>
      </c>
      <c r="O21" s="15">
        <f t="shared" si="0"/>
        <v>117.71428571428572</v>
      </c>
      <c r="P21" s="15">
        <f t="shared" si="1"/>
        <v>259</v>
      </c>
      <c r="R21" s="36" t="s">
        <v>20</v>
      </c>
      <c r="S21" s="34">
        <f t="shared" ref="S21:AF21" si="13">SUM(C54:C57)</f>
        <v>123.57142857142857</v>
      </c>
      <c r="T21" s="17">
        <f t="shared" si="13"/>
        <v>85.571428571428569</v>
      </c>
      <c r="U21" s="17">
        <f t="shared" si="13"/>
        <v>31.714285714285715</v>
      </c>
      <c r="V21" s="17">
        <f t="shared" si="13"/>
        <v>85.428571428571431</v>
      </c>
      <c r="W21" s="17">
        <f t="shared" si="13"/>
        <v>3.7142857142857144</v>
      </c>
      <c r="X21" s="17">
        <f t="shared" si="13"/>
        <v>0.8571428571428571</v>
      </c>
      <c r="Y21" s="17">
        <f t="shared" si="13"/>
        <v>22.857142857142858</v>
      </c>
      <c r="Z21" s="17">
        <f t="shared" si="13"/>
        <v>26</v>
      </c>
      <c r="AA21" s="17">
        <f t="shared" si="13"/>
        <v>7.7142857142857135</v>
      </c>
      <c r="AB21" s="17">
        <f t="shared" si="13"/>
        <v>7.2857142857142856</v>
      </c>
      <c r="AC21" s="17">
        <f t="shared" si="13"/>
        <v>535.71428571428567</v>
      </c>
      <c r="AD21" s="17">
        <f t="shared" si="13"/>
        <v>0</v>
      </c>
      <c r="AE21" s="31">
        <f t="shared" si="13"/>
        <v>394.71428571428567</v>
      </c>
      <c r="AF21" s="31">
        <f t="shared" si="13"/>
        <v>930.42857142857144</v>
      </c>
    </row>
    <row r="22" spans="2:32" ht="23.1" customHeight="1" x14ac:dyDescent="0.25">
      <c r="B22" s="23" t="s">
        <v>49</v>
      </c>
      <c r="C22" s="49">
        <f>AVERAGE('29.07 Kireka-Kinawataka'!C22,'30.07 Kireka-Kinawataka'!C22,'31.07 Kireka-Kinawataka'!C22,'02.08 Kireka-Kinawataka'!C22,'01.08 Kireka-Kinawataka-24h'!C22,'03.08 Kireka-Kinawataka-24h'!C22,'04.08 Kireka-Kinawataka'!C22)</f>
        <v>40.142857142857146</v>
      </c>
      <c r="D22" s="49">
        <f>AVERAGE('29.07 Kireka-Kinawataka'!D22,'30.07 Kireka-Kinawataka'!D22,'31.07 Kireka-Kinawataka'!D22,'02.08 Kireka-Kinawataka'!D22,'01.08 Kireka-Kinawataka-24h'!D22,'03.08 Kireka-Kinawataka-24h'!D22,'04.08 Kireka-Kinawataka'!D22)</f>
        <v>29.714285714285715</v>
      </c>
      <c r="E22" s="49">
        <f>AVERAGE('29.07 Kireka-Kinawataka'!E22,'30.07 Kireka-Kinawataka'!E22,'31.07 Kireka-Kinawataka'!E22,'02.08 Kireka-Kinawataka'!E22,'01.08 Kireka-Kinawataka-24h'!E22,'03.08 Kireka-Kinawataka-24h'!E22,'04.08 Kireka-Kinawataka'!E22)</f>
        <v>6.8571428571428568</v>
      </c>
      <c r="F22" s="49">
        <f>AVERAGE('29.07 Kireka-Kinawataka'!F22,'30.07 Kireka-Kinawataka'!F22,'31.07 Kireka-Kinawataka'!F22,'02.08 Kireka-Kinawataka'!F22,'01.08 Kireka-Kinawataka-24h'!F22,'03.08 Kireka-Kinawataka-24h'!F22,'04.08 Kireka-Kinawataka'!F22)</f>
        <v>18</v>
      </c>
      <c r="G22" s="49">
        <f>AVERAGE('29.07 Kireka-Kinawataka'!G22,'30.07 Kireka-Kinawataka'!G22,'31.07 Kireka-Kinawataka'!G22,'02.08 Kireka-Kinawataka'!G22,'01.08 Kireka-Kinawataka-24h'!G22,'03.08 Kireka-Kinawataka-24h'!G22,'04.08 Kireka-Kinawataka'!G22)</f>
        <v>1</v>
      </c>
      <c r="H22" s="49">
        <f>AVERAGE('29.07 Kireka-Kinawataka'!H22,'30.07 Kireka-Kinawataka'!H22,'31.07 Kireka-Kinawataka'!H22,'02.08 Kireka-Kinawataka'!H22,'01.08 Kireka-Kinawataka-24h'!H22,'03.08 Kireka-Kinawataka-24h'!H22,'04.08 Kireka-Kinawataka'!H22)</f>
        <v>0.5714285714285714</v>
      </c>
      <c r="I22" s="49">
        <f>AVERAGE('29.07 Kireka-Kinawataka'!I22,'30.07 Kireka-Kinawataka'!I22,'31.07 Kireka-Kinawataka'!I22,'02.08 Kireka-Kinawataka'!I22,'01.08 Kireka-Kinawataka-24h'!I22,'03.08 Kireka-Kinawataka-24h'!I22,'04.08 Kireka-Kinawataka'!I22)</f>
        <v>4.4285714285714288</v>
      </c>
      <c r="J22" s="49">
        <f>AVERAGE('29.07 Kireka-Kinawataka'!J22,'30.07 Kireka-Kinawataka'!J22,'31.07 Kireka-Kinawataka'!J22,'02.08 Kireka-Kinawataka'!J22,'01.08 Kireka-Kinawataka-24h'!J22,'03.08 Kireka-Kinawataka-24h'!J22,'04.08 Kireka-Kinawataka'!J22)</f>
        <v>10.285714285714286</v>
      </c>
      <c r="K22" s="49">
        <f>AVERAGE('29.07 Kireka-Kinawataka'!K22,'30.07 Kireka-Kinawataka'!K22,'31.07 Kireka-Kinawataka'!K22,'02.08 Kireka-Kinawataka'!K22,'01.08 Kireka-Kinawataka-24h'!K22,'03.08 Kireka-Kinawataka-24h'!K22,'04.08 Kireka-Kinawataka'!K22)</f>
        <v>3.7142857142857144</v>
      </c>
      <c r="L22" s="49">
        <f>AVERAGE('29.07 Kireka-Kinawataka'!L22,'30.07 Kireka-Kinawataka'!L22,'31.07 Kireka-Kinawataka'!L22,'02.08 Kireka-Kinawataka'!L22,'01.08 Kireka-Kinawataka-24h'!L22,'03.08 Kireka-Kinawataka-24h'!L22,'04.08 Kireka-Kinawataka'!L22)</f>
        <v>3.5714285714285716</v>
      </c>
      <c r="M22" s="49">
        <f>AVERAGE('29.07 Kireka-Kinawataka'!M22,'30.07 Kireka-Kinawataka'!M22,'31.07 Kireka-Kinawataka'!M22,'02.08 Kireka-Kinawataka'!M22,'01.08 Kireka-Kinawataka-24h'!M22,'03.08 Kireka-Kinawataka-24h'!M22,'04.08 Kireka-Kinawataka'!M22)</f>
        <v>120.57142857142857</v>
      </c>
      <c r="N22" s="49">
        <f>AVERAGE('29.07 Kireka-Kinawataka'!N22,'30.07 Kireka-Kinawataka'!N22,'31.07 Kireka-Kinawataka'!N22,'02.08 Kireka-Kinawataka'!N22,'01.08 Kireka-Kinawataka-24h'!N22,'03.08 Kireka-Kinawataka-24h'!N22,'04.08 Kireka-Kinawataka'!N22)</f>
        <v>0</v>
      </c>
      <c r="O22" s="15">
        <f t="shared" si="0"/>
        <v>118.28571428571429</v>
      </c>
      <c r="P22" s="15">
        <f t="shared" si="1"/>
        <v>238.85714285714286</v>
      </c>
      <c r="R22" s="1" t="s">
        <v>146</v>
      </c>
      <c r="S22" s="34">
        <f>SUM(C58:C61)</f>
        <v>134.5</v>
      </c>
      <c r="T22" s="34">
        <f t="shared" ref="T22:AF22" si="14">SUM(D58:D61)</f>
        <v>25.5</v>
      </c>
      <c r="U22" s="34">
        <f t="shared" si="14"/>
        <v>31.5</v>
      </c>
      <c r="V22" s="34">
        <f t="shared" si="14"/>
        <v>65.5</v>
      </c>
      <c r="W22" s="34">
        <f t="shared" si="14"/>
        <v>0.5</v>
      </c>
      <c r="X22" s="34">
        <f t="shared" si="14"/>
        <v>0</v>
      </c>
      <c r="Y22" s="34">
        <f t="shared" si="14"/>
        <v>17.5</v>
      </c>
      <c r="Z22" s="34">
        <f t="shared" si="14"/>
        <v>10.5</v>
      </c>
      <c r="AA22" s="34">
        <f t="shared" si="14"/>
        <v>3.5</v>
      </c>
      <c r="AB22" s="34">
        <f t="shared" si="14"/>
        <v>1.5</v>
      </c>
      <c r="AC22" s="34">
        <f t="shared" si="14"/>
        <v>729</v>
      </c>
      <c r="AD22" s="34">
        <f t="shared" si="14"/>
        <v>0</v>
      </c>
      <c r="AE22" s="31">
        <f t="shared" si="14"/>
        <v>290.5</v>
      </c>
      <c r="AF22" s="31">
        <f t="shared" si="14"/>
        <v>1019.5</v>
      </c>
    </row>
    <row r="23" spans="2:32" ht="23.1" customHeight="1" x14ac:dyDescent="0.25">
      <c r="B23" s="23" t="s">
        <v>50</v>
      </c>
      <c r="C23" s="49">
        <f>AVERAGE('29.07 Kireka-Kinawataka'!C23,'30.07 Kireka-Kinawataka'!C23,'31.07 Kireka-Kinawataka'!C23,'02.08 Kireka-Kinawataka'!C23,'01.08 Kireka-Kinawataka-24h'!C23,'03.08 Kireka-Kinawataka-24h'!C23,'04.08 Kireka-Kinawataka'!C23)</f>
        <v>40.285714285714285</v>
      </c>
      <c r="D23" s="49">
        <f>AVERAGE('29.07 Kireka-Kinawataka'!D23,'30.07 Kireka-Kinawataka'!D23,'31.07 Kireka-Kinawataka'!D23,'02.08 Kireka-Kinawataka'!D23,'01.08 Kireka-Kinawataka-24h'!D23,'03.08 Kireka-Kinawataka-24h'!D23,'04.08 Kireka-Kinawataka'!D23)</f>
        <v>35.857142857142854</v>
      </c>
      <c r="E23" s="49">
        <f>AVERAGE('29.07 Kireka-Kinawataka'!E23,'30.07 Kireka-Kinawataka'!E23,'31.07 Kireka-Kinawataka'!E23,'02.08 Kireka-Kinawataka'!E23,'01.08 Kireka-Kinawataka-24h'!E23,'03.08 Kireka-Kinawataka-24h'!E23,'04.08 Kireka-Kinawataka'!E23)</f>
        <v>7.8571428571428568</v>
      </c>
      <c r="F23" s="49">
        <f>AVERAGE('29.07 Kireka-Kinawataka'!F23,'30.07 Kireka-Kinawataka'!F23,'31.07 Kireka-Kinawataka'!F23,'02.08 Kireka-Kinawataka'!F23,'01.08 Kireka-Kinawataka-24h'!F23,'03.08 Kireka-Kinawataka-24h'!F23,'04.08 Kireka-Kinawataka'!F23)</f>
        <v>27</v>
      </c>
      <c r="G23" s="49">
        <f>AVERAGE('29.07 Kireka-Kinawataka'!G23,'30.07 Kireka-Kinawataka'!G23,'31.07 Kireka-Kinawataka'!G23,'02.08 Kireka-Kinawataka'!G23,'01.08 Kireka-Kinawataka-24h'!G23,'03.08 Kireka-Kinawataka-24h'!G23,'04.08 Kireka-Kinawataka'!G23)</f>
        <v>1.5714285714285714</v>
      </c>
      <c r="H23" s="49">
        <f>AVERAGE('29.07 Kireka-Kinawataka'!H23,'30.07 Kireka-Kinawataka'!H23,'31.07 Kireka-Kinawataka'!H23,'02.08 Kireka-Kinawataka'!H23,'01.08 Kireka-Kinawataka-24h'!H23,'03.08 Kireka-Kinawataka-24h'!H23,'04.08 Kireka-Kinawataka'!H23)</f>
        <v>0.7142857142857143</v>
      </c>
      <c r="I23" s="49">
        <f>AVERAGE('29.07 Kireka-Kinawataka'!I23,'30.07 Kireka-Kinawataka'!I23,'31.07 Kireka-Kinawataka'!I23,'02.08 Kireka-Kinawataka'!I23,'01.08 Kireka-Kinawataka-24h'!I23,'03.08 Kireka-Kinawataka-24h'!I23,'04.08 Kireka-Kinawataka'!I23)</f>
        <v>6</v>
      </c>
      <c r="J23" s="49">
        <f>AVERAGE('29.07 Kireka-Kinawataka'!J23,'30.07 Kireka-Kinawataka'!J23,'31.07 Kireka-Kinawataka'!J23,'02.08 Kireka-Kinawataka'!J23,'01.08 Kireka-Kinawataka-24h'!J23,'03.08 Kireka-Kinawataka-24h'!J23,'04.08 Kireka-Kinawataka'!J23)</f>
        <v>7.7142857142857144</v>
      </c>
      <c r="K23" s="49">
        <f>AVERAGE('29.07 Kireka-Kinawataka'!K23,'30.07 Kireka-Kinawataka'!K23,'31.07 Kireka-Kinawataka'!K23,'02.08 Kireka-Kinawataka'!K23,'01.08 Kireka-Kinawataka-24h'!K23,'03.08 Kireka-Kinawataka-24h'!K23,'04.08 Kireka-Kinawataka'!K23)</f>
        <v>2.4285714285714284</v>
      </c>
      <c r="L23" s="49">
        <f>AVERAGE('29.07 Kireka-Kinawataka'!L23,'30.07 Kireka-Kinawataka'!L23,'31.07 Kireka-Kinawataka'!L23,'02.08 Kireka-Kinawataka'!L23,'01.08 Kireka-Kinawataka-24h'!L23,'03.08 Kireka-Kinawataka-24h'!L23,'04.08 Kireka-Kinawataka'!L23)</f>
        <v>3.7142857142857144</v>
      </c>
      <c r="M23" s="49">
        <f>AVERAGE('29.07 Kireka-Kinawataka'!M23,'30.07 Kireka-Kinawataka'!M23,'31.07 Kireka-Kinawataka'!M23,'02.08 Kireka-Kinawataka'!M23,'01.08 Kireka-Kinawataka-24h'!M23,'03.08 Kireka-Kinawataka-24h'!M23,'04.08 Kireka-Kinawataka'!M23)</f>
        <v>115.57142857142857</v>
      </c>
      <c r="N23" s="49">
        <f>AVERAGE('29.07 Kireka-Kinawataka'!N23,'30.07 Kireka-Kinawataka'!N23,'31.07 Kireka-Kinawataka'!N23,'02.08 Kireka-Kinawataka'!N23,'01.08 Kireka-Kinawataka-24h'!N23,'03.08 Kireka-Kinawataka-24h'!N23,'04.08 Kireka-Kinawataka'!N23)</f>
        <v>0</v>
      </c>
      <c r="O23" s="15">
        <f t="shared" si="0"/>
        <v>133.14285714285714</v>
      </c>
      <c r="P23" s="15">
        <f t="shared" si="1"/>
        <v>248.71428571428572</v>
      </c>
      <c r="R23" s="1" t="s">
        <v>147</v>
      </c>
      <c r="S23" s="34">
        <f>SUM(C62:C65)</f>
        <v>130</v>
      </c>
      <c r="T23" s="34">
        <f t="shared" ref="T23:AF23" si="15">SUM(D62:D65)</f>
        <v>28.5</v>
      </c>
      <c r="U23" s="34">
        <f t="shared" si="15"/>
        <v>28</v>
      </c>
      <c r="V23" s="34">
        <f t="shared" si="15"/>
        <v>79</v>
      </c>
      <c r="W23" s="34">
        <f t="shared" si="15"/>
        <v>4.5</v>
      </c>
      <c r="X23" s="34">
        <f t="shared" si="15"/>
        <v>1</v>
      </c>
      <c r="Y23" s="34">
        <f t="shared" si="15"/>
        <v>17</v>
      </c>
      <c r="Z23" s="34">
        <f t="shared" si="15"/>
        <v>9</v>
      </c>
      <c r="AA23" s="34">
        <f t="shared" si="15"/>
        <v>1.5</v>
      </c>
      <c r="AB23" s="34">
        <f t="shared" si="15"/>
        <v>2.5</v>
      </c>
      <c r="AC23" s="34">
        <f t="shared" si="15"/>
        <v>663</v>
      </c>
      <c r="AD23" s="34">
        <f t="shared" si="15"/>
        <v>0</v>
      </c>
      <c r="AE23" s="31">
        <f t="shared" si="15"/>
        <v>301</v>
      </c>
      <c r="AF23" s="31">
        <f t="shared" si="15"/>
        <v>964</v>
      </c>
    </row>
    <row r="24" spans="2:32" ht="23.1" customHeight="1" x14ac:dyDescent="0.25">
      <c r="B24" s="23" t="s">
        <v>51</v>
      </c>
      <c r="C24" s="49">
        <f>AVERAGE('29.07 Kireka-Kinawataka'!C24,'30.07 Kireka-Kinawataka'!C24,'31.07 Kireka-Kinawataka'!C24,'02.08 Kireka-Kinawataka'!C24,'01.08 Kireka-Kinawataka-24h'!C24,'03.08 Kireka-Kinawataka-24h'!C24,'04.08 Kireka-Kinawataka'!C24)</f>
        <v>46.571428571428569</v>
      </c>
      <c r="D24" s="49">
        <f>AVERAGE('29.07 Kireka-Kinawataka'!D24,'30.07 Kireka-Kinawataka'!D24,'31.07 Kireka-Kinawataka'!D24,'02.08 Kireka-Kinawataka'!D24,'01.08 Kireka-Kinawataka-24h'!D24,'03.08 Kireka-Kinawataka-24h'!D24,'04.08 Kireka-Kinawataka'!D24)</f>
        <v>25</v>
      </c>
      <c r="E24" s="49">
        <f>AVERAGE('29.07 Kireka-Kinawataka'!E24,'30.07 Kireka-Kinawataka'!E24,'31.07 Kireka-Kinawataka'!E24,'02.08 Kireka-Kinawataka'!E24,'01.08 Kireka-Kinawataka-24h'!E24,'03.08 Kireka-Kinawataka-24h'!E24,'04.08 Kireka-Kinawataka'!E24)</f>
        <v>7.7142857142857144</v>
      </c>
      <c r="F24" s="49">
        <f>AVERAGE('29.07 Kireka-Kinawataka'!F24,'30.07 Kireka-Kinawataka'!F24,'31.07 Kireka-Kinawataka'!F24,'02.08 Kireka-Kinawataka'!F24,'01.08 Kireka-Kinawataka-24h'!F24,'03.08 Kireka-Kinawataka-24h'!F24,'04.08 Kireka-Kinawataka'!F24)</f>
        <v>20</v>
      </c>
      <c r="G24" s="49">
        <f>AVERAGE('29.07 Kireka-Kinawataka'!G24,'30.07 Kireka-Kinawataka'!G24,'31.07 Kireka-Kinawataka'!G24,'02.08 Kireka-Kinawataka'!G24,'01.08 Kireka-Kinawataka-24h'!G24,'03.08 Kireka-Kinawataka-24h'!G24,'04.08 Kireka-Kinawataka'!G24)</f>
        <v>3</v>
      </c>
      <c r="H24" s="49">
        <f>AVERAGE('29.07 Kireka-Kinawataka'!H24,'30.07 Kireka-Kinawataka'!H24,'31.07 Kireka-Kinawataka'!H24,'02.08 Kireka-Kinawataka'!H24,'01.08 Kireka-Kinawataka-24h'!H24,'03.08 Kireka-Kinawataka-24h'!H24,'04.08 Kireka-Kinawataka'!H24)</f>
        <v>0.7142857142857143</v>
      </c>
      <c r="I24" s="49">
        <f>AVERAGE('29.07 Kireka-Kinawataka'!I24,'30.07 Kireka-Kinawataka'!I24,'31.07 Kireka-Kinawataka'!I24,'02.08 Kireka-Kinawataka'!I24,'01.08 Kireka-Kinawataka-24h'!I24,'03.08 Kireka-Kinawataka-24h'!I24,'04.08 Kireka-Kinawataka'!I24)</f>
        <v>6.5714285714285712</v>
      </c>
      <c r="J24" s="49">
        <f>AVERAGE('29.07 Kireka-Kinawataka'!J24,'30.07 Kireka-Kinawataka'!J24,'31.07 Kireka-Kinawataka'!J24,'02.08 Kireka-Kinawataka'!J24,'01.08 Kireka-Kinawataka-24h'!J24,'03.08 Kireka-Kinawataka-24h'!J24,'04.08 Kireka-Kinawataka'!J24)</f>
        <v>7.5714285714285712</v>
      </c>
      <c r="K24" s="49">
        <f>AVERAGE('29.07 Kireka-Kinawataka'!K24,'30.07 Kireka-Kinawataka'!K24,'31.07 Kireka-Kinawataka'!K24,'02.08 Kireka-Kinawataka'!K24,'01.08 Kireka-Kinawataka-24h'!K24,'03.08 Kireka-Kinawataka-24h'!K24,'04.08 Kireka-Kinawataka'!K24)</f>
        <v>2.4285714285714284</v>
      </c>
      <c r="L24" s="49">
        <f>AVERAGE('29.07 Kireka-Kinawataka'!L24,'30.07 Kireka-Kinawataka'!L24,'31.07 Kireka-Kinawataka'!L24,'02.08 Kireka-Kinawataka'!L24,'01.08 Kireka-Kinawataka-24h'!L24,'03.08 Kireka-Kinawataka-24h'!L24,'04.08 Kireka-Kinawataka'!L24)</f>
        <v>2.1428571428571428</v>
      </c>
      <c r="M24" s="49">
        <f>AVERAGE('29.07 Kireka-Kinawataka'!M24,'30.07 Kireka-Kinawataka'!M24,'31.07 Kireka-Kinawataka'!M24,'02.08 Kireka-Kinawataka'!M24,'01.08 Kireka-Kinawataka-24h'!M24,'03.08 Kireka-Kinawataka-24h'!M24,'04.08 Kireka-Kinawataka'!M24)</f>
        <v>120.85714285714286</v>
      </c>
      <c r="N24" s="49">
        <f>AVERAGE('29.07 Kireka-Kinawataka'!N24,'30.07 Kireka-Kinawataka'!N24,'31.07 Kireka-Kinawataka'!N24,'02.08 Kireka-Kinawataka'!N24,'01.08 Kireka-Kinawataka-24h'!N24,'03.08 Kireka-Kinawataka-24h'!N24,'04.08 Kireka-Kinawataka'!N24)</f>
        <v>0</v>
      </c>
      <c r="O24" s="15">
        <f t="shared" si="0"/>
        <v>121.71428571428569</v>
      </c>
      <c r="P24" s="15">
        <f t="shared" si="1"/>
        <v>242.57142857142856</v>
      </c>
      <c r="R24" s="1" t="s">
        <v>148</v>
      </c>
      <c r="S24" s="34">
        <f>SUM(C66:C69)</f>
        <v>151</v>
      </c>
      <c r="T24" s="34">
        <f t="shared" ref="T24:AF24" si="16">SUM(D66:D69)</f>
        <v>32.5</v>
      </c>
      <c r="U24" s="34">
        <f t="shared" si="16"/>
        <v>22.5</v>
      </c>
      <c r="V24" s="34">
        <f t="shared" si="16"/>
        <v>71.5</v>
      </c>
      <c r="W24" s="34">
        <f t="shared" si="16"/>
        <v>4</v>
      </c>
      <c r="X24" s="34">
        <f t="shared" si="16"/>
        <v>0.5</v>
      </c>
      <c r="Y24" s="34">
        <f t="shared" si="16"/>
        <v>18.5</v>
      </c>
      <c r="Z24" s="34">
        <f t="shared" si="16"/>
        <v>7.5</v>
      </c>
      <c r="AA24" s="34">
        <f t="shared" si="16"/>
        <v>2</v>
      </c>
      <c r="AB24" s="34">
        <f t="shared" si="16"/>
        <v>4.5</v>
      </c>
      <c r="AC24" s="34">
        <f t="shared" si="16"/>
        <v>590</v>
      </c>
      <c r="AD24" s="34">
        <f t="shared" si="16"/>
        <v>0</v>
      </c>
      <c r="AE24" s="31">
        <f t="shared" si="16"/>
        <v>314.5</v>
      </c>
      <c r="AF24" s="31">
        <f t="shared" si="16"/>
        <v>904.5</v>
      </c>
    </row>
    <row r="25" spans="2:32" ht="23.1" customHeight="1" x14ac:dyDescent="0.25">
      <c r="B25" s="23" t="s">
        <v>52</v>
      </c>
      <c r="C25" s="49">
        <f>AVERAGE('29.07 Kireka-Kinawataka'!C25,'30.07 Kireka-Kinawataka'!C25,'31.07 Kireka-Kinawataka'!C25,'02.08 Kireka-Kinawataka'!C25,'01.08 Kireka-Kinawataka-24h'!C25,'03.08 Kireka-Kinawataka-24h'!C25,'04.08 Kireka-Kinawataka'!C25)</f>
        <v>41.714285714285715</v>
      </c>
      <c r="D25" s="49">
        <f>AVERAGE('29.07 Kireka-Kinawataka'!D25,'30.07 Kireka-Kinawataka'!D25,'31.07 Kireka-Kinawataka'!D25,'02.08 Kireka-Kinawataka'!D25,'01.08 Kireka-Kinawataka-24h'!D25,'03.08 Kireka-Kinawataka-24h'!D25,'04.08 Kireka-Kinawataka'!D25)</f>
        <v>28.428571428571427</v>
      </c>
      <c r="E25" s="49">
        <f>AVERAGE('29.07 Kireka-Kinawataka'!E25,'30.07 Kireka-Kinawataka'!E25,'31.07 Kireka-Kinawataka'!E25,'02.08 Kireka-Kinawataka'!E25,'01.08 Kireka-Kinawataka-24h'!E25,'03.08 Kireka-Kinawataka-24h'!E25,'04.08 Kireka-Kinawataka'!E25)</f>
        <v>9.2857142857142865</v>
      </c>
      <c r="F25" s="49">
        <f>AVERAGE('29.07 Kireka-Kinawataka'!F25,'30.07 Kireka-Kinawataka'!F25,'31.07 Kireka-Kinawataka'!F25,'02.08 Kireka-Kinawataka'!F25,'01.08 Kireka-Kinawataka-24h'!F25,'03.08 Kireka-Kinawataka-24h'!F25,'04.08 Kireka-Kinawataka'!F25)</f>
        <v>22.857142857142858</v>
      </c>
      <c r="G25" s="49">
        <f>AVERAGE('29.07 Kireka-Kinawataka'!G25,'30.07 Kireka-Kinawataka'!G25,'31.07 Kireka-Kinawataka'!G25,'02.08 Kireka-Kinawataka'!G25,'01.08 Kireka-Kinawataka-24h'!G25,'03.08 Kireka-Kinawataka-24h'!G25,'04.08 Kireka-Kinawataka'!G25)</f>
        <v>1.4285714285714286</v>
      </c>
      <c r="H25" s="49">
        <f>AVERAGE('29.07 Kireka-Kinawataka'!H25,'30.07 Kireka-Kinawataka'!H25,'31.07 Kireka-Kinawataka'!H25,'02.08 Kireka-Kinawataka'!H25,'01.08 Kireka-Kinawataka-24h'!H25,'03.08 Kireka-Kinawataka-24h'!H25,'04.08 Kireka-Kinawataka'!H25)</f>
        <v>0.42857142857142855</v>
      </c>
      <c r="I25" s="49">
        <f>AVERAGE('29.07 Kireka-Kinawataka'!I25,'30.07 Kireka-Kinawataka'!I25,'31.07 Kireka-Kinawataka'!I25,'02.08 Kireka-Kinawataka'!I25,'01.08 Kireka-Kinawataka-24h'!I25,'03.08 Kireka-Kinawataka-24h'!I25,'04.08 Kireka-Kinawataka'!I25)</f>
        <v>5.4285714285714288</v>
      </c>
      <c r="J25" s="49">
        <f>AVERAGE('29.07 Kireka-Kinawataka'!J25,'30.07 Kireka-Kinawataka'!J25,'31.07 Kireka-Kinawataka'!J25,'02.08 Kireka-Kinawataka'!J25,'01.08 Kireka-Kinawataka-24h'!J25,'03.08 Kireka-Kinawataka-24h'!J25,'04.08 Kireka-Kinawataka'!J25)</f>
        <v>6.2857142857142856</v>
      </c>
      <c r="K25" s="49">
        <f>AVERAGE('29.07 Kireka-Kinawataka'!K25,'30.07 Kireka-Kinawataka'!K25,'31.07 Kireka-Kinawataka'!K25,'02.08 Kireka-Kinawataka'!K25,'01.08 Kireka-Kinawataka-24h'!K25,'03.08 Kireka-Kinawataka-24h'!K25,'04.08 Kireka-Kinawataka'!K25)</f>
        <v>3.8571428571428572</v>
      </c>
      <c r="L25" s="49">
        <f>AVERAGE('29.07 Kireka-Kinawataka'!L25,'30.07 Kireka-Kinawataka'!L25,'31.07 Kireka-Kinawataka'!L25,'02.08 Kireka-Kinawataka'!L25,'01.08 Kireka-Kinawataka-24h'!L25,'03.08 Kireka-Kinawataka-24h'!L25,'04.08 Kireka-Kinawataka'!L25)</f>
        <v>1.8571428571428572</v>
      </c>
      <c r="M25" s="49">
        <f>AVERAGE('29.07 Kireka-Kinawataka'!M25,'30.07 Kireka-Kinawataka'!M25,'31.07 Kireka-Kinawataka'!M25,'02.08 Kireka-Kinawataka'!M25,'01.08 Kireka-Kinawataka-24h'!M25,'03.08 Kireka-Kinawataka-24h'!M25,'04.08 Kireka-Kinawataka'!M25)</f>
        <v>119.57142857142857</v>
      </c>
      <c r="N25" s="49">
        <f>AVERAGE('29.07 Kireka-Kinawataka'!N25,'30.07 Kireka-Kinawataka'!N25,'31.07 Kireka-Kinawataka'!N25,'02.08 Kireka-Kinawataka'!N25,'01.08 Kireka-Kinawataka-24h'!N25,'03.08 Kireka-Kinawataka-24h'!N25,'04.08 Kireka-Kinawataka'!N25)</f>
        <v>0.14285714285714285</v>
      </c>
      <c r="O25" s="15">
        <f t="shared" si="0"/>
        <v>121.71428571428574</v>
      </c>
      <c r="P25" s="15">
        <f t="shared" si="1"/>
        <v>241.28571428571431</v>
      </c>
      <c r="R25" s="1" t="s">
        <v>149</v>
      </c>
      <c r="S25" s="34">
        <f>SUM(C70:C73)</f>
        <v>139</v>
      </c>
      <c r="T25" s="34">
        <f t="shared" ref="T25:AF25" si="17">SUM(D70:D73)</f>
        <v>22.5</v>
      </c>
      <c r="U25" s="34">
        <f t="shared" si="17"/>
        <v>14</v>
      </c>
      <c r="V25" s="34">
        <f t="shared" si="17"/>
        <v>45</v>
      </c>
      <c r="W25" s="34">
        <f t="shared" si="17"/>
        <v>4.5</v>
      </c>
      <c r="X25" s="34">
        <f t="shared" si="17"/>
        <v>0</v>
      </c>
      <c r="Y25" s="34">
        <f t="shared" si="17"/>
        <v>9</v>
      </c>
      <c r="Z25" s="34">
        <f t="shared" si="17"/>
        <v>4.5</v>
      </c>
      <c r="AA25" s="34">
        <f t="shared" si="17"/>
        <v>2</v>
      </c>
      <c r="AB25" s="34">
        <f t="shared" si="17"/>
        <v>1.5</v>
      </c>
      <c r="AC25" s="34">
        <f t="shared" si="17"/>
        <v>556</v>
      </c>
      <c r="AD25" s="34">
        <f t="shared" si="17"/>
        <v>0</v>
      </c>
      <c r="AE25" s="31">
        <f t="shared" si="17"/>
        <v>242</v>
      </c>
      <c r="AF25" s="31">
        <f t="shared" si="17"/>
        <v>798</v>
      </c>
    </row>
    <row r="26" spans="2:32" ht="23.1" customHeight="1" x14ac:dyDescent="0.25">
      <c r="B26" s="23" t="s">
        <v>53</v>
      </c>
      <c r="C26" s="49">
        <f>AVERAGE('29.07 Kireka-Kinawataka'!C26,'30.07 Kireka-Kinawataka'!C26,'31.07 Kireka-Kinawataka'!C26,'02.08 Kireka-Kinawataka'!C26,'01.08 Kireka-Kinawataka-24h'!C26,'03.08 Kireka-Kinawataka-24h'!C26,'04.08 Kireka-Kinawataka'!C26)</f>
        <v>42.428571428571431</v>
      </c>
      <c r="D26" s="49">
        <f>AVERAGE('29.07 Kireka-Kinawataka'!D26,'30.07 Kireka-Kinawataka'!D26,'31.07 Kireka-Kinawataka'!D26,'02.08 Kireka-Kinawataka'!D26,'01.08 Kireka-Kinawataka-24h'!D26,'03.08 Kireka-Kinawataka-24h'!D26,'04.08 Kireka-Kinawataka'!D26)</f>
        <v>21</v>
      </c>
      <c r="E26" s="49">
        <f>AVERAGE('29.07 Kireka-Kinawataka'!E26,'30.07 Kireka-Kinawataka'!E26,'31.07 Kireka-Kinawataka'!E26,'02.08 Kireka-Kinawataka'!E26,'01.08 Kireka-Kinawataka-24h'!E26,'03.08 Kireka-Kinawataka-24h'!E26,'04.08 Kireka-Kinawataka'!E26)</f>
        <v>5.7142857142857144</v>
      </c>
      <c r="F26" s="49">
        <f>AVERAGE('29.07 Kireka-Kinawataka'!F26,'30.07 Kireka-Kinawataka'!F26,'31.07 Kireka-Kinawataka'!F26,'02.08 Kireka-Kinawataka'!F26,'01.08 Kireka-Kinawataka-24h'!F26,'03.08 Kireka-Kinawataka-24h'!F26,'04.08 Kireka-Kinawataka'!F26)</f>
        <v>17.857142857142858</v>
      </c>
      <c r="G26" s="49">
        <f>AVERAGE('29.07 Kireka-Kinawataka'!G26,'30.07 Kireka-Kinawataka'!G26,'31.07 Kireka-Kinawataka'!G26,'02.08 Kireka-Kinawataka'!G26,'01.08 Kireka-Kinawataka-24h'!G26,'03.08 Kireka-Kinawataka-24h'!G26,'04.08 Kireka-Kinawataka'!G26)</f>
        <v>0.14285714285714285</v>
      </c>
      <c r="H26" s="49">
        <f>AVERAGE('29.07 Kireka-Kinawataka'!H26,'30.07 Kireka-Kinawataka'!H26,'31.07 Kireka-Kinawataka'!H26,'02.08 Kireka-Kinawataka'!H26,'01.08 Kireka-Kinawataka-24h'!H26,'03.08 Kireka-Kinawataka-24h'!H26,'04.08 Kireka-Kinawataka'!H26)</f>
        <v>0.14285714285714285</v>
      </c>
      <c r="I26" s="49">
        <f>AVERAGE('29.07 Kireka-Kinawataka'!I26,'30.07 Kireka-Kinawataka'!I26,'31.07 Kireka-Kinawataka'!I26,'02.08 Kireka-Kinawataka'!I26,'01.08 Kireka-Kinawataka-24h'!I26,'03.08 Kireka-Kinawataka-24h'!I26,'04.08 Kireka-Kinawataka'!I26)</f>
        <v>4.7142857142857144</v>
      </c>
      <c r="J26" s="49">
        <f>AVERAGE('29.07 Kireka-Kinawataka'!J26,'30.07 Kireka-Kinawataka'!J26,'31.07 Kireka-Kinawataka'!J26,'02.08 Kireka-Kinawataka'!J26,'01.08 Kireka-Kinawataka-24h'!J26,'03.08 Kireka-Kinawataka-24h'!J26,'04.08 Kireka-Kinawataka'!J26)</f>
        <v>7.2857142857142856</v>
      </c>
      <c r="K26" s="49">
        <f>AVERAGE('29.07 Kireka-Kinawataka'!K26,'30.07 Kireka-Kinawataka'!K26,'31.07 Kireka-Kinawataka'!K26,'02.08 Kireka-Kinawataka'!K26,'01.08 Kireka-Kinawataka-24h'!K26,'03.08 Kireka-Kinawataka-24h'!K26,'04.08 Kireka-Kinawataka'!K26)</f>
        <v>4.4285714285714288</v>
      </c>
      <c r="L26" s="49">
        <f>AVERAGE('29.07 Kireka-Kinawataka'!L26,'30.07 Kireka-Kinawataka'!L26,'31.07 Kireka-Kinawataka'!L26,'02.08 Kireka-Kinawataka'!L26,'01.08 Kireka-Kinawataka-24h'!L26,'03.08 Kireka-Kinawataka-24h'!L26,'04.08 Kireka-Kinawataka'!L26)</f>
        <v>2.7142857142857144</v>
      </c>
      <c r="M26" s="49">
        <f>AVERAGE('29.07 Kireka-Kinawataka'!M26,'30.07 Kireka-Kinawataka'!M26,'31.07 Kireka-Kinawataka'!M26,'02.08 Kireka-Kinawataka'!M26,'01.08 Kireka-Kinawataka-24h'!M26,'03.08 Kireka-Kinawataka-24h'!M26,'04.08 Kireka-Kinawataka'!M26)</f>
        <v>92.142857142857139</v>
      </c>
      <c r="N26" s="49">
        <f>AVERAGE('29.07 Kireka-Kinawataka'!N26,'30.07 Kireka-Kinawataka'!N26,'31.07 Kireka-Kinawataka'!N26,'02.08 Kireka-Kinawataka'!N26,'01.08 Kireka-Kinawataka-24h'!N26,'03.08 Kireka-Kinawataka-24h'!N26,'04.08 Kireka-Kinawataka'!N26)</f>
        <v>0.14285714285714285</v>
      </c>
      <c r="O26" s="15">
        <f t="shared" si="0"/>
        <v>106.57142857142856</v>
      </c>
      <c r="P26" s="15">
        <f t="shared" si="1"/>
        <v>198.71428571428569</v>
      </c>
      <c r="R26" s="1" t="s">
        <v>150</v>
      </c>
      <c r="S26" s="34">
        <f>SUM(C74:C77)</f>
        <v>106</v>
      </c>
      <c r="T26" s="34">
        <f t="shared" ref="T26:AF26" si="18">SUM(D74:D77)</f>
        <v>13.5</v>
      </c>
      <c r="U26" s="34">
        <f t="shared" si="18"/>
        <v>15.5</v>
      </c>
      <c r="V26" s="34">
        <f t="shared" si="18"/>
        <v>20.5</v>
      </c>
      <c r="W26" s="34">
        <f t="shared" si="18"/>
        <v>0.5</v>
      </c>
      <c r="X26" s="34">
        <f t="shared" si="18"/>
        <v>0.5</v>
      </c>
      <c r="Y26" s="34">
        <f t="shared" si="18"/>
        <v>8.5</v>
      </c>
      <c r="Z26" s="34">
        <f t="shared" si="18"/>
        <v>3</v>
      </c>
      <c r="AA26" s="34">
        <f t="shared" si="18"/>
        <v>0.5</v>
      </c>
      <c r="AB26" s="34">
        <f t="shared" si="18"/>
        <v>0.5</v>
      </c>
      <c r="AC26" s="34">
        <f t="shared" si="18"/>
        <v>352.5</v>
      </c>
      <c r="AD26" s="34">
        <f t="shared" si="18"/>
        <v>0.5</v>
      </c>
      <c r="AE26" s="31">
        <f t="shared" si="18"/>
        <v>169.5</v>
      </c>
      <c r="AF26" s="31">
        <f t="shared" si="18"/>
        <v>522</v>
      </c>
    </row>
    <row r="27" spans="2:32" ht="23.1" customHeight="1" x14ac:dyDescent="0.25">
      <c r="B27" s="23" t="s">
        <v>54</v>
      </c>
      <c r="C27" s="49">
        <f>AVERAGE('29.07 Kireka-Kinawataka'!C27,'30.07 Kireka-Kinawataka'!C27,'31.07 Kireka-Kinawataka'!C27,'02.08 Kireka-Kinawataka'!C27,'01.08 Kireka-Kinawataka-24h'!C27,'03.08 Kireka-Kinawataka-24h'!C27,'04.08 Kireka-Kinawataka'!C27)</f>
        <v>37.142857142857146</v>
      </c>
      <c r="D27" s="49">
        <f>AVERAGE('29.07 Kireka-Kinawataka'!D27,'30.07 Kireka-Kinawataka'!D27,'31.07 Kireka-Kinawataka'!D27,'02.08 Kireka-Kinawataka'!D27,'01.08 Kireka-Kinawataka-24h'!D27,'03.08 Kireka-Kinawataka-24h'!D27,'04.08 Kireka-Kinawataka'!D27)</f>
        <v>25.857142857142858</v>
      </c>
      <c r="E27" s="49">
        <f>AVERAGE('29.07 Kireka-Kinawataka'!E27,'30.07 Kireka-Kinawataka'!E27,'31.07 Kireka-Kinawataka'!E27,'02.08 Kireka-Kinawataka'!E27,'01.08 Kireka-Kinawataka-24h'!E27,'03.08 Kireka-Kinawataka-24h'!E27,'04.08 Kireka-Kinawataka'!E27)</f>
        <v>8.2857142857142865</v>
      </c>
      <c r="F27" s="49">
        <f>AVERAGE('29.07 Kireka-Kinawataka'!F27,'30.07 Kireka-Kinawataka'!F27,'31.07 Kireka-Kinawataka'!F27,'02.08 Kireka-Kinawataka'!F27,'01.08 Kireka-Kinawataka-24h'!F27,'03.08 Kireka-Kinawataka-24h'!F27,'04.08 Kireka-Kinawataka'!F27)</f>
        <v>17.714285714285715</v>
      </c>
      <c r="G27" s="49">
        <f>AVERAGE('29.07 Kireka-Kinawataka'!G27,'30.07 Kireka-Kinawataka'!G27,'31.07 Kireka-Kinawataka'!G27,'02.08 Kireka-Kinawataka'!G27,'01.08 Kireka-Kinawataka-24h'!G27,'03.08 Kireka-Kinawataka-24h'!G27,'04.08 Kireka-Kinawataka'!G27)</f>
        <v>0.42857142857142855</v>
      </c>
      <c r="H27" s="49">
        <f>AVERAGE('29.07 Kireka-Kinawataka'!H27,'30.07 Kireka-Kinawataka'!H27,'31.07 Kireka-Kinawataka'!H27,'02.08 Kireka-Kinawataka'!H27,'01.08 Kireka-Kinawataka-24h'!H27,'03.08 Kireka-Kinawataka-24h'!H27,'04.08 Kireka-Kinawataka'!H27)</f>
        <v>0.2857142857142857</v>
      </c>
      <c r="I27" s="49">
        <f>AVERAGE('29.07 Kireka-Kinawataka'!I27,'30.07 Kireka-Kinawataka'!I27,'31.07 Kireka-Kinawataka'!I27,'02.08 Kireka-Kinawataka'!I27,'01.08 Kireka-Kinawataka-24h'!I27,'03.08 Kireka-Kinawataka-24h'!I27,'04.08 Kireka-Kinawataka'!I27)</f>
        <v>6.4285714285714288</v>
      </c>
      <c r="J27" s="49">
        <f>AVERAGE('29.07 Kireka-Kinawataka'!J27,'30.07 Kireka-Kinawataka'!J27,'31.07 Kireka-Kinawataka'!J27,'02.08 Kireka-Kinawataka'!J27,'01.08 Kireka-Kinawataka-24h'!J27,'03.08 Kireka-Kinawataka-24h'!J27,'04.08 Kireka-Kinawataka'!J27)</f>
        <v>6.8571428571428568</v>
      </c>
      <c r="K27" s="49">
        <f>AVERAGE('29.07 Kireka-Kinawataka'!K27,'30.07 Kireka-Kinawataka'!K27,'31.07 Kireka-Kinawataka'!K27,'02.08 Kireka-Kinawataka'!K27,'01.08 Kireka-Kinawataka-24h'!K27,'03.08 Kireka-Kinawataka-24h'!K27,'04.08 Kireka-Kinawataka'!K27)</f>
        <v>14.142857142857142</v>
      </c>
      <c r="L27" s="49">
        <f>AVERAGE('29.07 Kireka-Kinawataka'!L27,'30.07 Kireka-Kinawataka'!L27,'31.07 Kireka-Kinawataka'!L27,'02.08 Kireka-Kinawataka'!L27,'01.08 Kireka-Kinawataka-24h'!L27,'03.08 Kireka-Kinawataka-24h'!L27,'04.08 Kireka-Kinawataka'!L27)</f>
        <v>4</v>
      </c>
      <c r="M27" s="49">
        <f>AVERAGE('29.07 Kireka-Kinawataka'!M27,'30.07 Kireka-Kinawataka'!M27,'31.07 Kireka-Kinawataka'!M27,'02.08 Kireka-Kinawataka'!M27,'01.08 Kireka-Kinawataka-24h'!M27,'03.08 Kireka-Kinawataka-24h'!M27,'04.08 Kireka-Kinawataka'!M27)</f>
        <v>110.85714285714286</v>
      </c>
      <c r="N27" s="49">
        <f>AVERAGE('29.07 Kireka-Kinawataka'!N27,'30.07 Kireka-Kinawataka'!N27,'31.07 Kireka-Kinawataka'!N27,'02.08 Kireka-Kinawataka'!N27,'01.08 Kireka-Kinawataka-24h'!N27,'03.08 Kireka-Kinawataka-24h'!N27,'04.08 Kireka-Kinawataka'!N27)</f>
        <v>0</v>
      </c>
      <c r="O27" s="15">
        <f t="shared" si="0"/>
        <v>121.14285714285715</v>
      </c>
      <c r="P27" s="15">
        <f t="shared" si="1"/>
        <v>232</v>
      </c>
      <c r="R27" s="1" t="s">
        <v>151</v>
      </c>
      <c r="S27" s="34">
        <f>SUM(C78:C81)</f>
        <v>54.5</v>
      </c>
      <c r="T27" s="34">
        <f t="shared" ref="T27:AF27" si="19">SUM(D78:D81)</f>
        <v>9.5</v>
      </c>
      <c r="U27" s="34">
        <f t="shared" si="19"/>
        <v>7</v>
      </c>
      <c r="V27" s="34">
        <f t="shared" si="19"/>
        <v>11</v>
      </c>
      <c r="W27" s="34">
        <f t="shared" si="19"/>
        <v>1</v>
      </c>
      <c r="X27" s="34">
        <f t="shared" si="19"/>
        <v>0.5</v>
      </c>
      <c r="Y27" s="34">
        <f t="shared" si="19"/>
        <v>5</v>
      </c>
      <c r="Z27" s="34">
        <f t="shared" si="19"/>
        <v>3.5</v>
      </c>
      <c r="AA27" s="34">
        <f t="shared" si="19"/>
        <v>1.5</v>
      </c>
      <c r="AB27" s="34">
        <f t="shared" si="19"/>
        <v>1</v>
      </c>
      <c r="AC27" s="34">
        <f t="shared" si="19"/>
        <v>187</v>
      </c>
      <c r="AD27" s="34">
        <f t="shared" si="19"/>
        <v>0</v>
      </c>
      <c r="AE27" s="31">
        <f t="shared" si="19"/>
        <v>94.5</v>
      </c>
      <c r="AF27" s="31">
        <f t="shared" si="19"/>
        <v>281.5</v>
      </c>
    </row>
    <row r="28" spans="2:32" ht="23.1" customHeight="1" x14ac:dyDescent="0.25">
      <c r="B28" s="23" t="s">
        <v>55</v>
      </c>
      <c r="C28" s="49">
        <f>AVERAGE('29.07 Kireka-Kinawataka'!C28,'30.07 Kireka-Kinawataka'!C28,'31.07 Kireka-Kinawataka'!C28,'02.08 Kireka-Kinawataka'!C28,'01.08 Kireka-Kinawataka-24h'!C28,'03.08 Kireka-Kinawataka-24h'!C28,'04.08 Kireka-Kinawataka'!C28)</f>
        <v>37.142857142857146</v>
      </c>
      <c r="D28" s="49">
        <f>AVERAGE('29.07 Kireka-Kinawataka'!D28,'30.07 Kireka-Kinawataka'!D28,'31.07 Kireka-Kinawataka'!D28,'02.08 Kireka-Kinawataka'!D28,'01.08 Kireka-Kinawataka-24h'!D28,'03.08 Kireka-Kinawataka-24h'!D28,'04.08 Kireka-Kinawataka'!D28)</f>
        <v>24.428571428571427</v>
      </c>
      <c r="E28" s="49">
        <f>AVERAGE('29.07 Kireka-Kinawataka'!E28,'30.07 Kireka-Kinawataka'!E28,'31.07 Kireka-Kinawataka'!E28,'02.08 Kireka-Kinawataka'!E28,'01.08 Kireka-Kinawataka-24h'!E28,'03.08 Kireka-Kinawataka-24h'!E28,'04.08 Kireka-Kinawataka'!E28)</f>
        <v>9.8571428571428577</v>
      </c>
      <c r="F28" s="49">
        <f>AVERAGE('29.07 Kireka-Kinawataka'!F28,'30.07 Kireka-Kinawataka'!F28,'31.07 Kireka-Kinawataka'!F28,'02.08 Kireka-Kinawataka'!F28,'01.08 Kireka-Kinawataka-24h'!F28,'03.08 Kireka-Kinawataka-24h'!F28,'04.08 Kireka-Kinawataka'!F28)</f>
        <v>16.428571428571427</v>
      </c>
      <c r="G28" s="49">
        <f>AVERAGE('29.07 Kireka-Kinawataka'!G28,'30.07 Kireka-Kinawataka'!G28,'31.07 Kireka-Kinawataka'!G28,'02.08 Kireka-Kinawataka'!G28,'01.08 Kireka-Kinawataka-24h'!G28,'03.08 Kireka-Kinawataka-24h'!G28,'04.08 Kireka-Kinawataka'!G28)</f>
        <v>0.7142857142857143</v>
      </c>
      <c r="H28" s="49">
        <f>AVERAGE('29.07 Kireka-Kinawataka'!H28,'30.07 Kireka-Kinawataka'!H28,'31.07 Kireka-Kinawataka'!H28,'02.08 Kireka-Kinawataka'!H28,'01.08 Kireka-Kinawataka-24h'!H28,'03.08 Kireka-Kinawataka-24h'!H28,'04.08 Kireka-Kinawataka'!H28)</f>
        <v>0.2857142857142857</v>
      </c>
      <c r="I28" s="49">
        <f>AVERAGE('29.07 Kireka-Kinawataka'!I28,'30.07 Kireka-Kinawataka'!I28,'31.07 Kireka-Kinawataka'!I28,'02.08 Kireka-Kinawataka'!I28,'01.08 Kireka-Kinawataka-24h'!I28,'03.08 Kireka-Kinawataka-24h'!I28,'04.08 Kireka-Kinawataka'!I28)</f>
        <v>5.1428571428571432</v>
      </c>
      <c r="J28" s="49">
        <f>AVERAGE('29.07 Kireka-Kinawataka'!J28,'30.07 Kireka-Kinawataka'!J28,'31.07 Kireka-Kinawataka'!J28,'02.08 Kireka-Kinawataka'!J28,'01.08 Kireka-Kinawataka-24h'!J28,'03.08 Kireka-Kinawataka-24h'!J28,'04.08 Kireka-Kinawataka'!J28)</f>
        <v>7.2857142857142856</v>
      </c>
      <c r="K28" s="49">
        <f>AVERAGE('29.07 Kireka-Kinawataka'!K28,'30.07 Kireka-Kinawataka'!K28,'31.07 Kireka-Kinawataka'!K28,'02.08 Kireka-Kinawataka'!K28,'01.08 Kireka-Kinawataka-24h'!K28,'03.08 Kireka-Kinawataka-24h'!K28,'04.08 Kireka-Kinawataka'!K28)</f>
        <v>4.8571428571428568</v>
      </c>
      <c r="L28" s="49">
        <f>AVERAGE('29.07 Kireka-Kinawataka'!L28,'30.07 Kireka-Kinawataka'!L28,'31.07 Kireka-Kinawataka'!L28,'02.08 Kireka-Kinawataka'!L28,'01.08 Kireka-Kinawataka-24h'!L28,'03.08 Kireka-Kinawataka-24h'!L28,'04.08 Kireka-Kinawataka'!L28)</f>
        <v>3.5714285714285716</v>
      </c>
      <c r="M28" s="49">
        <f>AVERAGE('29.07 Kireka-Kinawataka'!M28,'30.07 Kireka-Kinawataka'!M28,'31.07 Kireka-Kinawataka'!M28,'02.08 Kireka-Kinawataka'!M28,'01.08 Kireka-Kinawataka-24h'!M28,'03.08 Kireka-Kinawataka-24h'!M28,'04.08 Kireka-Kinawataka'!M28)</f>
        <v>112.85714285714286</v>
      </c>
      <c r="N28" s="49">
        <f>AVERAGE('29.07 Kireka-Kinawataka'!N28,'30.07 Kireka-Kinawataka'!N28,'31.07 Kireka-Kinawataka'!N28,'02.08 Kireka-Kinawataka'!N28,'01.08 Kireka-Kinawataka-24h'!N28,'03.08 Kireka-Kinawataka-24h'!N28,'04.08 Kireka-Kinawataka'!N28)</f>
        <v>0</v>
      </c>
      <c r="O28" s="15">
        <f t="shared" si="0"/>
        <v>109.71428571428572</v>
      </c>
      <c r="P28" s="15">
        <f t="shared" si="1"/>
        <v>222.57142857142858</v>
      </c>
      <c r="R28" s="1" t="s">
        <v>152</v>
      </c>
      <c r="S28" s="34">
        <f>SUM(C82:C85)</f>
        <v>61.5</v>
      </c>
      <c r="T28" s="34">
        <f t="shared" ref="T28:AF28" si="20">SUM(D82:D85)</f>
        <v>4.5</v>
      </c>
      <c r="U28" s="34">
        <f t="shared" si="20"/>
        <v>5.5</v>
      </c>
      <c r="V28" s="34">
        <f t="shared" si="20"/>
        <v>8.5</v>
      </c>
      <c r="W28" s="34">
        <f t="shared" si="20"/>
        <v>0</v>
      </c>
      <c r="X28" s="34">
        <f t="shared" si="20"/>
        <v>0</v>
      </c>
      <c r="Y28" s="34">
        <f t="shared" si="20"/>
        <v>1.5</v>
      </c>
      <c r="Z28" s="34">
        <f t="shared" si="20"/>
        <v>2.5</v>
      </c>
      <c r="AA28" s="34">
        <f t="shared" si="20"/>
        <v>1</v>
      </c>
      <c r="AB28" s="34">
        <f t="shared" si="20"/>
        <v>1.5</v>
      </c>
      <c r="AC28" s="34">
        <f t="shared" si="20"/>
        <v>136.5</v>
      </c>
      <c r="AD28" s="34">
        <f t="shared" si="20"/>
        <v>0</v>
      </c>
      <c r="AE28" s="31">
        <f t="shared" si="20"/>
        <v>86.5</v>
      </c>
      <c r="AF28" s="31">
        <f t="shared" si="20"/>
        <v>223</v>
      </c>
    </row>
    <row r="29" spans="2:32" ht="23.1" customHeight="1" x14ac:dyDescent="0.25">
      <c r="B29" s="23" t="s">
        <v>56</v>
      </c>
      <c r="C29" s="49">
        <f>AVERAGE('29.07 Kireka-Kinawataka'!C29,'30.07 Kireka-Kinawataka'!C29,'31.07 Kireka-Kinawataka'!C29,'02.08 Kireka-Kinawataka'!C29,'01.08 Kireka-Kinawataka-24h'!C29,'03.08 Kireka-Kinawataka-24h'!C29,'04.08 Kireka-Kinawataka'!C29)</f>
        <v>36.857142857142854</v>
      </c>
      <c r="D29" s="49">
        <f>AVERAGE('29.07 Kireka-Kinawataka'!D29,'30.07 Kireka-Kinawataka'!D29,'31.07 Kireka-Kinawataka'!D29,'02.08 Kireka-Kinawataka'!D29,'01.08 Kireka-Kinawataka-24h'!D29,'03.08 Kireka-Kinawataka-24h'!D29,'04.08 Kireka-Kinawataka'!D29)</f>
        <v>28.428571428571427</v>
      </c>
      <c r="E29" s="49">
        <f>AVERAGE('29.07 Kireka-Kinawataka'!E29,'30.07 Kireka-Kinawataka'!E29,'31.07 Kireka-Kinawataka'!E29,'02.08 Kireka-Kinawataka'!E29,'01.08 Kireka-Kinawataka-24h'!E29,'03.08 Kireka-Kinawataka-24h'!E29,'04.08 Kireka-Kinawataka'!E29)</f>
        <v>7.8571428571428568</v>
      </c>
      <c r="F29" s="49">
        <f>AVERAGE('29.07 Kireka-Kinawataka'!F29,'30.07 Kireka-Kinawataka'!F29,'31.07 Kireka-Kinawataka'!F29,'02.08 Kireka-Kinawataka'!F29,'01.08 Kireka-Kinawataka-24h'!F29,'03.08 Kireka-Kinawataka-24h'!F29,'04.08 Kireka-Kinawataka'!F29)</f>
        <v>17.714285714285715</v>
      </c>
      <c r="G29" s="49">
        <f>AVERAGE('29.07 Kireka-Kinawataka'!G29,'30.07 Kireka-Kinawataka'!G29,'31.07 Kireka-Kinawataka'!G29,'02.08 Kireka-Kinawataka'!G29,'01.08 Kireka-Kinawataka-24h'!G29,'03.08 Kireka-Kinawataka-24h'!G29,'04.08 Kireka-Kinawataka'!G29)</f>
        <v>1.4285714285714286</v>
      </c>
      <c r="H29" s="49">
        <f>AVERAGE('29.07 Kireka-Kinawataka'!H29,'30.07 Kireka-Kinawataka'!H29,'31.07 Kireka-Kinawataka'!H29,'02.08 Kireka-Kinawataka'!H29,'01.08 Kireka-Kinawataka-24h'!H29,'03.08 Kireka-Kinawataka-24h'!H29,'04.08 Kireka-Kinawataka'!H29)</f>
        <v>0.2857142857142857</v>
      </c>
      <c r="I29" s="49">
        <f>AVERAGE('29.07 Kireka-Kinawataka'!I29,'30.07 Kireka-Kinawataka'!I29,'31.07 Kireka-Kinawataka'!I29,'02.08 Kireka-Kinawataka'!I29,'01.08 Kireka-Kinawataka-24h'!I29,'03.08 Kireka-Kinawataka-24h'!I29,'04.08 Kireka-Kinawataka'!I29)</f>
        <v>6.1428571428571432</v>
      </c>
      <c r="J29" s="49">
        <f>AVERAGE('29.07 Kireka-Kinawataka'!J29,'30.07 Kireka-Kinawataka'!J29,'31.07 Kireka-Kinawataka'!J29,'02.08 Kireka-Kinawataka'!J29,'01.08 Kireka-Kinawataka-24h'!J29,'03.08 Kireka-Kinawataka-24h'!J29,'04.08 Kireka-Kinawataka'!J29)</f>
        <v>9</v>
      </c>
      <c r="K29" s="49">
        <f>AVERAGE('29.07 Kireka-Kinawataka'!K29,'30.07 Kireka-Kinawataka'!K29,'31.07 Kireka-Kinawataka'!K29,'02.08 Kireka-Kinawataka'!K29,'01.08 Kireka-Kinawataka-24h'!K29,'03.08 Kireka-Kinawataka-24h'!K29,'04.08 Kireka-Kinawataka'!K29)</f>
        <v>3.2857142857142856</v>
      </c>
      <c r="L29" s="49">
        <f>AVERAGE('29.07 Kireka-Kinawataka'!L29,'30.07 Kireka-Kinawataka'!L29,'31.07 Kireka-Kinawataka'!L29,'02.08 Kireka-Kinawataka'!L29,'01.08 Kireka-Kinawataka-24h'!L29,'03.08 Kireka-Kinawataka-24h'!L29,'04.08 Kireka-Kinawataka'!L29)</f>
        <v>4.2857142857142856</v>
      </c>
      <c r="M29" s="49">
        <f>AVERAGE('29.07 Kireka-Kinawataka'!M29,'30.07 Kireka-Kinawataka'!M29,'31.07 Kireka-Kinawataka'!M29,'02.08 Kireka-Kinawataka'!M29,'01.08 Kireka-Kinawataka-24h'!M29,'03.08 Kireka-Kinawataka-24h'!M29,'04.08 Kireka-Kinawataka'!M29)</f>
        <v>96.571428571428569</v>
      </c>
      <c r="N29" s="49">
        <f>AVERAGE('29.07 Kireka-Kinawataka'!N29,'30.07 Kireka-Kinawataka'!N29,'31.07 Kireka-Kinawataka'!N29,'02.08 Kireka-Kinawataka'!N29,'01.08 Kireka-Kinawataka-24h'!N29,'03.08 Kireka-Kinawataka-24h'!N29,'04.08 Kireka-Kinawataka'!N29)</f>
        <v>0</v>
      </c>
      <c r="O29" s="15">
        <f t="shared" si="0"/>
        <v>115.28571428571431</v>
      </c>
      <c r="P29" s="15">
        <f t="shared" si="1"/>
        <v>211.85714285714289</v>
      </c>
      <c r="R29" s="1" t="s">
        <v>153</v>
      </c>
      <c r="S29" s="34">
        <f>SUM(C86:C89)</f>
        <v>36.5</v>
      </c>
      <c r="T29" s="34">
        <f t="shared" ref="T29:AF29" si="21">SUM(D86:D89)</f>
        <v>3.5</v>
      </c>
      <c r="U29" s="34">
        <f t="shared" si="21"/>
        <v>1.5</v>
      </c>
      <c r="V29" s="34">
        <f t="shared" si="21"/>
        <v>12</v>
      </c>
      <c r="W29" s="34">
        <f t="shared" si="21"/>
        <v>1</v>
      </c>
      <c r="X29" s="34">
        <f t="shared" si="21"/>
        <v>0</v>
      </c>
      <c r="Y29" s="34">
        <f t="shared" si="21"/>
        <v>0.5</v>
      </c>
      <c r="Z29" s="34">
        <f t="shared" si="21"/>
        <v>2.5</v>
      </c>
      <c r="AA29" s="34">
        <f t="shared" si="21"/>
        <v>1</v>
      </c>
      <c r="AB29" s="34">
        <f t="shared" si="21"/>
        <v>1.5</v>
      </c>
      <c r="AC29" s="34">
        <f t="shared" si="21"/>
        <v>101</v>
      </c>
      <c r="AD29" s="34">
        <f t="shared" si="21"/>
        <v>0</v>
      </c>
      <c r="AE29" s="31">
        <f t="shared" si="21"/>
        <v>60</v>
      </c>
      <c r="AF29" s="31">
        <f t="shared" si="21"/>
        <v>161</v>
      </c>
    </row>
    <row r="30" spans="2:32" ht="23.1" customHeight="1" x14ac:dyDescent="0.25">
      <c r="B30" s="23" t="s">
        <v>57</v>
      </c>
      <c r="C30" s="49">
        <f>AVERAGE('29.07 Kireka-Kinawataka'!C30,'30.07 Kireka-Kinawataka'!C30,'31.07 Kireka-Kinawataka'!C30,'02.08 Kireka-Kinawataka'!C30,'01.08 Kireka-Kinawataka-24h'!C30,'03.08 Kireka-Kinawataka-24h'!C30,'04.08 Kireka-Kinawataka'!C30)</f>
        <v>38.285714285714285</v>
      </c>
      <c r="D30" s="49">
        <f>AVERAGE('29.07 Kireka-Kinawataka'!D30,'30.07 Kireka-Kinawataka'!D30,'31.07 Kireka-Kinawataka'!D30,'02.08 Kireka-Kinawataka'!D30,'01.08 Kireka-Kinawataka-24h'!D30,'03.08 Kireka-Kinawataka-24h'!D30,'04.08 Kireka-Kinawataka'!D30)</f>
        <v>20.285714285714285</v>
      </c>
      <c r="E30" s="49">
        <f>AVERAGE('29.07 Kireka-Kinawataka'!E30,'30.07 Kireka-Kinawataka'!E30,'31.07 Kireka-Kinawataka'!E30,'02.08 Kireka-Kinawataka'!E30,'01.08 Kireka-Kinawataka-24h'!E30,'03.08 Kireka-Kinawataka-24h'!E30,'04.08 Kireka-Kinawataka'!E30)</f>
        <v>7.2857142857142856</v>
      </c>
      <c r="F30" s="49">
        <f>AVERAGE('29.07 Kireka-Kinawataka'!F30,'30.07 Kireka-Kinawataka'!F30,'31.07 Kireka-Kinawataka'!F30,'02.08 Kireka-Kinawataka'!F30,'01.08 Kireka-Kinawataka-24h'!F30,'03.08 Kireka-Kinawataka-24h'!F30,'04.08 Kireka-Kinawataka'!F30)</f>
        <v>13.857142857142858</v>
      </c>
      <c r="G30" s="49">
        <f>AVERAGE('29.07 Kireka-Kinawataka'!G30,'30.07 Kireka-Kinawataka'!G30,'31.07 Kireka-Kinawataka'!G30,'02.08 Kireka-Kinawataka'!G30,'01.08 Kireka-Kinawataka-24h'!G30,'03.08 Kireka-Kinawataka-24h'!G30,'04.08 Kireka-Kinawataka'!G30)</f>
        <v>0.14285714285714285</v>
      </c>
      <c r="H30" s="49">
        <f>AVERAGE('29.07 Kireka-Kinawataka'!H30,'30.07 Kireka-Kinawataka'!H30,'31.07 Kireka-Kinawataka'!H30,'02.08 Kireka-Kinawataka'!H30,'01.08 Kireka-Kinawataka-24h'!H30,'03.08 Kireka-Kinawataka-24h'!H30,'04.08 Kireka-Kinawataka'!H30)</f>
        <v>0.2857142857142857</v>
      </c>
      <c r="I30" s="49">
        <f>AVERAGE('29.07 Kireka-Kinawataka'!I30,'30.07 Kireka-Kinawataka'!I30,'31.07 Kireka-Kinawataka'!I30,'02.08 Kireka-Kinawataka'!I30,'01.08 Kireka-Kinawataka-24h'!I30,'03.08 Kireka-Kinawataka-24h'!I30,'04.08 Kireka-Kinawataka'!I30)</f>
        <v>7.5714285714285712</v>
      </c>
      <c r="J30" s="49">
        <f>AVERAGE('29.07 Kireka-Kinawataka'!J30,'30.07 Kireka-Kinawataka'!J30,'31.07 Kireka-Kinawataka'!J30,'02.08 Kireka-Kinawataka'!J30,'01.08 Kireka-Kinawataka-24h'!J30,'03.08 Kireka-Kinawataka-24h'!J30,'04.08 Kireka-Kinawataka'!J30)</f>
        <v>8.4285714285714288</v>
      </c>
      <c r="K30" s="49">
        <f>AVERAGE('29.07 Kireka-Kinawataka'!K30,'30.07 Kireka-Kinawataka'!K30,'31.07 Kireka-Kinawataka'!K30,'02.08 Kireka-Kinawataka'!K30,'01.08 Kireka-Kinawataka-24h'!K30,'03.08 Kireka-Kinawataka-24h'!K30,'04.08 Kireka-Kinawataka'!K30)</f>
        <v>1.8571428571428572</v>
      </c>
      <c r="L30" s="49">
        <f>AVERAGE('29.07 Kireka-Kinawataka'!L30,'30.07 Kireka-Kinawataka'!L30,'31.07 Kireka-Kinawataka'!L30,'02.08 Kireka-Kinawataka'!L30,'01.08 Kireka-Kinawataka-24h'!L30,'03.08 Kireka-Kinawataka-24h'!L30,'04.08 Kireka-Kinawataka'!L30)</f>
        <v>2.5714285714285716</v>
      </c>
      <c r="M30" s="49">
        <f>AVERAGE('29.07 Kireka-Kinawataka'!M30,'30.07 Kireka-Kinawataka'!M30,'31.07 Kireka-Kinawataka'!M30,'02.08 Kireka-Kinawataka'!M30,'01.08 Kireka-Kinawataka-24h'!M30,'03.08 Kireka-Kinawataka-24h'!M30,'04.08 Kireka-Kinawataka'!M30)</f>
        <v>99.714285714285708</v>
      </c>
      <c r="N30" s="49">
        <f>AVERAGE('29.07 Kireka-Kinawataka'!N30,'30.07 Kireka-Kinawataka'!N30,'31.07 Kireka-Kinawataka'!N30,'02.08 Kireka-Kinawataka'!N30,'01.08 Kireka-Kinawataka-24h'!N30,'03.08 Kireka-Kinawataka-24h'!N30,'04.08 Kireka-Kinawataka'!N30)</f>
        <v>0</v>
      </c>
      <c r="O30" s="15">
        <f t="shared" si="0"/>
        <v>100.57142857142858</v>
      </c>
      <c r="P30" s="15">
        <f t="shared" si="1"/>
        <v>200.28571428571428</v>
      </c>
      <c r="R30" s="1" t="s">
        <v>154</v>
      </c>
      <c r="S30" s="34">
        <f>SUM(C90:C93)</f>
        <v>31</v>
      </c>
      <c r="T30" s="34">
        <f t="shared" ref="T30:AF30" si="22">SUM(D90:D93)</f>
        <v>1</v>
      </c>
      <c r="U30" s="34">
        <f t="shared" si="22"/>
        <v>1</v>
      </c>
      <c r="V30" s="34">
        <f t="shared" si="22"/>
        <v>2.5</v>
      </c>
      <c r="W30" s="34">
        <f t="shared" si="22"/>
        <v>0</v>
      </c>
      <c r="X30" s="34">
        <f t="shared" si="22"/>
        <v>0</v>
      </c>
      <c r="Y30" s="34">
        <f t="shared" si="22"/>
        <v>1.5</v>
      </c>
      <c r="Z30" s="34">
        <f t="shared" si="22"/>
        <v>2</v>
      </c>
      <c r="AA30" s="34">
        <f t="shared" si="22"/>
        <v>0</v>
      </c>
      <c r="AB30" s="34">
        <f t="shared" si="22"/>
        <v>1.5</v>
      </c>
      <c r="AC30" s="34">
        <f t="shared" si="22"/>
        <v>69</v>
      </c>
      <c r="AD30" s="34">
        <f t="shared" si="22"/>
        <v>0</v>
      </c>
      <c r="AE30" s="31">
        <f t="shared" si="22"/>
        <v>40.5</v>
      </c>
      <c r="AF30" s="31">
        <f t="shared" si="22"/>
        <v>109.5</v>
      </c>
    </row>
    <row r="31" spans="2:32" ht="23.1" customHeight="1" x14ac:dyDescent="0.25">
      <c r="B31" s="24" t="s">
        <v>58</v>
      </c>
      <c r="C31" s="49">
        <f>AVERAGE('29.07 Kireka-Kinawataka'!C31,'30.07 Kireka-Kinawataka'!C31,'31.07 Kireka-Kinawataka'!C31,'02.08 Kireka-Kinawataka'!C31,'01.08 Kireka-Kinawataka-24h'!C31,'03.08 Kireka-Kinawataka-24h'!C31,'04.08 Kireka-Kinawataka'!C31)</f>
        <v>35.857142857142854</v>
      </c>
      <c r="D31" s="49">
        <f>AVERAGE('29.07 Kireka-Kinawataka'!D31,'30.07 Kireka-Kinawataka'!D31,'31.07 Kireka-Kinawataka'!D31,'02.08 Kireka-Kinawataka'!D31,'01.08 Kireka-Kinawataka-24h'!D31,'03.08 Kireka-Kinawataka-24h'!D31,'04.08 Kireka-Kinawataka'!D31)</f>
        <v>20.428571428571427</v>
      </c>
      <c r="E31" s="49">
        <f>AVERAGE('29.07 Kireka-Kinawataka'!E31,'30.07 Kireka-Kinawataka'!E31,'31.07 Kireka-Kinawataka'!E31,'02.08 Kireka-Kinawataka'!E31,'01.08 Kireka-Kinawataka-24h'!E31,'03.08 Kireka-Kinawataka-24h'!E31,'04.08 Kireka-Kinawataka'!E31)</f>
        <v>5.8571428571428568</v>
      </c>
      <c r="F31" s="49">
        <f>AVERAGE('29.07 Kireka-Kinawataka'!F31,'30.07 Kireka-Kinawataka'!F31,'31.07 Kireka-Kinawataka'!F31,'02.08 Kireka-Kinawataka'!F31,'01.08 Kireka-Kinawataka-24h'!F31,'03.08 Kireka-Kinawataka-24h'!F31,'04.08 Kireka-Kinawataka'!F31)</f>
        <v>14.428571428571429</v>
      </c>
      <c r="G31" s="49">
        <f>AVERAGE('29.07 Kireka-Kinawataka'!G31,'30.07 Kireka-Kinawataka'!G31,'31.07 Kireka-Kinawataka'!G31,'02.08 Kireka-Kinawataka'!G31,'01.08 Kireka-Kinawataka-24h'!G31,'03.08 Kireka-Kinawataka-24h'!G31,'04.08 Kireka-Kinawataka'!G31)</f>
        <v>1.1428571428571428</v>
      </c>
      <c r="H31" s="49">
        <f>AVERAGE('29.07 Kireka-Kinawataka'!H31,'30.07 Kireka-Kinawataka'!H31,'31.07 Kireka-Kinawataka'!H31,'02.08 Kireka-Kinawataka'!H31,'01.08 Kireka-Kinawataka-24h'!H31,'03.08 Kireka-Kinawataka-24h'!H31,'04.08 Kireka-Kinawataka'!H31)</f>
        <v>0</v>
      </c>
      <c r="I31" s="49">
        <f>AVERAGE('29.07 Kireka-Kinawataka'!I31,'30.07 Kireka-Kinawataka'!I31,'31.07 Kireka-Kinawataka'!I31,'02.08 Kireka-Kinawataka'!I31,'01.08 Kireka-Kinawataka-24h'!I31,'03.08 Kireka-Kinawataka-24h'!I31,'04.08 Kireka-Kinawataka'!I31)</f>
        <v>6.4285714285714288</v>
      </c>
      <c r="J31" s="49">
        <f>AVERAGE('29.07 Kireka-Kinawataka'!J31,'30.07 Kireka-Kinawataka'!J31,'31.07 Kireka-Kinawataka'!J31,'02.08 Kireka-Kinawataka'!J31,'01.08 Kireka-Kinawataka-24h'!J31,'03.08 Kireka-Kinawataka-24h'!J31,'04.08 Kireka-Kinawataka'!J31)</f>
        <v>9.4285714285714288</v>
      </c>
      <c r="K31" s="49">
        <f>AVERAGE('29.07 Kireka-Kinawataka'!K31,'30.07 Kireka-Kinawataka'!K31,'31.07 Kireka-Kinawataka'!K31,'02.08 Kireka-Kinawataka'!K31,'01.08 Kireka-Kinawataka-24h'!K31,'03.08 Kireka-Kinawataka-24h'!K31,'04.08 Kireka-Kinawataka'!K31)</f>
        <v>3.5714285714285716</v>
      </c>
      <c r="L31" s="49">
        <f>AVERAGE('29.07 Kireka-Kinawataka'!L31,'30.07 Kireka-Kinawataka'!L31,'31.07 Kireka-Kinawataka'!L31,'02.08 Kireka-Kinawataka'!L31,'01.08 Kireka-Kinawataka-24h'!L31,'03.08 Kireka-Kinawataka-24h'!L31,'04.08 Kireka-Kinawataka'!L31)</f>
        <v>4.1428571428571432</v>
      </c>
      <c r="M31" s="49">
        <f>AVERAGE('29.07 Kireka-Kinawataka'!M31,'30.07 Kireka-Kinawataka'!M31,'31.07 Kireka-Kinawataka'!M31,'02.08 Kireka-Kinawataka'!M31,'01.08 Kireka-Kinawataka-24h'!M31,'03.08 Kireka-Kinawataka-24h'!M31,'04.08 Kireka-Kinawataka'!M31)</f>
        <v>94.857142857142861</v>
      </c>
      <c r="N31" s="49">
        <f>AVERAGE('29.07 Kireka-Kinawataka'!N31,'30.07 Kireka-Kinawataka'!N31,'31.07 Kireka-Kinawataka'!N31,'02.08 Kireka-Kinawataka'!N31,'01.08 Kireka-Kinawataka-24h'!N31,'03.08 Kireka-Kinawataka-24h'!N31,'04.08 Kireka-Kinawataka'!N31)</f>
        <v>0.14285714285714285</v>
      </c>
      <c r="O31" s="15">
        <f t="shared" si="0"/>
        <v>101.4285714285714</v>
      </c>
      <c r="P31" s="15">
        <f t="shared" si="1"/>
        <v>196.28571428571425</v>
      </c>
      <c r="R31" s="1" t="s">
        <v>155</v>
      </c>
      <c r="S31" s="34">
        <f>SUM(C94:C97)</f>
        <v>27.5</v>
      </c>
      <c r="T31" s="34">
        <f t="shared" ref="T31:AF31" si="23">SUM(D94:D97)</f>
        <v>1</v>
      </c>
      <c r="U31" s="34">
        <f t="shared" si="23"/>
        <v>1.5</v>
      </c>
      <c r="V31" s="34">
        <f t="shared" si="23"/>
        <v>8.5</v>
      </c>
      <c r="W31" s="34">
        <f t="shared" si="23"/>
        <v>0</v>
      </c>
      <c r="X31" s="34">
        <f t="shared" si="23"/>
        <v>0</v>
      </c>
      <c r="Y31" s="34">
        <f t="shared" si="23"/>
        <v>0.5</v>
      </c>
      <c r="Z31" s="34">
        <f t="shared" si="23"/>
        <v>1.5</v>
      </c>
      <c r="AA31" s="34">
        <f t="shared" si="23"/>
        <v>0</v>
      </c>
      <c r="AB31" s="34">
        <f t="shared" si="23"/>
        <v>0.5</v>
      </c>
      <c r="AC31" s="34">
        <f t="shared" si="23"/>
        <v>66</v>
      </c>
      <c r="AD31" s="34">
        <f t="shared" si="23"/>
        <v>0</v>
      </c>
      <c r="AE31" s="31">
        <f t="shared" si="23"/>
        <v>41</v>
      </c>
      <c r="AF31" s="31">
        <f t="shared" si="23"/>
        <v>107</v>
      </c>
    </row>
    <row r="32" spans="2:32" ht="23.1" customHeight="1" x14ac:dyDescent="0.25">
      <c r="B32" s="24" t="s">
        <v>59</v>
      </c>
      <c r="C32" s="49">
        <f>AVERAGE('29.07 Kireka-Kinawataka'!C32,'30.07 Kireka-Kinawataka'!C32,'31.07 Kireka-Kinawataka'!C32,'02.08 Kireka-Kinawataka'!C32,'01.08 Kireka-Kinawataka-24h'!C32,'03.08 Kireka-Kinawataka-24h'!C32,'04.08 Kireka-Kinawataka'!C32)</f>
        <v>31.285714285714285</v>
      </c>
      <c r="D32" s="49">
        <f>AVERAGE('29.07 Kireka-Kinawataka'!D32,'30.07 Kireka-Kinawataka'!D32,'31.07 Kireka-Kinawataka'!D32,'02.08 Kireka-Kinawataka'!D32,'01.08 Kireka-Kinawataka-24h'!D32,'03.08 Kireka-Kinawataka-24h'!D32,'04.08 Kireka-Kinawataka'!D32)</f>
        <v>24.142857142857142</v>
      </c>
      <c r="E32" s="49">
        <f>AVERAGE('29.07 Kireka-Kinawataka'!E32,'30.07 Kireka-Kinawataka'!E32,'31.07 Kireka-Kinawataka'!E32,'02.08 Kireka-Kinawataka'!E32,'01.08 Kireka-Kinawataka-24h'!E32,'03.08 Kireka-Kinawataka-24h'!E32,'04.08 Kireka-Kinawataka'!E32)</f>
        <v>8</v>
      </c>
      <c r="F32" s="49">
        <f>AVERAGE('29.07 Kireka-Kinawataka'!F32,'30.07 Kireka-Kinawataka'!F32,'31.07 Kireka-Kinawataka'!F32,'02.08 Kireka-Kinawataka'!F32,'01.08 Kireka-Kinawataka-24h'!F32,'03.08 Kireka-Kinawataka-24h'!F32,'04.08 Kireka-Kinawataka'!F32)</f>
        <v>17.428571428571427</v>
      </c>
      <c r="G32" s="49">
        <f>AVERAGE('29.07 Kireka-Kinawataka'!G32,'30.07 Kireka-Kinawataka'!G32,'31.07 Kireka-Kinawataka'!G32,'02.08 Kireka-Kinawataka'!G32,'01.08 Kireka-Kinawataka-24h'!G32,'03.08 Kireka-Kinawataka-24h'!G32,'04.08 Kireka-Kinawataka'!G32)</f>
        <v>0.42857142857142855</v>
      </c>
      <c r="H32" s="49">
        <f>AVERAGE('29.07 Kireka-Kinawataka'!H32,'30.07 Kireka-Kinawataka'!H32,'31.07 Kireka-Kinawataka'!H32,'02.08 Kireka-Kinawataka'!H32,'01.08 Kireka-Kinawataka-24h'!H32,'03.08 Kireka-Kinawataka-24h'!H32,'04.08 Kireka-Kinawataka'!H32)</f>
        <v>0</v>
      </c>
      <c r="I32" s="49">
        <f>AVERAGE('29.07 Kireka-Kinawataka'!I32,'30.07 Kireka-Kinawataka'!I32,'31.07 Kireka-Kinawataka'!I32,'02.08 Kireka-Kinawataka'!I32,'01.08 Kireka-Kinawataka-24h'!I32,'03.08 Kireka-Kinawataka-24h'!I32,'04.08 Kireka-Kinawataka'!I32)</f>
        <v>7.5714285714285712</v>
      </c>
      <c r="J32" s="49">
        <f>AVERAGE('29.07 Kireka-Kinawataka'!J32,'30.07 Kireka-Kinawataka'!J32,'31.07 Kireka-Kinawataka'!J32,'02.08 Kireka-Kinawataka'!J32,'01.08 Kireka-Kinawataka-24h'!J32,'03.08 Kireka-Kinawataka-24h'!J32,'04.08 Kireka-Kinawataka'!J32)</f>
        <v>9</v>
      </c>
      <c r="K32" s="49">
        <f>AVERAGE('29.07 Kireka-Kinawataka'!K32,'30.07 Kireka-Kinawataka'!K32,'31.07 Kireka-Kinawataka'!K32,'02.08 Kireka-Kinawataka'!K32,'01.08 Kireka-Kinawataka-24h'!K32,'03.08 Kireka-Kinawataka-24h'!K32,'04.08 Kireka-Kinawataka'!K32)</f>
        <v>2.2857142857142856</v>
      </c>
      <c r="L32" s="49">
        <f>AVERAGE('29.07 Kireka-Kinawataka'!L32,'30.07 Kireka-Kinawataka'!L32,'31.07 Kireka-Kinawataka'!L32,'02.08 Kireka-Kinawataka'!L32,'01.08 Kireka-Kinawataka-24h'!L32,'03.08 Kireka-Kinawataka-24h'!L32,'04.08 Kireka-Kinawataka'!L32)</f>
        <v>4.1428571428571432</v>
      </c>
      <c r="M32" s="49">
        <f>AVERAGE('29.07 Kireka-Kinawataka'!M32,'30.07 Kireka-Kinawataka'!M32,'31.07 Kireka-Kinawataka'!M32,'02.08 Kireka-Kinawataka'!M32,'01.08 Kireka-Kinawataka-24h'!M32,'03.08 Kireka-Kinawataka-24h'!M32,'04.08 Kireka-Kinawataka'!M32)</f>
        <v>108.57142857142857</v>
      </c>
      <c r="N32" s="49">
        <f>AVERAGE('29.07 Kireka-Kinawataka'!N32,'30.07 Kireka-Kinawataka'!N32,'31.07 Kireka-Kinawataka'!N32,'02.08 Kireka-Kinawataka'!N32,'01.08 Kireka-Kinawataka-24h'!N32,'03.08 Kireka-Kinawataka-24h'!N32,'04.08 Kireka-Kinawataka'!N32)</f>
        <v>0</v>
      </c>
      <c r="O32" s="15">
        <f t="shared" si="0"/>
        <v>104.28571428571429</v>
      </c>
      <c r="P32" s="15">
        <f t="shared" si="1"/>
        <v>212.85714285714286</v>
      </c>
      <c r="R32" s="1" t="s">
        <v>156</v>
      </c>
      <c r="S32" s="34">
        <f>SUM(C98:C101)</f>
        <v>32.5</v>
      </c>
      <c r="T32" s="34">
        <f t="shared" ref="T32:AF32" si="24">SUM(D98:D101)</f>
        <v>6</v>
      </c>
      <c r="U32" s="34">
        <f t="shared" si="24"/>
        <v>6</v>
      </c>
      <c r="V32" s="34">
        <f t="shared" si="24"/>
        <v>47</v>
      </c>
      <c r="W32" s="34">
        <f t="shared" si="24"/>
        <v>3</v>
      </c>
      <c r="X32" s="34">
        <f t="shared" si="24"/>
        <v>0</v>
      </c>
      <c r="Y32" s="34">
        <f t="shared" si="24"/>
        <v>6.5</v>
      </c>
      <c r="Z32" s="34">
        <f t="shared" si="24"/>
        <v>1.5</v>
      </c>
      <c r="AA32" s="34">
        <f t="shared" si="24"/>
        <v>0</v>
      </c>
      <c r="AB32" s="34">
        <f t="shared" si="24"/>
        <v>2</v>
      </c>
      <c r="AC32" s="34">
        <f t="shared" si="24"/>
        <v>137.5</v>
      </c>
      <c r="AD32" s="34">
        <f t="shared" si="24"/>
        <v>0</v>
      </c>
      <c r="AE32" s="31">
        <f t="shared" si="24"/>
        <v>104.5</v>
      </c>
      <c r="AF32" s="31">
        <f t="shared" si="24"/>
        <v>242</v>
      </c>
    </row>
    <row r="33" spans="2:32" ht="23.1" customHeight="1" x14ac:dyDescent="0.25">
      <c r="B33" s="23" t="s">
        <v>60</v>
      </c>
      <c r="C33" s="49">
        <f>AVERAGE('29.07 Kireka-Kinawataka'!C33,'30.07 Kireka-Kinawataka'!C33,'31.07 Kireka-Kinawataka'!C33,'02.08 Kireka-Kinawataka'!C33,'01.08 Kireka-Kinawataka-24h'!C33,'03.08 Kireka-Kinawataka-24h'!C33,'04.08 Kireka-Kinawataka'!C33)</f>
        <v>29</v>
      </c>
      <c r="D33" s="49">
        <f>AVERAGE('29.07 Kireka-Kinawataka'!D33,'30.07 Kireka-Kinawataka'!D33,'31.07 Kireka-Kinawataka'!D33,'02.08 Kireka-Kinawataka'!D33,'01.08 Kireka-Kinawataka-24h'!D33,'03.08 Kireka-Kinawataka-24h'!D33,'04.08 Kireka-Kinawataka'!D33)</f>
        <v>17.857142857142858</v>
      </c>
      <c r="E33" s="49">
        <f>AVERAGE('29.07 Kireka-Kinawataka'!E33,'30.07 Kireka-Kinawataka'!E33,'31.07 Kireka-Kinawataka'!E33,'02.08 Kireka-Kinawataka'!E33,'01.08 Kireka-Kinawataka-24h'!E33,'03.08 Kireka-Kinawataka-24h'!E33,'04.08 Kireka-Kinawataka'!E33)</f>
        <v>5.1428571428571432</v>
      </c>
      <c r="F33" s="49">
        <f>AVERAGE('29.07 Kireka-Kinawataka'!F33,'30.07 Kireka-Kinawataka'!F33,'31.07 Kireka-Kinawataka'!F33,'02.08 Kireka-Kinawataka'!F33,'01.08 Kireka-Kinawataka-24h'!F33,'03.08 Kireka-Kinawataka-24h'!F33,'04.08 Kireka-Kinawataka'!F33)</f>
        <v>13.285714285714286</v>
      </c>
      <c r="G33" s="49">
        <f>AVERAGE('29.07 Kireka-Kinawataka'!G33,'30.07 Kireka-Kinawataka'!G33,'31.07 Kireka-Kinawataka'!G33,'02.08 Kireka-Kinawataka'!G33,'01.08 Kireka-Kinawataka-24h'!G33,'03.08 Kireka-Kinawataka-24h'!G33,'04.08 Kireka-Kinawataka'!G33)</f>
        <v>0.5714285714285714</v>
      </c>
      <c r="H33" s="49">
        <f>AVERAGE('29.07 Kireka-Kinawataka'!H33,'30.07 Kireka-Kinawataka'!H33,'31.07 Kireka-Kinawataka'!H33,'02.08 Kireka-Kinawataka'!H33,'01.08 Kireka-Kinawataka-24h'!H33,'03.08 Kireka-Kinawataka-24h'!H33,'04.08 Kireka-Kinawataka'!H33)</f>
        <v>0.2857142857142857</v>
      </c>
      <c r="I33" s="49">
        <f>AVERAGE('29.07 Kireka-Kinawataka'!I33,'30.07 Kireka-Kinawataka'!I33,'31.07 Kireka-Kinawataka'!I33,'02.08 Kireka-Kinawataka'!I33,'01.08 Kireka-Kinawataka-24h'!I33,'03.08 Kireka-Kinawataka-24h'!I33,'04.08 Kireka-Kinawataka'!I33)</f>
        <v>5.8571428571428568</v>
      </c>
      <c r="J33" s="49">
        <f>AVERAGE('29.07 Kireka-Kinawataka'!J33,'30.07 Kireka-Kinawataka'!J33,'31.07 Kireka-Kinawataka'!J33,'02.08 Kireka-Kinawataka'!J33,'01.08 Kireka-Kinawataka-24h'!J33,'03.08 Kireka-Kinawataka-24h'!J33,'04.08 Kireka-Kinawataka'!J33)</f>
        <v>5</v>
      </c>
      <c r="K33" s="49">
        <f>AVERAGE('29.07 Kireka-Kinawataka'!K33,'30.07 Kireka-Kinawataka'!K33,'31.07 Kireka-Kinawataka'!K33,'02.08 Kireka-Kinawataka'!K33,'01.08 Kireka-Kinawataka-24h'!K33,'03.08 Kireka-Kinawataka-24h'!K33,'04.08 Kireka-Kinawataka'!K33)</f>
        <v>3.4285714285714284</v>
      </c>
      <c r="L33" s="49">
        <f>AVERAGE('29.07 Kireka-Kinawataka'!L33,'30.07 Kireka-Kinawataka'!L33,'31.07 Kireka-Kinawataka'!L33,'02.08 Kireka-Kinawataka'!L33,'01.08 Kireka-Kinawataka-24h'!L33,'03.08 Kireka-Kinawataka-24h'!L33,'04.08 Kireka-Kinawataka'!L33)</f>
        <v>2.1428571428571428</v>
      </c>
      <c r="M33" s="49">
        <f>AVERAGE('29.07 Kireka-Kinawataka'!M33,'30.07 Kireka-Kinawataka'!M33,'31.07 Kireka-Kinawataka'!M33,'02.08 Kireka-Kinawataka'!M33,'01.08 Kireka-Kinawataka-24h'!M33,'03.08 Kireka-Kinawataka-24h'!M33,'04.08 Kireka-Kinawataka'!M33)</f>
        <v>101.85714285714286</v>
      </c>
      <c r="N33" s="49">
        <f>AVERAGE('29.07 Kireka-Kinawataka'!N33,'30.07 Kireka-Kinawataka'!N33,'31.07 Kireka-Kinawataka'!N33,'02.08 Kireka-Kinawataka'!N33,'01.08 Kireka-Kinawataka-24h'!N33,'03.08 Kireka-Kinawataka-24h'!N33,'04.08 Kireka-Kinawataka'!N33)</f>
        <v>0</v>
      </c>
      <c r="O33" s="15">
        <f t="shared" si="0"/>
        <v>82.571428571428584</v>
      </c>
      <c r="P33" s="15">
        <f t="shared" si="1"/>
        <v>184.42857142857144</v>
      </c>
      <c r="R33" s="1" t="s">
        <v>157</v>
      </c>
      <c r="S33" s="34">
        <f>SUM(C102:C105)</f>
        <v>220</v>
      </c>
      <c r="T33" s="34">
        <f t="shared" ref="T33:AF33" si="25">SUM(D102:D105)</f>
        <v>43</v>
      </c>
      <c r="U33" s="34">
        <f t="shared" si="25"/>
        <v>32.5</v>
      </c>
      <c r="V33" s="34">
        <f t="shared" si="25"/>
        <v>88.5</v>
      </c>
      <c r="W33" s="34">
        <f t="shared" si="25"/>
        <v>11</v>
      </c>
      <c r="X33" s="34">
        <f t="shared" si="25"/>
        <v>1</v>
      </c>
      <c r="Y33" s="34">
        <f t="shared" si="25"/>
        <v>15.5</v>
      </c>
      <c r="Z33" s="34">
        <f t="shared" si="25"/>
        <v>4</v>
      </c>
      <c r="AA33" s="34">
        <f t="shared" si="25"/>
        <v>2.5</v>
      </c>
      <c r="AB33" s="34">
        <f t="shared" si="25"/>
        <v>5</v>
      </c>
      <c r="AC33" s="34">
        <f t="shared" si="25"/>
        <v>340.5</v>
      </c>
      <c r="AD33" s="34">
        <f t="shared" si="25"/>
        <v>0</v>
      </c>
      <c r="AE33" s="31">
        <f t="shared" si="25"/>
        <v>423</v>
      </c>
      <c r="AF33" s="31">
        <f t="shared" si="25"/>
        <v>763.5</v>
      </c>
    </row>
    <row r="34" spans="2:32" ht="23.1" customHeight="1" x14ac:dyDescent="0.25">
      <c r="B34" s="24" t="s">
        <v>61</v>
      </c>
      <c r="C34" s="49">
        <f>AVERAGE('29.07 Kireka-Kinawataka'!C34,'30.07 Kireka-Kinawataka'!C34,'31.07 Kireka-Kinawataka'!C34,'02.08 Kireka-Kinawataka'!C34,'01.08 Kireka-Kinawataka-24h'!C34,'03.08 Kireka-Kinawataka-24h'!C34,'04.08 Kireka-Kinawataka'!C34)</f>
        <v>26</v>
      </c>
      <c r="D34" s="49">
        <f>AVERAGE('29.07 Kireka-Kinawataka'!D34,'30.07 Kireka-Kinawataka'!D34,'31.07 Kireka-Kinawataka'!D34,'02.08 Kireka-Kinawataka'!D34,'01.08 Kireka-Kinawataka-24h'!D34,'03.08 Kireka-Kinawataka-24h'!D34,'04.08 Kireka-Kinawataka'!D34)</f>
        <v>17.857142857142858</v>
      </c>
      <c r="E34" s="49">
        <f>AVERAGE('29.07 Kireka-Kinawataka'!E34,'30.07 Kireka-Kinawataka'!E34,'31.07 Kireka-Kinawataka'!E34,'02.08 Kireka-Kinawataka'!E34,'01.08 Kireka-Kinawataka-24h'!E34,'03.08 Kireka-Kinawataka-24h'!E34,'04.08 Kireka-Kinawataka'!E34)</f>
        <v>7.2857142857142856</v>
      </c>
      <c r="F34" s="49">
        <f>AVERAGE('29.07 Kireka-Kinawataka'!F34,'30.07 Kireka-Kinawataka'!F34,'31.07 Kireka-Kinawataka'!F34,'02.08 Kireka-Kinawataka'!F34,'01.08 Kireka-Kinawataka-24h'!F34,'03.08 Kireka-Kinawataka-24h'!F34,'04.08 Kireka-Kinawataka'!F34)</f>
        <v>12.857142857142858</v>
      </c>
      <c r="G34" s="49">
        <f>AVERAGE('29.07 Kireka-Kinawataka'!G34,'30.07 Kireka-Kinawataka'!G34,'31.07 Kireka-Kinawataka'!G34,'02.08 Kireka-Kinawataka'!G34,'01.08 Kireka-Kinawataka-24h'!G34,'03.08 Kireka-Kinawataka-24h'!G34,'04.08 Kireka-Kinawataka'!G34)</f>
        <v>0.5714285714285714</v>
      </c>
      <c r="H34" s="49">
        <f>AVERAGE('29.07 Kireka-Kinawataka'!H34,'30.07 Kireka-Kinawataka'!H34,'31.07 Kireka-Kinawataka'!H34,'02.08 Kireka-Kinawataka'!H34,'01.08 Kireka-Kinawataka-24h'!H34,'03.08 Kireka-Kinawataka-24h'!H34,'04.08 Kireka-Kinawataka'!H34)</f>
        <v>0</v>
      </c>
      <c r="I34" s="49">
        <f>AVERAGE('29.07 Kireka-Kinawataka'!I34,'30.07 Kireka-Kinawataka'!I34,'31.07 Kireka-Kinawataka'!I34,'02.08 Kireka-Kinawataka'!I34,'01.08 Kireka-Kinawataka-24h'!I34,'03.08 Kireka-Kinawataka-24h'!I34,'04.08 Kireka-Kinawataka'!I34)</f>
        <v>4.8571428571428568</v>
      </c>
      <c r="J34" s="49">
        <f>AVERAGE('29.07 Kireka-Kinawataka'!J34,'30.07 Kireka-Kinawataka'!J34,'31.07 Kireka-Kinawataka'!J34,'02.08 Kireka-Kinawataka'!J34,'01.08 Kireka-Kinawataka-24h'!J34,'03.08 Kireka-Kinawataka-24h'!J34,'04.08 Kireka-Kinawataka'!J34)</f>
        <v>5.8571428571428568</v>
      </c>
      <c r="K34" s="49">
        <f>AVERAGE('29.07 Kireka-Kinawataka'!K34,'30.07 Kireka-Kinawataka'!K34,'31.07 Kireka-Kinawataka'!K34,'02.08 Kireka-Kinawataka'!K34,'01.08 Kireka-Kinawataka-24h'!K34,'03.08 Kireka-Kinawataka-24h'!K34,'04.08 Kireka-Kinawataka'!K34)</f>
        <v>4</v>
      </c>
      <c r="L34" s="49">
        <f>AVERAGE('29.07 Kireka-Kinawataka'!L34,'30.07 Kireka-Kinawataka'!L34,'31.07 Kireka-Kinawataka'!L34,'02.08 Kireka-Kinawataka'!L34,'01.08 Kireka-Kinawataka-24h'!L34,'03.08 Kireka-Kinawataka-24h'!L34,'04.08 Kireka-Kinawataka'!L34)</f>
        <v>3.8571428571428572</v>
      </c>
      <c r="M34" s="49">
        <f>AVERAGE('29.07 Kireka-Kinawataka'!M34,'30.07 Kireka-Kinawataka'!M34,'31.07 Kireka-Kinawataka'!M34,'02.08 Kireka-Kinawataka'!M34,'01.08 Kireka-Kinawataka-24h'!M34,'03.08 Kireka-Kinawataka-24h'!M34,'04.08 Kireka-Kinawataka'!M34)</f>
        <v>74.714285714285708</v>
      </c>
      <c r="N34" s="49">
        <f>AVERAGE('29.07 Kireka-Kinawataka'!N34,'30.07 Kireka-Kinawataka'!N34,'31.07 Kireka-Kinawataka'!N34,'02.08 Kireka-Kinawataka'!N34,'01.08 Kireka-Kinawataka-24h'!N34,'03.08 Kireka-Kinawataka-24h'!N34,'04.08 Kireka-Kinawataka'!N34)</f>
        <v>0</v>
      </c>
      <c r="O34" s="15">
        <f t="shared" si="0"/>
        <v>83.142857142857153</v>
      </c>
      <c r="P34" s="15">
        <f t="shared" si="1"/>
        <v>157.85714285714286</v>
      </c>
      <c r="R34" s="38" t="s">
        <v>90</v>
      </c>
      <c r="S34" s="39">
        <f t="shared" ref="S34:AF34" si="26">MAX(S10:S12)</f>
        <v>196.14285714285714</v>
      </c>
      <c r="T34" s="39">
        <f t="shared" si="26"/>
        <v>119</v>
      </c>
      <c r="U34" s="39">
        <f t="shared" si="26"/>
        <v>34.285714285714292</v>
      </c>
      <c r="V34" s="39">
        <f t="shared" si="26"/>
        <v>86.857142857142861</v>
      </c>
      <c r="W34" s="39">
        <f t="shared" si="26"/>
        <v>12.285714285714286</v>
      </c>
      <c r="X34" s="39">
        <f t="shared" si="26"/>
        <v>2.4285714285714284</v>
      </c>
      <c r="Y34" s="39">
        <f t="shared" si="26"/>
        <v>16.285714285714285</v>
      </c>
      <c r="Z34" s="39">
        <f t="shared" si="26"/>
        <v>23.857142857142858</v>
      </c>
      <c r="AA34" s="39">
        <f t="shared" si="26"/>
        <v>11.285714285714286</v>
      </c>
      <c r="AB34" s="39">
        <f t="shared" si="26"/>
        <v>11.142857142857142</v>
      </c>
      <c r="AC34" s="39">
        <f t="shared" si="26"/>
        <v>538.57142857142867</v>
      </c>
      <c r="AD34" s="39">
        <f t="shared" si="26"/>
        <v>0</v>
      </c>
      <c r="AE34" s="40">
        <f t="shared" si="26"/>
        <v>491.28571428571422</v>
      </c>
      <c r="AF34" s="40">
        <f t="shared" si="26"/>
        <v>1029.8571428571429</v>
      </c>
    </row>
    <row r="35" spans="2:32" ht="23.1" customHeight="1" x14ac:dyDescent="0.25">
      <c r="B35" s="24" t="s">
        <v>62</v>
      </c>
      <c r="C35" s="49">
        <f>AVERAGE('29.07 Kireka-Kinawataka'!C35,'30.07 Kireka-Kinawataka'!C35,'31.07 Kireka-Kinawataka'!C35,'02.08 Kireka-Kinawataka'!C35,'01.08 Kireka-Kinawataka-24h'!C35,'03.08 Kireka-Kinawataka-24h'!C35,'04.08 Kireka-Kinawataka'!C35)</f>
        <v>27.142857142857142</v>
      </c>
      <c r="D35" s="49">
        <f>AVERAGE('29.07 Kireka-Kinawataka'!D35,'30.07 Kireka-Kinawataka'!D35,'31.07 Kireka-Kinawataka'!D35,'02.08 Kireka-Kinawataka'!D35,'01.08 Kireka-Kinawataka-24h'!D35,'03.08 Kireka-Kinawataka-24h'!D35,'04.08 Kireka-Kinawataka'!D35)</f>
        <v>13.714285714285714</v>
      </c>
      <c r="E35" s="49">
        <f>AVERAGE('29.07 Kireka-Kinawataka'!E35,'30.07 Kireka-Kinawataka'!E35,'31.07 Kireka-Kinawataka'!E35,'02.08 Kireka-Kinawataka'!E35,'01.08 Kireka-Kinawataka-24h'!E35,'03.08 Kireka-Kinawataka-24h'!E35,'04.08 Kireka-Kinawataka'!E35)</f>
        <v>5.5714285714285712</v>
      </c>
      <c r="F35" s="49">
        <f>AVERAGE('29.07 Kireka-Kinawataka'!F35,'30.07 Kireka-Kinawataka'!F35,'31.07 Kireka-Kinawataka'!F35,'02.08 Kireka-Kinawataka'!F35,'01.08 Kireka-Kinawataka-24h'!F35,'03.08 Kireka-Kinawataka-24h'!F35,'04.08 Kireka-Kinawataka'!F35)</f>
        <v>14.142857142857142</v>
      </c>
      <c r="G35" s="49">
        <f>AVERAGE('29.07 Kireka-Kinawataka'!G35,'30.07 Kireka-Kinawataka'!G35,'31.07 Kireka-Kinawataka'!G35,'02.08 Kireka-Kinawataka'!G35,'01.08 Kireka-Kinawataka-24h'!G35,'03.08 Kireka-Kinawataka-24h'!G35,'04.08 Kireka-Kinawataka'!G35)</f>
        <v>0.2857142857142857</v>
      </c>
      <c r="H35" s="49">
        <f>AVERAGE('29.07 Kireka-Kinawataka'!H35,'30.07 Kireka-Kinawataka'!H35,'31.07 Kireka-Kinawataka'!H35,'02.08 Kireka-Kinawataka'!H35,'01.08 Kireka-Kinawataka-24h'!H35,'03.08 Kireka-Kinawataka-24h'!H35,'04.08 Kireka-Kinawataka'!H35)</f>
        <v>0.14285714285714285</v>
      </c>
      <c r="I35" s="49">
        <f>AVERAGE('29.07 Kireka-Kinawataka'!I35,'30.07 Kireka-Kinawataka'!I35,'31.07 Kireka-Kinawataka'!I35,'02.08 Kireka-Kinawataka'!I35,'01.08 Kireka-Kinawataka-24h'!I35,'03.08 Kireka-Kinawataka-24h'!I35,'04.08 Kireka-Kinawataka'!I35)</f>
        <v>5.7142857142857144</v>
      </c>
      <c r="J35" s="49">
        <f>AVERAGE('29.07 Kireka-Kinawataka'!J35,'30.07 Kireka-Kinawataka'!J35,'31.07 Kireka-Kinawataka'!J35,'02.08 Kireka-Kinawataka'!J35,'01.08 Kireka-Kinawataka-24h'!J35,'03.08 Kireka-Kinawataka-24h'!J35,'04.08 Kireka-Kinawataka'!J35)</f>
        <v>7</v>
      </c>
      <c r="K35" s="49">
        <f>AVERAGE('29.07 Kireka-Kinawataka'!K35,'30.07 Kireka-Kinawataka'!K35,'31.07 Kireka-Kinawataka'!K35,'02.08 Kireka-Kinawataka'!K35,'01.08 Kireka-Kinawataka-24h'!K35,'03.08 Kireka-Kinawataka-24h'!K35,'04.08 Kireka-Kinawataka'!K35)</f>
        <v>2.7142857142857144</v>
      </c>
      <c r="L35" s="49">
        <f>AVERAGE('29.07 Kireka-Kinawataka'!L35,'30.07 Kireka-Kinawataka'!L35,'31.07 Kireka-Kinawataka'!L35,'02.08 Kireka-Kinawataka'!L35,'01.08 Kireka-Kinawataka-24h'!L35,'03.08 Kireka-Kinawataka-24h'!L35,'04.08 Kireka-Kinawataka'!L35)</f>
        <v>3.8571428571428572</v>
      </c>
      <c r="M35" s="49">
        <f>AVERAGE('29.07 Kireka-Kinawataka'!M35,'30.07 Kireka-Kinawataka'!M35,'31.07 Kireka-Kinawataka'!M35,'02.08 Kireka-Kinawataka'!M35,'01.08 Kireka-Kinawataka-24h'!M35,'03.08 Kireka-Kinawataka-24h'!M35,'04.08 Kireka-Kinawataka'!M35)</f>
        <v>82.285714285714292</v>
      </c>
      <c r="N35" s="49">
        <f>AVERAGE('29.07 Kireka-Kinawataka'!N35,'30.07 Kireka-Kinawataka'!N35,'31.07 Kireka-Kinawataka'!N35,'02.08 Kireka-Kinawataka'!N35,'01.08 Kireka-Kinawataka-24h'!N35,'03.08 Kireka-Kinawataka-24h'!N35,'04.08 Kireka-Kinawataka'!N35)</f>
        <v>0.14285714285714285</v>
      </c>
      <c r="O35" s="15">
        <f t="shared" si="0"/>
        <v>80.428571428571416</v>
      </c>
      <c r="P35" s="15">
        <f t="shared" si="1"/>
        <v>162.71428571428569</v>
      </c>
      <c r="R35" s="38" t="s">
        <v>91</v>
      </c>
      <c r="S35" s="39">
        <f t="shared" ref="S35:AF35" si="27">MAX(S13:S18)</f>
        <v>168.71428571428572</v>
      </c>
      <c r="T35" s="39">
        <f t="shared" si="27"/>
        <v>119</v>
      </c>
      <c r="U35" s="39">
        <f t="shared" si="27"/>
        <v>32.571428571428569</v>
      </c>
      <c r="V35" s="39">
        <f t="shared" si="27"/>
        <v>87.857142857142861</v>
      </c>
      <c r="W35" s="39">
        <f t="shared" si="27"/>
        <v>7</v>
      </c>
      <c r="X35" s="39">
        <f t="shared" si="27"/>
        <v>2.4285714285714284</v>
      </c>
      <c r="Y35" s="39">
        <f t="shared" si="27"/>
        <v>27.428571428571427</v>
      </c>
      <c r="Z35" s="39">
        <f t="shared" si="27"/>
        <v>34.142857142857139</v>
      </c>
      <c r="AA35" s="39">
        <f t="shared" si="27"/>
        <v>26.714285714285712</v>
      </c>
      <c r="AB35" s="39">
        <f t="shared" si="27"/>
        <v>16.142857142857142</v>
      </c>
      <c r="AC35" s="39">
        <f t="shared" si="27"/>
        <v>476.57142857142856</v>
      </c>
      <c r="AD35" s="39">
        <f t="shared" si="27"/>
        <v>0.2857142857142857</v>
      </c>
      <c r="AE35" s="40">
        <f t="shared" si="27"/>
        <v>494.85714285714283</v>
      </c>
      <c r="AF35" s="40">
        <f t="shared" si="27"/>
        <v>971.42857142857144</v>
      </c>
    </row>
    <row r="36" spans="2:32" ht="23.1" customHeight="1" x14ac:dyDescent="0.25">
      <c r="B36" s="24" t="s">
        <v>63</v>
      </c>
      <c r="C36" s="49">
        <f>AVERAGE('29.07 Kireka-Kinawataka'!C36,'30.07 Kireka-Kinawataka'!C36,'31.07 Kireka-Kinawataka'!C36,'02.08 Kireka-Kinawataka'!C36,'01.08 Kireka-Kinawataka-24h'!C36,'03.08 Kireka-Kinawataka-24h'!C36,'04.08 Kireka-Kinawataka'!C36)</f>
        <v>32.428571428571431</v>
      </c>
      <c r="D36" s="49">
        <f>AVERAGE('29.07 Kireka-Kinawataka'!D36,'30.07 Kireka-Kinawataka'!D36,'31.07 Kireka-Kinawataka'!D36,'02.08 Kireka-Kinawataka'!D36,'01.08 Kireka-Kinawataka-24h'!D36,'03.08 Kireka-Kinawataka-24h'!D36,'04.08 Kireka-Kinawataka'!D36)</f>
        <v>21.571428571428573</v>
      </c>
      <c r="E36" s="49">
        <f>AVERAGE('29.07 Kireka-Kinawataka'!E36,'30.07 Kireka-Kinawataka'!E36,'31.07 Kireka-Kinawataka'!E36,'02.08 Kireka-Kinawataka'!E36,'01.08 Kireka-Kinawataka-24h'!E36,'03.08 Kireka-Kinawataka-24h'!E36,'04.08 Kireka-Kinawataka'!E36)</f>
        <v>7.1428571428571432</v>
      </c>
      <c r="F36" s="49">
        <f>AVERAGE('29.07 Kireka-Kinawataka'!F36,'30.07 Kireka-Kinawataka'!F36,'31.07 Kireka-Kinawataka'!F36,'02.08 Kireka-Kinawataka'!F36,'01.08 Kireka-Kinawataka-24h'!F36,'03.08 Kireka-Kinawataka-24h'!F36,'04.08 Kireka-Kinawataka'!F36)</f>
        <v>12.857142857142858</v>
      </c>
      <c r="G36" s="49">
        <f>AVERAGE('29.07 Kireka-Kinawataka'!G36,'30.07 Kireka-Kinawataka'!G36,'31.07 Kireka-Kinawataka'!G36,'02.08 Kireka-Kinawataka'!G36,'01.08 Kireka-Kinawataka-24h'!G36,'03.08 Kireka-Kinawataka-24h'!G36,'04.08 Kireka-Kinawataka'!G36)</f>
        <v>0.2857142857142857</v>
      </c>
      <c r="H36" s="49">
        <f>AVERAGE('29.07 Kireka-Kinawataka'!H36,'30.07 Kireka-Kinawataka'!H36,'31.07 Kireka-Kinawataka'!H36,'02.08 Kireka-Kinawataka'!H36,'01.08 Kireka-Kinawataka-24h'!H36,'03.08 Kireka-Kinawataka-24h'!H36,'04.08 Kireka-Kinawataka'!H36)</f>
        <v>0</v>
      </c>
      <c r="I36" s="49">
        <f>AVERAGE('29.07 Kireka-Kinawataka'!I36,'30.07 Kireka-Kinawataka'!I36,'31.07 Kireka-Kinawataka'!I36,'02.08 Kireka-Kinawataka'!I36,'01.08 Kireka-Kinawataka-24h'!I36,'03.08 Kireka-Kinawataka-24h'!I36,'04.08 Kireka-Kinawataka'!I36)</f>
        <v>6.4285714285714288</v>
      </c>
      <c r="J36" s="49">
        <f>AVERAGE('29.07 Kireka-Kinawataka'!J36,'30.07 Kireka-Kinawataka'!J36,'31.07 Kireka-Kinawataka'!J36,'02.08 Kireka-Kinawataka'!J36,'01.08 Kireka-Kinawataka-24h'!J36,'03.08 Kireka-Kinawataka-24h'!J36,'04.08 Kireka-Kinawataka'!J36)</f>
        <v>8.4285714285714288</v>
      </c>
      <c r="K36" s="49">
        <f>AVERAGE('29.07 Kireka-Kinawataka'!K36,'30.07 Kireka-Kinawataka'!K36,'31.07 Kireka-Kinawataka'!K36,'02.08 Kireka-Kinawataka'!K36,'01.08 Kireka-Kinawataka-24h'!K36,'03.08 Kireka-Kinawataka-24h'!K36,'04.08 Kireka-Kinawataka'!K36)</f>
        <v>3.5714285714285716</v>
      </c>
      <c r="L36" s="49">
        <f>AVERAGE('29.07 Kireka-Kinawataka'!L36,'30.07 Kireka-Kinawataka'!L36,'31.07 Kireka-Kinawataka'!L36,'02.08 Kireka-Kinawataka'!L36,'01.08 Kireka-Kinawataka-24h'!L36,'03.08 Kireka-Kinawataka-24h'!L36,'04.08 Kireka-Kinawataka'!L36)</f>
        <v>4.2857142857142856</v>
      </c>
      <c r="M36" s="49">
        <f>AVERAGE('29.07 Kireka-Kinawataka'!M36,'30.07 Kireka-Kinawataka'!M36,'31.07 Kireka-Kinawataka'!M36,'02.08 Kireka-Kinawataka'!M36,'01.08 Kireka-Kinawataka-24h'!M36,'03.08 Kireka-Kinawataka-24h'!M36,'04.08 Kireka-Kinawataka'!M36)</f>
        <v>89.428571428571431</v>
      </c>
      <c r="N36" s="49">
        <f>AVERAGE('29.07 Kireka-Kinawataka'!N36,'30.07 Kireka-Kinawataka'!N36,'31.07 Kireka-Kinawataka'!N36,'02.08 Kireka-Kinawataka'!N36,'01.08 Kireka-Kinawataka-24h'!N36,'03.08 Kireka-Kinawataka-24h'!N36,'04.08 Kireka-Kinawataka'!N36)</f>
        <v>0.14285714285714285</v>
      </c>
      <c r="O36" s="15">
        <f t="shared" si="0"/>
        <v>97.142857142857153</v>
      </c>
      <c r="P36" s="15">
        <f t="shared" si="1"/>
        <v>186.57142857142858</v>
      </c>
      <c r="R36" s="38" t="s">
        <v>92</v>
      </c>
      <c r="S36" s="39">
        <f t="shared" ref="S36:AF36" si="28">MAX(S19:S21)</f>
        <v>143.57142857142856</v>
      </c>
      <c r="T36" s="39">
        <f t="shared" si="28"/>
        <v>91.857142857142861</v>
      </c>
      <c r="U36" s="39">
        <f t="shared" si="28"/>
        <v>32.285714285714285</v>
      </c>
      <c r="V36" s="39">
        <f t="shared" si="28"/>
        <v>85.428571428571431</v>
      </c>
      <c r="W36" s="39">
        <f t="shared" si="28"/>
        <v>5.8571428571428577</v>
      </c>
      <c r="X36" s="39">
        <f t="shared" si="28"/>
        <v>0.8571428571428571</v>
      </c>
      <c r="Y36" s="39">
        <f t="shared" si="28"/>
        <v>24.571428571428573</v>
      </c>
      <c r="Z36" s="39">
        <f t="shared" si="28"/>
        <v>33.285714285714285</v>
      </c>
      <c r="AA36" s="39">
        <f t="shared" si="28"/>
        <v>10.285714285714286</v>
      </c>
      <c r="AB36" s="39">
        <f t="shared" si="28"/>
        <v>10.428571428571429</v>
      </c>
      <c r="AC36" s="39">
        <f t="shared" si="28"/>
        <v>535.71428571428567</v>
      </c>
      <c r="AD36" s="39">
        <f t="shared" si="28"/>
        <v>0.2857142857142857</v>
      </c>
      <c r="AE36" s="40">
        <f t="shared" si="28"/>
        <v>421.85714285714283</v>
      </c>
      <c r="AF36" s="40">
        <f t="shared" si="28"/>
        <v>930.42857142857144</v>
      </c>
    </row>
    <row r="37" spans="2:32" ht="23.1" customHeight="1" x14ac:dyDescent="0.25">
      <c r="B37" s="23" t="s">
        <v>64</v>
      </c>
      <c r="C37" s="49">
        <f>AVERAGE('29.07 Kireka-Kinawataka'!C37,'30.07 Kireka-Kinawataka'!C37,'31.07 Kireka-Kinawataka'!C37,'02.08 Kireka-Kinawataka'!C37,'01.08 Kireka-Kinawataka-24h'!C37,'03.08 Kireka-Kinawataka-24h'!C37,'04.08 Kireka-Kinawataka'!C37)</f>
        <v>34.857142857142854</v>
      </c>
      <c r="D37" s="49">
        <f>AVERAGE('29.07 Kireka-Kinawataka'!D37,'30.07 Kireka-Kinawataka'!D37,'31.07 Kireka-Kinawataka'!D37,'02.08 Kireka-Kinawataka'!D37,'01.08 Kireka-Kinawataka-24h'!D37,'03.08 Kireka-Kinawataka-24h'!D37,'04.08 Kireka-Kinawataka'!D37)</f>
        <v>22.571428571428573</v>
      </c>
      <c r="E37" s="49">
        <f>AVERAGE('29.07 Kireka-Kinawataka'!E37,'30.07 Kireka-Kinawataka'!E37,'31.07 Kireka-Kinawataka'!E37,'02.08 Kireka-Kinawataka'!E37,'01.08 Kireka-Kinawataka-24h'!E37,'03.08 Kireka-Kinawataka-24h'!E37,'04.08 Kireka-Kinawataka'!E37)</f>
        <v>7.7142857142857144</v>
      </c>
      <c r="F37" s="49">
        <f>AVERAGE('29.07 Kireka-Kinawataka'!F37,'30.07 Kireka-Kinawataka'!F37,'31.07 Kireka-Kinawataka'!F37,'02.08 Kireka-Kinawataka'!F37,'01.08 Kireka-Kinawataka-24h'!F37,'03.08 Kireka-Kinawataka-24h'!F37,'04.08 Kireka-Kinawataka'!F37)</f>
        <v>19.142857142857142</v>
      </c>
      <c r="G37" s="49">
        <f>AVERAGE('29.07 Kireka-Kinawataka'!G37,'30.07 Kireka-Kinawataka'!G37,'31.07 Kireka-Kinawataka'!G37,'02.08 Kireka-Kinawataka'!G37,'01.08 Kireka-Kinawataka-24h'!G37,'03.08 Kireka-Kinawataka-24h'!G37,'04.08 Kireka-Kinawataka'!G37)</f>
        <v>0.42857142857142855</v>
      </c>
      <c r="H37" s="49">
        <f>AVERAGE('29.07 Kireka-Kinawataka'!H37,'30.07 Kireka-Kinawataka'!H37,'31.07 Kireka-Kinawataka'!H37,'02.08 Kireka-Kinawataka'!H37,'01.08 Kireka-Kinawataka-24h'!H37,'03.08 Kireka-Kinawataka-24h'!H37,'04.08 Kireka-Kinawataka'!H37)</f>
        <v>0.42857142857142855</v>
      </c>
      <c r="I37" s="49">
        <f>AVERAGE('29.07 Kireka-Kinawataka'!I37,'30.07 Kireka-Kinawataka'!I37,'31.07 Kireka-Kinawataka'!I37,'02.08 Kireka-Kinawataka'!I37,'01.08 Kireka-Kinawataka-24h'!I37,'03.08 Kireka-Kinawataka-24h'!I37,'04.08 Kireka-Kinawataka'!I37)</f>
        <v>6.8571428571428568</v>
      </c>
      <c r="J37" s="49">
        <f>AVERAGE('29.07 Kireka-Kinawataka'!J37,'30.07 Kireka-Kinawataka'!J37,'31.07 Kireka-Kinawataka'!J37,'02.08 Kireka-Kinawataka'!J37,'01.08 Kireka-Kinawataka-24h'!J37,'03.08 Kireka-Kinawataka-24h'!J37,'04.08 Kireka-Kinawataka'!J37)</f>
        <v>6.7142857142857144</v>
      </c>
      <c r="K37" s="49">
        <f>AVERAGE('29.07 Kireka-Kinawataka'!K37,'30.07 Kireka-Kinawataka'!K37,'31.07 Kireka-Kinawataka'!K37,'02.08 Kireka-Kinawataka'!K37,'01.08 Kireka-Kinawataka-24h'!K37,'03.08 Kireka-Kinawataka-24h'!K37,'04.08 Kireka-Kinawataka'!K37)</f>
        <v>3.8571428571428572</v>
      </c>
      <c r="L37" s="49">
        <f>AVERAGE('29.07 Kireka-Kinawataka'!L37,'30.07 Kireka-Kinawataka'!L37,'31.07 Kireka-Kinawataka'!L37,'02.08 Kireka-Kinawataka'!L37,'01.08 Kireka-Kinawataka-24h'!L37,'03.08 Kireka-Kinawataka-24h'!L37,'04.08 Kireka-Kinawataka'!L37)</f>
        <v>4.1428571428571432</v>
      </c>
      <c r="M37" s="49">
        <f>AVERAGE('29.07 Kireka-Kinawataka'!M37,'30.07 Kireka-Kinawataka'!M37,'31.07 Kireka-Kinawataka'!M37,'02.08 Kireka-Kinawataka'!M37,'01.08 Kireka-Kinawataka-24h'!M37,'03.08 Kireka-Kinawataka-24h'!M37,'04.08 Kireka-Kinawataka'!M37)</f>
        <v>82.857142857142861</v>
      </c>
      <c r="N37" s="49">
        <f>AVERAGE('29.07 Kireka-Kinawataka'!N37,'30.07 Kireka-Kinawataka'!N37,'31.07 Kireka-Kinawataka'!N37,'02.08 Kireka-Kinawataka'!N37,'01.08 Kireka-Kinawataka-24h'!N37,'03.08 Kireka-Kinawataka-24h'!N37,'04.08 Kireka-Kinawataka'!N37)</f>
        <v>0</v>
      </c>
      <c r="O37" s="15">
        <f t="shared" si="0"/>
        <v>106.71428571428571</v>
      </c>
      <c r="P37" s="15">
        <f t="shared" si="1"/>
        <v>189.57142857142856</v>
      </c>
      <c r="R37" s="37" t="s">
        <v>85</v>
      </c>
      <c r="S37" s="35">
        <f t="shared" ref="S37:AF37" si="29">SUM(S10:S12)</f>
        <v>525.57142857142867</v>
      </c>
      <c r="T37" s="16">
        <f t="shared" si="29"/>
        <v>329.85714285714283</v>
      </c>
      <c r="U37" s="16">
        <f t="shared" si="29"/>
        <v>92.571428571428584</v>
      </c>
      <c r="V37" s="16">
        <f t="shared" si="29"/>
        <v>246.57142857142858</v>
      </c>
      <c r="W37" s="16">
        <f t="shared" si="29"/>
        <v>22.714285714285715</v>
      </c>
      <c r="X37" s="16">
        <f t="shared" si="29"/>
        <v>5.7142857142857135</v>
      </c>
      <c r="Y37" s="16">
        <f t="shared" si="29"/>
        <v>39.285714285714285</v>
      </c>
      <c r="Z37" s="16">
        <f t="shared" si="29"/>
        <v>59.714285714285722</v>
      </c>
      <c r="AA37" s="16">
        <f t="shared" si="29"/>
        <v>23.714285714285715</v>
      </c>
      <c r="AB37" s="16">
        <f t="shared" si="29"/>
        <v>22.571428571428569</v>
      </c>
      <c r="AC37" s="16">
        <f t="shared" si="29"/>
        <v>1545.5714285714287</v>
      </c>
      <c r="AD37" s="16">
        <f t="shared" si="29"/>
        <v>0</v>
      </c>
      <c r="AE37" s="32">
        <f t="shared" si="29"/>
        <v>1368.2857142857142</v>
      </c>
      <c r="AF37" s="32">
        <f t="shared" si="29"/>
        <v>2913.8571428571431</v>
      </c>
    </row>
    <row r="38" spans="2:32" ht="23.1" customHeight="1" x14ac:dyDescent="0.25">
      <c r="B38" s="24" t="s">
        <v>65</v>
      </c>
      <c r="C38" s="49">
        <f>AVERAGE('29.07 Kireka-Kinawataka'!C38,'30.07 Kireka-Kinawataka'!C38,'31.07 Kireka-Kinawataka'!C38,'02.08 Kireka-Kinawataka'!C38,'01.08 Kireka-Kinawataka-24h'!C38,'03.08 Kireka-Kinawataka-24h'!C38,'04.08 Kireka-Kinawataka'!C38)</f>
        <v>28.285714285714285</v>
      </c>
      <c r="D38" s="49">
        <f>AVERAGE('29.07 Kireka-Kinawataka'!D38,'30.07 Kireka-Kinawataka'!D38,'31.07 Kireka-Kinawataka'!D38,'02.08 Kireka-Kinawataka'!D38,'01.08 Kireka-Kinawataka-24h'!D38,'03.08 Kireka-Kinawataka-24h'!D38,'04.08 Kireka-Kinawataka'!D38)</f>
        <v>16</v>
      </c>
      <c r="E38" s="49">
        <f>AVERAGE('29.07 Kireka-Kinawataka'!E38,'30.07 Kireka-Kinawataka'!E38,'31.07 Kireka-Kinawataka'!E38,'02.08 Kireka-Kinawataka'!E38,'01.08 Kireka-Kinawataka-24h'!E38,'03.08 Kireka-Kinawataka-24h'!E38,'04.08 Kireka-Kinawataka'!E38)</f>
        <v>6.5714285714285712</v>
      </c>
      <c r="F38" s="49">
        <f>AVERAGE('29.07 Kireka-Kinawataka'!F38,'30.07 Kireka-Kinawataka'!F38,'31.07 Kireka-Kinawataka'!F38,'02.08 Kireka-Kinawataka'!F38,'01.08 Kireka-Kinawataka-24h'!F38,'03.08 Kireka-Kinawataka-24h'!F38,'04.08 Kireka-Kinawataka'!F38)</f>
        <v>13</v>
      </c>
      <c r="G38" s="49">
        <f>AVERAGE('29.07 Kireka-Kinawataka'!G38,'30.07 Kireka-Kinawataka'!G38,'31.07 Kireka-Kinawataka'!G38,'02.08 Kireka-Kinawataka'!G38,'01.08 Kireka-Kinawataka-24h'!G38,'03.08 Kireka-Kinawataka-24h'!G38,'04.08 Kireka-Kinawataka'!G38)</f>
        <v>0.14285714285714285</v>
      </c>
      <c r="H38" s="49">
        <f>AVERAGE('29.07 Kireka-Kinawataka'!H38,'30.07 Kireka-Kinawataka'!H38,'31.07 Kireka-Kinawataka'!H38,'02.08 Kireka-Kinawataka'!H38,'01.08 Kireka-Kinawataka-24h'!H38,'03.08 Kireka-Kinawataka-24h'!H38,'04.08 Kireka-Kinawataka'!H38)</f>
        <v>0.14285714285714285</v>
      </c>
      <c r="I38" s="49">
        <f>AVERAGE('29.07 Kireka-Kinawataka'!I38,'30.07 Kireka-Kinawataka'!I38,'31.07 Kireka-Kinawataka'!I38,'02.08 Kireka-Kinawataka'!I38,'01.08 Kireka-Kinawataka-24h'!I38,'03.08 Kireka-Kinawataka-24h'!I38,'04.08 Kireka-Kinawataka'!I38)</f>
        <v>6.8571428571428568</v>
      </c>
      <c r="J38" s="49">
        <f>AVERAGE('29.07 Kireka-Kinawataka'!J38,'30.07 Kireka-Kinawataka'!J38,'31.07 Kireka-Kinawataka'!J38,'02.08 Kireka-Kinawataka'!J38,'01.08 Kireka-Kinawataka-24h'!J38,'03.08 Kireka-Kinawataka-24h'!J38,'04.08 Kireka-Kinawataka'!J38)</f>
        <v>6.4285714285714288</v>
      </c>
      <c r="K38" s="49">
        <f>AVERAGE('29.07 Kireka-Kinawataka'!K38,'30.07 Kireka-Kinawataka'!K38,'31.07 Kireka-Kinawataka'!K38,'02.08 Kireka-Kinawataka'!K38,'01.08 Kireka-Kinawataka-24h'!K38,'03.08 Kireka-Kinawataka-24h'!K38,'04.08 Kireka-Kinawataka'!K38)</f>
        <v>3</v>
      </c>
      <c r="L38" s="49">
        <f>AVERAGE('29.07 Kireka-Kinawataka'!L38,'30.07 Kireka-Kinawataka'!L38,'31.07 Kireka-Kinawataka'!L38,'02.08 Kireka-Kinawataka'!L38,'01.08 Kireka-Kinawataka-24h'!L38,'03.08 Kireka-Kinawataka-24h'!L38,'04.08 Kireka-Kinawataka'!L38)</f>
        <v>3.7142857142857144</v>
      </c>
      <c r="M38" s="49">
        <f>AVERAGE('29.07 Kireka-Kinawataka'!M38,'30.07 Kireka-Kinawataka'!M38,'31.07 Kireka-Kinawataka'!M38,'02.08 Kireka-Kinawataka'!M38,'01.08 Kireka-Kinawataka-24h'!M38,'03.08 Kireka-Kinawataka-24h'!M38,'04.08 Kireka-Kinawataka'!M38)</f>
        <v>97.428571428571431</v>
      </c>
      <c r="N38" s="49">
        <f>AVERAGE('29.07 Kireka-Kinawataka'!N38,'30.07 Kireka-Kinawataka'!N38,'31.07 Kireka-Kinawataka'!N38,'02.08 Kireka-Kinawataka'!N38,'01.08 Kireka-Kinawataka-24h'!N38,'03.08 Kireka-Kinawataka-24h'!N38,'04.08 Kireka-Kinawataka'!N38)</f>
        <v>0</v>
      </c>
      <c r="O38" s="15">
        <f t="shared" si="0"/>
        <v>84.142857142857139</v>
      </c>
      <c r="P38" s="15">
        <f t="shared" si="1"/>
        <v>181.57142857142856</v>
      </c>
      <c r="R38" s="28" t="s">
        <v>86</v>
      </c>
      <c r="S38" s="16">
        <f t="shared" ref="S38:AF38" si="30">SUM(S13:S18)</f>
        <v>836.71428571428578</v>
      </c>
      <c r="T38" s="16">
        <f t="shared" si="30"/>
        <v>554.57142857142856</v>
      </c>
      <c r="U38" s="16">
        <f t="shared" si="30"/>
        <v>180.42857142857144</v>
      </c>
      <c r="V38" s="16">
        <f t="shared" si="30"/>
        <v>406</v>
      </c>
      <c r="W38" s="16">
        <f t="shared" si="30"/>
        <v>17.142857142857142</v>
      </c>
      <c r="X38" s="16">
        <f t="shared" si="30"/>
        <v>5.8571428571428568</v>
      </c>
      <c r="Y38" s="16">
        <f t="shared" si="30"/>
        <v>145</v>
      </c>
      <c r="Z38" s="16">
        <f t="shared" si="30"/>
        <v>187.85714285714286</v>
      </c>
      <c r="AA38" s="16">
        <f t="shared" si="30"/>
        <v>85.999999999999986</v>
      </c>
      <c r="AB38" s="16">
        <f t="shared" si="30"/>
        <v>77.428571428571431</v>
      </c>
      <c r="AC38" s="16">
        <f t="shared" si="30"/>
        <v>2363</v>
      </c>
      <c r="AD38" s="16">
        <f t="shared" si="30"/>
        <v>0.85714285714285698</v>
      </c>
      <c r="AE38" s="32">
        <f t="shared" si="30"/>
        <v>2497.8571428571431</v>
      </c>
      <c r="AF38" s="32">
        <f t="shared" si="30"/>
        <v>4860.8571428571431</v>
      </c>
    </row>
    <row r="39" spans="2:32" ht="23.1" customHeight="1" x14ac:dyDescent="0.25">
      <c r="B39" s="24" t="s">
        <v>66</v>
      </c>
      <c r="C39" s="49">
        <f>AVERAGE('29.07 Kireka-Kinawataka'!C39,'30.07 Kireka-Kinawataka'!C39,'31.07 Kireka-Kinawataka'!C39,'02.08 Kireka-Kinawataka'!C39,'01.08 Kireka-Kinawataka-24h'!C39,'03.08 Kireka-Kinawataka-24h'!C39,'04.08 Kireka-Kinawataka'!C39)</f>
        <v>34.714285714285715</v>
      </c>
      <c r="D39" s="49">
        <f>AVERAGE('29.07 Kireka-Kinawataka'!D39,'30.07 Kireka-Kinawataka'!D39,'31.07 Kireka-Kinawataka'!D39,'02.08 Kireka-Kinawataka'!D39,'01.08 Kireka-Kinawataka-24h'!D39,'03.08 Kireka-Kinawataka-24h'!D39,'04.08 Kireka-Kinawataka'!D39)</f>
        <v>20.285714285714285</v>
      </c>
      <c r="E39" s="49">
        <f>AVERAGE('29.07 Kireka-Kinawataka'!E39,'30.07 Kireka-Kinawataka'!E39,'31.07 Kireka-Kinawataka'!E39,'02.08 Kireka-Kinawataka'!E39,'01.08 Kireka-Kinawataka-24h'!E39,'03.08 Kireka-Kinawataka-24h'!E39,'04.08 Kireka-Kinawataka'!E39)</f>
        <v>10.142857142857142</v>
      </c>
      <c r="F39" s="49">
        <f>AVERAGE('29.07 Kireka-Kinawataka'!F39,'30.07 Kireka-Kinawataka'!F39,'31.07 Kireka-Kinawataka'!F39,'02.08 Kireka-Kinawataka'!F39,'01.08 Kireka-Kinawataka-24h'!F39,'03.08 Kireka-Kinawataka-24h'!F39,'04.08 Kireka-Kinawataka'!F39)</f>
        <v>16.857142857142858</v>
      </c>
      <c r="G39" s="49">
        <f>AVERAGE('29.07 Kireka-Kinawataka'!G39,'30.07 Kireka-Kinawataka'!G39,'31.07 Kireka-Kinawataka'!G39,'02.08 Kireka-Kinawataka'!G39,'01.08 Kireka-Kinawataka-24h'!G39,'03.08 Kireka-Kinawataka-24h'!G39,'04.08 Kireka-Kinawataka'!G39)</f>
        <v>0.7142857142857143</v>
      </c>
      <c r="H39" s="49">
        <f>AVERAGE('29.07 Kireka-Kinawataka'!H39,'30.07 Kireka-Kinawataka'!H39,'31.07 Kireka-Kinawataka'!H39,'02.08 Kireka-Kinawataka'!H39,'01.08 Kireka-Kinawataka-24h'!H39,'03.08 Kireka-Kinawataka-24h'!H39,'04.08 Kireka-Kinawataka'!H39)</f>
        <v>0.14285714285714285</v>
      </c>
      <c r="I39" s="49">
        <f>AVERAGE('29.07 Kireka-Kinawataka'!I39,'30.07 Kireka-Kinawataka'!I39,'31.07 Kireka-Kinawataka'!I39,'02.08 Kireka-Kinawataka'!I39,'01.08 Kireka-Kinawataka-24h'!I39,'03.08 Kireka-Kinawataka-24h'!I39,'04.08 Kireka-Kinawataka'!I39)</f>
        <v>6.8571428571428568</v>
      </c>
      <c r="J39" s="49">
        <f>AVERAGE('29.07 Kireka-Kinawataka'!J39,'30.07 Kireka-Kinawataka'!J39,'31.07 Kireka-Kinawataka'!J39,'02.08 Kireka-Kinawataka'!J39,'01.08 Kireka-Kinawataka-24h'!J39,'03.08 Kireka-Kinawataka-24h'!J39,'04.08 Kireka-Kinawataka'!J39)</f>
        <v>8.4285714285714288</v>
      </c>
      <c r="K39" s="49">
        <f>AVERAGE('29.07 Kireka-Kinawataka'!K39,'30.07 Kireka-Kinawataka'!K39,'31.07 Kireka-Kinawataka'!K39,'02.08 Kireka-Kinawataka'!K39,'01.08 Kireka-Kinawataka-24h'!K39,'03.08 Kireka-Kinawataka-24h'!K39,'04.08 Kireka-Kinawataka'!K39)</f>
        <v>2.8571428571428572</v>
      </c>
      <c r="L39" s="49">
        <f>AVERAGE('29.07 Kireka-Kinawataka'!L39,'30.07 Kireka-Kinawataka'!L39,'31.07 Kireka-Kinawataka'!L39,'02.08 Kireka-Kinawataka'!L39,'01.08 Kireka-Kinawataka-24h'!L39,'03.08 Kireka-Kinawataka-24h'!L39,'04.08 Kireka-Kinawataka'!L39)</f>
        <v>3.2857142857142856</v>
      </c>
      <c r="M39" s="49">
        <f>AVERAGE('29.07 Kireka-Kinawataka'!M39,'30.07 Kireka-Kinawataka'!M39,'31.07 Kireka-Kinawataka'!M39,'02.08 Kireka-Kinawataka'!M39,'01.08 Kireka-Kinawataka-24h'!M39,'03.08 Kireka-Kinawataka-24h'!M39,'04.08 Kireka-Kinawataka'!M39)</f>
        <v>78.571428571428569</v>
      </c>
      <c r="N39" s="49">
        <f>AVERAGE('29.07 Kireka-Kinawataka'!N39,'30.07 Kireka-Kinawataka'!N39,'31.07 Kireka-Kinawataka'!N39,'02.08 Kireka-Kinawataka'!N39,'01.08 Kireka-Kinawataka-24h'!N39,'03.08 Kireka-Kinawataka-24h'!N39,'04.08 Kireka-Kinawataka'!N39)</f>
        <v>0</v>
      </c>
      <c r="O39" s="15">
        <f t="shared" si="0"/>
        <v>104.28571428571429</v>
      </c>
      <c r="P39" s="15">
        <f t="shared" si="1"/>
        <v>182.85714285714286</v>
      </c>
      <c r="R39" s="29" t="s">
        <v>87</v>
      </c>
      <c r="S39" s="16">
        <f t="shared" ref="S39:AF39" si="31">SUM(S19:S21)</f>
        <v>400.71428571428567</v>
      </c>
      <c r="T39" s="16">
        <f t="shared" si="31"/>
        <v>261.71428571428572</v>
      </c>
      <c r="U39" s="16">
        <f t="shared" si="31"/>
        <v>95</v>
      </c>
      <c r="V39" s="16">
        <f t="shared" si="31"/>
        <v>236.28571428571428</v>
      </c>
      <c r="W39" s="16">
        <f t="shared" si="31"/>
        <v>12.428571428571431</v>
      </c>
      <c r="X39" s="16">
        <f t="shared" si="31"/>
        <v>1.1428571428571428</v>
      </c>
      <c r="Y39" s="16">
        <f t="shared" si="31"/>
        <v>70.857142857142861</v>
      </c>
      <c r="Z39" s="16">
        <f t="shared" si="31"/>
        <v>91.857142857142861</v>
      </c>
      <c r="AA39" s="16">
        <f t="shared" si="31"/>
        <v>27.428571428571431</v>
      </c>
      <c r="AB39" s="16">
        <f t="shared" si="31"/>
        <v>27.285714285714285</v>
      </c>
      <c r="AC39" s="16">
        <f t="shared" si="31"/>
        <v>1242.2857142857142</v>
      </c>
      <c r="AD39" s="16">
        <f t="shared" si="31"/>
        <v>0.2857142857142857</v>
      </c>
      <c r="AE39" s="32">
        <f t="shared" si="31"/>
        <v>1225</v>
      </c>
      <c r="AF39" s="32">
        <f t="shared" si="31"/>
        <v>2467.2857142857142</v>
      </c>
    </row>
    <row r="40" spans="2:32" ht="23.1" customHeight="1" x14ac:dyDescent="0.25">
      <c r="B40" s="24" t="s">
        <v>67</v>
      </c>
      <c r="C40" s="49">
        <f>AVERAGE('29.07 Kireka-Kinawataka'!C40,'30.07 Kireka-Kinawataka'!C40,'31.07 Kireka-Kinawataka'!C40,'02.08 Kireka-Kinawataka'!C40,'01.08 Kireka-Kinawataka-24h'!C40,'03.08 Kireka-Kinawataka-24h'!C40,'04.08 Kireka-Kinawataka'!C40)</f>
        <v>29.428571428571427</v>
      </c>
      <c r="D40" s="49">
        <f>AVERAGE('29.07 Kireka-Kinawataka'!D40,'30.07 Kireka-Kinawataka'!D40,'31.07 Kireka-Kinawataka'!D40,'02.08 Kireka-Kinawataka'!D40,'01.08 Kireka-Kinawataka-24h'!D40,'03.08 Kireka-Kinawataka-24h'!D40,'04.08 Kireka-Kinawataka'!D40)</f>
        <v>23.571428571428573</v>
      </c>
      <c r="E40" s="49">
        <f>AVERAGE('29.07 Kireka-Kinawataka'!E40,'30.07 Kireka-Kinawataka'!E40,'31.07 Kireka-Kinawataka'!E40,'02.08 Kireka-Kinawataka'!E40,'01.08 Kireka-Kinawataka-24h'!E40,'03.08 Kireka-Kinawataka-24h'!E40,'04.08 Kireka-Kinawataka'!E40)</f>
        <v>7.4285714285714288</v>
      </c>
      <c r="F40" s="49">
        <f>AVERAGE('29.07 Kireka-Kinawataka'!F40,'30.07 Kireka-Kinawataka'!F40,'31.07 Kireka-Kinawataka'!F40,'02.08 Kireka-Kinawataka'!F40,'01.08 Kireka-Kinawataka-24h'!F40,'03.08 Kireka-Kinawataka-24h'!F40,'04.08 Kireka-Kinawataka'!F40)</f>
        <v>18.285714285714285</v>
      </c>
      <c r="G40" s="49">
        <f>AVERAGE('29.07 Kireka-Kinawataka'!G40,'30.07 Kireka-Kinawataka'!G40,'31.07 Kireka-Kinawataka'!G40,'02.08 Kireka-Kinawataka'!G40,'01.08 Kireka-Kinawataka-24h'!G40,'03.08 Kireka-Kinawataka-24h'!G40,'04.08 Kireka-Kinawataka'!G40)</f>
        <v>1.4285714285714286</v>
      </c>
      <c r="H40" s="49">
        <f>AVERAGE('29.07 Kireka-Kinawataka'!H40,'30.07 Kireka-Kinawataka'!H40,'31.07 Kireka-Kinawataka'!H40,'02.08 Kireka-Kinawataka'!H40,'01.08 Kireka-Kinawataka-24h'!H40,'03.08 Kireka-Kinawataka-24h'!H40,'04.08 Kireka-Kinawataka'!H40)</f>
        <v>0</v>
      </c>
      <c r="I40" s="49">
        <f>AVERAGE('29.07 Kireka-Kinawataka'!I40,'30.07 Kireka-Kinawataka'!I40,'31.07 Kireka-Kinawataka'!I40,'02.08 Kireka-Kinawataka'!I40,'01.08 Kireka-Kinawataka-24h'!I40,'03.08 Kireka-Kinawataka-24h'!I40,'04.08 Kireka-Kinawataka'!I40)</f>
        <v>4.5714285714285712</v>
      </c>
      <c r="J40" s="49">
        <f>AVERAGE('29.07 Kireka-Kinawataka'!J40,'30.07 Kireka-Kinawataka'!J40,'31.07 Kireka-Kinawataka'!J40,'02.08 Kireka-Kinawataka'!J40,'01.08 Kireka-Kinawataka-24h'!J40,'03.08 Kireka-Kinawataka-24h'!J40,'04.08 Kireka-Kinawataka'!J40)</f>
        <v>9</v>
      </c>
      <c r="K40" s="49">
        <f>AVERAGE('29.07 Kireka-Kinawataka'!K40,'30.07 Kireka-Kinawataka'!K40,'31.07 Kireka-Kinawataka'!K40,'02.08 Kireka-Kinawataka'!K40,'01.08 Kireka-Kinawataka-24h'!K40,'03.08 Kireka-Kinawataka-24h'!K40,'04.08 Kireka-Kinawataka'!K40)</f>
        <v>2</v>
      </c>
      <c r="L40" s="49">
        <f>AVERAGE('29.07 Kireka-Kinawataka'!L40,'30.07 Kireka-Kinawataka'!L40,'31.07 Kireka-Kinawataka'!L40,'02.08 Kireka-Kinawataka'!L40,'01.08 Kireka-Kinawataka-24h'!L40,'03.08 Kireka-Kinawataka-24h'!L40,'04.08 Kireka-Kinawataka'!L40)</f>
        <v>0.7142857142857143</v>
      </c>
      <c r="M40" s="49">
        <f>AVERAGE('29.07 Kireka-Kinawataka'!M40,'30.07 Kireka-Kinawataka'!M40,'31.07 Kireka-Kinawataka'!M40,'02.08 Kireka-Kinawataka'!M40,'01.08 Kireka-Kinawataka-24h'!M40,'03.08 Kireka-Kinawataka-24h'!M40,'04.08 Kireka-Kinawataka'!M40)</f>
        <v>93.857142857142861</v>
      </c>
      <c r="N40" s="49">
        <f>AVERAGE('29.07 Kireka-Kinawataka'!N40,'30.07 Kireka-Kinawataka'!N40,'31.07 Kireka-Kinawataka'!N40,'02.08 Kireka-Kinawataka'!N40,'01.08 Kireka-Kinawataka-24h'!N40,'03.08 Kireka-Kinawataka-24h'!N40,'04.08 Kireka-Kinawataka'!N40)</f>
        <v>0</v>
      </c>
      <c r="O40" s="15">
        <f t="shared" si="0"/>
        <v>96.428571428571431</v>
      </c>
      <c r="P40" s="15">
        <f t="shared" si="1"/>
        <v>190.28571428571428</v>
      </c>
      <c r="R40" s="5" t="s">
        <v>17</v>
      </c>
      <c r="S40" s="16">
        <f t="shared" ref="S40:AF40" si="32">SUM(S10:S21)</f>
        <v>1763.0000000000002</v>
      </c>
      <c r="T40" s="16">
        <f t="shared" si="32"/>
        <v>1146.1428571428571</v>
      </c>
      <c r="U40" s="16">
        <f t="shared" si="32"/>
        <v>368</v>
      </c>
      <c r="V40" s="16">
        <f t="shared" si="32"/>
        <v>888.85714285714278</v>
      </c>
      <c r="W40" s="16">
        <f t="shared" si="32"/>
        <v>52.285714285714285</v>
      </c>
      <c r="X40" s="16">
        <f t="shared" si="32"/>
        <v>12.714285714285715</v>
      </c>
      <c r="Y40" s="16">
        <f t="shared" si="32"/>
        <v>255.14285714285714</v>
      </c>
      <c r="Z40" s="16">
        <f t="shared" si="32"/>
        <v>339.42857142857144</v>
      </c>
      <c r="AA40" s="16">
        <f t="shared" si="32"/>
        <v>137.14285714285714</v>
      </c>
      <c r="AB40" s="16">
        <f t="shared" si="32"/>
        <v>127.28571428571429</v>
      </c>
      <c r="AC40" s="16">
        <f t="shared" si="32"/>
        <v>5150.8571428571431</v>
      </c>
      <c r="AD40" s="16">
        <f t="shared" si="32"/>
        <v>1.1428571428571428</v>
      </c>
      <c r="AE40" s="32">
        <f t="shared" si="32"/>
        <v>5091.1428571428578</v>
      </c>
      <c r="AF40" s="32">
        <f t="shared" si="32"/>
        <v>10241.999999999998</v>
      </c>
    </row>
    <row r="41" spans="2:32" ht="23.1" customHeight="1" x14ac:dyDescent="0.25">
      <c r="B41" s="23" t="s">
        <v>68</v>
      </c>
      <c r="C41" s="49">
        <f>AVERAGE('29.07 Kireka-Kinawataka'!C41,'30.07 Kireka-Kinawataka'!C41,'31.07 Kireka-Kinawataka'!C41,'02.08 Kireka-Kinawataka'!C41,'01.08 Kireka-Kinawataka-24h'!C41,'03.08 Kireka-Kinawataka-24h'!C41,'04.08 Kireka-Kinawataka'!C41)</f>
        <v>33.285714285714285</v>
      </c>
      <c r="D41" s="49">
        <f>AVERAGE('29.07 Kireka-Kinawataka'!D41,'30.07 Kireka-Kinawataka'!D41,'31.07 Kireka-Kinawataka'!D41,'02.08 Kireka-Kinawataka'!D41,'01.08 Kireka-Kinawataka-24h'!D41,'03.08 Kireka-Kinawataka-24h'!D41,'04.08 Kireka-Kinawataka'!D41)</f>
        <v>23.428571428571427</v>
      </c>
      <c r="E41" s="49">
        <f>AVERAGE('29.07 Kireka-Kinawataka'!E41,'30.07 Kireka-Kinawataka'!E41,'31.07 Kireka-Kinawataka'!E41,'02.08 Kireka-Kinawataka'!E41,'01.08 Kireka-Kinawataka-24h'!E41,'03.08 Kireka-Kinawataka-24h'!E41,'04.08 Kireka-Kinawataka'!E41)</f>
        <v>6.2857142857142856</v>
      </c>
      <c r="F41" s="49">
        <f>AVERAGE('29.07 Kireka-Kinawataka'!F41,'30.07 Kireka-Kinawataka'!F41,'31.07 Kireka-Kinawataka'!F41,'02.08 Kireka-Kinawataka'!F41,'01.08 Kireka-Kinawataka-24h'!F41,'03.08 Kireka-Kinawataka-24h'!F41,'04.08 Kireka-Kinawataka'!F41)</f>
        <v>15.857142857142858</v>
      </c>
      <c r="G41" s="49">
        <f>AVERAGE('29.07 Kireka-Kinawataka'!G41,'30.07 Kireka-Kinawataka'!G41,'31.07 Kireka-Kinawataka'!G41,'02.08 Kireka-Kinawataka'!G41,'01.08 Kireka-Kinawataka-24h'!G41,'03.08 Kireka-Kinawataka-24h'!G41,'04.08 Kireka-Kinawataka'!G41)</f>
        <v>0.14285714285714285</v>
      </c>
      <c r="H41" s="49">
        <f>AVERAGE('29.07 Kireka-Kinawataka'!H41,'30.07 Kireka-Kinawataka'!H41,'31.07 Kireka-Kinawataka'!H41,'02.08 Kireka-Kinawataka'!H41,'01.08 Kireka-Kinawataka-24h'!H41,'03.08 Kireka-Kinawataka-24h'!H41,'04.08 Kireka-Kinawataka'!H41)</f>
        <v>0.14285714285714285</v>
      </c>
      <c r="I41" s="49">
        <f>AVERAGE('29.07 Kireka-Kinawataka'!I41,'30.07 Kireka-Kinawataka'!I41,'31.07 Kireka-Kinawataka'!I41,'02.08 Kireka-Kinawataka'!I41,'01.08 Kireka-Kinawataka-24h'!I41,'03.08 Kireka-Kinawataka-24h'!I41,'04.08 Kireka-Kinawataka'!I41)</f>
        <v>5.7142857142857144</v>
      </c>
      <c r="J41" s="49">
        <f>AVERAGE('29.07 Kireka-Kinawataka'!J41,'30.07 Kireka-Kinawataka'!J41,'31.07 Kireka-Kinawataka'!J41,'02.08 Kireka-Kinawataka'!J41,'01.08 Kireka-Kinawataka-24h'!J41,'03.08 Kireka-Kinawataka-24h'!J41,'04.08 Kireka-Kinawataka'!J41)</f>
        <v>7.7142857142857144</v>
      </c>
      <c r="K41" s="49">
        <f>AVERAGE('29.07 Kireka-Kinawataka'!K41,'30.07 Kireka-Kinawataka'!K41,'31.07 Kireka-Kinawataka'!K41,'02.08 Kireka-Kinawataka'!K41,'01.08 Kireka-Kinawataka-24h'!K41,'03.08 Kireka-Kinawataka-24h'!K41,'04.08 Kireka-Kinawataka'!K41)</f>
        <v>2.7142857142857144</v>
      </c>
      <c r="L41" s="49">
        <f>AVERAGE('29.07 Kireka-Kinawataka'!L41,'30.07 Kireka-Kinawataka'!L41,'31.07 Kireka-Kinawataka'!L41,'02.08 Kireka-Kinawataka'!L41,'01.08 Kireka-Kinawataka-24h'!L41,'03.08 Kireka-Kinawataka-24h'!L41,'04.08 Kireka-Kinawataka'!L41)</f>
        <v>2.5714285714285716</v>
      </c>
      <c r="M41" s="49">
        <f>AVERAGE('29.07 Kireka-Kinawataka'!M41,'30.07 Kireka-Kinawataka'!M41,'31.07 Kireka-Kinawataka'!M41,'02.08 Kireka-Kinawataka'!M41,'01.08 Kireka-Kinawataka-24h'!M41,'03.08 Kireka-Kinawataka-24h'!M41,'04.08 Kireka-Kinawataka'!M41)</f>
        <v>113.28571428571429</v>
      </c>
      <c r="N41" s="49">
        <f>AVERAGE('29.07 Kireka-Kinawataka'!N41,'30.07 Kireka-Kinawataka'!N41,'31.07 Kireka-Kinawataka'!N41,'02.08 Kireka-Kinawataka'!N41,'01.08 Kireka-Kinawataka-24h'!N41,'03.08 Kireka-Kinawataka-24h'!N41,'04.08 Kireka-Kinawataka'!N41)</f>
        <v>0</v>
      </c>
      <c r="O41" s="15">
        <f t="shared" si="0"/>
        <v>97.857142857142819</v>
      </c>
      <c r="P41" s="15">
        <f t="shared" si="1"/>
        <v>211.14285714285711</v>
      </c>
      <c r="R41" s="5" t="s">
        <v>180</v>
      </c>
      <c r="S41" s="52">
        <f>SUM(S10:S33)</f>
        <v>2887</v>
      </c>
      <c r="T41" s="52">
        <f t="shared" ref="T41:AD41" si="33">SUM(T10:T33)</f>
        <v>1337.1428571428571</v>
      </c>
      <c r="U41" s="52">
        <f t="shared" si="33"/>
        <v>534.5</v>
      </c>
      <c r="V41" s="52">
        <f t="shared" si="33"/>
        <v>1348.3571428571427</v>
      </c>
      <c r="W41" s="52">
        <f t="shared" si="33"/>
        <v>82.285714285714278</v>
      </c>
      <c r="X41" s="52">
        <f t="shared" si="33"/>
        <v>16.214285714285715</v>
      </c>
      <c r="Y41" s="52">
        <f t="shared" si="33"/>
        <v>356.64285714285711</v>
      </c>
      <c r="Z41" s="52">
        <f t="shared" si="33"/>
        <v>391.42857142857144</v>
      </c>
      <c r="AA41" s="52">
        <f t="shared" si="33"/>
        <v>152.64285714285714</v>
      </c>
      <c r="AB41" s="52">
        <f t="shared" si="33"/>
        <v>150.78571428571428</v>
      </c>
      <c r="AC41" s="52">
        <f t="shared" si="33"/>
        <v>9078.8571428571431</v>
      </c>
      <c r="AD41" s="52">
        <f t="shared" si="33"/>
        <v>1.6428571428571428</v>
      </c>
      <c r="AE41" s="53">
        <f>SUM(AE10:AE33)</f>
        <v>7258.6428571428578</v>
      </c>
      <c r="AF41" s="53">
        <f>SUM(AF10:AF33)</f>
        <v>16337.499999999998</v>
      </c>
    </row>
    <row r="42" spans="2:32" ht="23.1" customHeight="1" x14ac:dyDescent="0.25">
      <c r="B42" s="24" t="s">
        <v>69</v>
      </c>
      <c r="C42" s="49">
        <f>AVERAGE('29.07 Kireka-Kinawataka'!C42,'30.07 Kireka-Kinawataka'!C42,'31.07 Kireka-Kinawataka'!C42,'02.08 Kireka-Kinawataka'!C42,'01.08 Kireka-Kinawataka-24h'!C42,'03.08 Kireka-Kinawataka-24h'!C42,'04.08 Kireka-Kinawataka'!C42)</f>
        <v>31.571428571428573</v>
      </c>
      <c r="D42" s="49">
        <f>AVERAGE('29.07 Kireka-Kinawataka'!D42,'30.07 Kireka-Kinawataka'!D42,'31.07 Kireka-Kinawataka'!D42,'02.08 Kireka-Kinawataka'!D42,'01.08 Kireka-Kinawataka-24h'!D42,'03.08 Kireka-Kinawataka-24h'!D42,'04.08 Kireka-Kinawataka'!D42)</f>
        <v>18.142857142857142</v>
      </c>
      <c r="E42" s="49">
        <f>AVERAGE('29.07 Kireka-Kinawataka'!E42,'30.07 Kireka-Kinawataka'!E42,'31.07 Kireka-Kinawataka'!E42,'02.08 Kireka-Kinawataka'!E42,'01.08 Kireka-Kinawataka-24h'!E42,'03.08 Kireka-Kinawataka-24h'!E42,'04.08 Kireka-Kinawataka'!E42)</f>
        <v>8.5714285714285712</v>
      </c>
      <c r="F42" s="49">
        <f>AVERAGE('29.07 Kireka-Kinawataka'!F42,'30.07 Kireka-Kinawataka'!F42,'31.07 Kireka-Kinawataka'!F42,'02.08 Kireka-Kinawataka'!F42,'01.08 Kireka-Kinawataka-24h'!F42,'03.08 Kireka-Kinawataka-24h'!F42,'04.08 Kireka-Kinawataka'!F42)</f>
        <v>18.285714285714285</v>
      </c>
      <c r="G42" s="49">
        <f>AVERAGE('29.07 Kireka-Kinawataka'!G42,'30.07 Kireka-Kinawataka'!G42,'31.07 Kireka-Kinawataka'!G42,'02.08 Kireka-Kinawataka'!G42,'01.08 Kireka-Kinawataka-24h'!G42,'03.08 Kireka-Kinawataka-24h'!G42,'04.08 Kireka-Kinawataka'!G42)</f>
        <v>0.2857142857142857</v>
      </c>
      <c r="H42" s="49">
        <f>AVERAGE('29.07 Kireka-Kinawataka'!H42,'30.07 Kireka-Kinawataka'!H42,'31.07 Kireka-Kinawataka'!H42,'02.08 Kireka-Kinawataka'!H42,'01.08 Kireka-Kinawataka-24h'!H42,'03.08 Kireka-Kinawataka-24h'!H42,'04.08 Kireka-Kinawataka'!H42)</f>
        <v>0.14285714285714285</v>
      </c>
      <c r="I42" s="49">
        <f>AVERAGE('29.07 Kireka-Kinawataka'!I42,'30.07 Kireka-Kinawataka'!I42,'31.07 Kireka-Kinawataka'!I42,'02.08 Kireka-Kinawataka'!I42,'01.08 Kireka-Kinawataka-24h'!I42,'03.08 Kireka-Kinawataka-24h'!I42,'04.08 Kireka-Kinawataka'!I42)</f>
        <v>5.5714285714285712</v>
      </c>
      <c r="J42" s="49">
        <f>AVERAGE('29.07 Kireka-Kinawataka'!J42,'30.07 Kireka-Kinawataka'!J42,'31.07 Kireka-Kinawataka'!J42,'02.08 Kireka-Kinawataka'!J42,'01.08 Kireka-Kinawataka-24h'!J42,'03.08 Kireka-Kinawataka-24h'!J42,'04.08 Kireka-Kinawataka'!J42)</f>
        <v>9.1428571428571423</v>
      </c>
      <c r="K42" s="49">
        <f>AVERAGE('29.07 Kireka-Kinawataka'!K42,'30.07 Kireka-Kinawataka'!K42,'31.07 Kireka-Kinawataka'!K42,'02.08 Kireka-Kinawataka'!K42,'01.08 Kireka-Kinawataka-24h'!K42,'03.08 Kireka-Kinawataka-24h'!K42,'04.08 Kireka-Kinawataka'!K42)</f>
        <v>1.5714285714285714</v>
      </c>
      <c r="L42" s="49">
        <f>AVERAGE('29.07 Kireka-Kinawataka'!L42,'30.07 Kireka-Kinawataka'!L42,'31.07 Kireka-Kinawataka'!L42,'02.08 Kireka-Kinawataka'!L42,'01.08 Kireka-Kinawataka-24h'!L42,'03.08 Kireka-Kinawataka-24h'!L42,'04.08 Kireka-Kinawataka'!L42)</f>
        <v>2.1428571428571428</v>
      </c>
      <c r="M42" s="49">
        <f>AVERAGE('29.07 Kireka-Kinawataka'!M42,'30.07 Kireka-Kinawataka'!M42,'31.07 Kireka-Kinawataka'!M42,'02.08 Kireka-Kinawataka'!M42,'01.08 Kireka-Kinawataka-24h'!M42,'03.08 Kireka-Kinawataka-24h'!M42,'04.08 Kireka-Kinawataka'!M42)</f>
        <v>85.857142857142861</v>
      </c>
      <c r="N42" s="49">
        <f>AVERAGE('29.07 Kireka-Kinawataka'!N42,'30.07 Kireka-Kinawataka'!N42,'31.07 Kireka-Kinawataka'!N42,'02.08 Kireka-Kinawataka'!N42,'01.08 Kireka-Kinawataka-24h'!N42,'03.08 Kireka-Kinawataka-24h'!N42,'04.08 Kireka-Kinawataka'!N42)</f>
        <v>0</v>
      </c>
      <c r="O42" s="15">
        <f t="shared" si="0"/>
        <v>95.428571428571416</v>
      </c>
      <c r="P42" s="15">
        <f t="shared" si="1"/>
        <v>181.28571428571428</v>
      </c>
      <c r="R42" s="5" t="s">
        <v>160</v>
      </c>
      <c r="S42" s="48">
        <f>S41/S40</f>
        <v>1.6375496313102664</v>
      </c>
      <c r="T42" s="48">
        <f t="shared" ref="T42:AF42" si="34">T41/T40</f>
        <v>1.1666458930574599</v>
      </c>
      <c r="U42" s="48">
        <f t="shared" si="34"/>
        <v>1.4524456521739131</v>
      </c>
      <c r="V42" s="48">
        <f t="shared" si="34"/>
        <v>1.5169559627129539</v>
      </c>
      <c r="W42" s="48">
        <f t="shared" si="34"/>
        <v>1.5737704918032787</v>
      </c>
      <c r="X42" s="48">
        <f t="shared" si="34"/>
        <v>1.2752808988764044</v>
      </c>
      <c r="Y42" s="48">
        <f t="shared" si="34"/>
        <v>1.3978163493840985</v>
      </c>
      <c r="Z42" s="48">
        <f t="shared" si="34"/>
        <v>1.1531986531986531</v>
      </c>
      <c r="AA42" s="48">
        <f t="shared" si="34"/>
        <v>1.1130208333333333</v>
      </c>
      <c r="AB42" s="48">
        <f t="shared" si="34"/>
        <v>1.1846240179573511</v>
      </c>
      <c r="AC42" s="48">
        <f t="shared" si="34"/>
        <v>1.7625915242955403</v>
      </c>
      <c r="AD42" s="48">
        <f t="shared" si="34"/>
        <v>1.4375</v>
      </c>
      <c r="AE42" s="51">
        <f t="shared" si="34"/>
        <v>1.425739379314215</v>
      </c>
      <c r="AF42" s="51">
        <f t="shared" si="34"/>
        <v>1.5951474321421599</v>
      </c>
    </row>
    <row r="43" spans="2:32" ht="23.1" customHeight="1" x14ac:dyDescent="0.25">
      <c r="B43" s="23" t="s">
        <v>70</v>
      </c>
      <c r="C43" s="49">
        <f>AVERAGE('29.07 Kireka-Kinawataka'!C43,'30.07 Kireka-Kinawataka'!C43,'31.07 Kireka-Kinawataka'!C43,'02.08 Kireka-Kinawataka'!C43,'01.08 Kireka-Kinawataka-24h'!C43,'03.08 Kireka-Kinawataka-24h'!C43,'04.08 Kireka-Kinawataka'!C43)</f>
        <v>37.714285714285715</v>
      </c>
      <c r="D43" s="49">
        <f>AVERAGE('29.07 Kireka-Kinawataka'!D43,'30.07 Kireka-Kinawataka'!D43,'31.07 Kireka-Kinawataka'!D43,'02.08 Kireka-Kinawataka'!D43,'01.08 Kireka-Kinawataka-24h'!D43,'03.08 Kireka-Kinawataka-24h'!D43,'04.08 Kireka-Kinawataka'!D43)</f>
        <v>29.285714285714285</v>
      </c>
      <c r="E43" s="49">
        <f>AVERAGE('29.07 Kireka-Kinawataka'!E43,'30.07 Kireka-Kinawataka'!E43,'31.07 Kireka-Kinawataka'!E43,'02.08 Kireka-Kinawataka'!E43,'01.08 Kireka-Kinawataka-24h'!E43,'03.08 Kireka-Kinawataka-24h'!E43,'04.08 Kireka-Kinawataka'!E43)</f>
        <v>8.5714285714285712</v>
      </c>
      <c r="F43" s="49">
        <f>AVERAGE('29.07 Kireka-Kinawataka'!F43,'30.07 Kireka-Kinawataka'!F43,'31.07 Kireka-Kinawataka'!F43,'02.08 Kireka-Kinawataka'!F43,'01.08 Kireka-Kinawataka-24h'!F43,'03.08 Kireka-Kinawataka-24h'!F43,'04.08 Kireka-Kinawataka'!F43)</f>
        <v>15.142857142857142</v>
      </c>
      <c r="G43" s="49">
        <f>AVERAGE('29.07 Kireka-Kinawataka'!G43,'30.07 Kireka-Kinawataka'!G43,'31.07 Kireka-Kinawataka'!G43,'02.08 Kireka-Kinawataka'!G43,'01.08 Kireka-Kinawataka-24h'!G43,'03.08 Kireka-Kinawataka-24h'!G43,'04.08 Kireka-Kinawataka'!G43)</f>
        <v>0.2857142857142857</v>
      </c>
      <c r="H43" s="49">
        <f>AVERAGE('29.07 Kireka-Kinawataka'!H43,'30.07 Kireka-Kinawataka'!H43,'31.07 Kireka-Kinawataka'!H43,'02.08 Kireka-Kinawataka'!H43,'01.08 Kireka-Kinawataka-24h'!H43,'03.08 Kireka-Kinawataka-24h'!H43,'04.08 Kireka-Kinawataka'!H43)</f>
        <v>0.14285714285714285</v>
      </c>
      <c r="I43" s="49">
        <f>AVERAGE('29.07 Kireka-Kinawataka'!I43,'30.07 Kireka-Kinawataka'!I43,'31.07 Kireka-Kinawataka'!I43,'02.08 Kireka-Kinawataka'!I43,'01.08 Kireka-Kinawataka-24h'!I43,'03.08 Kireka-Kinawataka-24h'!I43,'04.08 Kireka-Kinawataka'!I43)</f>
        <v>5</v>
      </c>
      <c r="J43" s="49">
        <f>AVERAGE('29.07 Kireka-Kinawataka'!J43,'30.07 Kireka-Kinawataka'!J43,'31.07 Kireka-Kinawataka'!J43,'02.08 Kireka-Kinawataka'!J43,'01.08 Kireka-Kinawataka-24h'!J43,'03.08 Kireka-Kinawataka-24h'!J43,'04.08 Kireka-Kinawataka'!J43)</f>
        <v>9.4285714285714288</v>
      </c>
      <c r="K43" s="49">
        <f>AVERAGE('29.07 Kireka-Kinawataka'!K43,'30.07 Kireka-Kinawataka'!K43,'31.07 Kireka-Kinawataka'!K43,'02.08 Kireka-Kinawataka'!K43,'01.08 Kireka-Kinawataka-24h'!K43,'03.08 Kireka-Kinawataka-24h'!K43,'04.08 Kireka-Kinawataka'!K43)</f>
        <v>3.5714285714285716</v>
      </c>
      <c r="L43" s="49">
        <f>AVERAGE('29.07 Kireka-Kinawataka'!L43,'30.07 Kireka-Kinawataka'!L43,'31.07 Kireka-Kinawataka'!L43,'02.08 Kireka-Kinawataka'!L43,'01.08 Kireka-Kinawataka-24h'!L43,'03.08 Kireka-Kinawataka-24h'!L43,'04.08 Kireka-Kinawataka'!L43)</f>
        <v>3.1428571428571428</v>
      </c>
      <c r="M43" s="49">
        <f>AVERAGE('29.07 Kireka-Kinawataka'!M43,'30.07 Kireka-Kinawataka'!M43,'31.07 Kireka-Kinawataka'!M43,'02.08 Kireka-Kinawataka'!M43,'01.08 Kireka-Kinawataka-24h'!M43,'03.08 Kireka-Kinawataka-24h'!M43,'04.08 Kireka-Kinawataka'!M43)</f>
        <v>93.571428571428569</v>
      </c>
      <c r="N43" s="49">
        <f>AVERAGE('29.07 Kireka-Kinawataka'!N43,'30.07 Kireka-Kinawataka'!N43,'31.07 Kireka-Kinawataka'!N43,'02.08 Kireka-Kinawataka'!N43,'01.08 Kireka-Kinawataka-24h'!N43,'03.08 Kireka-Kinawataka-24h'!N43,'04.08 Kireka-Kinawataka'!N43)</f>
        <v>0</v>
      </c>
      <c r="O43" s="15">
        <f t="shared" si="0"/>
        <v>112.28571428571428</v>
      </c>
      <c r="P43" s="15">
        <f t="shared" si="1"/>
        <v>205.85714285714283</v>
      </c>
    </row>
    <row r="44" spans="2:32" ht="23.1" customHeight="1" x14ac:dyDescent="0.25">
      <c r="B44" s="25" t="s">
        <v>71</v>
      </c>
      <c r="C44" s="49">
        <f>AVERAGE('29.07 Kireka-Kinawataka'!C44,'30.07 Kireka-Kinawataka'!C44,'31.07 Kireka-Kinawataka'!C44,'02.08 Kireka-Kinawataka'!C44,'01.08 Kireka-Kinawataka-24h'!C44,'03.08 Kireka-Kinawataka-24h'!C44,'04.08 Kireka-Kinawataka'!C44)</f>
        <v>32.571428571428569</v>
      </c>
      <c r="D44" s="49">
        <f>AVERAGE('29.07 Kireka-Kinawataka'!D44,'30.07 Kireka-Kinawataka'!D44,'31.07 Kireka-Kinawataka'!D44,'02.08 Kireka-Kinawataka'!D44,'01.08 Kireka-Kinawataka-24h'!D44,'03.08 Kireka-Kinawataka-24h'!D44,'04.08 Kireka-Kinawataka'!D44)</f>
        <v>20.571428571428573</v>
      </c>
      <c r="E44" s="49">
        <f>AVERAGE('29.07 Kireka-Kinawataka'!E44,'30.07 Kireka-Kinawataka'!E44,'31.07 Kireka-Kinawataka'!E44,'02.08 Kireka-Kinawataka'!E44,'01.08 Kireka-Kinawataka-24h'!E44,'03.08 Kireka-Kinawataka-24h'!E44,'04.08 Kireka-Kinawataka'!E44)</f>
        <v>6.7142857142857144</v>
      </c>
      <c r="F44" s="49">
        <f>AVERAGE('29.07 Kireka-Kinawataka'!F44,'30.07 Kireka-Kinawataka'!F44,'31.07 Kireka-Kinawataka'!F44,'02.08 Kireka-Kinawataka'!F44,'01.08 Kireka-Kinawataka-24h'!F44,'03.08 Kireka-Kinawataka-24h'!F44,'04.08 Kireka-Kinawataka'!F44)</f>
        <v>16.428571428571427</v>
      </c>
      <c r="G44" s="49">
        <f>AVERAGE('29.07 Kireka-Kinawataka'!G44,'30.07 Kireka-Kinawataka'!G44,'31.07 Kireka-Kinawataka'!G44,'02.08 Kireka-Kinawataka'!G44,'01.08 Kireka-Kinawataka-24h'!G44,'03.08 Kireka-Kinawataka-24h'!G44,'04.08 Kireka-Kinawataka'!G44)</f>
        <v>0.2857142857142857</v>
      </c>
      <c r="H44" s="49">
        <f>AVERAGE('29.07 Kireka-Kinawataka'!H44,'30.07 Kireka-Kinawataka'!H44,'31.07 Kireka-Kinawataka'!H44,'02.08 Kireka-Kinawataka'!H44,'01.08 Kireka-Kinawataka-24h'!H44,'03.08 Kireka-Kinawataka-24h'!H44,'04.08 Kireka-Kinawataka'!H44)</f>
        <v>0.14285714285714285</v>
      </c>
      <c r="I44" s="49">
        <f>AVERAGE('29.07 Kireka-Kinawataka'!I44,'30.07 Kireka-Kinawataka'!I44,'31.07 Kireka-Kinawataka'!I44,'02.08 Kireka-Kinawataka'!I44,'01.08 Kireka-Kinawataka-24h'!I44,'03.08 Kireka-Kinawataka-24h'!I44,'04.08 Kireka-Kinawataka'!I44)</f>
        <v>6.5714285714285712</v>
      </c>
      <c r="J44" s="49">
        <f>AVERAGE('29.07 Kireka-Kinawataka'!J44,'30.07 Kireka-Kinawataka'!J44,'31.07 Kireka-Kinawataka'!J44,'02.08 Kireka-Kinawataka'!J44,'01.08 Kireka-Kinawataka-24h'!J44,'03.08 Kireka-Kinawataka-24h'!J44,'04.08 Kireka-Kinawataka'!J44)</f>
        <v>7</v>
      </c>
      <c r="K44" s="49">
        <f>AVERAGE('29.07 Kireka-Kinawataka'!K44,'30.07 Kireka-Kinawataka'!K44,'31.07 Kireka-Kinawataka'!K44,'02.08 Kireka-Kinawataka'!K44,'01.08 Kireka-Kinawataka-24h'!K44,'03.08 Kireka-Kinawataka-24h'!K44,'04.08 Kireka-Kinawataka'!K44)</f>
        <v>2.4285714285714284</v>
      </c>
      <c r="L44" s="49">
        <f>AVERAGE('29.07 Kireka-Kinawataka'!L44,'30.07 Kireka-Kinawataka'!L44,'31.07 Kireka-Kinawataka'!L44,'02.08 Kireka-Kinawataka'!L44,'01.08 Kireka-Kinawataka-24h'!L44,'03.08 Kireka-Kinawataka-24h'!L44,'04.08 Kireka-Kinawataka'!L44)</f>
        <v>3.5714285714285716</v>
      </c>
      <c r="M44" s="49">
        <f>AVERAGE('29.07 Kireka-Kinawataka'!M44,'30.07 Kireka-Kinawataka'!M44,'31.07 Kireka-Kinawataka'!M44,'02.08 Kireka-Kinawataka'!M44,'01.08 Kireka-Kinawataka-24h'!M44,'03.08 Kireka-Kinawataka-24h'!M44,'04.08 Kireka-Kinawataka'!M44)</f>
        <v>92.714285714285708</v>
      </c>
      <c r="N44" s="49">
        <f>AVERAGE('29.07 Kireka-Kinawataka'!N44,'30.07 Kireka-Kinawataka'!N44,'31.07 Kireka-Kinawataka'!N44,'02.08 Kireka-Kinawataka'!N44,'01.08 Kireka-Kinawataka-24h'!N44,'03.08 Kireka-Kinawataka-24h'!N44,'04.08 Kireka-Kinawataka'!N44)</f>
        <v>0</v>
      </c>
      <c r="O44" s="15">
        <f t="shared" si="0"/>
        <v>96.285714285714278</v>
      </c>
      <c r="P44" s="15">
        <f t="shared" si="1"/>
        <v>189</v>
      </c>
    </row>
    <row r="45" spans="2:32" ht="23.1" customHeight="1" x14ac:dyDescent="0.25">
      <c r="B45" s="23" t="s">
        <v>72</v>
      </c>
      <c r="C45" s="49">
        <f>AVERAGE('29.07 Kireka-Kinawataka'!C45,'30.07 Kireka-Kinawataka'!C45,'31.07 Kireka-Kinawataka'!C45,'02.08 Kireka-Kinawataka'!C45,'01.08 Kireka-Kinawataka-24h'!C45,'03.08 Kireka-Kinawataka-24h'!C45,'04.08 Kireka-Kinawataka'!C45)</f>
        <v>32</v>
      </c>
      <c r="D45" s="49">
        <f>AVERAGE('29.07 Kireka-Kinawataka'!D45,'30.07 Kireka-Kinawataka'!D45,'31.07 Kireka-Kinawataka'!D45,'02.08 Kireka-Kinawataka'!D45,'01.08 Kireka-Kinawataka-24h'!D45,'03.08 Kireka-Kinawataka-24h'!D45,'04.08 Kireka-Kinawataka'!D45)</f>
        <v>26.142857142857142</v>
      </c>
      <c r="E45" s="49">
        <f>AVERAGE('29.07 Kireka-Kinawataka'!E45,'30.07 Kireka-Kinawataka'!E45,'31.07 Kireka-Kinawataka'!E45,'02.08 Kireka-Kinawataka'!E45,'01.08 Kireka-Kinawataka-24h'!E45,'03.08 Kireka-Kinawataka-24h'!E45,'04.08 Kireka-Kinawataka'!E45)</f>
        <v>8.7142857142857135</v>
      </c>
      <c r="F45" s="49">
        <f>AVERAGE('29.07 Kireka-Kinawataka'!F45,'30.07 Kireka-Kinawataka'!F45,'31.07 Kireka-Kinawataka'!F45,'02.08 Kireka-Kinawataka'!F45,'01.08 Kireka-Kinawataka-24h'!F45,'03.08 Kireka-Kinawataka-24h'!F45,'04.08 Kireka-Kinawataka'!F45)</f>
        <v>16.571428571428573</v>
      </c>
      <c r="G45" s="49">
        <f>AVERAGE('29.07 Kireka-Kinawataka'!G45,'30.07 Kireka-Kinawataka'!G45,'31.07 Kireka-Kinawataka'!G45,'02.08 Kireka-Kinawataka'!G45,'01.08 Kireka-Kinawataka-24h'!G45,'03.08 Kireka-Kinawataka-24h'!G45,'04.08 Kireka-Kinawataka'!G45)</f>
        <v>0.2857142857142857</v>
      </c>
      <c r="H45" s="49">
        <f>AVERAGE('29.07 Kireka-Kinawataka'!H45,'30.07 Kireka-Kinawataka'!H45,'31.07 Kireka-Kinawataka'!H45,'02.08 Kireka-Kinawataka'!H45,'01.08 Kireka-Kinawataka-24h'!H45,'03.08 Kireka-Kinawataka-24h'!H45,'04.08 Kireka-Kinawataka'!H45)</f>
        <v>0.42857142857142855</v>
      </c>
      <c r="I45" s="49">
        <f>AVERAGE('29.07 Kireka-Kinawataka'!I45,'30.07 Kireka-Kinawataka'!I45,'31.07 Kireka-Kinawataka'!I45,'02.08 Kireka-Kinawataka'!I45,'01.08 Kireka-Kinawataka-24h'!I45,'03.08 Kireka-Kinawataka-24h'!I45,'04.08 Kireka-Kinawataka'!I45)</f>
        <v>7.7142857142857144</v>
      </c>
      <c r="J45" s="49">
        <f>AVERAGE('29.07 Kireka-Kinawataka'!J45,'30.07 Kireka-Kinawataka'!J45,'31.07 Kireka-Kinawataka'!J45,'02.08 Kireka-Kinawataka'!J45,'01.08 Kireka-Kinawataka-24h'!J45,'03.08 Kireka-Kinawataka-24h'!J45,'04.08 Kireka-Kinawataka'!J45)</f>
        <v>8.5714285714285712</v>
      </c>
      <c r="K45" s="49">
        <f>AVERAGE('29.07 Kireka-Kinawataka'!K45,'30.07 Kireka-Kinawataka'!K45,'31.07 Kireka-Kinawataka'!K45,'02.08 Kireka-Kinawataka'!K45,'01.08 Kireka-Kinawataka-24h'!K45,'03.08 Kireka-Kinawataka-24h'!K45,'04.08 Kireka-Kinawataka'!K45)</f>
        <v>3.4285714285714284</v>
      </c>
      <c r="L45" s="49">
        <f>AVERAGE('29.07 Kireka-Kinawataka'!L45,'30.07 Kireka-Kinawataka'!L45,'31.07 Kireka-Kinawataka'!L45,'02.08 Kireka-Kinawataka'!L45,'01.08 Kireka-Kinawataka-24h'!L45,'03.08 Kireka-Kinawataka-24h'!L45,'04.08 Kireka-Kinawataka'!L45)</f>
        <v>3.2857142857142856</v>
      </c>
      <c r="M45" s="49">
        <f>AVERAGE('29.07 Kireka-Kinawataka'!M45,'30.07 Kireka-Kinawataka'!M45,'31.07 Kireka-Kinawataka'!M45,'02.08 Kireka-Kinawataka'!M45,'01.08 Kireka-Kinawataka-24h'!M45,'03.08 Kireka-Kinawataka-24h'!M45,'04.08 Kireka-Kinawataka'!M45)</f>
        <v>84.428571428571431</v>
      </c>
      <c r="N45" s="49">
        <f>AVERAGE('29.07 Kireka-Kinawataka'!N45,'30.07 Kireka-Kinawataka'!N45,'31.07 Kireka-Kinawataka'!N45,'02.08 Kireka-Kinawataka'!N45,'01.08 Kireka-Kinawataka-24h'!N45,'03.08 Kireka-Kinawataka-24h'!N45,'04.08 Kireka-Kinawataka'!N45)</f>
        <v>0.14285714285714285</v>
      </c>
      <c r="O45" s="15">
        <f t="shared" si="0"/>
        <v>107.28571428571428</v>
      </c>
      <c r="P45" s="15">
        <f t="shared" si="1"/>
        <v>191.71428571428569</v>
      </c>
    </row>
    <row r="46" spans="2:32" ht="23.1" customHeight="1" x14ac:dyDescent="0.25">
      <c r="B46" s="24" t="s">
        <v>73</v>
      </c>
      <c r="C46" s="49">
        <f>AVERAGE('29.07 Kireka-Kinawataka'!C46,'30.07 Kireka-Kinawataka'!C46,'31.07 Kireka-Kinawataka'!C46,'02.08 Kireka-Kinawataka'!C46,'01.08 Kireka-Kinawataka-24h'!C46,'03.08 Kireka-Kinawataka-24h'!C46,'04.08 Kireka-Kinawataka'!C46)</f>
        <v>35.142857142857146</v>
      </c>
      <c r="D46" s="49">
        <f>AVERAGE('29.07 Kireka-Kinawataka'!D46,'30.07 Kireka-Kinawataka'!D46,'31.07 Kireka-Kinawataka'!D46,'02.08 Kireka-Kinawataka'!D46,'01.08 Kireka-Kinawataka-24h'!D46,'03.08 Kireka-Kinawataka-24h'!D46,'04.08 Kireka-Kinawataka'!D46)</f>
        <v>20.142857142857142</v>
      </c>
      <c r="E46" s="49">
        <f>AVERAGE('29.07 Kireka-Kinawataka'!E46,'30.07 Kireka-Kinawataka'!E46,'31.07 Kireka-Kinawataka'!E46,'02.08 Kireka-Kinawataka'!E46,'01.08 Kireka-Kinawataka-24h'!E46,'03.08 Kireka-Kinawataka-24h'!E46,'04.08 Kireka-Kinawataka'!E46)</f>
        <v>8.1428571428571423</v>
      </c>
      <c r="F46" s="49">
        <f>AVERAGE('29.07 Kireka-Kinawataka'!F46,'30.07 Kireka-Kinawataka'!F46,'31.07 Kireka-Kinawataka'!F46,'02.08 Kireka-Kinawataka'!F46,'01.08 Kireka-Kinawataka-24h'!F46,'03.08 Kireka-Kinawataka-24h'!F46,'04.08 Kireka-Kinawataka'!F46)</f>
        <v>14.714285714285714</v>
      </c>
      <c r="G46" s="49">
        <f>AVERAGE('29.07 Kireka-Kinawataka'!G46,'30.07 Kireka-Kinawataka'!G46,'31.07 Kireka-Kinawataka'!G46,'02.08 Kireka-Kinawataka'!G46,'01.08 Kireka-Kinawataka-24h'!G46,'03.08 Kireka-Kinawataka-24h'!G46,'04.08 Kireka-Kinawataka'!G46)</f>
        <v>0.14285714285714285</v>
      </c>
      <c r="H46" s="49">
        <f>AVERAGE('29.07 Kireka-Kinawataka'!H46,'30.07 Kireka-Kinawataka'!H46,'31.07 Kireka-Kinawataka'!H46,'02.08 Kireka-Kinawataka'!H46,'01.08 Kireka-Kinawataka-24h'!H46,'03.08 Kireka-Kinawataka-24h'!H46,'04.08 Kireka-Kinawataka'!H46)</f>
        <v>0</v>
      </c>
      <c r="I46" s="49">
        <f>AVERAGE('29.07 Kireka-Kinawataka'!I46,'30.07 Kireka-Kinawataka'!I46,'31.07 Kireka-Kinawataka'!I46,'02.08 Kireka-Kinawataka'!I46,'01.08 Kireka-Kinawataka-24h'!I46,'03.08 Kireka-Kinawataka-24h'!I46,'04.08 Kireka-Kinawataka'!I46)</f>
        <v>6.7142857142857144</v>
      </c>
      <c r="J46" s="49">
        <f>AVERAGE('29.07 Kireka-Kinawataka'!J46,'30.07 Kireka-Kinawataka'!J46,'31.07 Kireka-Kinawataka'!J46,'02.08 Kireka-Kinawataka'!J46,'01.08 Kireka-Kinawataka-24h'!J46,'03.08 Kireka-Kinawataka-24h'!J46,'04.08 Kireka-Kinawataka'!J46)</f>
        <v>8.2857142857142865</v>
      </c>
      <c r="K46" s="49">
        <f>AVERAGE('29.07 Kireka-Kinawataka'!K46,'30.07 Kireka-Kinawataka'!K46,'31.07 Kireka-Kinawataka'!K46,'02.08 Kireka-Kinawataka'!K46,'01.08 Kireka-Kinawataka-24h'!K46,'03.08 Kireka-Kinawataka-24h'!K46,'04.08 Kireka-Kinawataka'!K46)</f>
        <v>2.5714285714285716</v>
      </c>
      <c r="L46" s="49">
        <f>AVERAGE('29.07 Kireka-Kinawataka'!L46,'30.07 Kireka-Kinawataka'!L46,'31.07 Kireka-Kinawataka'!L46,'02.08 Kireka-Kinawataka'!L46,'01.08 Kireka-Kinawataka-24h'!L46,'03.08 Kireka-Kinawataka-24h'!L46,'04.08 Kireka-Kinawataka'!L46)</f>
        <v>2.2857142857142856</v>
      </c>
      <c r="M46" s="49">
        <f>AVERAGE('29.07 Kireka-Kinawataka'!M46,'30.07 Kireka-Kinawataka'!M46,'31.07 Kireka-Kinawataka'!M46,'02.08 Kireka-Kinawataka'!M46,'01.08 Kireka-Kinawataka-24h'!M46,'03.08 Kireka-Kinawataka-24h'!M46,'04.08 Kireka-Kinawataka'!M46)</f>
        <v>73.285714285714292</v>
      </c>
      <c r="N46" s="49">
        <f>AVERAGE('29.07 Kireka-Kinawataka'!N46,'30.07 Kireka-Kinawataka'!N46,'31.07 Kireka-Kinawataka'!N46,'02.08 Kireka-Kinawataka'!N46,'01.08 Kireka-Kinawataka-24h'!N46,'03.08 Kireka-Kinawataka-24h'!N46,'04.08 Kireka-Kinawataka'!N46)</f>
        <v>0.14285714285714285</v>
      </c>
      <c r="O46" s="15">
        <f t="shared" si="0"/>
        <v>98.285714285714278</v>
      </c>
      <c r="P46" s="15">
        <f t="shared" si="1"/>
        <v>171.57142857142858</v>
      </c>
      <c r="R46" s="8"/>
      <c r="T46"/>
    </row>
    <row r="47" spans="2:32" ht="23.1" customHeight="1" x14ac:dyDescent="0.25">
      <c r="B47" s="24" t="s">
        <v>74</v>
      </c>
      <c r="C47" s="49">
        <f>AVERAGE('29.07 Kireka-Kinawataka'!C47,'30.07 Kireka-Kinawataka'!C47,'31.07 Kireka-Kinawataka'!C47,'02.08 Kireka-Kinawataka'!C47,'01.08 Kireka-Kinawataka-24h'!C47,'03.08 Kireka-Kinawataka-24h'!C47,'04.08 Kireka-Kinawataka'!C47)</f>
        <v>31</v>
      </c>
      <c r="D47" s="49">
        <f>AVERAGE('29.07 Kireka-Kinawataka'!D47,'30.07 Kireka-Kinawataka'!D47,'31.07 Kireka-Kinawataka'!D47,'02.08 Kireka-Kinawataka'!D47,'01.08 Kireka-Kinawataka-24h'!D47,'03.08 Kireka-Kinawataka-24h'!D47,'04.08 Kireka-Kinawataka'!D47)</f>
        <v>21.285714285714285</v>
      </c>
      <c r="E47" s="49">
        <f>AVERAGE('29.07 Kireka-Kinawataka'!E47,'30.07 Kireka-Kinawataka'!E47,'31.07 Kireka-Kinawataka'!E47,'02.08 Kireka-Kinawataka'!E47,'01.08 Kireka-Kinawataka-24h'!E47,'03.08 Kireka-Kinawataka-24h'!E47,'04.08 Kireka-Kinawataka'!E47)</f>
        <v>7.7142857142857144</v>
      </c>
      <c r="F47" s="49">
        <f>AVERAGE('29.07 Kireka-Kinawataka'!F47,'30.07 Kireka-Kinawataka'!F47,'31.07 Kireka-Kinawataka'!F47,'02.08 Kireka-Kinawataka'!F47,'01.08 Kireka-Kinawataka-24h'!F47,'03.08 Kireka-Kinawataka-24h'!F47,'04.08 Kireka-Kinawataka'!F47)</f>
        <v>18.857142857142858</v>
      </c>
      <c r="G47" s="49">
        <f>AVERAGE('29.07 Kireka-Kinawataka'!G47,'30.07 Kireka-Kinawataka'!G47,'31.07 Kireka-Kinawataka'!G47,'02.08 Kireka-Kinawataka'!G47,'01.08 Kireka-Kinawataka-24h'!G47,'03.08 Kireka-Kinawataka-24h'!G47,'04.08 Kireka-Kinawataka'!G47)</f>
        <v>0.14285714285714285</v>
      </c>
      <c r="H47" s="49">
        <f>AVERAGE('29.07 Kireka-Kinawataka'!H47,'30.07 Kireka-Kinawataka'!H47,'31.07 Kireka-Kinawataka'!H47,'02.08 Kireka-Kinawataka'!H47,'01.08 Kireka-Kinawataka-24h'!H47,'03.08 Kireka-Kinawataka-24h'!H47,'04.08 Kireka-Kinawataka'!H47)</f>
        <v>0</v>
      </c>
      <c r="I47" s="49">
        <f>AVERAGE('29.07 Kireka-Kinawataka'!I47,'30.07 Kireka-Kinawataka'!I47,'31.07 Kireka-Kinawataka'!I47,'02.08 Kireka-Kinawataka'!I47,'01.08 Kireka-Kinawataka-24h'!I47,'03.08 Kireka-Kinawataka-24h'!I47,'04.08 Kireka-Kinawataka'!I47)</f>
        <v>6.2857142857142856</v>
      </c>
      <c r="J47" s="49">
        <f>AVERAGE('29.07 Kireka-Kinawataka'!J47,'30.07 Kireka-Kinawataka'!J47,'31.07 Kireka-Kinawataka'!J47,'02.08 Kireka-Kinawataka'!J47,'01.08 Kireka-Kinawataka-24h'!J47,'03.08 Kireka-Kinawataka-24h'!J47,'04.08 Kireka-Kinawataka'!J47)</f>
        <v>8.4285714285714288</v>
      </c>
      <c r="K47" s="49">
        <f>AVERAGE('29.07 Kireka-Kinawataka'!K47,'30.07 Kireka-Kinawataka'!K47,'31.07 Kireka-Kinawataka'!K47,'02.08 Kireka-Kinawataka'!K47,'01.08 Kireka-Kinawataka-24h'!K47,'03.08 Kireka-Kinawataka-24h'!K47,'04.08 Kireka-Kinawataka'!K47)</f>
        <v>2.4285714285714284</v>
      </c>
      <c r="L47" s="49">
        <f>AVERAGE('29.07 Kireka-Kinawataka'!L47,'30.07 Kireka-Kinawataka'!L47,'31.07 Kireka-Kinawataka'!L47,'02.08 Kireka-Kinawataka'!L47,'01.08 Kireka-Kinawataka-24h'!L47,'03.08 Kireka-Kinawataka-24h'!L47,'04.08 Kireka-Kinawataka'!L47)</f>
        <v>2.2857142857142856</v>
      </c>
      <c r="M47" s="49">
        <f>AVERAGE('29.07 Kireka-Kinawataka'!M47,'30.07 Kireka-Kinawataka'!M47,'31.07 Kireka-Kinawataka'!M47,'02.08 Kireka-Kinawataka'!M47,'01.08 Kireka-Kinawataka-24h'!M47,'03.08 Kireka-Kinawataka-24h'!M47,'04.08 Kireka-Kinawataka'!M47)</f>
        <v>86.285714285714292</v>
      </c>
      <c r="N47" s="49">
        <f>AVERAGE('29.07 Kireka-Kinawataka'!N47,'30.07 Kireka-Kinawataka'!N47,'31.07 Kireka-Kinawataka'!N47,'02.08 Kireka-Kinawataka'!N47,'01.08 Kireka-Kinawataka-24h'!N47,'03.08 Kireka-Kinawataka-24h'!N47,'04.08 Kireka-Kinawataka'!N47)</f>
        <v>0.14285714285714285</v>
      </c>
      <c r="O47" s="15">
        <f t="shared" si="0"/>
        <v>98.571428571428584</v>
      </c>
      <c r="P47" s="15">
        <f t="shared" si="1"/>
        <v>184.85714285714286</v>
      </c>
      <c r="R47" s="8"/>
      <c r="T47"/>
    </row>
    <row r="48" spans="2:32" ht="23.1" customHeight="1" x14ac:dyDescent="0.25">
      <c r="B48" s="24" t="s">
        <v>75</v>
      </c>
      <c r="C48" s="49">
        <f>AVERAGE('29.07 Kireka-Kinawataka'!C48,'30.07 Kireka-Kinawataka'!C48,'31.07 Kireka-Kinawataka'!C48,'02.08 Kireka-Kinawataka'!C48,'01.08 Kireka-Kinawataka-24h'!C48,'03.08 Kireka-Kinawataka-24h'!C48,'04.08 Kireka-Kinawataka'!C48)</f>
        <v>35.142857142857146</v>
      </c>
      <c r="D48" s="49">
        <f>AVERAGE('29.07 Kireka-Kinawataka'!D48,'30.07 Kireka-Kinawataka'!D48,'31.07 Kireka-Kinawataka'!D48,'02.08 Kireka-Kinawataka'!D48,'01.08 Kireka-Kinawataka-24h'!D48,'03.08 Kireka-Kinawataka-24h'!D48,'04.08 Kireka-Kinawataka'!D48)</f>
        <v>21.142857142857142</v>
      </c>
      <c r="E48" s="49">
        <f>AVERAGE('29.07 Kireka-Kinawataka'!E48,'30.07 Kireka-Kinawataka'!E48,'31.07 Kireka-Kinawataka'!E48,'02.08 Kireka-Kinawataka'!E48,'01.08 Kireka-Kinawataka-24h'!E48,'03.08 Kireka-Kinawataka-24h'!E48,'04.08 Kireka-Kinawataka'!E48)</f>
        <v>8.7142857142857135</v>
      </c>
      <c r="F48" s="49">
        <f>AVERAGE('29.07 Kireka-Kinawataka'!F48,'30.07 Kireka-Kinawataka'!F48,'31.07 Kireka-Kinawataka'!F48,'02.08 Kireka-Kinawataka'!F48,'01.08 Kireka-Kinawataka-24h'!F48,'03.08 Kireka-Kinawataka-24h'!F48,'04.08 Kireka-Kinawataka'!F48)</f>
        <v>15.142857142857142</v>
      </c>
      <c r="G48" s="49">
        <f>AVERAGE('29.07 Kireka-Kinawataka'!G48,'30.07 Kireka-Kinawataka'!G48,'31.07 Kireka-Kinawataka'!G48,'02.08 Kireka-Kinawataka'!G48,'01.08 Kireka-Kinawataka-24h'!G48,'03.08 Kireka-Kinawataka-24h'!G48,'04.08 Kireka-Kinawataka'!G48)</f>
        <v>1.4285714285714286</v>
      </c>
      <c r="H48" s="49">
        <f>AVERAGE('29.07 Kireka-Kinawataka'!H48,'30.07 Kireka-Kinawataka'!H48,'31.07 Kireka-Kinawataka'!H48,'02.08 Kireka-Kinawataka'!H48,'01.08 Kireka-Kinawataka-24h'!H48,'03.08 Kireka-Kinawataka-24h'!H48,'04.08 Kireka-Kinawataka'!H48)</f>
        <v>0</v>
      </c>
      <c r="I48" s="49">
        <f>AVERAGE('29.07 Kireka-Kinawataka'!I48,'30.07 Kireka-Kinawataka'!I48,'31.07 Kireka-Kinawataka'!I48,'02.08 Kireka-Kinawataka'!I48,'01.08 Kireka-Kinawataka-24h'!I48,'03.08 Kireka-Kinawataka-24h'!I48,'04.08 Kireka-Kinawataka'!I48)</f>
        <v>5.4285714285714288</v>
      </c>
      <c r="J48" s="49">
        <f>AVERAGE('29.07 Kireka-Kinawataka'!J48,'30.07 Kireka-Kinawataka'!J48,'31.07 Kireka-Kinawataka'!J48,'02.08 Kireka-Kinawataka'!J48,'01.08 Kireka-Kinawataka-24h'!J48,'03.08 Kireka-Kinawataka-24h'!J48,'04.08 Kireka-Kinawataka'!J48)</f>
        <v>8.8571428571428577</v>
      </c>
      <c r="K48" s="49">
        <f>AVERAGE('29.07 Kireka-Kinawataka'!K48,'30.07 Kireka-Kinawataka'!K48,'31.07 Kireka-Kinawataka'!K48,'02.08 Kireka-Kinawataka'!K48,'01.08 Kireka-Kinawataka-24h'!K48,'03.08 Kireka-Kinawataka-24h'!K48,'04.08 Kireka-Kinawataka'!K48)</f>
        <v>2.7142857142857144</v>
      </c>
      <c r="L48" s="49">
        <f>AVERAGE('29.07 Kireka-Kinawataka'!L48,'30.07 Kireka-Kinawataka'!L48,'31.07 Kireka-Kinawataka'!L48,'02.08 Kireka-Kinawataka'!L48,'01.08 Kireka-Kinawataka-24h'!L48,'03.08 Kireka-Kinawataka-24h'!L48,'04.08 Kireka-Kinawataka'!L48)</f>
        <v>2.7142857142857144</v>
      </c>
      <c r="M48" s="49">
        <f>AVERAGE('29.07 Kireka-Kinawataka'!M48,'30.07 Kireka-Kinawataka'!M48,'31.07 Kireka-Kinawataka'!M48,'02.08 Kireka-Kinawataka'!M48,'01.08 Kireka-Kinawataka-24h'!M48,'03.08 Kireka-Kinawataka-24h'!M48,'04.08 Kireka-Kinawataka'!M48)</f>
        <v>90.571428571428569</v>
      </c>
      <c r="N48" s="49">
        <f>AVERAGE('29.07 Kireka-Kinawataka'!N48,'30.07 Kireka-Kinawataka'!N48,'31.07 Kireka-Kinawataka'!N48,'02.08 Kireka-Kinawataka'!N48,'01.08 Kireka-Kinawataka-24h'!N48,'03.08 Kireka-Kinawataka-24h'!N48,'04.08 Kireka-Kinawataka'!N48)</f>
        <v>0</v>
      </c>
      <c r="O48" s="15">
        <f t="shared" si="0"/>
        <v>101.28571428571428</v>
      </c>
      <c r="P48" s="15">
        <f t="shared" si="1"/>
        <v>191.85714285714283</v>
      </c>
      <c r="R48" s="8"/>
      <c r="T48"/>
    </row>
    <row r="49" spans="2:20" ht="23.1" customHeight="1" x14ac:dyDescent="0.25">
      <c r="B49" s="23" t="s">
        <v>76</v>
      </c>
      <c r="C49" s="49">
        <f>AVERAGE('29.07 Kireka-Kinawataka'!C49,'30.07 Kireka-Kinawataka'!C49,'31.07 Kireka-Kinawataka'!C49,'02.08 Kireka-Kinawataka'!C49,'01.08 Kireka-Kinawataka-24h'!C49,'03.08 Kireka-Kinawataka-24h'!C49,'04.08 Kireka-Kinawataka'!C49)</f>
        <v>42.285714285714285</v>
      </c>
      <c r="D49" s="49">
        <f>AVERAGE('29.07 Kireka-Kinawataka'!D49,'30.07 Kireka-Kinawataka'!D49,'31.07 Kireka-Kinawataka'!D49,'02.08 Kireka-Kinawataka'!D49,'01.08 Kireka-Kinawataka-24h'!D49,'03.08 Kireka-Kinawataka-24h'!D49,'04.08 Kireka-Kinawataka'!D49)</f>
        <v>21.714285714285715</v>
      </c>
      <c r="E49" s="49">
        <f>AVERAGE('29.07 Kireka-Kinawataka'!E49,'30.07 Kireka-Kinawataka'!E49,'31.07 Kireka-Kinawataka'!E49,'02.08 Kireka-Kinawataka'!E49,'01.08 Kireka-Kinawataka-24h'!E49,'03.08 Kireka-Kinawataka-24h'!E49,'04.08 Kireka-Kinawataka'!E49)</f>
        <v>6.4285714285714288</v>
      </c>
      <c r="F49" s="49">
        <f>AVERAGE('29.07 Kireka-Kinawataka'!F49,'30.07 Kireka-Kinawataka'!F49,'31.07 Kireka-Kinawataka'!F49,'02.08 Kireka-Kinawataka'!F49,'01.08 Kireka-Kinawataka-24h'!F49,'03.08 Kireka-Kinawataka-24h'!F49,'04.08 Kireka-Kinawataka'!F49)</f>
        <v>20</v>
      </c>
      <c r="G49" s="49">
        <f>AVERAGE('29.07 Kireka-Kinawataka'!G49,'30.07 Kireka-Kinawataka'!G49,'31.07 Kireka-Kinawataka'!G49,'02.08 Kireka-Kinawataka'!G49,'01.08 Kireka-Kinawataka-24h'!G49,'03.08 Kireka-Kinawataka-24h'!G49,'04.08 Kireka-Kinawataka'!G49)</f>
        <v>1.1428571428571428</v>
      </c>
      <c r="H49" s="49">
        <f>AVERAGE('29.07 Kireka-Kinawataka'!H49,'30.07 Kireka-Kinawataka'!H49,'31.07 Kireka-Kinawataka'!H49,'02.08 Kireka-Kinawataka'!H49,'01.08 Kireka-Kinawataka-24h'!H49,'03.08 Kireka-Kinawataka-24h'!H49,'04.08 Kireka-Kinawataka'!H49)</f>
        <v>0</v>
      </c>
      <c r="I49" s="49">
        <f>AVERAGE('29.07 Kireka-Kinawataka'!I49,'30.07 Kireka-Kinawataka'!I49,'31.07 Kireka-Kinawataka'!I49,'02.08 Kireka-Kinawataka'!I49,'01.08 Kireka-Kinawataka-24h'!I49,'03.08 Kireka-Kinawataka-24h'!I49,'04.08 Kireka-Kinawataka'!I49)</f>
        <v>6.1428571428571432</v>
      </c>
      <c r="J49" s="49">
        <f>AVERAGE('29.07 Kireka-Kinawataka'!J49,'30.07 Kireka-Kinawataka'!J49,'31.07 Kireka-Kinawataka'!J49,'02.08 Kireka-Kinawataka'!J49,'01.08 Kireka-Kinawataka-24h'!J49,'03.08 Kireka-Kinawataka-24h'!J49,'04.08 Kireka-Kinawataka'!J49)</f>
        <v>7.7142857142857144</v>
      </c>
      <c r="K49" s="49">
        <f>AVERAGE('29.07 Kireka-Kinawataka'!K49,'30.07 Kireka-Kinawataka'!K49,'31.07 Kireka-Kinawataka'!K49,'02.08 Kireka-Kinawataka'!K49,'01.08 Kireka-Kinawataka-24h'!K49,'03.08 Kireka-Kinawataka-24h'!K49,'04.08 Kireka-Kinawataka'!K49)</f>
        <v>2.5714285714285716</v>
      </c>
      <c r="L49" s="49">
        <f>AVERAGE('29.07 Kireka-Kinawataka'!L49,'30.07 Kireka-Kinawataka'!L49,'31.07 Kireka-Kinawataka'!L49,'02.08 Kireka-Kinawataka'!L49,'01.08 Kireka-Kinawataka-24h'!L49,'03.08 Kireka-Kinawataka-24h'!L49,'04.08 Kireka-Kinawataka'!L49)</f>
        <v>2.2857142857142856</v>
      </c>
      <c r="M49" s="49">
        <f>AVERAGE('29.07 Kireka-Kinawataka'!M49,'30.07 Kireka-Kinawataka'!M49,'31.07 Kireka-Kinawataka'!M49,'02.08 Kireka-Kinawataka'!M49,'01.08 Kireka-Kinawataka-24h'!M49,'03.08 Kireka-Kinawataka-24h'!M49,'04.08 Kireka-Kinawataka'!M49)</f>
        <v>102</v>
      </c>
      <c r="N49" s="49">
        <f>AVERAGE('29.07 Kireka-Kinawataka'!N49,'30.07 Kireka-Kinawataka'!N49,'31.07 Kireka-Kinawataka'!N49,'02.08 Kireka-Kinawataka'!N49,'01.08 Kireka-Kinawataka-24h'!N49,'03.08 Kireka-Kinawataka-24h'!N49,'04.08 Kireka-Kinawataka'!N49)</f>
        <v>0</v>
      </c>
      <c r="O49" s="15">
        <f t="shared" si="0"/>
        <v>110.28571428571428</v>
      </c>
      <c r="P49" s="15">
        <f t="shared" si="1"/>
        <v>212.28571428571428</v>
      </c>
      <c r="R49" s="8"/>
      <c r="T49"/>
    </row>
    <row r="50" spans="2:20" ht="23.1" customHeight="1" x14ac:dyDescent="0.25">
      <c r="B50" s="24" t="s">
        <v>77</v>
      </c>
      <c r="C50" s="49">
        <f>AVERAGE('29.07 Kireka-Kinawataka'!C50,'30.07 Kireka-Kinawataka'!C50,'31.07 Kireka-Kinawataka'!C50,'02.08 Kireka-Kinawataka'!C50,'01.08 Kireka-Kinawataka-24h'!C50,'03.08 Kireka-Kinawataka-24h'!C50,'04.08 Kireka-Kinawataka'!C50)</f>
        <v>27</v>
      </c>
      <c r="D50" s="49">
        <f>AVERAGE('29.07 Kireka-Kinawataka'!D50,'30.07 Kireka-Kinawataka'!D50,'31.07 Kireka-Kinawataka'!D50,'02.08 Kireka-Kinawataka'!D50,'01.08 Kireka-Kinawataka-24h'!D50,'03.08 Kireka-Kinawataka-24h'!D50,'04.08 Kireka-Kinawataka'!D50)</f>
        <v>21.142857142857142</v>
      </c>
      <c r="E50" s="49">
        <f>AVERAGE('29.07 Kireka-Kinawataka'!E50,'30.07 Kireka-Kinawataka'!E50,'31.07 Kireka-Kinawataka'!E50,'02.08 Kireka-Kinawataka'!E50,'01.08 Kireka-Kinawataka-24h'!E50,'03.08 Kireka-Kinawataka-24h'!E50,'04.08 Kireka-Kinawataka'!E50)</f>
        <v>6.7142857142857144</v>
      </c>
      <c r="F50" s="49">
        <f>AVERAGE('29.07 Kireka-Kinawataka'!F50,'30.07 Kireka-Kinawataka'!F50,'31.07 Kireka-Kinawataka'!F50,'02.08 Kireka-Kinawataka'!F50,'01.08 Kireka-Kinawataka-24h'!F50,'03.08 Kireka-Kinawataka-24h'!F50,'04.08 Kireka-Kinawataka'!F50)</f>
        <v>18.714285714285715</v>
      </c>
      <c r="G50" s="49">
        <f>AVERAGE('29.07 Kireka-Kinawataka'!G50,'30.07 Kireka-Kinawataka'!G50,'31.07 Kireka-Kinawataka'!G50,'02.08 Kireka-Kinawataka'!G50,'01.08 Kireka-Kinawataka-24h'!G50,'03.08 Kireka-Kinawataka-24h'!G50,'04.08 Kireka-Kinawataka'!G50)</f>
        <v>2.4285714285714284</v>
      </c>
      <c r="H50" s="49">
        <f>AVERAGE('29.07 Kireka-Kinawataka'!H50,'30.07 Kireka-Kinawataka'!H50,'31.07 Kireka-Kinawataka'!H50,'02.08 Kireka-Kinawataka'!H50,'01.08 Kireka-Kinawataka-24h'!H50,'03.08 Kireka-Kinawataka-24h'!H50,'04.08 Kireka-Kinawataka'!H50)</f>
        <v>0.14285714285714285</v>
      </c>
      <c r="I50" s="49">
        <f>AVERAGE('29.07 Kireka-Kinawataka'!I50,'30.07 Kireka-Kinawataka'!I50,'31.07 Kireka-Kinawataka'!I50,'02.08 Kireka-Kinawataka'!I50,'01.08 Kireka-Kinawataka-24h'!I50,'03.08 Kireka-Kinawataka-24h'!I50,'04.08 Kireka-Kinawataka'!I50)</f>
        <v>7.1428571428571432</v>
      </c>
      <c r="J50" s="49">
        <f>AVERAGE('29.07 Kireka-Kinawataka'!J50,'30.07 Kireka-Kinawataka'!J50,'31.07 Kireka-Kinawataka'!J50,'02.08 Kireka-Kinawataka'!J50,'01.08 Kireka-Kinawataka-24h'!J50,'03.08 Kireka-Kinawataka-24h'!J50,'04.08 Kireka-Kinawataka'!J50)</f>
        <v>7.7142857142857144</v>
      </c>
      <c r="K50" s="49">
        <f>AVERAGE('29.07 Kireka-Kinawataka'!K50,'30.07 Kireka-Kinawataka'!K50,'31.07 Kireka-Kinawataka'!K50,'02.08 Kireka-Kinawataka'!K50,'01.08 Kireka-Kinawataka-24h'!K50,'03.08 Kireka-Kinawataka-24h'!K50,'04.08 Kireka-Kinawataka'!K50)</f>
        <v>3.4285714285714284</v>
      </c>
      <c r="L50" s="49">
        <f>AVERAGE('29.07 Kireka-Kinawataka'!L50,'30.07 Kireka-Kinawataka'!L50,'31.07 Kireka-Kinawataka'!L50,'02.08 Kireka-Kinawataka'!L50,'01.08 Kireka-Kinawataka-24h'!L50,'03.08 Kireka-Kinawataka-24h'!L50,'04.08 Kireka-Kinawataka'!L50)</f>
        <v>2.8571428571428572</v>
      </c>
      <c r="M50" s="49">
        <f>AVERAGE('29.07 Kireka-Kinawataka'!M50,'30.07 Kireka-Kinawataka'!M50,'31.07 Kireka-Kinawataka'!M50,'02.08 Kireka-Kinawataka'!M50,'01.08 Kireka-Kinawataka-24h'!M50,'03.08 Kireka-Kinawataka-24h'!M50,'04.08 Kireka-Kinawataka'!M50)</f>
        <v>87.285714285714292</v>
      </c>
      <c r="N50" s="49">
        <f>AVERAGE('29.07 Kireka-Kinawataka'!N50,'30.07 Kireka-Kinawataka'!N50,'31.07 Kireka-Kinawataka'!N50,'02.08 Kireka-Kinawataka'!N50,'01.08 Kireka-Kinawataka-24h'!N50,'03.08 Kireka-Kinawataka-24h'!N50,'04.08 Kireka-Kinawataka'!N50)</f>
        <v>0</v>
      </c>
      <c r="O50" s="15">
        <f t="shared" si="0"/>
        <v>97.285714285714278</v>
      </c>
      <c r="P50" s="15">
        <f t="shared" si="1"/>
        <v>184.57142857142856</v>
      </c>
      <c r="R50" s="8"/>
      <c r="T50"/>
    </row>
    <row r="51" spans="2:20" ht="23.1" customHeight="1" x14ac:dyDescent="0.25">
      <c r="B51" s="24" t="s">
        <v>78</v>
      </c>
      <c r="C51" s="49">
        <f>AVERAGE('29.07 Kireka-Kinawataka'!C51,'30.07 Kireka-Kinawataka'!C51,'31.07 Kireka-Kinawataka'!C51,'02.08 Kireka-Kinawataka'!C51,'01.08 Kireka-Kinawataka-24h'!C51,'03.08 Kireka-Kinawataka-24h'!C51,'04.08 Kireka-Kinawataka'!C51)</f>
        <v>35.571428571428569</v>
      </c>
      <c r="D51" s="49">
        <f>AVERAGE('29.07 Kireka-Kinawataka'!D51,'30.07 Kireka-Kinawataka'!D51,'31.07 Kireka-Kinawataka'!D51,'02.08 Kireka-Kinawataka'!D51,'01.08 Kireka-Kinawataka-24h'!D51,'03.08 Kireka-Kinawataka-24h'!D51,'04.08 Kireka-Kinawataka'!D51)</f>
        <v>23.142857142857142</v>
      </c>
      <c r="E51" s="49">
        <f>AVERAGE('29.07 Kireka-Kinawataka'!E51,'30.07 Kireka-Kinawataka'!E51,'31.07 Kireka-Kinawataka'!E51,'02.08 Kireka-Kinawataka'!E51,'01.08 Kireka-Kinawataka-24h'!E51,'03.08 Kireka-Kinawataka-24h'!E51,'04.08 Kireka-Kinawataka'!E51)</f>
        <v>8.1428571428571423</v>
      </c>
      <c r="F51" s="49">
        <f>AVERAGE('29.07 Kireka-Kinawataka'!F51,'30.07 Kireka-Kinawataka'!F51,'31.07 Kireka-Kinawataka'!F51,'02.08 Kireka-Kinawataka'!F51,'01.08 Kireka-Kinawataka-24h'!F51,'03.08 Kireka-Kinawataka-24h'!F51,'04.08 Kireka-Kinawataka'!F51)</f>
        <v>20.571428571428573</v>
      </c>
      <c r="G51" s="49">
        <f>AVERAGE('29.07 Kireka-Kinawataka'!G51,'30.07 Kireka-Kinawataka'!G51,'31.07 Kireka-Kinawataka'!G51,'02.08 Kireka-Kinawataka'!G51,'01.08 Kireka-Kinawataka-24h'!G51,'03.08 Kireka-Kinawataka-24h'!G51,'04.08 Kireka-Kinawataka'!G51)</f>
        <v>1.8571428571428572</v>
      </c>
      <c r="H51" s="49">
        <f>AVERAGE('29.07 Kireka-Kinawataka'!H51,'30.07 Kireka-Kinawataka'!H51,'31.07 Kireka-Kinawataka'!H51,'02.08 Kireka-Kinawataka'!H51,'01.08 Kireka-Kinawataka-24h'!H51,'03.08 Kireka-Kinawataka-24h'!H51,'04.08 Kireka-Kinawataka'!H51)</f>
        <v>0</v>
      </c>
      <c r="I51" s="49">
        <f>AVERAGE('29.07 Kireka-Kinawataka'!I51,'30.07 Kireka-Kinawataka'!I51,'31.07 Kireka-Kinawataka'!I51,'02.08 Kireka-Kinawataka'!I51,'01.08 Kireka-Kinawataka-24h'!I51,'03.08 Kireka-Kinawataka-24h'!I51,'04.08 Kireka-Kinawataka'!I51)</f>
        <v>6</v>
      </c>
      <c r="J51" s="49">
        <f>AVERAGE('29.07 Kireka-Kinawataka'!J51,'30.07 Kireka-Kinawataka'!J51,'31.07 Kireka-Kinawataka'!J51,'02.08 Kireka-Kinawataka'!J51,'01.08 Kireka-Kinawataka-24h'!J51,'03.08 Kireka-Kinawataka-24h'!J51,'04.08 Kireka-Kinawataka'!J51)</f>
        <v>8.1428571428571423</v>
      </c>
      <c r="K51" s="49">
        <f>AVERAGE('29.07 Kireka-Kinawataka'!K51,'30.07 Kireka-Kinawataka'!K51,'31.07 Kireka-Kinawataka'!K51,'02.08 Kireka-Kinawataka'!K51,'01.08 Kireka-Kinawataka-24h'!K51,'03.08 Kireka-Kinawataka-24h'!K51,'04.08 Kireka-Kinawataka'!K51)</f>
        <v>2.7142857142857144</v>
      </c>
      <c r="L51" s="49">
        <f>AVERAGE('29.07 Kireka-Kinawataka'!L51,'30.07 Kireka-Kinawataka'!L51,'31.07 Kireka-Kinawataka'!L51,'02.08 Kireka-Kinawataka'!L51,'01.08 Kireka-Kinawataka-24h'!L51,'03.08 Kireka-Kinawataka-24h'!L51,'04.08 Kireka-Kinawataka'!L51)</f>
        <v>3.1428571428571428</v>
      </c>
      <c r="M51" s="49">
        <f>AVERAGE('29.07 Kireka-Kinawataka'!M51,'30.07 Kireka-Kinawataka'!M51,'31.07 Kireka-Kinawataka'!M51,'02.08 Kireka-Kinawataka'!M51,'01.08 Kireka-Kinawataka-24h'!M51,'03.08 Kireka-Kinawataka-24h'!M51,'04.08 Kireka-Kinawataka'!M51)</f>
        <v>89.285714285714292</v>
      </c>
      <c r="N51" s="49">
        <f>AVERAGE('29.07 Kireka-Kinawataka'!N51,'30.07 Kireka-Kinawataka'!N51,'31.07 Kireka-Kinawataka'!N51,'02.08 Kireka-Kinawataka'!N51,'01.08 Kireka-Kinawataka-24h'!N51,'03.08 Kireka-Kinawataka-24h'!N51,'04.08 Kireka-Kinawataka'!N51)</f>
        <v>0</v>
      </c>
      <c r="O51" s="15">
        <f t="shared" si="0"/>
        <v>109.28571428571426</v>
      </c>
      <c r="P51" s="15">
        <f t="shared" si="1"/>
        <v>198.57142857142856</v>
      </c>
      <c r="R51" s="8"/>
      <c r="T51"/>
    </row>
    <row r="52" spans="2:20" ht="23.1" customHeight="1" x14ac:dyDescent="0.25">
      <c r="B52" s="24" t="s">
        <v>79</v>
      </c>
      <c r="C52" s="49">
        <f>AVERAGE('29.07 Kireka-Kinawataka'!C52,'30.07 Kireka-Kinawataka'!C52,'31.07 Kireka-Kinawataka'!C52,'02.08 Kireka-Kinawataka'!C52,'01.08 Kireka-Kinawataka-24h'!C52,'03.08 Kireka-Kinawataka-24h'!C52,'04.08 Kireka-Kinawataka'!C52)</f>
        <v>34.714285714285715</v>
      </c>
      <c r="D52" s="49">
        <f>AVERAGE('29.07 Kireka-Kinawataka'!D52,'30.07 Kireka-Kinawataka'!D52,'31.07 Kireka-Kinawataka'!D52,'02.08 Kireka-Kinawataka'!D52,'01.08 Kireka-Kinawataka-24h'!D52,'03.08 Kireka-Kinawataka-24h'!D52,'04.08 Kireka-Kinawataka'!D52)</f>
        <v>22.857142857142858</v>
      </c>
      <c r="E52" s="49">
        <f>AVERAGE('29.07 Kireka-Kinawataka'!E52,'30.07 Kireka-Kinawataka'!E52,'31.07 Kireka-Kinawataka'!E52,'02.08 Kireka-Kinawataka'!E52,'01.08 Kireka-Kinawataka-24h'!E52,'03.08 Kireka-Kinawataka-24h'!E52,'04.08 Kireka-Kinawataka'!E52)</f>
        <v>9.8571428571428577</v>
      </c>
      <c r="F52" s="49">
        <f>AVERAGE('29.07 Kireka-Kinawataka'!F52,'30.07 Kireka-Kinawataka'!F52,'31.07 Kireka-Kinawataka'!F52,'02.08 Kireka-Kinawataka'!F52,'01.08 Kireka-Kinawataka-24h'!F52,'03.08 Kireka-Kinawataka-24h'!F52,'04.08 Kireka-Kinawataka'!F52)</f>
        <v>21.428571428571427</v>
      </c>
      <c r="G52" s="49">
        <f>AVERAGE('29.07 Kireka-Kinawataka'!G52,'30.07 Kireka-Kinawataka'!G52,'31.07 Kireka-Kinawataka'!G52,'02.08 Kireka-Kinawataka'!G52,'01.08 Kireka-Kinawataka-24h'!G52,'03.08 Kireka-Kinawataka-24h'!G52,'04.08 Kireka-Kinawataka'!G52)</f>
        <v>0.42857142857142855</v>
      </c>
      <c r="H52" s="49">
        <f>AVERAGE('29.07 Kireka-Kinawataka'!H52,'30.07 Kireka-Kinawataka'!H52,'31.07 Kireka-Kinawataka'!H52,'02.08 Kireka-Kinawataka'!H52,'01.08 Kireka-Kinawataka-24h'!H52,'03.08 Kireka-Kinawataka-24h'!H52,'04.08 Kireka-Kinawataka'!H52)</f>
        <v>0.14285714285714285</v>
      </c>
      <c r="I52" s="49">
        <f>AVERAGE('29.07 Kireka-Kinawataka'!I52,'30.07 Kireka-Kinawataka'!I52,'31.07 Kireka-Kinawataka'!I52,'02.08 Kireka-Kinawataka'!I52,'01.08 Kireka-Kinawataka-24h'!I52,'03.08 Kireka-Kinawataka-24h'!I52,'04.08 Kireka-Kinawataka'!I52)</f>
        <v>4.4285714285714288</v>
      </c>
      <c r="J52" s="49">
        <f>AVERAGE('29.07 Kireka-Kinawataka'!J52,'30.07 Kireka-Kinawataka'!J52,'31.07 Kireka-Kinawataka'!J52,'02.08 Kireka-Kinawataka'!J52,'01.08 Kireka-Kinawataka-24h'!J52,'03.08 Kireka-Kinawataka-24h'!J52,'04.08 Kireka-Kinawataka'!J52)</f>
        <v>7</v>
      </c>
      <c r="K52" s="49">
        <f>AVERAGE('29.07 Kireka-Kinawataka'!K52,'30.07 Kireka-Kinawataka'!K52,'31.07 Kireka-Kinawataka'!K52,'02.08 Kireka-Kinawataka'!K52,'01.08 Kireka-Kinawataka-24h'!K52,'03.08 Kireka-Kinawataka-24h'!K52,'04.08 Kireka-Kinawataka'!K52)</f>
        <v>2.2857142857142856</v>
      </c>
      <c r="L52" s="49">
        <f>AVERAGE('29.07 Kireka-Kinawataka'!L52,'30.07 Kireka-Kinawataka'!L52,'31.07 Kireka-Kinawataka'!L52,'02.08 Kireka-Kinawataka'!L52,'01.08 Kireka-Kinawataka-24h'!L52,'03.08 Kireka-Kinawataka-24h'!L52,'04.08 Kireka-Kinawataka'!L52)</f>
        <v>1.8571428571428572</v>
      </c>
      <c r="M52" s="49">
        <f>AVERAGE('29.07 Kireka-Kinawataka'!M52,'30.07 Kireka-Kinawataka'!M52,'31.07 Kireka-Kinawataka'!M52,'02.08 Kireka-Kinawataka'!M52,'01.08 Kireka-Kinawataka-24h'!M52,'03.08 Kireka-Kinawataka-24h'!M52,'04.08 Kireka-Kinawataka'!M52)</f>
        <v>95.428571428571431</v>
      </c>
      <c r="N52" s="49">
        <f>AVERAGE('29.07 Kireka-Kinawataka'!N52,'30.07 Kireka-Kinawataka'!N52,'31.07 Kireka-Kinawataka'!N52,'02.08 Kireka-Kinawataka'!N52,'01.08 Kireka-Kinawataka-24h'!N52,'03.08 Kireka-Kinawataka-24h'!N52,'04.08 Kireka-Kinawataka'!N52)</f>
        <v>0</v>
      </c>
      <c r="O52" s="15">
        <f t="shared" si="0"/>
        <v>105.00000000000001</v>
      </c>
      <c r="P52" s="15">
        <f t="shared" si="1"/>
        <v>200.42857142857144</v>
      </c>
      <c r="R52" s="8"/>
      <c r="T52"/>
    </row>
    <row r="53" spans="2:20" ht="23.1" customHeight="1" x14ac:dyDescent="0.25">
      <c r="B53" s="23" t="s">
        <v>80</v>
      </c>
      <c r="C53" s="49">
        <f>AVERAGE('29.07 Kireka-Kinawataka'!C53,'30.07 Kireka-Kinawataka'!C53,'31.07 Kireka-Kinawataka'!C53,'02.08 Kireka-Kinawataka'!C53,'01.08 Kireka-Kinawataka-24h'!C53,'03.08 Kireka-Kinawataka-24h'!C53,'04.08 Kireka-Kinawataka'!C53)</f>
        <v>36.285714285714285</v>
      </c>
      <c r="D53" s="49">
        <f>AVERAGE('29.07 Kireka-Kinawataka'!D53,'30.07 Kireka-Kinawataka'!D53,'31.07 Kireka-Kinawataka'!D53,'02.08 Kireka-Kinawataka'!D53,'01.08 Kireka-Kinawataka-24h'!D53,'03.08 Kireka-Kinawataka-24h'!D53,'04.08 Kireka-Kinawataka'!D53)</f>
        <v>24.714285714285715</v>
      </c>
      <c r="E53" s="49">
        <f>AVERAGE('29.07 Kireka-Kinawataka'!E53,'30.07 Kireka-Kinawataka'!E53,'31.07 Kireka-Kinawataka'!E53,'02.08 Kireka-Kinawataka'!E53,'01.08 Kireka-Kinawataka-24h'!E53,'03.08 Kireka-Kinawataka-24h'!E53,'04.08 Kireka-Kinawataka'!E53)</f>
        <v>7.5714285714285712</v>
      </c>
      <c r="F53" s="49">
        <f>AVERAGE('29.07 Kireka-Kinawataka'!F53,'30.07 Kireka-Kinawataka'!F53,'31.07 Kireka-Kinawataka'!F53,'02.08 Kireka-Kinawataka'!F53,'01.08 Kireka-Kinawataka-24h'!F53,'03.08 Kireka-Kinawataka-24h'!F53,'04.08 Kireka-Kinawataka'!F53)</f>
        <v>21.428571428571427</v>
      </c>
      <c r="G53" s="49">
        <f>AVERAGE('29.07 Kireka-Kinawataka'!G53,'30.07 Kireka-Kinawataka'!G53,'31.07 Kireka-Kinawataka'!G53,'02.08 Kireka-Kinawataka'!G53,'01.08 Kireka-Kinawataka-24h'!G53,'03.08 Kireka-Kinawataka-24h'!G53,'04.08 Kireka-Kinawataka'!G53)</f>
        <v>1.1428571428571428</v>
      </c>
      <c r="H53" s="49">
        <f>AVERAGE('29.07 Kireka-Kinawataka'!H53,'30.07 Kireka-Kinawataka'!H53,'31.07 Kireka-Kinawataka'!H53,'02.08 Kireka-Kinawataka'!H53,'01.08 Kireka-Kinawataka-24h'!H53,'03.08 Kireka-Kinawataka-24h'!H53,'04.08 Kireka-Kinawataka'!H53)</f>
        <v>0</v>
      </c>
      <c r="I53" s="49">
        <f>AVERAGE('29.07 Kireka-Kinawataka'!I53,'30.07 Kireka-Kinawataka'!I53,'31.07 Kireka-Kinawataka'!I53,'02.08 Kireka-Kinawataka'!I53,'01.08 Kireka-Kinawataka-24h'!I53,'03.08 Kireka-Kinawataka-24h'!I53,'04.08 Kireka-Kinawataka'!I53)</f>
        <v>5.8571428571428568</v>
      </c>
      <c r="J53" s="49">
        <f>AVERAGE('29.07 Kireka-Kinawataka'!J53,'30.07 Kireka-Kinawataka'!J53,'31.07 Kireka-Kinawataka'!J53,'02.08 Kireka-Kinawataka'!J53,'01.08 Kireka-Kinawataka-24h'!J53,'03.08 Kireka-Kinawataka-24h'!J53,'04.08 Kireka-Kinawataka'!J53)</f>
        <v>9.7142857142857135</v>
      </c>
      <c r="K53" s="49">
        <f>AVERAGE('29.07 Kireka-Kinawataka'!K53,'30.07 Kireka-Kinawataka'!K53,'31.07 Kireka-Kinawataka'!K53,'02.08 Kireka-Kinawataka'!K53,'01.08 Kireka-Kinawataka-24h'!K53,'03.08 Kireka-Kinawataka-24h'!K53,'04.08 Kireka-Kinawataka'!K53)</f>
        <v>1</v>
      </c>
      <c r="L53" s="49">
        <f>AVERAGE('29.07 Kireka-Kinawataka'!L53,'30.07 Kireka-Kinawataka'!L53,'31.07 Kireka-Kinawataka'!L53,'02.08 Kireka-Kinawataka'!L53,'01.08 Kireka-Kinawataka-24h'!L53,'03.08 Kireka-Kinawataka-24h'!L53,'04.08 Kireka-Kinawataka'!L53)</f>
        <v>2.5714285714285716</v>
      </c>
      <c r="M53" s="49">
        <f>AVERAGE('29.07 Kireka-Kinawataka'!M53,'30.07 Kireka-Kinawataka'!M53,'31.07 Kireka-Kinawataka'!M53,'02.08 Kireka-Kinawataka'!M53,'01.08 Kireka-Kinawataka-24h'!M53,'03.08 Kireka-Kinawataka-24h'!M53,'04.08 Kireka-Kinawataka'!M53)</f>
        <v>82.428571428571431</v>
      </c>
      <c r="N53" s="49">
        <f>AVERAGE('29.07 Kireka-Kinawataka'!N53,'30.07 Kireka-Kinawataka'!N53,'31.07 Kireka-Kinawataka'!N53,'02.08 Kireka-Kinawataka'!N53,'01.08 Kireka-Kinawataka-24h'!N53,'03.08 Kireka-Kinawataka-24h'!N53,'04.08 Kireka-Kinawataka'!N53)</f>
        <v>0</v>
      </c>
      <c r="O53" s="15">
        <f t="shared" si="0"/>
        <v>110.28571428571428</v>
      </c>
      <c r="P53" s="15">
        <f t="shared" si="1"/>
        <v>192.71428571428572</v>
      </c>
      <c r="R53" s="8"/>
      <c r="T53"/>
    </row>
    <row r="54" spans="2:20" ht="23.1" customHeight="1" x14ac:dyDescent="0.25">
      <c r="B54" s="23" t="s">
        <v>81</v>
      </c>
      <c r="C54" s="49">
        <f>AVERAGE('29.07 Kireka-Kinawataka'!C54,'30.07 Kireka-Kinawataka'!C54,'31.07 Kireka-Kinawataka'!C54,'02.08 Kireka-Kinawataka'!C54,'01.08 Kireka-Kinawataka-24h'!C54,'03.08 Kireka-Kinawataka-24h'!C54,'04.08 Kireka-Kinawataka'!C54)</f>
        <v>24.142857142857142</v>
      </c>
      <c r="D54" s="49">
        <f>AVERAGE('29.07 Kireka-Kinawataka'!D54,'30.07 Kireka-Kinawataka'!D54,'31.07 Kireka-Kinawataka'!D54,'02.08 Kireka-Kinawataka'!D54,'01.08 Kireka-Kinawataka-24h'!D54,'03.08 Kireka-Kinawataka-24h'!D54,'04.08 Kireka-Kinawataka'!D54)</f>
        <v>18.285714285714285</v>
      </c>
      <c r="E54" s="49">
        <f>AVERAGE('29.07 Kireka-Kinawataka'!E54,'30.07 Kireka-Kinawataka'!E54,'31.07 Kireka-Kinawataka'!E54,'02.08 Kireka-Kinawataka'!E54,'01.08 Kireka-Kinawataka-24h'!E54,'03.08 Kireka-Kinawataka-24h'!E54,'04.08 Kireka-Kinawataka'!E54)</f>
        <v>7.8571428571428568</v>
      </c>
      <c r="F54" s="49">
        <f>AVERAGE('29.07 Kireka-Kinawataka'!F54,'30.07 Kireka-Kinawataka'!F54,'31.07 Kireka-Kinawataka'!F54,'02.08 Kireka-Kinawataka'!F54,'01.08 Kireka-Kinawataka-24h'!F54,'03.08 Kireka-Kinawataka-24h'!F54,'04.08 Kireka-Kinawataka'!F54)</f>
        <v>17.428571428571427</v>
      </c>
      <c r="G54" s="49">
        <f>AVERAGE('29.07 Kireka-Kinawataka'!G54,'30.07 Kireka-Kinawataka'!G54,'31.07 Kireka-Kinawataka'!G54,'02.08 Kireka-Kinawataka'!G54,'01.08 Kireka-Kinawataka-24h'!G54,'03.08 Kireka-Kinawataka-24h'!G54,'04.08 Kireka-Kinawataka'!G54)</f>
        <v>0.5714285714285714</v>
      </c>
      <c r="H54" s="49">
        <f>AVERAGE('29.07 Kireka-Kinawataka'!H54,'30.07 Kireka-Kinawataka'!H54,'31.07 Kireka-Kinawataka'!H54,'02.08 Kireka-Kinawataka'!H54,'01.08 Kireka-Kinawataka-24h'!H54,'03.08 Kireka-Kinawataka-24h'!H54,'04.08 Kireka-Kinawataka'!H54)</f>
        <v>0.14285714285714285</v>
      </c>
      <c r="I54" s="49">
        <f>AVERAGE('29.07 Kireka-Kinawataka'!I54,'30.07 Kireka-Kinawataka'!I54,'31.07 Kireka-Kinawataka'!I54,'02.08 Kireka-Kinawataka'!I54,'01.08 Kireka-Kinawataka-24h'!I54,'03.08 Kireka-Kinawataka-24h'!I54,'04.08 Kireka-Kinawataka'!I54)</f>
        <v>5</v>
      </c>
      <c r="J54" s="49">
        <f>AVERAGE('29.07 Kireka-Kinawataka'!J54,'30.07 Kireka-Kinawataka'!J54,'31.07 Kireka-Kinawataka'!J54,'02.08 Kireka-Kinawataka'!J54,'01.08 Kireka-Kinawataka-24h'!J54,'03.08 Kireka-Kinawataka-24h'!J54,'04.08 Kireka-Kinawataka'!J54)</f>
        <v>5.4285714285714288</v>
      </c>
      <c r="K54" s="49">
        <f>AVERAGE('29.07 Kireka-Kinawataka'!K54,'30.07 Kireka-Kinawataka'!K54,'31.07 Kireka-Kinawataka'!K54,'02.08 Kireka-Kinawataka'!K54,'01.08 Kireka-Kinawataka-24h'!K54,'03.08 Kireka-Kinawataka-24h'!K54,'04.08 Kireka-Kinawataka'!K54)</f>
        <v>1.5714285714285714</v>
      </c>
      <c r="L54" s="49">
        <f>AVERAGE('29.07 Kireka-Kinawataka'!L54,'30.07 Kireka-Kinawataka'!L54,'31.07 Kireka-Kinawataka'!L54,'02.08 Kireka-Kinawataka'!L54,'01.08 Kireka-Kinawataka-24h'!L54,'03.08 Kireka-Kinawataka-24h'!L54,'04.08 Kireka-Kinawataka'!L54)</f>
        <v>1.4285714285714286</v>
      </c>
      <c r="M54" s="49">
        <f>AVERAGE('29.07 Kireka-Kinawataka'!M54,'30.07 Kireka-Kinawataka'!M54,'31.07 Kireka-Kinawataka'!M54,'02.08 Kireka-Kinawataka'!M54,'01.08 Kireka-Kinawataka-24h'!M54,'03.08 Kireka-Kinawataka-24h'!M54,'04.08 Kireka-Kinawataka'!M54)</f>
        <v>133</v>
      </c>
      <c r="N54" s="49">
        <f>AVERAGE('29.07 Kireka-Kinawataka'!N54,'30.07 Kireka-Kinawataka'!N54,'31.07 Kireka-Kinawataka'!N54,'02.08 Kireka-Kinawataka'!N54,'01.08 Kireka-Kinawataka-24h'!N54,'03.08 Kireka-Kinawataka-24h'!N54,'04.08 Kireka-Kinawataka'!N54)</f>
        <v>0</v>
      </c>
      <c r="O54" s="15">
        <f t="shared" si="0"/>
        <v>81.857142857142847</v>
      </c>
      <c r="P54" s="15">
        <f t="shared" si="1"/>
        <v>214.85714285714283</v>
      </c>
      <c r="R54" s="8"/>
      <c r="T54"/>
    </row>
    <row r="55" spans="2:20" ht="23.1" customHeight="1" x14ac:dyDescent="0.25">
      <c r="B55" s="23" t="s">
        <v>82</v>
      </c>
      <c r="C55" s="49">
        <f>AVERAGE('29.07 Kireka-Kinawataka'!C55,'30.07 Kireka-Kinawataka'!C55,'31.07 Kireka-Kinawataka'!C55,'02.08 Kireka-Kinawataka'!C55,'01.08 Kireka-Kinawataka-24h'!C55,'03.08 Kireka-Kinawataka-24h'!C55,'04.08 Kireka-Kinawataka'!C55)</f>
        <v>27.285714285714285</v>
      </c>
      <c r="D55" s="49">
        <f>AVERAGE('29.07 Kireka-Kinawataka'!D55,'30.07 Kireka-Kinawataka'!D55,'31.07 Kireka-Kinawataka'!D55,'02.08 Kireka-Kinawataka'!D55,'01.08 Kireka-Kinawataka-24h'!D55,'03.08 Kireka-Kinawataka-24h'!D55,'04.08 Kireka-Kinawataka'!D55)</f>
        <v>21.857142857142858</v>
      </c>
      <c r="E55" s="49">
        <f>AVERAGE('29.07 Kireka-Kinawataka'!E55,'30.07 Kireka-Kinawataka'!E55,'31.07 Kireka-Kinawataka'!E55,'02.08 Kireka-Kinawataka'!E55,'01.08 Kireka-Kinawataka-24h'!E55,'03.08 Kireka-Kinawataka-24h'!E55,'04.08 Kireka-Kinawataka'!E55)</f>
        <v>8.1428571428571423</v>
      </c>
      <c r="F55" s="49">
        <f>AVERAGE('29.07 Kireka-Kinawataka'!F55,'30.07 Kireka-Kinawataka'!F55,'31.07 Kireka-Kinawataka'!F55,'02.08 Kireka-Kinawataka'!F55,'01.08 Kireka-Kinawataka-24h'!F55,'03.08 Kireka-Kinawataka-24h'!F55,'04.08 Kireka-Kinawataka'!F55)</f>
        <v>18.571428571428573</v>
      </c>
      <c r="G55" s="49">
        <f>AVERAGE('29.07 Kireka-Kinawataka'!G55,'30.07 Kireka-Kinawataka'!G55,'31.07 Kireka-Kinawataka'!G55,'02.08 Kireka-Kinawataka'!G55,'01.08 Kireka-Kinawataka-24h'!G55,'03.08 Kireka-Kinawataka-24h'!G55,'04.08 Kireka-Kinawataka'!G55)</f>
        <v>1.2857142857142858</v>
      </c>
      <c r="H55" s="49">
        <f>AVERAGE('29.07 Kireka-Kinawataka'!H55,'30.07 Kireka-Kinawataka'!H55,'31.07 Kireka-Kinawataka'!H55,'02.08 Kireka-Kinawataka'!H55,'01.08 Kireka-Kinawataka-24h'!H55,'03.08 Kireka-Kinawataka-24h'!H55,'04.08 Kireka-Kinawataka'!H55)</f>
        <v>0.42857142857142855</v>
      </c>
      <c r="I55" s="49">
        <f>AVERAGE('29.07 Kireka-Kinawataka'!I55,'30.07 Kireka-Kinawataka'!I55,'31.07 Kireka-Kinawataka'!I55,'02.08 Kireka-Kinawataka'!I55,'01.08 Kireka-Kinawataka-24h'!I55,'03.08 Kireka-Kinawataka-24h'!I55,'04.08 Kireka-Kinawataka'!I55)</f>
        <v>6.5714285714285712</v>
      </c>
      <c r="J55" s="49">
        <f>AVERAGE('29.07 Kireka-Kinawataka'!J55,'30.07 Kireka-Kinawataka'!J55,'31.07 Kireka-Kinawataka'!J55,'02.08 Kireka-Kinawataka'!J55,'01.08 Kireka-Kinawataka-24h'!J55,'03.08 Kireka-Kinawataka-24h'!J55,'04.08 Kireka-Kinawataka'!J55)</f>
        <v>6.4285714285714288</v>
      </c>
      <c r="K55" s="49">
        <f>AVERAGE('29.07 Kireka-Kinawataka'!K55,'30.07 Kireka-Kinawataka'!K55,'31.07 Kireka-Kinawataka'!K55,'02.08 Kireka-Kinawataka'!K55,'01.08 Kireka-Kinawataka-24h'!K55,'03.08 Kireka-Kinawataka-24h'!K55,'04.08 Kireka-Kinawataka'!K55)</f>
        <v>3</v>
      </c>
      <c r="L55" s="49">
        <f>AVERAGE('29.07 Kireka-Kinawataka'!L55,'30.07 Kireka-Kinawataka'!L55,'31.07 Kireka-Kinawataka'!L55,'02.08 Kireka-Kinawataka'!L55,'01.08 Kireka-Kinawataka-24h'!L55,'03.08 Kireka-Kinawataka-24h'!L55,'04.08 Kireka-Kinawataka'!L55)</f>
        <v>1.1428571428571428</v>
      </c>
      <c r="M55" s="49">
        <f>AVERAGE('29.07 Kireka-Kinawataka'!M55,'30.07 Kireka-Kinawataka'!M55,'31.07 Kireka-Kinawataka'!M55,'02.08 Kireka-Kinawataka'!M55,'01.08 Kireka-Kinawataka-24h'!M55,'03.08 Kireka-Kinawataka-24h'!M55,'04.08 Kireka-Kinawataka'!M55)</f>
        <v>133.57142857142858</v>
      </c>
      <c r="N55" s="49">
        <f>AVERAGE('29.07 Kireka-Kinawataka'!N55,'30.07 Kireka-Kinawataka'!N55,'31.07 Kireka-Kinawataka'!N55,'02.08 Kireka-Kinawataka'!N55,'01.08 Kireka-Kinawataka-24h'!N55,'03.08 Kireka-Kinawataka-24h'!N55,'04.08 Kireka-Kinawataka'!N55)</f>
        <v>0</v>
      </c>
      <c r="O55" s="15">
        <f t="shared" si="0"/>
        <v>94.714285714285708</v>
      </c>
      <c r="P55" s="15">
        <f t="shared" si="1"/>
        <v>228.28571428571428</v>
      </c>
      <c r="R55" s="8"/>
      <c r="T55"/>
    </row>
    <row r="56" spans="2:20" ht="23.1" customHeight="1" x14ac:dyDescent="0.25">
      <c r="B56" s="23" t="s">
        <v>83</v>
      </c>
      <c r="C56" s="49">
        <f>AVERAGE('29.07 Kireka-Kinawataka'!C56,'30.07 Kireka-Kinawataka'!C56,'31.07 Kireka-Kinawataka'!C56,'02.08 Kireka-Kinawataka'!C56,'01.08 Kireka-Kinawataka-24h'!C56,'03.08 Kireka-Kinawataka-24h'!C56,'04.08 Kireka-Kinawataka'!C56)</f>
        <v>36.571428571428569</v>
      </c>
      <c r="D56" s="49">
        <f>AVERAGE('29.07 Kireka-Kinawataka'!D56,'30.07 Kireka-Kinawataka'!D56,'31.07 Kireka-Kinawataka'!D56,'02.08 Kireka-Kinawataka'!D56,'01.08 Kireka-Kinawataka-24h'!D56,'03.08 Kireka-Kinawataka-24h'!D56,'04.08 Kireka-Kinawataka'!D56)</f>
        <v>20.571428571428573</v>
      </c>
      <c r="E56" s="49">
        <f>AVERAGE('29.07 Kireka-Kinawataka'!E56,'30.07 Kireka-Kinawataka'!E56,'31.07 Kireka-Kinawataka'!E56,'02.08 Kireka-Kinawataka'!E56,'01.08 Kireka-Kinawataka-24h'!E56,'03.08 Kireka-Kinawataka-24h'!E56,'04.08 Kireka-Kinawataka'!E56)</f>
        <v>8</v>
      </c>
      <c r="F56" s="49">
        <f>AVERAGE('29.07 Kireka-Kinawataka'!F56,'30.07 Kireka-Kinawataka'!F56,'31.07 Kireka-Kinawataka'!F56,'02.08 Kireka-Kinawataka'!F56,'01.08 Kireka-Kinawataka-24h'!F56,'03.08 Kireka-Kinawataka-24h'!F56,'04.08 Kireka-Kinawataka'!F56)</f>
        <v>26.285714285714285</v>
      </c>
      <c r="G56" s="49">
        <f>AVERAGE('29.07 Kireka-Kinawataka'!G56,'30.07 Kireka-Kinawataka'!G56,'31.07 Kireka-Kinawataka'!G56,'02.08 Kireka-Kinawataka'!G56,'01.08 Kireka-Kinawataka-24h'!G56,'03.08 Kireka-Kinawataka-24h'!G56,'04.08 Kireka-Kinawataka'!G56)</f>
        <v>1</v>
      </c>
      <c r="H56" s="49">
        <f>AVERAGE('29.07 Kireka-Kinawataka'!H56,'30.07 Kireka-Kinawataka'!H56,'31.07 Kireka-Kinawataka'!H56,'02.08 Kireka-Kinawataka'!H56,'01.08 Kireka-Kinawataka-24h'!H56,'03.08 Kireka-Kinawataka-24h'!H56,'04.08 Kireka-Kinawataka'!H56)</f>
        <v>0.2857142857142857</v>
      </c>
      <c r="I56" s="49">
        <f>AVERAGE('29.07 Kireka-Kinawataka'!I56,'30.07 Kireka-Kinawataka'!I56,'31.07 Kireka-Kinawataka'!I56,'02.08 Kireka-Kinawataka'!I56,'01.08 Kireka-Kinawataka-24h'!I56,'03.08 Kireka-Kinawataka-24h'!I56,'04.08 Kireka-Kinawataka'!I56)</f>
        <v>6.1428571428571432</v>
      </c>
      <c r="J56" s="49">
        <f>AVERAGE('29.07 Kireka-Kinawataka'!J56,'30.07 Kireka-Kinawataka'!J56,'31.07 Kireka-Kinawataka'!J56,'02.08 Kireka-Kinawataka'!J56,'01.08 Kireka-Kinawataka-24h'!J56,'03.08 Kireka-Kinawataka-24h'!J56,'04.08 Kireka-Kinawataka'!J56)</f>
        <v>10.142857142857142</v>
      </c>
      <c r="K56" s="49">
        <f>AVERAGE('29.07 Kireka-Kinawataka'!K56,'30.07 Kireka-Kinawataka'!K56,'31.07 Kireka-Kinawataka'!K56,'02.08 Kireka-Kinawataka'!K56,'01.08 Kireka-Kinawataka-24h'!K56,'03.08 Kireka-Kinawataka-24h'!K56,'04.08 Kireka-Kinawataka'!K56)</f>
        <v>1.5714285714285714</v>
      </c>
      <c r="L56" s="49">
        <f>AVERAGE('29.07 Kireka-Kinawataka'!L56,'30.07 Kireka-Kinawataka'!L56,'31.07 Kireka-Kinawataka'!L56,'02.08 Kireka-Kinawataka'!L56,'01.08 Kireka-Kinawataka-24h'!L56,'03.08 Kireka-Kinawataka-24h'!L56,'04.08 Kireka-Kinawataka'!L56)</f>
        <v>2.7142857142857144</v>
      </c>
      <c r="M56" s="49">
        <f>AVERAGE('29.07 Kireka-Kinawataka'!M56,'30.07 Kireka-Kinawataka'!M56,'31.07 Kireka-Kinawataka'!M56,'02.08 Kireka-Kinawataka'!M56,'01.08 Kireka-Kinawataka-24h'!M56,'03.08 Kireka-Kinawataka-24h'!M56,'04.08 Kireka-Kinawataka'!M56)</f>
        <v>135.57142857142858</v>
      </c>
      <c r="N56" s="49">
        <f>AVERAGE('29.07 Kireka-Kinawataka'!N56,'30.07 Kireka-Kinawataka'!N56,'31.07 Kireka-Kinawataka'!N56,'02.08 Kireka-Kinawataka'!N56,'01.08 Kireka-Kinawataka-24h'!N56,'03.08 Kireka-Kinawataka-24h'!N56,'04.08 Kireka-Kinawataka'!N56)</f>
        <v>0</v>
      </c>
      <c r="O56" s="15">
        <f t="shared" si="0"/>
        <v>113.28571428571426</v>
      </c>
      <c r="P56" s="15">
        <f t="shared" si="1"/>
        <v>248.85714285714283</v>
      </c>
      <c r="R56" s="8"/>
      <c r="T56"/>
    </row>
    <row r="57" spans="2:20" ht="23.1" customHeight="1" x14ac:dyDescent="0.25">
      <c r="B57" s="23" t="s">
        <v>84</v>
      </c>
      <c r="C57" s="49">
        <f>AVERAGE('29.07 Kireka-Kinawataka'!C57,'30.07 Kireka-Kinawataka'!C57,'31.07 Kireka-Kinawataka'!C57,'02.08 Kireka-Kinawataka'!C57,'01.08 Kireka-Kinawataka-24h'!C57,'03.08 Kireka-Kinawataka-24h'!C57,'04.08 Kireka-Kinawataka'!C57)</f>
        <v>35.571428571428569</v>
      </c>
      <c r="D57" s="49">
        <f>AVERAGE('29.07 Kireka-Kinawataka'!D57,'30.07 Kireka-Kinawataka'!D57,'31.07 Kireka-Kinawataka'!D57,'02.08 Kireka-Kinawataka'!D57,'01.08 Kireka-Kinawataka-24h'!D57,'03.08 Kireka-Kinawataka-24h'!D57,'04.08 Kireka-Kinawataka'!D57)</f>
        <v>24.857142857142858</v>
      </c>
      <c r="E57" s="49">
        <f>AVERAGE('29.07 Kireka-Kinawataka'!E57,'30.07 Kireka-Kinawataka'!E57,'31.07 Kireka-Kinawataka'!E57,'02.08 Kireka-Kinawataka'!E57,'01.08 Kireka-Kinawataka-24h'!E57,'03.08 Kireka-Kinawataka-24h'!E57,'04.08 Kireka-Kinawataka'!E57)</f>
        <v>7.7142857142857144</v>
      </c>
      <c r="F57" s="49">
        <f>AVERAGE('29.07 Kireka-Kinawataka'!F57,'30.07 Kireka-Kinawataka'!F57,'31.07 Kireka-Kinawataka'!F57,'02.08 Kireka-Kinawataka'!F57,'01.08 Kireka-Kinawataka-24h'!F57,'03.08 Kireka-Kinawataka-24h'!F57,'04.08 Kireka-Kinawataka'!F57)</f>
        <v>23.142857142857142</v>
      </c>
      <c r="G57" s="49">
        <f>AVERAGE('29.07 Kireka-Kinawataka'!G57,'30.07 Kireka-Kinawataka'!G57,'31.07 Kireka-Kinawataka'!G57,'02.08 Kireka-Kinawataka'!G57,'01.08 Kireka-Kinawataka-24h'!G57,'03.08 Kireka-Kinawataka-24h'!G57,'04.08 Kireka-Kinawataka'!G57)</f>
        <v>0.8571428571428571</v>
      </c>
      <c r="H57" s="49">
        <f>AVERAGE('29.07 Kireka-Kinawataka'!H57,'30.07 Kireka-Kinawataka'!H57,'31.07 Kireka-Kinawataka'!H57,'02.08 Kireka-Kinawataka'!H57,'01.08 Kireka-Kinawataka-24h'!H57,'03.08 Kireka-Kinawataka-24h'!H57,'04.08 Kireka-Kinawataka'!H57)</f>
        <v>0</v>
      </c>
      <c r="I57" s="49">
        <f>AVERAGE('29.07 Kireka-Kinawataka'!I57,'30.07 Kireka-Kinawataka'!I57,'31.07 Kireka-Kinawataka'!I57,'02.08 Kireka-Kinawataka'!I57,'01.08 Kireka-Kinawataka-24h'!I57,'03.08 Kireka-Kinawataka-24h'!I57,'04.08 Kireka-Kinawataka'!I57)</f>
        <v>5.1428571428571432</v>
      </c>
      <c r="J57" s="49">
        <f>AVERAGE('29.07 Kireka-Kinawataka'!J57,'30.07 Kireka-Kinawataka'!J57,'31.07 Kireka-Kinawataka'!J57,'02.08 Kireka-Kinawataka'!J57,'01.08 Kireka-Kinawataka-24h'!J57,'03.08 Kireka-Kinawataka-24h'!J57,'04.08 Kireka-Kinawataka'!J57)</f>
        <v>4</v>
      </c>
      <c r="K57" s="49">
        <f>AVERAGE('29.07 Kireka-Kinawataka'!K57,'30.07 Kireka-Kinawataka'!K57,'31.07 Kireka-Kinawataka'!K57,'02.08 Kireka-Kinawataka'!K57,'01.08 Kireka-Kinawataka-24h'!K57,'03.08 Kireka-Kinawataka-24h'!K57,'04.08 Kireka-Kinawataka'!K57)</f>
        <v>1.5714285714285714</v>
      </c>
      <c r="L57" s="49">
        <f>AVERAGE('29.07 Kireka-Kinawataka'!L57,'30.07 Kireka-Kinawataka'!L57,'31.07 Kireka-Kinawataka'!L57,'02.08 Kireka-Kinawataka'!L57,'01.08 Kireka-Kinawataka-24h'!L57,'03.08 Kireka-Kinawataka-24h'!L57,'04.08 Kireka-Kinawataka'!L57)</f>
        <v>2</v>
      </c>
      <c r="M57" s="49">
        <f>AVERAGE('29.07 Kireka-Kinawataka'!M57,'30.07 Kireka-Kinawataka'!M57,'31.07 Kireka-Kinawataka'!M57,'02.08 Kireka-Kinawataka'!M57,'01.08 Kireka-Kinawataka-24h'!M57,'03.08 Kireka-Kinawataka-24h'!M57,'04.08 Kireka-Kinawataka'!M57)</f>
        <v>133.57142857142858</v>
      </c>
      <c r="N57" s="49">
        <f>AVERAGE('29.07 Kireka-Kinawataka'!N57,'30.07 Kireka-Kinawataka'!N57,'31.07 Kireka-Kinawataka'!N57,'02.08 Kireka-Kinawataka'!N57,'01.08 Kireka-Kinawataka-24h'!N57,'03.08 Kireka-Kinawataka-24h'!N57,'04.08 Kireka-Kinawataka'!N57)</f>
        <v>0</v>
      </c>
      <c r="O57" s="49">
        <f>AVERAGE('29.07 Kireka-Kinawataka'!O57,'30.07 Kireka-Kinawataka'!O57,'31.07 Kireka-Kinawataka'!O57,'02.08 Kireka-Kinawataka'!O57,'01.08 Kireka-Kinawataka-24h'!O57,'03.08 Kireka-Kinawataka-24h'!O57,'04.08 Kireka-Kinawataka'!O57)</f>
        <v>104.85714285714286</v>
      </c>
      <c r="P57" s="49">
        <f>AVERAGE('29.07 Kireka-Kinawataka'!P57,'30.07 Kireka-Kinawataka'!P57,'31.07 Kireka-Kinawataka'!P57,'02.08 Kireka-Kinawataka'!P57,'01.08 Kireka-Kinawataka-24h'!P57,'03.08 Kireka-Kinawataka-24h'!P57,'04.08 Kireka-Kinawataka'!P57)</f>
        <v>238.42857142857142</v>
      </c>
      <c r="R57" s="8"/>
      <c r="T57"/>
    </row>
    <row r="58" spans="2:20" ht="23.1" customHeight="1" x14ac:dyDescent="0.25">
      <c r="B58" s="23" t="s">
        <v>99</v>
      </c>
      <c r="C58" s="49">
        <f>AVERAGE('01.08 Kireka-Kinawataka-24h'!C58,'03.08 Kireka-Kinawataka-24h'!C58)</f>
        <v>28.5</v>
      </c>
      <c r="D58" s="49">
        <f>AVERAGE('01.08 Kireka-Kinawataka-24h'!D58,'03.08 Kireka-Kinawataka-24h'!D58)</f>
        <v>4.5</v>
      </c>
      <c r="E58" s="49">
        <f>AVERAGE('01.08 Kireka-Kinawataka-24h'!E58,'03.08 Kireka-Kinawataka-24h'!E58)</f>
        <v>11.5</v>
      </c>
      <c r="F58" s="49">
        <f>AVERAGE('01.08 Kireka-Kinawataka-24h'!F58,'03.08 Kireka-Kinawataka-24h'!F58)</f>
        <v>21</v>
      </c>
      <c r="G58" s="49">
        <f>AVERAGE('01.08 Kireka-Kinawataka-24h'!G58,'03.08 Kireka-Kinawataka-24h'!G58)</f>
        <v>0.5</v>
      </c>
      <c r="H58" s="49">
        <f>AVERAGE('01.08 Kireka-Kinawataka-24h'!H58,'03.08 Kireka-Kinawataka-24h'!H58)</f>
        <v>0</v>
      </c>
      <c r="I58" s="49">
        <f>AVERAGE('01.08 Kireka-Kinawataka-24h'!I58,'03.08 Kireka-Kinawataka-24h'!I58)</f>
        <v>6.5</v>
      </c>
      <c r="J58" s="49">
        <f>AVERAGE('01.08 Kireka-Kinawataka-24h'!J58,'03.08 Kireka-Kinawataka-24h'!J58)</f>
        <v>0</v>
      </c>
      <c r="K58" s="49">
        <f>AVERAGE('01.08 Kireka-Kinawataka-24h'!K58,'03.08 Kireka-Kinawataka-24h'!K58)</f>
        <v>2</v>
      </c>
      <c r="L58" s="49">
        <f>AVERAGE('01.08 Kireka-Kinawataka-24h'!L58,'03.08 Kireka-Kinawataka-24h'!L58)</f>
        <v>1</v>
      </c>
      <c r="M58" s="49">
        <f>AVERAGE('01.08 Kireka-Kinawataka-24h'!M58,'03.08 Kireka-Kinawataka-24h'!M58)</f>
        <v>136.5</v>
      </c>
      <c r="N58" s="49">
        <f>AVERAGE('01.08 Kireka-Kinawataka-24h'!N58,'03.08 Kireka-Kinawataka-24h'!N58)</f>
        <v>0</v>
      </c>
      <c r="O58" s="49">
        <f>AVERAGE('01.08 Kireka-Kinawataka-24h'!O58,'03.08 Kireka-Kinawataka-24h'!O58)</f>
        <v>75.5</v>
      </c>
      <c r="P58" s="49">
        <f>AVERAGE('01.08 Kireka-Kinawataka-24h'!P58,'03.08 Kireka-Kinawataka-24h'!P58)</f>
        <v>212</v>
      </c>
      <c r="R58" s="8"/>
      <c r="T58"/>
    </row>
    <row r="59" spans="2:20" ht="23.1" customHeight="1" x14ac:dyDescent="0.25">
      <c r="B59" s="23" t="s">
        <v>100</v>
      </c>
      <c r="C59" s="49">
        <f>AVERAGE('01.08 Kireka-Kinawataka-24h'!C59,'03.08 Kireka-Kinawataka-24h'!C59)</f>
        <v>34</v>
      </c>
      <c r="D59" s="49">
        <f>AVERAGE('01.08 Kireka-Kinawataka-24h'!D59,'03.08 Kireka-Kinawataka-24h'!D59)</f>
        <v>5</v>
      </c>
      <c r="E59" s="49">
        <f>AVERAGE('01.08 Kireka-Kinawataka-24h'!E59,'03.08 Kireka-Kinawataka-24h'!E59)</f>
        <v>7.5</v>
      </c>
      <c r="F59" s="49">
        <f>AVERAGE('01.08 Kireka-Kinawataka-24h'!F59,'03.08 Kireka-Kinawataka-24h'!F59)</f>
        <v>14</v>
      </c>
      <c r="G59" s="49">
        <f>AVERAGE('01.08 Kireka-Kinawataka-24h'!G59,'03.08 Kireka-Kinawataka-24h'!G59)</f>
        <v>0</v>
      </c>
      <c r="H59" s="49">
        <f>AVERAGE('01.08 Kireka-Kinawataka-24h'!H59,'03.08 Kireka-Kinawataka-24h'!H59)</f>
        <v>0</v>
      </c>
      <c r="I59" s="49">
        <f>AVERAGE('01.08 Kireka-Kinawataka-24h'!I59,'03.08 Kireka-Kinawataka-24h'!I59)</f>
        <v>2.5</v>
      </c>
      <c r="J59" s="49">
        <f>AVERAGE('01.08 Kireka-Kinawataka-24h'!J59,'03.08 Kireka-Kinawataka-24h'!J59)</f>
        <v>2.5</v>
      </c>
      <c r="K59" s="49">
        <f>AVERAGE('01.08 Kireka-Kinawataka-24h'!K59,'03.08 Kireka-Kinawataka-24h'!K59)</f>
        <v>1</v>
      </c>
      <c r="L59" s="49">
        <f>AVERAGE('01.08 Kireka-Kinawataka-24h'!L59,'03.08 Kireka-Kinawataka-24h'!L59)</f>
        <v>0</v>
      </c>
      <c r="M59" s="49">
        <f>AVERAGE('01.08 Kireka-Kinawataka-24h'!M59,'03.08 Kireka-Kinawataka-24h'!M59)</f>
        <v>175</v>
      </c>
      <c r="N59" s="49">
        <f>AVERAGE('01.08 Kireka-Kinawataka-24h'!N59,'03.08 Kireka-Kinawataka-24h'!N59)</f>
        <v>0</v>
      </c>
      <c r="O59" s="49">
        <f>AVERAGE('01.08 Kireka-Kinawataka-24h'!O59,'03.08 Kireka-Kinawataka-24h'!O59)</f>
        <v>66.5</v>
      </c>
      <c r="P59" s="49">
        <f>AVERAGE('01.08 Kireka-Kinawataka-24h'!P59,'03.08 Kireka-Kinawataka-24h'!P59)</f>
        <v>241.5</v>
      </c>
      <c r="R59" s="8"/>
      <c r="T59"/>
    </row>
    <row r="60" spans="2:20" ht="23.1" customHeight="1" x14ac:dyDescent="0.25">
      <c r="B60" s="23" t="s">
        <v>101</v>
      </c>
      <c r="C60" s="49">
        <f>AVERAGE('01.08 Kireka-Kinawataka-24h'!C60,'03.08 Kireka-Kinawataka-24h'!C60)</f>
        <v>37.5</v>
      </c>
      <c r="D60" s="49">
        <f>AVERAGE('01.08 Kireka-Kinawataka-24h'!D60,'03.08 Kireka-Kinawataka-24h'!D60)</f>
        <v>8.5</v>
      </c>
      <c r="E60" s="49">
        <f>AVERAGE('01.08 Kireka-Kinawataka-24h'!E60,'03.08 Kireka-Kinawataka-24h'!E60)</f>
        <v>5</v>
      </c>
      <c r="F60" s="49">
        <f>AVERAGE('01.08 Kireka-Kinawataka-24h'!F60,'03.08 Kireka-Kinawataka-24h'!F60)</f>
        <v>18.5</v>
      </c>
      <c r="G60" s="49">
        <f>AVERAGE('01.08 Kireka-Kinawataka-24h'!G60,'03.08 Kireka-Kinawataka-24h'!G60)</f>
        <v>0</v>
      </c>
      <c r="H60" s="49">
        <f>AVERAGE('01.08 Kireka-Kinawataka-24h'!H60,'03.08 Kireka-Kinawataka-24h'!H60)</f>
        <v>0</v>
      </c>
      <c r="I60" s="49">
        <f>AVERAGE('01.08 Kireka-Kinawataka-24h'!I60,'03.08 Kireka-Kinawataka-24h'!I60)</f>
        <v>4</v>
      </c>
      <c r="J60" s="49">
        <f>AVERAGE('01.08 Kireka-Kinawataka-24h'!J60,'03.08 Kireka-Kinawataka-24h'!J60)</f>
        <v>4.5</v>
      </c>
      <c r="K60" s="49">
        <f>AVERAGE('01.08 Kireka-Kinawataka-24h'!K60,'03.08 Kireka-Kinawataka-24h'!K60)</f>
        <v>0</v>
      </c>
      <c r="L60" s="49">
        <f>AVERAGE('01.08 Kireka-Kinawataka-24h'!L60,'03.08 Kireka-Kinawataka-24h'!L60)</f>
        <v>0</v>
      </c>
      <c r="M60" s="49">
        <f>AVERAGE('01.08 Kireka-Kinawataka-24h'!M60,'03.08 Kireka-Kinawataka-24h'!M60)</f>
        <v>211.5</v>
      </c>
      <c r="N60" s="49">
        <f>AVERAGE('01.08 Kireka-Kinawataka-24h'!N60,'03.08 Kireka-Kinawataka-24h'!N60)</f>
        <v>0</v>
      </c>
      <c r="O60" s="49">
        <f>AVERAGE('01.08 Kireka-Kinawataka-24h'!O60,'03.08 Kireka-Kinawataka-24h'!O60)</f>
        <v>78</v>
      </c>
      <c r="P60" s="49">
        <f>AVERAGE('01.08 Kireka-Kinawataka-24h'!P60,'03.08 Kireka-Kinawataka-24h'!P60)</f>
        <v>289.5</v>
      </c>
      <c r="R60" s="8"/>
      <c r="T60"/>
    </row>
    <row r="61" spans="2:20" ht="23.1" customHeight="1" x14ac:dyDescent="0.25">
      <c r="B61" s="23" t="s">
        <v>102</v>
      </c>
      <c r="C61" s="49">
        <f>AVERAGE('01.08 Kireka-Kinawataka-24h'!C61,'03.08 Kireka-Kinawataka-24h'!C61)</f>
        <v>34.5</v>
      </c>
      <c r="D61" s="49">
        <f>AVERAGE('01.08 Kireka-Kinawataka-24h'!D61,'03.08 Kireka-Kinawataka-24h'!D61)</f>
        <v>7.5</v>
      </c>
      <c r="E61" s="49">
        <f>AVERAGE('01.08 Kireka-Kinawataka-24h'!E61,'03.08 Kireka-Kinawataka-24h'!E61)</f>
        <v>7.5</v>
      </c>
      <c r="F61" s="49">
        <f>AVERAGE('01.08 Kireka-Kinawataka-24h'!F61,'03.08 Kireka-Kinawataka-24h'!F61)</f>
        <v>12</v>
      </c>
      <c r="G61" s="49">
        <f>AVERAGE('01.08 Kireka-Kinawataka-24h'!G61,'03.08 Kireka-Kinawataka-24h'!G61)</f>
        <v>0</v>
      </c>
      <c r="H61" s="49">
        <f>AVERAGE('01.08 Kireka-Kinawataka-24h'!H61,'03.08 Kireka-Kinawataka-24h'!H61)</f>
        <v>0</v>
      </c>
      <c r="I61" s="49">
        <f>AVERAGE('01.08 Kireka-Kinawataka-24h'!I61,'03.08 Kireka-Kinawataka-24h'!I61)</f>
        <v>4.5</v>
      </c>
      <c r="J61" s="49">
        <f>AVERAGE('01.08 Kireka-Kinawataka-24h'!J61,'03.08 Kireka-Kinawataka-24h'!J61)</f>
        <v>3.5</v>
      </c>
      <c r="K61" s="49">
        <f>AVERAGE('01.08 Kireka-Kinawataka-24h'!K61,'03.08 Kireka-Kinawataka-24h'!K61)</f>
        <v>0.5</v>
      </c>
      <c r="L61" s="49">
        <f>AVERAGE('01.08 Kireka-Kinawataka-24h'!L61,'03.08 Kireka-Kinawataka-24h'!L61)</f>
        <v>0.5</v>
      </c>
      <c r="M61" s="49">
        <f>AVERAGE('01.08 Kireka-Kinawataka-24h'!M61,'03.08 Kireka-Kinawataka-24h'!M61)</f>
        <v>206</v>
      </c>
      <c r="N61" s="49">
        <f>AVERAGE('01.08 Kireka-Kinawataka-24h'!N61,'03.08 Kireka-Kinawataka-24h'!N61)</f>
        <v>0</v>
      </c>
      <c r="O61" s="49">
        <f>AVERAGE('01.08 Kireka-Kinawataka-24h'!O61,'03.08 Kireka-Kinawataka-24h'!O61)</f>
        <v>70.5</v>
      </c>
      <c r="P61" s="49">
        <f>AVERAGE('01.08 Kireka-Kinawataka-24h'!P61,'03.08 Kireka-Kinawataka-24h'!P61)</f>
        <v>276.5</v>
      </c>
      <c r="R61" s="8"/>
      <c r="T61"/>
    </row>
    <row r="62" spans="2:20" ht="23.1" customHeight="1" x14ac:dyDescent="0.25">
      <c r="B62" s="23" t="s">
        <v>107</v>
      </c>
      <c r="C62" s="49">
        <f>AVERAGE('01.08 Kireka-Kinawataka-24h'!C62,'03.08 Kireka-Kinawataka-24h'!C62)</f>
        <v>44</v>
      </c>
      <c r="D62" s="49">
        <f>AVERAGE('01.08 Kireka-Kinawataka-24h'!D62,'03.08 Kireka-Kinawataka-24h'!D62)</f>
        <v>6.5</v>
      </c>
      <c r="E62" s="49">
        <f>AVERAGE('01.08 Kireka-Kinawataka-24h'!E62,'03.08 Kireka-Kinawataka-24h'!E62)</f>
        <v>8.5</v>
      </c>
      <c r="F62" s="49">
        <f>AVERAGE('01.08 Kireka-Kinawataka-24h'!F62,'03.08 Kireka-Kinawataka-24h'!F62)</f>
        <v>27</v>
      </c>
      <c r="G62" s="49">
        <f>AVERAGE('01.08 Kireka-Kinawataka-24h'!G62,'03.08 Kireka-Kinawataka-24h'!G62)</f>
        <v>1</v>
      </c>
      <c r="H62" s="49">
        <f>AVERAGE('01.08 Kireka-Kinawataka-24h'!H62,'03.08 Kireka-Kinawataka-24h'!H62)</f>
        <v>0</v>
      </c>
      <c r="I62" s="49">
        <f>AVERAGE('01.08 Kireka-Kinawataka-24h'!I62,'03.08 Kireka-Kinawataka-24h'!I62)</f>
        <v>4.5</v>
      </c>
      <c r="J62" s="49">
        <f>AVERAGE('01.08 Kireka-Kinawataka-24h'!J62,'03.08 Kireka-Kinawataka-24h'!J62)</f>
        <v>3</v>
      </c>
      <c r="K62" s="49">
        <f>AVERAGE('01.08 Kireka-Kinawataka-24h'!K62,'03.08 Kireka-Kinawataka-24h'!K62)</f>
        <v>1</v>
      </c>
      <c r="L62" s="49">
        <f>AVERAGE('01.08 Kireka-Kinawataka-24h'!L62,'03.08 Kireka-Kinawataka-24h'!L62)</f>
        <v>1.5</v>
      </c>
      <c r="M62" s="49">
        <f>AVERAGE('01.08 Kireka-Kinawataka-24h'!M62,'03.08 Kireka-Kinawataka-24h'!M62)</f>
        <v>212.5</v>
      </c>
      <c r="N62" s="49">
        <f>AVERAGE('01.08 Kireka-Kinawataka-24h'!N62,'03.08 Kireka-Kinawataka-24h'!N62)</f>
        <v>0</v>
      </c>
      <c r="O62" s="49">
        <f>AVERAGE('01.08 Kireka-Kinawataka-24h'!O62,'03.08 Kireka-Kinawataka-24h'!O62)</f>
        <v>97</v>
      </c>
      <c r="P62" s="49">
        <f>AVERAGE('01.08 Kireka-Kinawataka-24h'!P62,'03.08 Kireka-Kinawataka-24h'!P62)</f>
        <v>309.5</v>
      </c>
      <c r="R62" s="8"/>
      <c r="T62"/>
    </row>
    <row r="63" spans="2:20" ht="23.1" customHeight="1" x14ac:dyDescent="0.25">
      <c r="B63" s="23" t="s">
        <v>108</v>
      </c>
      <c r="C63" s="49">
        <f>AVERAGE('01.08 Kireka-Kinawataka-24h'!C63,'03.08 Kireka-Kinawataka-24h'!C63)</f>
        <v>24.5</v>
      </c>
      <c r="D63" s="49">
        <f>AVERAGE('01.08 Kireka-Kinawataka-24h'!D63,'03.08 Kireka-Kinawataka-24h'!D63)</f>
        <v>7</v>
      </c>
      <c r="E63" s="49">
        <f>AVERAGE('01.08 Kireka-Kinawataka-24h'!E63,'03.08 Kireka-Kinawataka-24h'!E63)</f>
        <v>5.5</v>
      </c>
      <c r="F63" s="49">
        <f>AVERAGE('01.08 Kireka-Kinawataka-24h'!F63,'03.08 Kireka-Kinawataka-24h'!F63)</f>
        <v>18.5</v>
      </c>
      <c r="G63" s="49">
        <f>AVERAGE('01.08 Kireka-Kinawataka-24h'!G63,'03.08 Kireka-Kinawataka-24h'!G63)</f>
        <v>1</v>
      </c>
      <c r="H63" s="49">
        <f>AVERAGE('01.08 Kireka-Kinawataka-24h'!H63,'03.08 Kireka-Kinawataka-24h'!H63)</f>
        <v>0.5</v>
      </c>
      <c r="I63" s="49">
        <f>AVERAGE('01.08 Kireka-Kinawataka-24h'!I63,'03.08 Kireka-Kinawataka-24h'!I63)</f>
        <v>4.5</v>
      </c>
      <c r="J63" s="49">
        <f>AVERAGE('01.08 Kireka-Kinawataka-24h'!J63,'03.08 Kireka-Kinawataka-24h'!J63)</f>
        <v>1</v>
      </c>
      <c r="K63" s="49">
        <f>AVERAGE('01.08 Kireka-Kinawataka-24h'!K63,'03.08 Kireka-Kinawataka-24h'!K63)</f>
        <v>0</v>
      </c>
      <c r="L63" s="49">
        <f>AVERAGE('01.08 Kireka-Kinawataka-24h'!L63,'03.08 Kireka-Kinawataka-24h'!L63)</f>
        <v>0.5</v>
      </c>
      <c r="M63" s="49">
        <f>AVERAGE('01.08 Kireka-Kinawataka-24h'!M63,'03.08 Kireka-Kinawataka-24h'!M63)</f>
        <v>168</v>
      </c>
      <c r="N63" s="49">
        <f>AVERAGE('01.08 Kireka-Kinawataka-24h'!N63,'03.08 Kireka-Kinawataka-24h'!N63)</f>
        <v>0</v>
      </c>
      <c r="O63" s="49">
        <f>AVERAGE('01.08 Kireka-Kinawataka-24h'!O63,'03.08 Kireka-Kinawataka-24h'!O63)</f>
        <v>63</v>
      </c>
      <c r="P63" s="49">
        <f>AVERAGE('01.08 Kireka-Kinawataka-24h'!P63,'03.08 Kireka-Kinawataka-24h'!P63)</f>
        <v>231</v>
      </c>
      <c r="R63" s="8"/>
      <c r="T63"/>
    </row>
    <row r="64" spans="2:20" ht="23.1" customHeight="1" x14ac:dyDescent="0.25">
      <c r="B64" s="23" t="s">
        <v>109</v>
      </c>
      <c r="C64" s="49">
        <f>AVERAGE('01.08 Kireka-Kinawataka-24h'!C64,'03.08 Kireka-Kinawataka-24h'!C64)</f>
        <v>18</v>
      </c>
      <c r="D64" s="49">
        <f>AVERAGE('01.08 Kireka-Kinawataka-24h'!D64,'03.08 Kireka-Kinawataka-24h'!D64)</f>
        <v>4.5</v>
      </c>
      <c r="E64" s="49">
        <f>AVERAGE('01.08 Kireka-Kinawataka-24h'!E64,'03.08 Kireka-Kinawataka-24h'!E64)</f>
        <v>3</v>
      </c>
      <c r="F64" s="49">
        <f>AVERAGE('01.08 Kireka-Kinawataka-24h'!F64,'03.08 Kireka-Kinawataka-24h'!F64)</f>
        <v>12</v>
      </c>
      <c r="G64" s="49">
        <f>AVERAGE('01.08 Kireka-Kinawataka-24h'!G64,'03.08 Kireka-Kinawataka-24h'!G64)</f>
        <v>0</v>
      </c>
      <c r="H64" s="49">
        <f>AVERAGE('01.08 Kireka-Kinawataka-24h'!H64,'03.08 Kireka-Kinawataka-24h'!H64)</f>
        <v>0.5</v>
      </c>
      <c r="I64" s="49">
        <f>AVERAGE('01.08 Kireka-Kinawataka-24h'!I64,'03.08 Kireka-Kinawataka-24h'!I64)</f>
        <v>2</v>
      </c>
      <c r="J64" s="49">
        <f>AVERAGE('01.08 Kireka-Kinawataka-24h'!J64,'03.08 Kireka-Kinawataka-24h'!J64)</f>
        <v>1.5</v>
      </c>
      <c r="K64" s="49">
        <f>AVERAGE('01.08 Kireka-Kinawataka-24h'!K64,'03.08 Kireka-Kinawataka-24h'!K64)</f>
        <v>0</v>
      </c>
      <c r="L64" s="49">
        <f>AVERAGE('01.08 Kireka-Kinawataka-24h'!L64,'03.08 Kireka-Kinawataka-24h'!L64)</f>
        <v>0.5</v>
      </c>
      <c r="M64" s="49">
        <f>AVERAGE('01.08 Kireka-Kinawataka-24h'!M64,'03.08 Kireka-Kinawataka-24h'!M64)</f>
        <v>116.5</v>
      </c>
      <c r="N64" s="49">
        <f>AVERAGE('01.08 Kireka-Kinawataka-24h'!N64,'03.08 Kireka-Kinawataka-24h'!N64)</f>
        <v>0</v>
      </c>
      <c r="O64" s="49">
        <f>AVERAGE('01.08 Kireka-Kinawataka-24h'!O64,'03.08 Kireka-Kinawataka-24h'!O64)</f>
        <v>42</v>
      </c>
      <c r="P64" s="49">
        <f>AVERAGE('01.08 Kireka-Kinawataka-24h'!P64,'03.08 Kireka-Kinawataka-24h'!P64)</f>
        <v>158.5</v>
      </c>
      <c r="R64" s="8"/>
      <c r="T64"/>
    </row>
    <row r="65" spans="2:20" ht="23.1" customHeight="1" x14ac:dyDescent="0.25">
      <c r="B65" s="23" t="s">
        <v>158</v>
      </c>
      <c r="C65" s="49">
        <f>AVERAGE('01.08 Kireka-Kinawataka-24h'!C65,'03.08 Kireka-Kinawataka-24h'!C65)</f>
        <v>43.5</v>
      </c>
      <c r="D65" s="49">
        <f>AVERAGE('01.08 Kireka-Kinawataka-24h'!D65,'03.08 Kireka-Kinawataka-24h'!D65)</f>
        <v>10.5</v>
      </c>
      <c r="E65" s="49">
        <f>AVERAGE('01.08 Kireka-Kinawataka-24h'!E65,'03.08 Kireka-Kinawataka-24h'!E65)</f>
        <v>11</v>
      </c>
      <c r="F65" s="49">
        <f>AVERAGE('01.08 Kireka-Kinawataka-24h'!F65,'03.08 Kireka-Kinawataka-24h'!F65)</f>
        <v>21.5</v>
      </c>
      <c r="G65" s="49">
        <f>AVERAGE('01.08 Kireka-Kinawataka-24h'!G65,'03.08 Kireka-Kinawataka-24h'!G65)</f>
        <v>2.5</v>
      </c>
      <c r="H65" s="49">
        <f>AVERAGE('01.08 Kireka-Kinawataka-24h'!H65,'03.08 Kireka-Kinawataka-24h'!H65)</f>
        <v>0</v>
      </c>
      <c r="I65" s="49">
        <f>AVERAGE('01.08 Kireka-Kinawataka-24h'!I65,'03.08 Kireka-Kinawataka-24h'!I65)</f>
        <v>6</v>
      </c>
      <c r="J65" s="49">
        <f>AVERAGE('01.08 Kireka-Kinawataka-24h'!J65,'03.08 Kireka-Kinawataka-24h'!J65)</f>
        <v>3.5</v>
      </c>
      <c r="K65" s="49">
        <f>AVERAGE('01.08 Kireka-Kinawataka-24h'!K65,'03.08 Kireka-Kinawataka-24h'!K65)</f>
        <v>0.5</v>
      </c>
      <c r="L65" s="49">
        <f>AVERAGE('01.08 Kireka-Kinawataka-24h'!L65,'03.08 Kireka-Kinawataka-24h'!L65)</f>
        <v>0</v>
      </c>
      <c r="M65" s="49">
        <f>AVERAGE('01.08 Kireka-Kinawataka-24h'!M65,'03.08 Kireka-Kinawataka-24h'!M65)</f>
        <v>166</v>
      </c>
      <c r="N65" s="49">
        <f>AVERAGE('01.08 Kireka-Kinawataka-24h'!N65,'03.08 Kireka-Kinawataka-24h'!N65)</f>
        <v>0</v>
      </c>
      <c r="O65" s="49">
        <f>AVERAGE('01.08 Kireka-Kinawataka-24h'!O65,'03.08 Kireka-Kinawataka-24h'!O65)</f>
        <v>99</v>
      </c>
      <c r="P65" s="49">
        <f>AVERAGE('01.08 Kireka-Kinawataka-24h'!P65,'03.08 Kireka-Kinawataka-24h'!P65)</f>
        <v>265</v>
      </c>
      <c r="R65" s="8"/>
      <c r="T65"/>
    </row>
    <row r="66" spans="2:20" ht="23.1" customHeight="1" x14ac:dyDescent="0.25">
      <c r="B66" s="23" t="s">
        <v>103</v>
      </c>
      <c r="C66" s="49">
        <f>AVERAGE('01.08 Kireka-Kinawataka-24h'!C66,'03.08 Kireka-Kinawataka-24h'!C66)</f>
        <v>42.5</v>
      </c>
      <c r="D66" s="49">
        <f>AVERAGE('01.08 Kireka-Kinawataka-24h'!D66,'03.08 Kireka-Kinawataka-24h'!D66)</f>
        <v>13</v>
      </c>
      <c r="E66" s="49">
        <f>AVERAGE('01.08 Kireka-Kinawataka-24h'!E66,'03.08 Kireka-Kinawataka-24h'!E66)</f>
        <v>7.5</v>
      </c>
      <c r="F66" s="49">
        <f>AVERAGE('01.08 Kireka-Kinawataka-24h'!F66,'03.08 Kireka-Kinawataka-24h'!F66)</f>
        <v>16</v>
      </c>
      <c r="G66" s="49">
        <f>AVERAGE('01.08 Kireka-Kinawataka-24h'!G66,'03.08 Kireka-Kinawataka-24h'!G66)</f>
        <v>0.5</v>
      </c>
      <c r="H66" s="49">
        <f>AVERAGE('01.08 Kireka-Kinawataka-24h'!H66,'03.08 Kireka-Kinawataka-24h'!H66)</f>
        <v>0</v>
      </c>
      <c r="I66" s="49">
        <f>AVERAGE('01.08 Kireka-Kinawataka-24h'!I66,'03.08 Kireka-Kinawataka-24h'!I66)</f>
        <v>4.5</v>
      </c>
      <c r="J66" s="49">
        <f>AVERAGE('01.08 Kireka-Kinawataka-24h'!J66,'03.08 Kireka-Kinawataka-24h'!J66)</f>
        <v>3</v>
      </c>
      <c r="K66" s="49">
        <f>AVERAGE('01.08 Kireka-Kinawataka-24h'!K66,'03.08 Kireka-Kinawataka-24h'!K66)</f>
        <v>1</v>
      </c>
      <c r="L66" s="49">
        <f>AVERAGE('01.08 Kireka-Kinawataka-24h'!L66,'03.08 Kireka-Kinawataka-24h'!L66)</f>
        <v>0</v>
      </c>
      <c r="M66" s="49">
        <f>AVERAGE('01.08 Kireka-Kinawataka-24h'!M66,'03.08 Kireka-Kinawataka-24h'!M66)</f>
        <v>152.5</v>
      </c>
      <c r="N66" s="49">
        <f>AVERAGE('01.08 Kireka-Kinawataka-24h'!N66,'03.08 Kireka-Kinawataka-24h'!N66)</f>
        <v>0</v>
      </c>
      <c r="O66" s="49">
        <f>AVERAGE('01.08 Kireka-Kinawataka-24h'!O66,'03.08 Kireka-Kinawataka-24h'!O66)</f>
        <v>88</v>
      </c>
      <c r="P66" s="49">
        <f>AVERAGE('01.08 Kireka-Kinawataka-24h'!P66,'03.08 Kireka-Kinawataka-24h'!P66)</f>
        <v>240.5</v>
      </c>
      <c r="R66" s="8"/>
      <c r="T66"/>
    </row>
    <row r="67" spans="2:20" ht="23.1" customHeight="1" x14ac:dyDescent="0.25">
      <c r="B67" s="23" t="s">
        <v>104</v>
      </c>
      <c r="C67" s="49">
        <f>AVERAGE('01.08 Kireka-Kinawataka-24h'!C67,'03.08 Kireka-Kinawataka-24h'!C67)</f>
        <v>31.5</v>
      </c>
      <c r="D67" s="49">
        <f>AVERAGE('01.08 Kireka-Kinawataka-24h'!D67,'03.08 Kireka-Kinawataka-24h'!D67)</f>
        <v>6.5</v>
      </c>
      <c r="E67" s="49">
        <f>AVERAGE('01.08 Kireka-Kinawataka-24h'!E67,'03.08 Kireka-Kinawataka-24h'!E67)</f>
        <v>3.5</v>
      </c>
      <c r="F67" s="49">
        <f>AVERAGE('01.08 Kireka-Kinawataka-24h'!F67,'03.08 Kireka-Kinawataka-24h'!F67)</f>
        <v>15.5</v>
      </c>
      <c r="G67" s="49">
        <f>AVERAGE('01.08 Kireka-Kinawataka-24h'!G67,'03.08 Kireka-Kinawataka-24h'!G67)</f>
        <v>1</v>
      </c>
      <c r="H67" s="49">
        <f>AVERAGE('01.08 Kireka-Kinawataka-24h'!H67,'03.08 Kireka-Kinawataka-24h'!H67)</f>
        <v>0.5</v>
      </c>
      <c r="I67" s="49">
        <f>AVERAGE('01.08 Kireka-Kinawataka-24h'!I67,'03.08 Kireka-Kinawataka-24h'!I67)</f>
        <v>7</v>
      </c>
      <c r="J67" s="49">
        <f>AVERAGE('01.08 Kireka-Kinawataka-24h'!J67,'03.08 Kireka-Kinawataka-24h'!J67)</f>
        <v>2</v>
      </c>
      <c r="K67" s="49">
        <f>AVERAGE('01.08 Kireka-Kinawataka-24h'!K67,'03.08 Kireka-Kinawataka-24h'!K67)</f>
        <v>0</v>
      </c>
      <c r="L67" s="49">
        <f>AVERAGE('01.08 Kireka-Kinawataka-24h'!L67,'03.08 Kireka-Kinawataka-24h'!L67)</f>
        <v>2.5</v>
      </c>
      <c r="M67" s="49">
        <f>AVERAGE('01.08 Kireka-Kinawataka-24h'!M67,'03.08 Kireka-Kinawataka-24h'!M67)</f>
        <v>151.5</v>
      </c>
      <c r="N67" s="49">
        <f>AVERAGE('01.08 Kireka-Kinawataka-24h'!N67,'03.08 Kireka-Kinawataka-24h'!N67)</f>
        <v>0</v>
      </c>
      <c r="O67" s="49">
        <f>AVERAGE('01.08 Kireka-Kinawataka-24h'!O67,'03.08 Kireka-Kinawataka-24h'!O67)</f>
        <v>70</v>
      </c>
      <c r="P67" s="49">
        <f>AVERAGE('01.08 Kireka-Kinawataka-24h'!P67,'03.08 Kireka-Kinawataka-24h'!P67)</f>
        <v>221.5</v>
      </c>
      <c r="R67" s="8"/>
      <c r="T67"/>
    </row>
    <row r="68" spans="2:20" ht="23.1" customHeight="1" x14ac:dyDescent="0.25">
      <c r="B68" s="23" t="s">
        <v>105</v>
      </c>
      <c r="C68" s="49">
        <f>AVERAGE('01.08 Kireka-Kinawataka-24h'!C68,'03.08 Kireka-Kinawataka-24h'!C68)</f>
        <v>48.5</v>
      </c>
      <c r="D68" s="49">
        <f>AVERAGE('01.08 Kireka-Kinawataka-24h'!D68,'03.08 Kireka-Kinawataka-24h'!D68)</f>
        <v>6.5</v>
      </c>
      <c r="E68" s="49">
        <f>AVERAGE('01.08 Kireka-Kinawataka-24h'!E68,'03.08 Kireka-Kinawataka-24h'!E68)</f>
        <v>6.5</v>
      </c>
      <c r="F68" s="49">
        <f>AVERAGE('01.08 Kireka-Kinawataka-24h'!F68,'03.08 Kireka-Kinawataka-24h'!F68)</f>
        <v>20.5</v>
      </c>
      <c r="G68" s="49">
        <f>AVERAGE('01.08 Kireka-Kinawataka-24h'!G68,'03.08 Kireka-Kinawataka-24h'!G68)</f>
        <v>1.5</v>
      </c>
      <c r="H68" s="49">
        <f>AVERAGE('01.08 Kireka-Kinawataka-24h'!H68,'03.08 Kireka-Kinawataka-24h'!H68)</f>
        <v>0</v>
      </c>
      <c r="I68" s="49">
        <f>AVERAGE('01.08 Kireka-Kinawataka-24h'!I68,'03.08 Kireka-Kinawataka-24h'!I68)</f>
        <v>5</v>
      </c>
      <c r="J68" s="49">
        <f>AVERAGE('01.08 Kireka-Kinawataka-24h'!J68,'03.08 Kireka-Kinawataka-24h'!J68)</f>
        <v>1</v>
      </c>
      <c r="K68" s="49">
        <f>AVERAGE('01.08 Kireka-Kinawataka-24h'!K68,'03.08 Kireka-Kinawataka-24h'!K68)</f>
        <v>0</v>
      </c>
      <c r="L68" s="49">
        <f>AVERAGE('01.08 Kireka-Kinawataka-24h'!L68,'03.08 Kireka-Kinawataka-24h'!L68)</f>
        <v>1.5</v>
      </c>
      <c r="M68" s="49">
        <f>AVERAGE('01.08 Kireka-Kinawataka-24h'!M68,'03.08 Kireka-Kinawataka-24h'!M68)</f>
        <v>154</v>
      </c>
      <c r="N68" s="49">
        <f>AVERAGE('01.08 Kireka-Kinawataka-24h'!N68,'03.08 Kireka-Kinawataka-24h'!N68)</f>
        <v>0</v>
      </c>
      <c r="O68" s="49">
        <f>AVERAGE('01.08 Kireka-Kinawataka-24h'!O68,'03.08 Kireka-Kinawataka-24h'!O68)</f>
        <v>91</v>
      </c>
      <c r="P68" s="49">
        <f>AVERAGE('01.08 Kireka-Kinawataka-24h'!P68,'03.08 Kireka-Kinawataka-24h'!P68)</f>
        <v>245</v>
      </c>
      <c r="R68" s="8"/>
      <c r="T68"/>
    </row>
    <row r="69" spans="2:20" ht="23.1" customHeight="1" x14ac:dyDescent="0.25">
      <c r="B69" s="23" t="s">
        <v>106</v>
      </c>
      <c r="C69" s="49">
        <f>AVERAGE('01.08 Kireka-Kinawataka-24h'!C69,'03.08 Kireka-Kinawataka-24h'!C69)</f>
        <v>28.5</v>
      </c>
      <c r="D69" s="49">
        <f>AVERAGE('01.08 Kireka-Kinawataka-24h'!D69,'03.08 Kireka-Kinawataka-24h'!D69)</f>
        <v>6.5</v>
      </c>
      <c r="E69" s="49">
        <f>AVERAGE('01.08 Kireka-Kinawataka-24h'!E69,'03.08 Kireka-Kinawataka-24h'!E69)</f>
        <v>5</v>
      </c>
      <c r="F69" s="49">
        <f>AVERAGE('01.08 Kireka-Kinawataka-24h'!F69,'03.08 Kireka-Kinawataka-24h'!F69)</f>
        <v>19.5</v>
      </c>
      <c r="G69" s="49">
        <f>AVERAGE('01.08 Kireka-Kinawataka-24h'!G69,'03.08 Kireka-Kinawataka-24h'!G69)</f>
        <v>1</v>
      </c>
      <c r="H69" s="49">
        <f>AVERAGE('01.08 Kireka-Kinawataka-24h'!H69,'03.08 Kireka-Kinawataka-24h'!H69)</f>
        <v>0</v>
      </c>
      <c r="I69" s="49">
        <f>AVERAGE('01.08 Kireka-Kinawataka-24h'!I69,'03.08 Kireka-Kinawataka-24h'!I69)</f>
        <v>2</v>
      </c>
      <c r="J69" s="49">
        <f>AVERAGE('01.08 Kireka-Kinawataka-24h'!J69,'03.08 Kireka-Kinawataka-24h'!J69)</f>
        <v>1.5</v>
      </c>
      <c r="K69" s="49">
        <f>AVERAGE('01.08 Kireka-Kinawataka-24h'!K69,'03.08 Kireka-Kinawataka-24h'!K69)</f>
        <v>1</v>
      </c>
      <c r="L69" s="49">
        <f>AVERAGE('01.08 Kireka-Kinawataka-24h'!L69,'03.08 Kireka-Kinawataka-24h'!L69)</f>
        <v>0.5</v>
      </c>
      <c r="M69" s="49">
        <f>AVERAGE('01.08 Kireka-Kinawataka-24h'!M69,'03.08 Kireka-Kinawataka-24h'!M69)</f>
        <v>132</v>
      </c>
      <c r="N69" s="49">
        <f>AVERAGE('01.08 Kireka-Kinawataka-24h'!N69,'03.08 Kireka-Kinawataka-24h'!N69)</f>
        <v>0</v>
      </c>
      <c r="O69" s="49">
        <f>AVERAGE('01.08 Kireka-Kinawataka-24h'!O69,'03.08 Kireka-Kinawataka-24h'!O69)</f>
        <v>65.5</v>
      </c>
      <c r="P69" s="49">
        <f>AVERAGE('01.08 Kireka-Kinawataka-24h'!P69,'03.08 Kireka-Kinawataka-24h'!P69)</f>
        <v>197.5</v>
      </c>
      <c r="R69" s="8"/>
      <c r="T69"/>
    </row>
    <row r="70" spans="2:20" ht="23.1" customHeight="1" x14ac:dyDescent="0.25">
      <c r="B70" s="23" t="s">
        <v>110</v>
      </c>
      <c r="C70" s="49">
        <f>AVERAGE('01.08 Kireka-Kinawataka-24h'!C70,'03.08 Kireka-Kinawataka-24h'!C70)</f>
        <v>40.5</v>
      </c>
      <c r="D70" s="49">
        <f>AVERAGE('01.08 Kireka-Kinawataka-24h'!D70,'03.08 Kireka-Kinawataka-24h'!D70)</f>
        <v>10.5</v>
      </c>
      <c r="E70" s="49">
        <f>AVERAGE('01.08 Kireka-Kinawataka-24h'!E70,'03.08 Kireka-Kinawataka-24h'!E70)</f>
        <v>3</v>
      </c>
      <c r="F70" s="49">
        <f>AVERAGE('01.08 Kireka-Kinawataka-24h'!F70,'03.08 Kireka-Kinawataka-24h'!F70)</f>
        <v>11.5</v>
      </c>
      <c r="G70" s="49">
        <f>AVERAGE('01.08 Kireka-Kinawataka-24h'!G70,'03.08 Kireka-Kinawataka-24h'!G70)</f>
        <v>3.5</v>
      </c>
      <c r="H70" s="49">
        <f>AVERAGE('01.08 Kireka-Kinawataka-24h'!H70,'03.08 Kireka-Kinawataka-24h'!H70)</f>
        <v>0</v>
      </c>
      <c r="I70" s="49">
        <f>AVERAGE('01.08 Kireka-Kinawataka-24h'!I70,'03.08 Kireka-Kinawataka-24h'!I70)</f>
        <v>3.5</v>
      </c>
      <c r="J70" s="49">
        <f>AVERAGE('01.08 Kireka-Kinawataka-24h'!J70,'03.08 Kireka-Kinawataka-24h'!J70)</f>
        <v>2</v>
      </c>
      <c r="K70" s="49">
        <f>AVERAGE('01.08 Kireka-Kinawataka-24h'!K70,'03.08 Kireka-Kinawataka-24h'!K70)</f>
        <v>0</v>
      </c>
      <c r="L70" s="49">
        <f>AVERAGE('01.08 Kireka-Kinawataka-24h'!L70,'03.08 Kireka-Kinawataka-24h'!L70)</f>
        <v>0.5</v>
      </c>
      <c r="M70" s="49">
        <f>AVERAGE('01.08 Kireka-Kinawataka-24h'!M70,'03.08 Kireka-Kinawataka-24h'!M70)</f>
        <v>146.5</v>
      </c>
      <c r="N70" s="49">
        <f>AVERAGE('01.08 Kireka-Kinawataka-24h'!N70,'03.08 Kireka-Kinawataka-24h'!N70)</f>
        <v>0</v>
      </c>
      <c r="O70" s="49">
        <f>AVERAGE('01.08 Kireka-Kinawataka-24h'!O70,'03.08 Kireka-Kinawataka-24h'!O70)</f>
        <v>75</v>
      </c>
      <c r="P70" s="49">
        <f>AVERAGE('01.08 Kireka-Kinawataka-24h'!P70,'03.08 Kireka-Kinawataka-24h'!P70)</f>
        <v>221.5</v>
      </c>
      <c r="R70" s="8"/>
      <c r="T70"/>
    </row>
    <row r="71" spans="2:20" ht="23.1" customHeight="1" x14ac:dyDescent="0.25">
      <c r="B71" s="23" t="s">
        <v>111</v>
      </c>
      <c r="C71" s="49">
        <f>AVERAGE('01.08 Kireka-Kinawataka-24h'!C71,'03.08 Kireka-Kinawataka-24h'!C71)</f>
        <v>31</v>
      </c>
      <c r="D71" s="49">
        <f>AVERAGE('01.08 Kireka-Kinawataka-24h'!D71,'03.08 Kireka-Kinawataka-24h'!D71)</f>
        <v>4</v>
      </c>
      <c r="E71" s="49">
        <f>AVERAGE('01.08 Kireka-Kinawataka-24h'!E71,'03.08 Kireka-Kinawataka-24h'!E71)</f>
        <v>3</v>
      </c>
      <c r="F71" s="49">
        <f>AVERAGE('01.08 Kireka-Kinawataka-24h'!F71,'03.08 Kireka-Kinawataka-24h'!F71)</f>
        <v>14</v>
      </c>
      <c r="G71" s="49">
        <f>AVERAGE('01.08 Kireka-Kinawataka-24h'!G71,'03.08 Kireka-Kinawataka-24h'!G71)</f>
        <v>0</v>
      </c>
      <c r="H71" s="49">
        <f>AVERAGE('01.08 Kireka-Kinawataka-24h'!H71,'03.08 Kireka-Kinawataka-24h'!H71)</f>
        <v>0</v>
      </c>
      <c r="I71" s="49">
        <f>AVERAGE('01.08 Kireka-Kinawataka-24h'!I71,'03.08 Kireka-Kinawataka-24h'!I71)</f>
        <v>1.5</v>
      </c>
      <c r="J71" s="49">
        <f>AVERAGE('01.08 Kireka-Kinawataka-24h'!J71,'03.08 Kireka-Kinawataka-24h'!J71)</f>
        <v>1.5</v>
      </c>
      <c r="K71" s="49">
        <f>AVERAGE('01.08 Kireka-Kinawataka-24h'!K71,'03.08 Kireka-Kinawataka-24h'!K71)</f>
        <v>0</v>
      </c>
      <c r="L71" s="49">
        <f>AVERAGE('01.08 Kireka-Kinawataka-24h'!L71,'03.08 Kireka-Kinawataka-24h'!L71)</f>
        <v>1</v>
      </c>
      <c r="M71" s="49">
        <f>AVERAGE('01.08 Kireka-Kinawataka-24h'!M71,'03.08 Kireka-Kinawataka-24h'!M71)</f>
        <v>131.5</v>
      </c>
      <c r="N71" s="49">
        <f>AVERAGE('01.08 Kireka-Kinawataka-24h'!N71,'03.08 Kireka-Kinawataka-24h'!N71)</f>
        <v>0</v>
      </c>
      <c r="O71" s="49">
        <f>AVERAGE('01.08 Kireka-Kinawataka-24h'!O71,'03.08 Kireka-Kinawataka-24h'!O71)</f>
        <v>56</v>
      </c>
      <c r="P71" s="49">
        <f>AVERAGE('01.08 Kireka-Kinawataka-24h'!P71,'03.08 Kireka-Kinawataka-24h'!P71)</f>
        <v>187.5</v>
      </c>
      <c r="R71" s="8"/>
      <c r="T71"/>
    </row>
    <row r="72" spans="2:20" ht="23.1" customHeight="1" x14ac:dyDescent="0.25">
      <c r="B72" s="23" t="s">
        <v>112</v>
      </c>
      <c r="C72" s="49">
        <f>AVERAGE('01.08 Kireka-Kinawataka-24h'!C72,'03.08 Kireka-Kinawataka-24h'!C72)</f>
        <v>26</v>
      </c>
      <c r="D72" s="49">
        <f>AVERAGE('01.08 Kireka-Kinawataka-24h'!D72,'03.08 Kireka-Kinawataka-24h'!D72)</f>
        <v>4</v>
      </c>
      <c r="E72" s="49">
        <f>AVERAGE('01.08 Kireka-Kinawataka-24h'!E72,'03.08 Kireka-Kinawataka-24h'!E72)</f>
        <v>4.5</v>
      </c>
      <c r="F72" s="49">
        <f>AVERAGE('01.08 Kireka-Kinawataka-24h'!F72,'03.08 Kireka-Kinawataka-24h'!F72)</f>
        <v>8.5</v>
      </c>
      <c r="G72" s="49">
        <f>AVERAGE('01.08 Kireka-Kinawataka-24h'!G72,'03.08 Kireka-Kinawataka-24h'!G72)</f>
        <v>0</v>
      </c>
      <c r="H72" s="49">
        <f>AVERAGE('01.08 Kireka-Kinawataka-24h'!H72,'03.08 Kireka-Kinawataka-24h'!H72)</f>
        <v>0</v>
      </c>
      <c r="I72" s="49">
        <f>AVERAGE('01.08 Kireka-Kinawataka-24h'!I72,'03.08 Kireka-Kinawataka-24h'!I72)</f>
        <v>2.5</v>
      </c>
      <c r="J72" s="49">
        <f>AVERAGE('01.08 Kireka-Kinawataka-24h'!J72,'03.08 Kireka-Kinawataka-24h'!J72)</f>
        <v>0</v>
      </c>
      <c r="K72" s="49">
        <f>AVERAGE('01.08 Kireka-Kinawataka-24h'!K72,'03.08 Kireka-Kinawataka-24h'!K72)</f>
        <v>0</v>
      </c>
      <c r="L72" s="49">
        <f>AVERAGE('01.08 Kireka-Kinawataka-24h'!L72,'03.08 Kireka-Kinawataka-24h'!L72)</f>
        <v>0</v>
      </c>
      <c r="M72" s="49">
        <f>AVERAGE('01.08 Kireka-Kinawataka-24h'!M72,'03.08 Kireka-Kinawataka-24h'!M72)</f>
        <v>162</v>
      </c>
      <c r="N72" s="49">
        <f>AVERAGE('01.08 Kireka-Kinawataka-24h'!N72,'03.08 Kireka-Kinawataka-24h'!N72)</f>
        <v>0</v>
      </c>
      <c r="O72" s="49">
        <f>AVERAGE('01.08 Kireka-Kinawataka-24h'!O72,'03.08 Kireka-Kinawataka-24h'!O72)</f>
        <v>45.5</v>
      </c>
      <c r="P72" s="49">
        <f>AVERAGE('01.08 Kireka-Kinawataka-24h'!P72,'03.08 Kireka-Kinawataka-24h'!P72)</f>
        <v>207.5</v>
      </c>
      <c r="R72" s="8"/>
      <c r="T72"/>
    </row>
    <row r="73" spans="2:20" ht="23.1" customHeight="1" x14ac:dyDescent="0.25">
      <c r="B73" s="23" t="s">
        <v>113</v>
      </c>
      <c r="C73" s="49">
        <f>AVERAGE('01.08 Kireka-Kinawataka-24h'!C73,'03.08 Kireka-Kinawataka-24h'!C73)</f>
        <v>41.5</v>
      </c>
      <c r="D73" s="49">
        <f>AVERAGE('01.08 Kireka-Kinawataka-24h'!D73,'03.08 Kireka-Kinawataka-24h'!D73)</f>
        <v>4</v>
      </c>
      <c r="E73" s="49">
        <f>AVERAGE('01.08 Kireka-Kinawataka-24h'!E73,'03.08 Kireka-Kinawataka-24h'!E73)</f>
        <v>3.5</v>
      </c>
      <c r="F73" s="49">
        <f>AVERAGE('01.08 Kireka-Kinawataka-24h'!F73,'03.08 Kireka-Kinawataka-24h'!F73)</f>
        <v>11</v>
      </c>
      <c r="G73" s="49">
        <f>AVERAGE('01.08 Kireka-Kinawataka-24h'!G73,'03.08 Kireka-Kinawataka-24h'!G73)</f>
        <v>1</v>
      </c>
      <c r="H73" s="49">
        <f>AVERAGE('01.08 Kireka-Kinawataka-24h'!H73,'03.08 Kireka-Kinawataka-24h'!H73)</f>
        <v>0</v>
      </c>
      <c r="I73" s="49">
        <f>AVERAGE('01.08 Kireka-Kinawataka-24h'!I73,'03.08 Kireka-Kinawataka-24h'!I73)</f>
        <v>1.5</v>
      </c>
      <c r="J73" s="49">
        <f>AVERAGE('01.08 Kireka-Kinawataka-24h'!J73,'03.08 Kireka-Kinawataka-24h'!J73)</f>
        <v>1</v>
      </c>
      <c r="K73" s="49">
        <f>AVERAGE('01.08 Kireka-Kinawataka-24h'!K73,'03.08 Kireka-Kinawataka-24h'!K73)</f>
        <v>2</v>
      </c>
      <c r="L73" s="49">
        <f>AVERAGE('01.08 Kireka-Kinawataka-24h'!L73,'03.08 Kireka-Kinawataka-24h'!L73)</f>
        <v>0</v>
      </c>
      <c r="M73" s="49">
        <f>AVERAGE('01.08 Kireka-Kinawataka-24h'!M73,'03.08 Kireka-Kinawataka-24h'!M73)</f>
        <v>116</v>
      </c>
      <c r="N73" s="49">
        <f>AVERAGE('01.08 Kireka-Kinawataka-24h'!N73,'03.08 Kireka-Kinawataka-24h'!N73)</f>
        <v>0</v>
      </c>
      <c r="O73" s="49">
        <f>AVERAGE('01.08 Kireka-Kinawataka-24h'!O73,'03.08 Kireka-Kinawataka-24h'!O73)</f>
        <v>65.5</v>
      </c>
      <c r="P73" s="49">
        <f>AVERAGE('01.08 Kireka-Kinawataka-24h'!P73,'03.08 Kireka-Kinawataka-24h'!P73)</f>
        <v>181.5</v>
      </c>
      <c r="R73" s="8"/>
      <c r="T73"/>
    </row>
    <row r="74" spans="2:20" ht="23.1" customHeight="1" x14ac:dyDescent="0.25">
      <c r="B74" s="23" t="s">
        <v>114</v>
      </c>
      <c r="C74" s="49">
        <f>AVERAGE('01.08 Kireka-Kinawataka-24h'!C74,'03.08 Kireka-Kinawataka-24h'!C74)</f>
        <v>43.5</v>
      </c>
      <c r="D74" s="49">
        <f>AVERAGE('01.08 Kireka-Kinawataka-24h'!D74,'03.08 Kireka-Kinawataka-24h'!D74)</f>
        <v>5</v>
      </c>
      <c r="E74" s="49">
        <f>AVERAGE('01.08 Kireka-Kinawataka-24h'!E74,'03.08 Kireka-Kinawataka-24h'!E74)</f>
        <v>6.5</v>
      </c>
      <c r="F74" s="49">
        <f>AVERAGE('01.08 Kireka-Kinawataka-24h'!F74,'03.08 Kireka-Kinawataka-24h'!F74)</f>
        <v>7</v>
      </c>
      <c r="G74" s="49">
        <f>AVERAGE('01.08 Kireka-Kinawataka-24h'!G74,'03.08 Kireka-Kinawataka-24h'!G74)</f>
        <v>0.5</v>
      </c>
      <c r="H74" s="49">
        <f>AVERAGE('01.08 Kireka-Kinawataka-24h'!H74,'03.08 Kireka-Kinawataka-24h'!H74)</f>
        <v>0</v>
      </c>
      <c r="I74" s="49">
        <f>AVERAGE('01.08 Kireka-Kinawataka-24h'!I74,'03.08 Kireka-Kinawataka-24h'!I74)</f>
        <v>1.5</v>
      </c>
      <c r="J74" s="49">
        <f>AVERAGE('01.08 Kireka-Kinawataka-24h'!J74,'03.08 Kireka-Kinawataka-24h'!J74)</f>
        <v>0</v>
      </c>
      <c r="K74" s="49">
        <f>AVERAGE('01.08 Kireka-Kinawataka-24h'!K74,'03.08 Kireka-Kinawataka-24h'!K74)</f>
        <v>0</v>
      </c>
      <c r="L74" s="49">
        <f>AVERAGE('01.08 Kireka-Kinawataka-24h'!L74,'03.08 Kireka-Kinawataka-24h'!L74)</f>
        <v>0</v>
      </c>
      <c r="M74" s="49">
        <f>AVERAGE('01.08 Kireka-Kinawataka-24h'!M74,'03.08 Kireka-Kinawataka-24h'!M74)</f>
        <v>104.5</v>
      </c>
      <c r="N74" s="49">
        <f>AVERAGE('01.08 Kireka-Kinawataka-24h'!N74,'03.08 Kireka-Kinawataka-24h'!N74)</f>
        <v>0.5</v>
      </c>
      <c r="O74" s="49">
        <f>AVERAGE('01.08 Kireka-Kinawataka-24h'!O74,'03.08 Kireka-Kinawataka-24h'!O74)</f>
        <v>64.5</v>
      </c>
      <c r="P74" s="49">
        <f>AVERAGE('01.08 Kireka-Kinawataka-24h'!P74,'03.08 Kireka-Kinawataka-24h'!P74)</f>
        <v>169</v>
      </c>
      <c r="R74" s="8"/>
      <c r="T74"/>
    </row>
    <row r="75" spans="2:20" ht="23.1" customHeight="1" x14ac:dyDescent="0.25">
      <c r="B75" s="23" t="s">
        <v>115</v>
      </c>
      <c r="C75" s="49">
        <f>AVERAGE('01.08 Kireka-Kinawataka-24h'!C75,'03.08 Kireka-Kinawataka-24h'!C75)</f>
        <v>19</v>
      </c>
      <c r="D75" s="49">
        <f>AVERAGE('01.08 Kireka-Kinawataka-24h'!D75,'03.08 Kireka-Kinawataka-24h'!D75)</f>
        <v>2</v>
      </c>
      <c r="E75" s="49">
        <f>AVERAGE('01.08 Kireka-Kinawataka-24h'!E75,'03.08 Kireka-Kinawataka-24h'!E75)</f>
        <v>4</v>
      </c>
      <c r="F75" s="49">
        <f>AVERAGE('01.08 Kireka-Kinawataka-24h'!F75,'03.08 Kireka-Kinawataka-24h'!F75)</f>
        <v>5.5</v>
      </c>
      <c r="G75" s="49">
        <f>AVERAGE('01.08 Kireka-Kinawataka-24h'!G75,'03.08 Kireka-Kinawataka-24h'!G75)</f>
        <v>0</v>
      </c>
      <c r="H75" s="49">
        <f>AVERAGE('01.08 Kireka-Kinawataka-24h'!H75,'03.08 Kireka-Kinawataka-24h'!H75)</f>
        <v>0.5</v>
      </c>
      <c r="I75" s="49">
        <f>AVERAGE('01.08 Kireka-Kinawataka-24h'!I75,'03.08 Kireka-Kinawataka-24h'!I75)</f>
        <v>1.5</v>
      </c>
      <c r="J75" s="49">
        <f>AVERAGE('01.08 Kireka-Kinawataka-24h'!J75,'03.08 Kireka-Kinawataka-24h'!J75)</f>
        <v>1.5</v>
      </c>
      <c r="K75" s="49">
        <f>AVERAGE('01.08 Kireka-Kinawataka-24h'!K75,'03.08 Kireka-Kinawataka-24h'!K75)</f>
        <v>0</v>
      </c>
      <c r="L75" s="49">
        <f>AVERAGE('01.08 Kireka-Kinawataka-24h'!L75,'03.08 Kireka-Kinawataka-24h'!L75)</f>
        <v>0.5</v>
      </c>
      <c r="M75" s="49">
        <f>AVERAGE('01.08 Kireka-Kinawataka-24h'!M75,'03.08 Kireka-Kinawataka-24h'!M75)</f>
        <v>86</v>
      </c>
      <c r="N75" s="49">
        <f>AVERAGE('01.08 Kireka-Kinawataka-24h'!N75,'03.08 Kireka-Kinawataka-24h'!N75)</f>
        <v>0</v>
      </c>
      <c r="O75" s="49">
        <f>AVERAGE('01.08 Kireka-Kinawataka-24h'!O75,'03.08 Kireka-Kinawataka-24h'!O75)</f>
        <v>34.5</v>
      </c>
      <c r="P75" s="49">
        <f>AVERAGE('01.08 Kireka-Kinawataka-24h'!P75,'03.08 Kireka-Kinawataka-24h'!P75)</f>
        <v>120.5</v>
      </c>
      <c r="R75" s="8"/>
      <c r="T75"/>
    </row>
    <row r="76" spans="2:20" ht="23.1" customHeight="1" x14ac:dyDescent="0.25">
      <c r="B76" s="23" t="s">
        <v>116</v>
      </c>
      <c r="C76" s="49">
        <f>AVERAGE('01.08 Kireka-Kinawataka-24h'!C76,'03.08 Kireka-Kinawataka-24h'!C76)</f>
        <v>24</v>
      </c>
      <c r="D76" s="49">
        <f>AVERAGE('01.08 Kireka-Kinawataka-24h'!D76,'03.08 Kireka-Kinawataka-24h'!D76)</f>
        <v>3</v>
      </c>
      <c r="E76" s="49">
        <f>AVERAGE('01.08 Kireka-Kinawataka-24h'!E76,'03.08 Kireka-Kinawataka-24h'!E76)</f>
        <v>3.5</v>
      </c>
      <c r="F76" s="49">
        <f>AVERAGE('01.08 Kireka-Kinawataka-24h'!F76,'03.08 Kireka-Kinawataka-24h'!F76)</f>
        <v>2.5</v>
      </c>
      <c r="G76" s="49">
        <f>AVERAGE('01.08 Kireka-Kinawataka-24h'!G76,'03.08 Kireka-Kinawataka-24h'!G76)</f>
        <v>0</v>
      </c>
      <c r="H76" s="49">
        <f>AVERAGE('01.08 Kireka-Kinawataka-24h'!H76,'03.08 Kireka-Kinawataka-24h'!H76)</f>
        <v>0</v>
      </c>
      <c r="I76" s="49">
        <f>AVERAGE('01.08 Kireka-Kinawataka-24h'!I76,'03.08 Kireka-Kinawataka-24h'!I76)</f>
        <v>3.5</v>
      </c>
      <c r="J76" s="49">
        <f>AVERAGE('01.08 Kireka-Kinawataka-24h'!J76,'03.08 Kireka-Kinawataka-24h'!J76)</f>
        <v>1</v>
      </c>
      <c r="K76" s="49">
        <f>AVERAGE('01.08 Kireka-Kinawataka-24h'!K76,'03.08 Kireka-Kinawataka-24h'!K76)</f>
        <v>0.5</v>
      </c>
      <c r="L76" s="49">
        <f>AVERAGE('01.08 Kireka-Kinawataka-24h'!L76,'03.08 Kireka-Kinawataka-24h'!L76)</f>
        <v>0</v>
      </c>
      <c r="M76" s="49">
        <f>AVERAGE('01.08 Kireka-Kinawataka-24h'!M76,'03.08 Kireka-Kinawataka-24h'!M76)</f>
        <v>92</v>
      </c>
      <c r="N76" s="49">
        <f>AVERAGE('01.08 Kireka-Kinawataka-24h'!N76,'03.08 Kireka-Kinawataka-24h'!N76)</f>
        <v>0</v>
      </c>
      <c r="O76" s="49">
        <f>AVERAGE('01.08 Kireka-Kinawataka-24h'!O76,'03.08 Kireka-Kinawataka-24h'!O76)</f>
        <v>38</v>
      </c>
      <c r="P76" s="49">
        <f>AVERAGE('01.08 Kireka-Kinawataka-24h'!P76,'03.08 Kireka-Kinawataka-24h'!P76)</f>
        <v>130</v>
      </c>
      <c r="R76" s="8"/>
      <c r="T76"/>
    </row>
    <row r="77" spans="2:20" ht="23.1" customHeight="1" x14ac:dyDescent="0.25">
      <c r="B77" s="23" t="s">
        <v>117</v>
      </c>
      <c r="C77" s="49">
        <f>AVERAGE('01.08 Kireka-Kinawataka-24h'!C77,'03.08 Kireka-Kinawataka-24h'!C77)</f>
        <v>19.5</v>
      </c>
      <c r="D77" s="49">
        <f>AVERAGE('01.08 Kireka-Kinawataka-24h'!D77,'03.08 Kireka-Kinawataka-24h'!D77)</f>
        <v>3.5</v>
      </c>
      <c r="E77" s="49">
        <f>AVERAGE('01.08 Kireka-Kinawataka-24h'!E77,'03.08 Kireka-Kinawataka-24h'!E77)</f>
        <v>1.5</v>
      </c>
      <c r="F77" s="49">
        <f>AVERAGE('01.08 Kireka-Kinawataka-24h'!F77,'03.08 Kireka-Kinawataka-24h'!F77)</f>
        <v>5.5</v>
      </c>
      <c r="G77" s="49">
        <f>AVERAGE('01.08 Kireka-Kinawataka-24h'!G77,'03.08 Kireka-Kinawataka-24h'!G77)</f>
        <v>0</v>
      </c>
      <c r="H77" s="49">
        <f>AVERAGE('01.08 Kireka-Kinawataka-24h'!H77,'03.08 Kireka-Kinawataka-24h'!H77)</f>
        <v>0</v>
      </c>
      <c r="I77" s="49">
        <f>AVERAGE('01.08 Kireka-Kinawataka-24h'!I77,'03.08 Kireka-Kinawataka-24h'!I77)</f>
        <v>2</v>
      </c>
      <c r="J77" s="49">
        <f>AVERAGE('01.08 Kireka-Kinawataka-24h'!J77,'03.08 Kireka-Kinawataka-24h'!J77)</f>
        <v>0.5</v>
      </c>
      <c r="K77" s="49">
        <f>AVERAGE('01.08 Kireka-Kinawataka-24h'!K77,'03.08 Kireka-Kinawataka-24h'!K77)</f>
        <v>0</v>
      </c>
      <c r="L77" s="49">
        <f>AVERAGE('01.08 Kireka-Kinawataka-24h'!L77,'03.08 Kireka-Kinawataka-24h'!L77)</f>
        <v>0</v>
      </c>
      <c r="M77" s="49">
        <f>AVERAGE('01.08 Kireka-Kinawataka-24h'!M77,'03.08 Kireka-Kinawataka-24h'!M77)</f>
        <v>70</v>
      </c>
      <c r="N77" s="49">
        <f>AVERAGE('01.08 Kireka-Kinawataka-24h'!N77,'03.08 Kireka-Kinawataka-24h'!N77)</f>
        <v>0</v>
      </c>
      <c r="O77" s="49">
        <f>AVERAGE('01.08 Kireka-Kinawataka-24h'!O77,'03.08 Kireka-Kinawataka-24h'!O77)</f>
        <v>32.5</v>
      </c>
      <c r="P77" s="49">
        <f>AVERAGE('01.08 Kireka-Kinawataka-24h'!P77,'03.08 Kireka-Kinawataka-24h'!P77)</f>
        <v>102.5</v>
      </c>
      <c r="R77" s="8"/>
      <c r="T77"/>
    </row>
    <row r="78" spans="2:20" ht="23.1" customHeight="1" x14ac:dyDescent="0.25">
      <c r="B78" s="24" t="s">
        <v>118</v>
      </c>
      <c r="C78" s="49">
        <f>AVERAGE('01.08 Kireka-Kinawataka-24h'!C78,'03.08 Kireka-Kinawataka-24h'!C78)</f>
        <v>11</v>
      </c>
      <c r="D78" s="49">
        <f>AVERAGE('01.08 Kireka-Kinawataka-24h'!D78,'03.08 Kireka-Kinawataka-24h'!D78)</f>
        <v>2</v>
      </c>
      <c r="E78" s="49">
        <f>AVERAGE('01.08 Kireka-Kinawataka-24h'!E78,'03.08 Kireka-Kinawataka-24h'!E78)</f>
        <v>0.5</v>
      </c>
      <c r="F78" s="49">
        <f>AVERAGE('01.08 Kireka-Kinawataka-24h'!F78,'03.08 Kireka-Kinawataka-24h'!F78)</f>
        <v>2</v>
      </c>
      <c r="G78" s="49">
        <f>AVERAGE('01.08 Kireka-Kinawataka-24h'!G78,'03.08 Kireka-Kinawataka-24h'!G78)</f>
        <v>0</v>
      </c>
      <c r="H78" s="49">
        <f>AVERAGE('01.08 Kireka-Kinawataka-24h'!H78,'03.08 Kireka-Kinawataka-24h'!H78)</f>
        <v>0</v>
      </c>
      <c r="I78" s="49">
        <f>AVERAGE('01.08 Kireka-Kinawataka-24h'!I78,'03.08 Kireka-Kinawataka-24h'!I78)</f>
        <v>1</v>
      </c>
      <c r="J78" s="49">
        <f>AVERAGE('01.08 Kireka-Kinawataka-24h'!J78,'03.08 Kireka-Kinawataka-24h'!J78)</f>
        <v>0</v>
      </c>
      <c r="K78" s="49">
        <f>AVERAGE('01.08 Kireka-Kinawataka-24h'!K78,'03.08 Kireka-Kinawataka-24h'!K78)</f>
        <v>0</v>
      </c>
      <c r="L78" s="49">
        <f>AVERAGE('01.08 Kireka-Kinawataka-24h'!L78,'03.08 Kireka-Kinawataka-24h'!L78)</f>
        <v>0</v>
      </c>
      <c r="M78" s="49">
        <f>AVERAGE('01.08 Kireka-Kinawataka-24h'!M78,'03.08 Kireka-Kinawataka-24h'!M78)</f>
        <v>56.5</v>
      </c>
      <c r="N78" s="49">
        <f>AVERAGE('01.08 Kireka-Kinawataka-24h'!N78,'03.08 Kireka-Kinawataka-24h'!N78)</f>
        <v>0</v>
      </c>
      <c r="O78" s="49">
        <f>AVERAGE('01.08 Kireka-Kinawataka-24h'!O78,'03.08 Kireka-Kinawataka-24h'!O78)</f>
        <v>16.5</v>
      </c>
      <c r="P78" s="49">
        <f>AVERAGE('01.08 Kireka-Kinawataka-24h'!P78,'03.08 Kireka-Kinawataka-24h'!P78)</f>
        <v>73</v>
      </c>
      <c r="R78" s="8"/>
      <c r="T78"/>
    </row>
    <row r="79" spans="2:20" ht="23.1" customHeight="1" x14ac:dyDescent="0.25">
      <c r="B79" s="23" t="s">
        <v>119</v>
      </c>
      <c r="C79" s="49">
        <f>AVERAGE('01.08 Kireka-Kinawataka-24h'!C79,'03.08 Kireka-Kinawataka-24h'!C79)</f>
        <v>19.5</v>
      </c>
      <c r="D79" s="49">
        <f>AVERAGE('01.08 Kireka-Kinawataka-24h'!D79,'03.08 Kireka-Kinawataka-24h'!D79)</f>
        <v>2.5</v>
      </c>
      <c r="E79" s="49">
        <f>AVERAGE('01.08 Kireka-Kinawataka-24h'!E79,'03.08 Kireka-Kinawataka-24h'!E79)</f>
        <v>4</v>
      </c>
      <c r="F79" s="49">
        <f>AVERAGE('01.08 Kireka-Kinawataka-24h'!F79,'03.08 Kireka-Kinawataka-24h'!F79)</f>
        <v>1</v>
      </c>
      <c r="G79" s="49">
        <f>AVERAGE('01.08 Kireka-Kinawataka-24h'!G79,'03.08 Kireka-Kinawataka-24h'!G79)</f>
        <v>0</v>
      </c>
      <c r="H79" s="49">
        <f>AVERAGE('01.08 Kireka-Kinawataka-24h'!H79,'03.08 Kireka-Kinawataka-24h'!H79)</f>
        <v>0</v>
      </c>
      <c r="I79" s="49">
        <f>AVERAGE('01.08 Kireka-Kinawataka-24h'!I79,'03.08 Kireka-Kinawataka-24h'!I79)</f>
        <v>2</v>
      </c>
      <c r="J79" s="49">
        <f>AVERAGE('01.08 Kireka-Kinawataka-24h'!J79,'03.08 Kireka-Kinawataka-24h'!J79)</f>
        <v>1.5</v>
      </c>
      <c r="K79" s="49">
        <f>AVERAGE('01.08 Kireka-Kinawataka-24h'!K79,'03.08 Kireka-Kinawataka-24h'!K79)</f>
        <v>0</v>
      </c>
      <c r="L79" s="49">
        <f>AVERAGE('01.08 Kireka-Kinawataka-24h'!L79,'03.08 Kireka-Kinawataka-24h'!L79)</f>
        <v>0</v>
      </c>
      <c r="M79" s="49">
        <f>AVERAGE('01.08 Kireka-Kinawataka-24h'!M79,'03.08 Kireka-Kinawataka-24h'!M79)</f>
        <v>48.5</v>
      </c>
      <c r="N79" s="49">
        <f>AVERAGE('01.08 Kireka-Kinawataka-24h'!N79,'03.08 Kireka-Kinawataka-24h'!N79)</f>
        <v>0</v>
      </c>
      <c r="O79" s="49">
        <f>AVERAGE('01.08 Kireka-Kinawataka-24h'!O79,'03.08 Kireka-Kinawataka-24h'!O79)</f>
        <v>30.5</v>
      </c>
      <c r="P79" s="49">
        <f>AVERAGE('01.08 Kireka-Kinawataka-24h'!P79,'03.08 Kireka-Kinawataka-24h'!P79)</f>
        <v>79</v>
      </c>
      <c r="R79" s="8"/>
      <c r="T79"/>
    </row>
    <row r="80" spans="2:20" ht="23.1" customHeight="1" x14ac:dyDescent="0.25">
      <c r="B80" s="25" t="s">
        <v>120</v>
      </c>
      <c r="C80" s="49">
        <f>AVERAGE('01.08 Kireka-Kinawataka-24h'!C80,'03.08 Kireka-Kinawataka-24h'!C80)</f>
        <v>16</v>
      </c>
      <c r="D80" s="49">
        <f>AVERAGE('01.08 Kireka-Kinawataka-24h'!D80,'03.08 Kireka-Kinawataka-24h'!D80)</f>
        <v>3.5</v>
      </c>
      <c r="E80" s="49">
        <f>AVERAGE('01.08 Kireka-Kinawataka-24h'!E80,'03.08 Kireka-Kinawataka-24h'!E80)</f>
        <v>2.5</v>
      </c>
      <c r="F80" s="49">
        <f>AVERAGE('01.08 Kireka-Kinawataka-24h'!F80,'03.08 Kireka-Kinawataka-24h'!F80)</f>
        <v>7</v>
      </c>
      <c r="G80" s="49">
        <f>AVERAGE('01.08 Kireka-Kinawataka-24h'!G80,'03.08 Kireka-Kinawataka-24h'!G80)</f>
        <v>0.5</v>
      </c>
      <c r="H80" s="49">
        <f>AVERAGE('01.08 Kireka-Kinawataka-24h'!H80,'03.08 Kireka-Kinawataka-24h'!H80)</f>
        <v>0.5</v>
      </c>
      <c r="I80" s="49">
        <f>AVERAGE('01.08 Kireka-Kinawataka-24h'!I80,'03.08 Kireka-Kinawataka-24h'!I80)</f>
        <v>1</v>
      </c>
      <c r="J80" s="49">
        <f>AVERAGE('01.08 Kireka-Kinawataka-24h'!J80,'03.08 Kireka-Kinawataka-24h'!J80)</f>
        <v>1</v>
      </c>
      <c r="K80" s="49">
        <f>AVERAGE('01.08 Kireka-Kinawataka-24h'!K80,'03.08 Kireka-Kinawataka-24h'!K80)</f>
        <v>0</v>
      </c>
      <c r="L80" s="49">
        <f>AVERAGE('01.08 Kireka-Kinawataka-24h'!L80,'03.08 Kireka-Kinawataka-24h'!L80)</f>
        <v>0</v>
      </c>
      <c r="M80" s="49">
        <f>AVERAGE('01.08 Kireka-Kinawataka-24h'!M80,'03.08 Kireka-Kinawataka-24h'!M80)</f>
        <v>40</v>
      </c>
      <c r="N80" s="49">
        <f>AVERAGE('01.08 Kireka-Kinawataka-24h'!N80,'03.08 Kireka-Kinawataka-24h'!N80)</f>
        <v>0</v>
      </c>
      <c r="O80" s="49">
        <f>AVERAGE('01.08 Kireka-Kinawataka-24h'!O80,'03.08 Kireka-Kinawataka-24h'!O80)</f>
        <v>32</v>
      </c>
      <c r="P80" s="49">
        <f>AVERAGE('01.08 Kireka-Kinawataka-24h'!P80,'03.08 Kireka-Kinawataka-24h'!P80)</f>
        <v>72</v>
      </c>
      <c r="R80" s="8"/>
      <c r="T80"/>
    </row>
    <row r="81" spans="2:20" ht="23.1" customHeight="1" x14ac:dyDescent="0.25">
      <c r="B81" s="23" t="s">
        <v>121</v>
      </c>
      <c r="C81" s="49">
        <f>AVERAGE('01.08 Kireka-Kinawataka-24h'!C81,'03.08 Kireka-Kinawataka-24h'!C81)</f>
        <v>8</v>
      </c>
      <c r="D81" s="49">
        <f>AVERAGE('01.08 Kireka-Kinawataka-24h'!D81,'03.08 Kireka-Kinawataka-24h'!D81)</f>
        <v>1.5</v>
      </c>
      <c r="E81" s="49">
        <f>AVERAGE('01.08 Kireka-Kinawataka-24h'!E81,'03.08 Kireka-Kinawataka-24h'!E81)</f>
        <v>0</v>
      </c>
      <c r="F81" s="49">
        <f>AVERAGE('01.08 Kireka-Kinawataka-24h'!F81,'03.08 Kireka-Kinawataka-24h'!F81)</f>
        <v>1</v>
      </c>
      <c r="G81" s="49">
        <f>AVERAGE('01.08 Kireka-Kinawataka-24h'!G81,'03.08 Kireka-Kinawataka-24h'!G81)</f>
        <v>0.5</v>
      </c>
      <c r="H81" s="49">
        <f>AVERAGE('01.08 Kireka-Kinawataka-24h'!H81,'03.08 Kireka-Kinawataka-24h'!H81)</f>
        <v>0</v>
      </c>
      <c r="I81" s="49">
        <f>AVERAGE('01.08 Kireka-Kinawataka-24h'!I81,'03.08 Kireka-Kinawataka-24h'!I81)</f>
        <v>1</v>
      </c>
      <c r="J81" s="49">
        <f>AVERAGE('01.08 Kireka-Kinawataka-24h'!J81,'03.08 Kireka-Kinawataka-24h'!J81)</f>
        <v>1</v>
      </c>
      <c r="K81" s="49">
        <f>AVERAGE('01.08 Kireka-Kinawataka-24h'!K81,'03.08 Kireka-Kinawataka-24h'!K81)</f>
        <v>1.5</v>
      </c>
      <c r="L81" s="49">
        <f>AVERAGE('01.08 Kireka-Kinawataka-24h'!L81,'03.08 Kireka-Kinawataka-24h'!L81)</f>
        <v>1</v>
      </c>
      <c r="M81" s="49">
        <f>AVERAGE('01.08 Kireka-Kinawataka-24h'!M81,'03.08 Kireka-Kinawataka-24h'!M81)</f>
        <v>42</v>
      </c>
      <c r="N81" s="49">
        <f>AVERAGE('01.08 Kireka-Kinawataka-24h'!N81,'03.08 Kireka-Kinawataka-24h'!N81)</f>
        <v>0</v>
      </c>
      <c r="O81" s="49">
        <f>AVERAGE('01.08 Kireka-Kinawataka-24h'!O81,'03.08 Kireka-Kinawataka-24h'!O81)</f>
        <v>15.5</v>
      </c>
      <c r="P81" s="49">
        <f>AVERAGE('01.08 Kireka-Kinawataka-24h'!P81,'03.08 Kireka-Kinawataka-24h'!P81)</f>
        <v>57.5</v>
      </c>
      <c r="R81" s="8"/>
      <c r="T81"/>
    </row>
    <row r="82" spans="2:20" ht="23.1" customHeight="1" x14ac:dyDescent="0.25">
      <c r="B82" s="24" t="s">
        <v>122</v>
      </c>
      <c r="C82" s="49">
        <f>AVERAGE('01.08 Kireka-Kinawataka-24h'!C82,'03.08 Kireka-Kinawataka-24h'!C82)</f>
        <v>12</v>
      </c>
      <c r="D82" s="49">
        <f>AVERAGE('01.08 Kireka-Kinawataka-24h'!D82,'03.08 Kireka-Kinawataka-24h'!D82)</f>
        <v>0.5</v>
      </c>
      <c r="E82" s="49">
        <f>AVERAGE('01.08 Kireka-Kinawataka-24h'!E82,'03.08 Kireka-Kinawataka-24h'!E82)</f>
        <v>3.5</v>
      </c>
      <c r="F82" s="49">
        <f>AVERAGE('01.08 Kireka-Kinawataka-24h'!F82,'03.08 Kireka-Kinawataka-24h'!F82)</f>
        <v>1.5</v>
      </c>
      <c r="G82" s="49">
        <f>AVERAGE('01.08 Kireka-Kinawataka-24h'!G82,'03.08 Kireka-Kinawataka-24h'!G82)</f>
        <v>0</v>
      </c>
      <c r="H82" s="49">
        <f>AVERAGE('01.08 Kireka-Kinawataka-24h'!H82,'03.08 Kireka-Kinawataka-24h'!H82)</f>
        <v>0</v>
      </c>
      <c r="I82" s="49">
        <f>AVERAGE('01.08 Kireka-Kinawataka-24h'!I82,'03.08 Kireka-Kinawataka-24h'!I82)</f>
        <v>0.5</v>
      </c>
      <c r="J82" s="49">
        <f>AVERAGE('01.08 Kireka-Kinawataka-24h'!J82,'03.08 Kireka-Kinawataka-24h'!J82)</f>
        <v>1</v>
      </c>
      <c r="K82" s="49">
        <f>AVERAGE('01.08 Kireka-Kinawataka-24h'!K82,'03.08 Kireka-Kinawataka-24h'!K82)</f>
        <v>0</v>
      </c>
      <c r="L82" s="49">
        <f>AVERAGE('01.08 Kireka-Kinawataka-24h'!L82,'03.08 Kireka-Kinawataka-24h'!L82)</f>
        <v>0</v>
      </c>
      <c r="M82" s="49">
        <f>AVERAGE('01.08 Kireka-Kinawataka-24h'!M82,'03.08 Kireka-Kinawataka-24h'!M82)</f>
        <v>38.5</v>
      </c>
      <c r="N82" s="49">
        <f>AVERAGE('01.08 Kireka-Kinawataka-24h'!N82,'03.08 Kireka-Kinawataka-24h'!N82)</f>
        <v>0</v>
      </c>
      <c r="O82" s="49">
        <f>AVERAGE('01.08 Kireka-Kinawataka-24h'!O82,'03.08 Kireka-Kinawataka-24h'!O82)</f>
        <v>19</v>
      </c>
      <c r="P82" s="49">
        <f>AVERAGE('01.08 Kireka-Kinawataka-24h'!P82,'03.08 Kireka-Kinawataka-24h'!P82)</f>
        <v>57.5</v>
      </c>
      <c r="R82" s="8"/>
      <c r="T82"/>
    </row>
    <row r="83" spans="2:20" ht="23.1" customHeight="1" x14ac:dyDescent="0.25">
      <c r="B83" s="23" t="s">
        <v>123</v>
      </c>
      <c r="C83" s="49">
        <f>AVERAGE('01.08 Kireka-Kinawataka-24h'!C83,'03.08 Kireka-Kinawataka-24h'!C83)</f>
        <v>15.5</v>
      </c>
      <c r="D83" s="49">
        <f>AVERAGE('01.08 Kireka-Kinawataka-24h'!D83,'03.08 Kireka-Kinawataka-24h'!D83)</f>
        <v>0.5</v>
      </c>
      <c r="E83" s="49">
        <f>AVERAGE('01.08 Kireka-Kinawataka-24h'!E83,'03.08 Kireka-Kinawataka-24h'!E83)</f>
        <v>0.5</v>
      </c>
      <c r="F83" s="49">
        <f>AVERAGE('01.08 Kireka-Kinawataka-24h'!F83,'03.08 Kireka-Kinawataka-24h'!F83)</f>
        <v>4</v>
      </c>
      <c r="G83" s="49">
        <f>AVERAGE('01.08 Kireka-Kinawataka-24h'!G83,'03.08 Kireka-Kinawataka-24h'!G83)</f>
        <v>0</v>
      </c>
      <c r="H83" s="49">
        <f>AVERAGE('01.08 Kireka-Kinawataka-24h'!H83,'03.08 Kireka-Kinawataka-24h'!H83)</f>
        <v>0</v>
      </c>
      <c r="I83" s="49">
        <f>AVERAGE('01.08 Kireka-Kinawataka-24h'!I83,'03.08 Kireka-Kinawataka-24h'!I83)</f>
        <v>0.5</v>
      </c>
      <c r="J83" s="49">
        <f>AVERAGE('01.08 Kireka-Kinawataka-24h'!J83,'03.08 Kireka-Kinawataka-24h'!J83)</f>
        <v>0.5</v>
      </c>
      <c r="K83" s="49">
        <f>AVERAGE('01.08 Kireka-Kinawataka-24h'!K83,'03.08 Kireka-Kinawataka-24h'!K83)</f>
        <v>0.5</v>
      </c>
      <c r="L83" s="49">
        <f>AVERAGE('01.08 Kireka-Kinawataka-24h'!L83,'03.08 Kireka-Kinawataka-24h'!L83)</f>
        <v>0</v>
      </c>
      <c r="M83" s="49">
        <f>AVERAGE('01.08 Kireka-Kinawataka-24h'!M83,'03.08 Kireka-Kinawataka-24h'!M83)</f>
        <v>36</v>
      </c>
      <c r="N83" s="49">
        <f>AVERAGE('01.08 Kireka-Kinawataka-24h'!N83,'03.08 Kireka-Kinawataka-24h'!N83)</f>
        <v>0</v>
      </c>
      <c r="O83" s="49">
        <f>AVERAGE('01.08 Kireka-Kinawataka-24h'!O83,'03.08 Kireka-Kinawataka-24h'!O83)</f>
        <v>22</v>
      </c>
      <c r="P83" s="49">
        <f>AVERAGE('01.08 Kireka-Kinawataka-24h'!P83,'03.08 Kireka-Kinawataka-24h'!P83)</f>
        <v>58</v>
      </c>
      <c r="R83" s="8"/>
      <c r="T83"/>
    </row>
    <row r="84" spans="2:20" ht="23.1" customHeight="1" x14ac:dyDescent="0.25">
      <c r="B84" s="25" t="s">
        <v>124</v>
      </c>
      <c r="C84" s="49">
        <f>AVERAGE('01.08 Kireka-Kinawataka-24h'!C84,'03.08 Kireka-Kinawataka-24h'!C84)</f>
        <v>19.5</v>
      </c>
      <c r="D84" s="49">
        <f>AVERAGE('01.08 Kireka-Kinawataka-24h'!D84,'03.08 Kireka-Kinawataka-24h'!D84)</f>
        <v>1</v>
      </c>
      <c r="E84" s="49">
        <f>AVERAGE('01.08 Kireka-Kinawataka-24h'!E84,'03.08 Kireka-Kinawataka-24h'!E84)</f>
        <v>1.5</v>
      </c>
      <c r="F84" s="49">
        <f>AVERAGE('01.08 Kireka-Kinawataka-24h'!F84,'03.08 Kireka-Kinawataka-24h'!F84)</f>
        <v>3</v>
      </c>
      <c r="G84" s="49">
        <f>AVERAGE('01.08 Kireka-Kinawataka-24h'!G84,'03.08 Kireka-Kinawataka-24h'!G84)</f>
        <v>0</v>
      </c>
      <c r="H84" s="49">
        <f>AVERAGE('01.08 Kireka-Kinawataka-24h'!H84,'03.08 Kireka-Kinawataka-24h'!H84)</f>
        <v>0</v>
      </c>
      <c r="I84" s="49">
        <f>AVERAGE('01.08 Kireka-Kinawataka-24h'!I84,'03.08 Kireka-Kinawataka-24h'!I84)</f>
        <v>0.5</v>
      </c>
      <c r="J84" s="49">
        <f>AVERAGE('01.08 Kireka-Kinawataka-24h'!J84,'03.08 Kireka-Kinawataka-24h'!J84)</f>
        <v>0.5</v>
      </c>
      <c r="K84" s="49">
        <f>AVERAGE('01.08 Kireka-Kinawataka-24h'!K84,'03.08 Kireka-Kinawataka-24h'!K84)</f>
        <v>0</v>
      </c>
      <c r="L84" s="49">
        <f>AVERAGE('01.08 Kireka-Kinawataka-24h'!L84,'03.08 Kireka-Kinawataka-24h'!L84)</f>
        <v>0</v>
      </c>
      <c r="M84" s="49">
        <f>AVERAGE('01.08 Kireka-Kinawataka-24h'!M84,'03.08 Kireka-Kinawataka-24h'!M84)</f>
        <v>35</v>
      </c>
      <c r="N84" s="49">
        <f>AVERAGE('01.08 Kireka-Kinawataka-24h'!N84,'03.08 Kireka-Kinawataka-24h'!N84)</f>
        <v>0</v>
      </c>
      <c r="O84" s="49">
        <f>AVERAGE('01.08 Kireka-Kinawataka-24h'!O84,'03.08 Kireka-Kinawataka-24h'!O84)</f>
        <v>26</v>
      </c>
      <c r="P84" s="49">
        <f>AVERAGE('01.08 Kireka-Kinawataka-24h'!P84,'03.08 Kireka-Kinawataka-24h'!P84)</f>
        <v>61</v>
      </c>
      <c r="R84" s="8"/>
      <c r="T84"/>
    </row>
    <row r="85" spans="2:20" ht="23.1" customHeight="1" x14ac:dyDescent="0.25">
      <c r="B85" s="23" t="s">
        <v>125</v>
      </c>
      <c r="C85" s="49">
        <f>AVERAGE('01.08 Kireka-Kinawataka-24h'!C85,'03.08 Kireka-Kinawataka-24h'!C85)</f>
        <v>14.5</v>
      </c>
      <c r="D85" s="49">
        <f>AVERAGE('01.08 Kireka-Kinawataka-24h'!D85,'03.08 Kireka-Kinawataka-24h'!D85)</f>
        <v>2.5</v>
      </c>
      <c r="E85" s="49">
        <f>AVERAGE('01.08 Kireka-Kinawataka-24h'!E85,'03.08 Kireka-Kinawataka-24h'!E85)</f>
        <v>0</v>
      </c>
      <c r="F85" s="49">
        <f>AVERAGE('01.08 Kireka-Kinawataka-24h'!F85,'03.08 Kireka-Kinawataka-24h'!F85)</f>
        <v>0</v>
      </c>
      <c r="G85" s="49">
        <f>AVERAGE('01.08 Kireka-Kinawataka-24h'!G85,'03.08 Kireka-Kinawataka-24h'!G85)</f>
        <v>0</v>
      </c>
      <c r="H85" s="49">
        <f>AVERAGE('01.08 Kireka-Kinawataka-24h'!H85,'03.08 Kireka-Kinawataka-24h'!H85)</f>
        <v>0</v>
      </c>
      <c r="I85" s="49">
        <f>AVERAGE('01.08 Kireka-Kinawataka-24h'!I85,'03.08 Kireka-Kinawataka-24h'!I85)</f>
        <v>0</v>
      </c>
      <c r="J85" s="49">
        <f>AVERAGE('01.08 Kireka-Kinawataka-24h'!J85,'03.08 Kireka-Kinawataka-24h'!J85)</f>
        <v>0.5</v>
      </c>
      <c r="K85" s="49">
        <f>AVERAGE('01.08 Kireka-Kinawataka-24h'!K85,'03.08 Kireka-Kinawataka-24h'!K85)</f>
        <v>0.5</v>
      </c>
      <c r="L85" s="49">
        <f>AVERAGE('01.08 Kireka-Kinawataka-24h'!L85,'03.08 Kireka-Kinawataka-24h'!L85)</f>
        <v>1.5</v>
      </c>
      <c r="M85" s="49">
        <f>AVERAGE('01.08 Kireka-Kinawataka-24h'!M85,'03.08 Kireka-Kinawataka-24h'!M85)</f>
        <v>27</v>
      </c>
      <c r="N85" s="49">
        <f>AVERAGE('01.08 Kireka-Kinawataka-24h'!N85,'03.08 Kireka-Kinawataka-24h'!N85)</f>
        <v>0</v>
      </c>
      <c r="O85" s="49">
        <f>AVERAGE('01.08 Kireka-Kinawataka-24h'!O85,'03.08 Kireka-Kinawataka-24h'!O85)</f>
        <v>19.5</v>
      </c>
      <c r="P85" s="49">
        <f>AVERAGE('01.08 Kireka-Kinawataka-24h'!P85,'03.08 Kireka-Kinawataka-24h'!P85)</f>
        <v>46.5</v>
      </c>
      <c r="R85" s="8"/>
      <c r="T85"/>
    </row>
    <row r="86" spans="2:20" ht="23.1" customHeight="1" x14ac:dyDescent="0.25">
      <c r="B86" s="24" t="s">
        <v>126</v>
      </c>
      <c r="C86" s="49">
        <f>AVERAGE('01.08 Kireka-Kinawataka-24h'!C86,'03.08 Kireka-Kinawataka-24h'!C86)</f>
        <v>5.5</v>
      </c>
      <c r="D86" s="49">
        <f>AVERAGE('01.08 Kireka-Kinawataka-24h'!D86,'03.08 Kireka-Kinawataka-24h'!D86)</f>
        <v>0.5</v>
      </c>
      <c r="E86" s="49">
        <f>AVERAGE('01.08 Kireka-Kinawataka-24h'!E86,'03.08 Kireka-Kinawataka-24h'!E86)</f>
        <v>0</v>
      </c>
      <c r="F86" s="49">
        <f>AVERAGE('01.08 Kireka-Kinawataka-24h'!F86,'03.08 Kireka-Kinawataka-24h'!F86)</f>
        <v>1</v>
      </c>
      <c r="G86" s="49">
        <f>AVERAGE('01.08 Kireka-Kinawataka-24h'!G86,'03.08 Kireka-Kinawataka-24h'!G86)</f>
        <v>0</v>
      </c>
      <c r="H86" s="49">
        <f>AVERAGE('01.08 Kireka-Kinawataka-24h'!H86,'03.08 Kireka-Kinawataka-24h'!H86)</f>
        <v>0</v>
      </c>
      <c r="I86" s="49">
        <f>AVERAGE('01.08 Kireka-Kinawataka-24h'!I86,'03.08 Kireka-Kinawataka-24h'!I86)</f>
        <v>0</v>
      </c>
      <c r="J86" s="49">
        <f>AVERAGE('01.08 Kireka-Kinawataka-24h'!J86,'03.08 Kireka-Kinawataka-24h'!J86)</f>
        <v>0</v>
      </c>
      <c r="K86" s="49">
        <f>AVERAGE('01.08 Kireka-Kinawataka-24h'!K86,'03.08 Kireka-Kinawataka-24h'!K86)</f>
        <v>0</v>
      </c>
      <c r="L86" s="49">
        <f>AVERAGE('01.08 Kireka-Kinawataka-24h'!L86,'03.08 Kireka-Kinawataka-24h'!L86)</f>
        <v>0</v>
      </c>
      <c r="M86" s="49">
        <f>AVERAGE('01.08 Kireka-Kinawataka-24h'!M86,'03.08 Kireka-Kinawataka-24h'!M86)</f>
        <v>27</v>
      </c>
      <c r="N86" s="49">
        <f>AVERAGE('01.08 Kireka-Kinawataka-24h'!N86,'03.08 Kireka-Kinawataka-24h'!N86)</f>
        <v>0</v>
      </c>
      <c r="O86" s="49">
        <f>AVERAGE('01.08 Kireka-Kinawataka-24h'!O86,'03.08 Kireka-Kinawataka-24h'!O86)</f>
        <v>7</v>
      </c>
      <c r="P86" s="49">
        <f>AVERAGE('01.08 Kireka-Kinawataka-24h'!P86,'03.08 Kireka-Kinawataka-24h'!P86)</f>
        <v>34</v>
      </c>
      <c r="R86" s="8"/>
      <c r="T86"/>
    </row>
    <row r="87" spans="2:20" ht="23.1" customHeight="1" x14ac:dyDescent="0.25">
      <c r="B87" s="23" t="s">
        <v>127</v>
      </c>
      <c r="C87" s="49">
        <f>AVERAGE('01.08 Kireka-Kinawataka-24h'!C87,'03.08 Kireka-Kinawataka-24h'!C87)</f>
        <v>9.5</v>
      </c>
      <c r="D87" s="49">
        <f>AVERAGE('01.08 Kireka-Kinawataka-24h'!D87,'03.08 Kireka-Kinawataka-24h'!D87)</f>
        <v>0.5</v>
      </c>
      <c r="E87" s="49">
        <f>AVERAGE('01.08 Kireka-Kinawataka-24h'!E87,'03.08 Kireka-Kinawataka-24h'!E87)</f>
        <v>0.5</v>
      </c>
      <c r="F87" s="49">
        <f>AVERAGE('01.08 Kireka-Kinawataka-24h'!F87,'03.08 Kireka-Kinawataka-24h'!F87)</f>
        <v>4</v>
      </c>
      <c r="G87" s="49">
        <f>AVERAGE('01.08 Kireka-Kinawataka-24h'!G87,'03.08 Kireka-Kinawataka-24h'!G87)</f>
        <v>0</v>
      </c>
      <c r="H87" s="49">
        <f>AVERAGE('01.08 Kireka-Kinawataka-24h'!H87,'03.08 Kireka-Kinawataka-24h'!H87)</f>
        <v>0</v>
      </c>
      <c r="I87" s="49">
        <f>AVERAGE('01.08 Kireka-Kinawataka-24h'!I87,'03.08 Kireka-Kinawataka-24h'!I87)</f>
        <v>0</v>
      </c>
      <c r="J87" s="49">
        <f>AVERAGE('01.08 Kireka-Kinawataka-24h'!J87,'03.08 Kireka-Kinawataka-24h'!J87)</f>
        <v>0.5</v>
      </c>
      <c r="K87" s="49">
        <f>AVERAGE('01.08 Kireka-Kinawataka-24h'!K87,'03.08 Kireka-Kinawataka-24h'!K87)</f>
        <v>1</v>
      </c>
      <c r="L87" s="49">
        <f>AVERAGE('01.08 Kireka-Kinawataka-24h'!L87,'03.08 Kireka-Kinawataka-24h'!L87)</f>
        <v>0.5</v>
      </c>
      <c r="M87" s="49">
        <f>AVERAGE('01.08 Kireka-Kinawataka-24h'!M87,'03.08 Kireka-Kinawataka-24h'!M87)</f>
        <v>26</v>
      </c>
      <c r="N87" s="49">
        <f>AVERAGE('01.08 Kireka-Kinawataka-24h'!N87,'03.08 Kireka-Kinawataka-24h'!N87)</f>
        <v>0</v>
      </c>
      <c r="O87" s="49">
        <f>AVERAGE('01.08 Kireka-Kinawataka-24h'!O87,'03.08 Kireka-Kinawataka-24h'!O87)</f>
        <v>16.5</v>
      </c>
      <c r="P87" s="49">
        <f>AVERAGE('01.08 Kireka-Kinawataka-24h'!P87,'03.08 Kireka-Kinawataka-24h'!P87)</f>
        <v>42.5</v>
      </c>
      <c r="R87" s="8"/>
      <c r="T87"/>
    </row>
    <row r="88" spans="2:20" ht="23.1" customHeight="1" x14ac:dyDescent="0.25">
      <c r="B88" s="25" t="s">
        <v>128</v>
      </c>
      <c r="C88" s="49">
        <f>AVERAGE('01.08 Kireka-Kinawataka-24h'!C88,'03.08 Kireka-Kinawataka-24h'!C88)</f>
        <v>8</v>
      </c>
      <c r="D88" s="49">
        <f>AVERAGE('01.08 Kireka-Kinawataka-24h'!D88,'03.08 Kireka-Kinawataka-24h'!D88)</f>
        <v>1</v>
      </c>
      <c r="E88" s="49">
        <f>AVERAGE('01.08 Kireka-Kinawataka-24h'!E88,'03.08 Kireka-Kinawataka-24h'!E88)</f>
        <v>0</v>
      </c>
      <c r="F88" s="49">
        <f>AVERAGE('01.08 Kireka-Kinawataka-24h'!F88,'03.08 Kireka-Kinawataka-24h'!F88)</f>
        <v>5</v>
      </c>
      <c r="G88" s="49">
        <f>AVERAGE('01.08 Kireka-Kinawataka-24h'!G88,'03.08 Kireka-Kinawataka-24h'!G88)</f>
        <v>0</v>
      </c>
      <c r="H88" s="49">
        <f>AVERAGE('01.08 Kireka-Kinawataka-24h'!H88,'03.08 Kireka-Kinawataka-24h'!H88)</f>
        <v>0</v>
      </c>
      <c r="I88" s="49">
        <f>AVERAGE('01.08 Kireka-Kinawataka-24h'!I88,'03.08 Kireka-Kinawataka-24h'!I88)</f>
        <v>0.5</v>
      </c>
      <c r="J88" s="49">
        <f>AVERAGE('01.08 Kireka-Kinawataka-24h'!J88,'03.08 Kireka-Kinawataka-24h'!J88)</f>
        <v>2</v>
      </c>
      <c r="K88" s="49">
        <f>AVERAGE('01.08 Kireka-Kinawataka-24h'!K88,'03.08 Kireka-Kinawataka-24h'!K88)</f>
        <v>0</v>
      </c>
      <c r="L88" s="49">
        <f>AVERAGE('01.08 Kireka-Kinawataka-24h'!L88,'03.08 Kireka-Kinawataka-24h'!L88)</f>
        <v>0</v>
      </c>
      <c r="M88" s="49">
        <f>AVERAGE('01.08 Kireka-Kinawataka-24h'!M88,'03.08 Kireka-Kinawataka-24h'!M88)</f>
        <v>23</v>
      </c>
      <c r="N88" s="49">
        <f>AVERAGE('01.08 Kireka-Kinawataka-24h'!N88,'03.08 Kireka-Kinawataka-24h'!N88)</f>
        <v>0</v>
      </c>
      <c r="O88" s="49">
        <f>AVERAGE('01.08 Kireka-Kinawataka-24h'!O88,'03.08 Kireka-Kinawataka-24h'!O88)</f>
        <v>16.5</v>
      </c>
      <c r="P88" s="49">
        <f>AVERAGE('01.08 Kireka-Kinawataka-24h'!P88,'03.08 Kireka-Kinawataka-24h'!P88)</f>
        <v>39.5</v>
      </c>
      <c r="R88" s="8"/>
      <c r="T88"/>
    </row>
    <row r="89" spans="2:20" ht="23.1" customHeight="1" x14ac:dyDescent="0.25">
      <c r="B89" s="23" t="s">
        <v>129</v>
      </c>
      <c r="C89" s="49">
        <f>AVERAGE('01.08 Kireka-Kinawataka-24h'!C89,'03.08 Kireka-Kinawataka-24h'!C89)</f>
        <v>13.5</v>
      </c>
      <c r="D89" s="49">
        <f>AVERAGE('01.08 Kireka-Kinawataka-24h'!D89,'03.08 Kireka-Kinawataka-24h'!D89)</f>
        <v>1.5</v>
      </c>
      <c r="E89" s="49">
        <f>AVERAGE('01.08 Kireka-Kinawataka-24h'!E89,'03.08 Kireka-Kinawataka-24h'!E89)</f>
        <v>1</v>
      </c>
      <c r="F89" s="49">
        <f>AVERAGE('01.08 Kireka-Kinawataka-24h'!F89,'03.08 Kireka-Kinawataka-24h'!F89)</f>
        <v>2</v>
      </c>
      <c r="G89" s="49">
        <f>AVERAGE('01.08 Kireka-Kinawataka-24h'!G89,'03.08 Kireka-Kinawataka-24h'!G89)</f>
        <v>1</v>
      </c>
      <c r="H89" s="49">
        <f>AVERAGE('01.08 Kireka-Kinawataka-24h'!H89,'03.08 Kireka-Kinawataka-24h'!H89)</f>
        <v>0</v>
      </c>
      <c r="I89" s="49">
        <f>AVERAGE('01.08 Kireka-Kinawataka-24h'!I89,'03.08 Kireka-Kinawataka-24h'!I89)</f>
        <v>0</v>
      </c>
      <c r="J89" s="49">
        <f>AVERAGE('01.08 Kireka-Kinawataka-24h'!J89,'03.08 Kireka-Kinawataka-24h'!J89)</f>
        <v>0</v>
      </c>
      <c r="K89" s="49">
        <f>AVERAGE('01.08 Kireka-Kinawataka-24h'!K89,'03.08 Kireka-Kinawataka-24h'!K89)</f>
        <v>0</v>
      </c>
      <c r="L89" s="49">
        <f>AVERAGE('01.08 Kireka-Kinawataka-24h'!L89,'03.08 Kireka-Kinawataka-24h'!L89)</f>
        <v>1</v>
      </c>
      <c r="M89" s="49">
        <f>AVERAGE('01.08 Kireka-Kinawataka-24h'!M89,'03.08 Kireka-Kinawataka-24h'!M89)</f>
        <v>25</v>
      </c>
      <c r="N89" s="49">
        <f>AVERAGE('01.08 Kireka-Kinawataka-24h'!N89,'03.08 Kireka-Kinawataka-24h'!N89)</f>
        <v>0</v>
      </c>
      <c r="O89" s="49">
        <f>AVERAGE('01.08 Kireka-Kinawataka-24h'!O89,'03.08 Kireka-Kinawataka-24h'!O89)</f>
        <v>20</v>
      </c>
      <c r="P89" s="49">
        <f>AVERAGE('01.08 Kireka-Kinawataka-24h'!P89,'03.08 Kireka-Kinawataka-24h'!P89)</f>
        <v>45</v>
      </c>
      <c r="R89" s="8"/>
      <c r="T89"/>
    </row>
    <row r="90" spans="2:20" ht="23.1" customHeight="1" x14ac:dyDescent="0.25">
      <c r="B90" s="24" t="s">
        <v>130</v>
      </c>
      <c r="C90" s="49">
        <f>AVERAGE('01.08 Kireka-Kinawataka-24h'!C90,'03.08 Kireka-Kinawataka-24h'!C90)</f>
        <v>7</v>
      </c>
      <c r="D90" s="49">
        <f>AVERAGE('01.08 Kireka-Kinawataka-24h'!D90,'03.08 Kireka-Kinawataka-24h'!D90)</f>
        <v>0</v>
      </c>
      <c r="E90" s="49">
        <f>AVERAGE('01.08 Kireka-Kinawataka-24h'!E90,'03.08 Kireka-Kinawataka-24h'!E90)</f>
        <v>0.5</v>
      </c>
      <c r="F90" s="49">
        <f>AVERAGE('01.08 Kireka-Kinawataka-24h'!F90,'03.08 Kireka-Kinawataka-24h'!F90)</f>
        <v>0.5</v>
      </c>
      <c r="G90" s="49">
        <f>AVERAGE('01.08 Kireka-Kinawataka-24h'!G90,'03.08 Kireka-Kinawataka-24h'!G90)</f>
        <v>0</v>
      </c>
      <c r="H90" s="49">
        <f>AVERAGE('01.08 Kireka-Kinawataka-24h'!H90,'03.08 Kireka-Kinawataka-24h'!H90)</f>
        <v>0</v>
      </c>
      <c r="I90" s="49">
        <f>AVERAGE('01.08 Kireka-Kinawataka-24h'!I90,'03.08 Kireka-Kinawataka-24h'!I90)</f>
        <v>1</v>
      </c>
      <c r="J90" s="49">
        <f>AVERAGE('01.08 Kireka-Kinawataka-24h'!J90,'03.08 Kireka-Kinawataka-24h'!J90)</f>
        <v>0</v>
      </c>
      <c r="K90" s="49">
        <f>AVERAGE('01.08 Kireka-Kinawataka-24h'!K90,'03.08 Kireka-Kinawataka-24h'!K90)</f>
        <v>0</v>
      </c>
      <c r="L90" s="49">
        <f>AVERAGE('01.08 Kireka-Kinawataka-24h'!L90,'03.08 Kireka-Kinawataka-24h'!L90)</f>
        <v>1.5</v>
      </c>
      <c r="M90" s="49">
        <f>AVERAGE('01.08 Kireka-Kinawataka-24h'!M90,'03.08 Kireka-Kinawataka-24h'!M90)</f>
        <v>27</v>
      </c>
      <c r="N90" s="49">
        <f>AVERAGE('01.08 Kireka-Kinawataka-24h'!N90,'03.08 Kireka-Kinawataka-24h'!N90)</f>
        <v>0</v>
      </c>
      <c r="O90" s="49">
        <f>AVERAGE('01.08 Kireka-Kinawataka-24h'!O90,'03.08 Kireka-Kinawataka-24h'!O90)</f>
        <v>10.5</v>
      </c>
      <c r="P90" s="49">
        <f>AVERAGE('01.08 Kireka-Kinawataka-24h'!P90,'03.08 Kireka-Kinawataka-24h'!P90)</f>
        <v>37.5</v>
      </c>
      <c r="R90" s="8"/>
      <c r="T90"/>
    </row>
    <row r="91" spans="2:20" ht="23.1" customHeight="1" x14ac:dyDescent="0.25">
      <c r="B91" s="23" t="s">
        <v>131</v>
      </c>
      <c r="C91" s="49">
        <f>AVERAGE('01.08 Kireka-Kinawataka-24h'!C91,'03.08 Kireka-Kinawataka-24h'!C91)</f>
        <v>12</v>
      </c>
      <c r="D91" s="49">
        <f>AVERAGE('01.08 Kireka-Kinawataka-24h'!D91,'03.08 Kireka-Kinawataka-24h'!D91)</f>
        <v>0.5</v>
      </c>
      <c r="E91" s="49">
        <f>AVERAGE('01.08 Kireka-Kinawataka-24h'!E91,'03.08 Kireka-Kinawataka-24h'!E91)</f>
        <v>0</v>
      </c>
      <c r="F91" s="49">
        <f>AVERAGE('01.08 Kireka-Kinawataka-24h'!F91,'03.08 Kireka-Kinawataka-24h'!F91)</f>
        <v>1</v>
      </c>
      <c r="G91" s="49">
        <f>AVERAGE('01.08 Kireka-Kinawataka-24h'!G91,'03.08 Kireka-Kinawataka-24h'!G91)</f>
        <v>0</v>
      </c>
      <c r="H91" s="49">
        <f>AVERAGE('01.08 Kireka-Kinawataka-24h'!H91,'03.08 Kireka-Kinawataka-24h'!H91)</f>
        <v>0</v>
      </c>
      <c r="I91" s="49">
        <f>AVERAGE('01.08 Kireka-Kinawataka-24h'!I91,'03.08 Kireka-Kinawataka-24h'!I91)</f>
        <v>0.5</v>
      </c>
      <c r="J91" s="49">
        <f>AVERAGE('01.08 Kireka-Kinawataka-24h'!J91,'03.08 Kireka-Kinawataka-24h'!J91)</f>
        <v>1.5</v>
      </c>
      <c r="K91" s="49">
        <f>AVERAGE('01.08 Kireka-Kinawataka-24h'!K91,'03.08 Kireka-Kinawataka-24h'!K91)</f>
        <v>0</v>
      </c>
      <c r="L91" s="49">
        <f>AVERAGE('01.08 Kireka-Kinawataka-24h'!L91,'03.08 Kireka-Kinawataka-24h'!L91)</f>
        <v>0</v>
      </c>
      <c r="M91" s="49">
        <f>AVERAGE('01.08 Kireka-Kinawataka-24h'!M91,'03.08 Kireka-Kinawataka-24h'!M91)</f>
        <v>17</v>
      </c>
      <c r="N91" s="49">
        <f>AVERAGE('01.08 Kireka-Kinawataka-24h'!N91,'03.08 Kireka-Kinawataka-24h'!N91)</f>
        <v>0</v>
      </c>
      <c r="O91" s="49">
        <f>AVERAGE('01.08 Kireka-Kinawataka-24h'!O91,'03.08 Kireka-Kinawataka-24h'!O91)</f>
        <v>15.5</v>
      </c>
      <c r="P91" s="49">
        <f>AVERAGE('01.08 Kireka-Kinawataka-24h'!P91,'03.08 Kireka-Kinawataka-24h'!P91)</f>
        <v>32.5</v>
      </c>
      <c r="R91" s="8"/>
      <c r="T91"/>
    </row>
    <row r="92" spans="2:20" ht="23.1" customHeight="1" x14ac:dyDescent="0.25">
      <c r="B92" s="25" t="s">
        <v>132</v>
      </c>
      <c r="C92" s="49">
        <f>AVERAGE('01.08 Kireka-Kinawataka-24h'!C92,'03.08 Kireka-Kinawataka-24h'!C92)</f>
        <v>7.5</v>
      </c>
      <c r="D92" s="49">
        <f>AVERAGE('01.08 Kireka-Kinawataka-24h'!D92,'03.08 Kireka-Kinawataka-24h'!D92)</f>
        <v>0</v>
      </c>
      <c r="E92" s="49">
        <f>AVERAGE('01.08 Kireka-Kinawataka-24h'!E92,'03.08 Kireka-Kinawataka-24h'!E92)</f>
        <v>0.5</v>
      </c>
      <c r="F92" s="49">
        <f>AVERAGE('01.08 Kireka-Kinawataka-24h'!F92,'03.08 Kireka-Kinawataka-24h'!F92)</f>
        <v>0.5</v>
      </c>
      <c r="G92" s="49">
        <f>AVERAGE('01.08 Kireka-Kinawataka-24h'!G92,'03.08 Kireka-Kinawataka-24h'!G92)</f>
        <v>0</v>
      </c>
      <c r="H92" s="49">
        <f>AVERAGE('01.08 Kireka-Kinawataka-24h'!H92,'03.08 Kireka-Kinawataka-24h'!H92)</f>
        <v>0</v>
      </c>
      <c r="I92" s="49">
        <f>AVERAGE('01.08 Kireka-Kinawataka-24h'!I92,'03.08 Kireka-Kinawataka-24h'!I92)</f>
        <v>0</v>
      </c>
      <c r="J92" s="49">
        <f>AVERAGE('01.08 Kireka-Kinawataka-24h'!J92,'03.08 Kireka-Kinawataka-24h'!J92)</f>
        <v>0.5</v>
      </c>
      <c r="K92" s="49">
        <f>AVERAGE('01.08 Kireka-Kinawataka-24h'!K92,'03.08 Kireka-Kinawataka-24h'!K92)</f>
        <v>0</v>
      </c>
      <c r="L92" s="49">
        <f>AVERAGE('01.08 Kireka-Kinawataka-24h'!L92,'03.08 Kireka-Kinawataka-24h'!L92)</f>
        <v>0</v>
      </c>
      <c r="M92" s="49">
        <f>AVERAGE('01.08 Kireka-Kinawataka-24h'!M92,'03.08 Kireka-Kinawataka-24h'!M92)</f>
        <v>10</v>
      </c>
      <c r="N92" s="49">
        <f>AVERAGE('01.08 Kireka-Kinawataka-24h'!N92,'03.08 Kireka-Kinawataka-24h'!N92)</f>
        <v>0</v>
      </c>
      <c r="O92" s="49">
        <f>AVERAGE('01.08 Kireka-Kinawataka-24h'!O92,'03.08 Kireka-Kinawataka-24h'!O92)</f>
        <v>9</v>
      </c>
      <c r="P92" s="49">
        <f>AVERAGE('01.08 Kireka-Kinawataka-24h'!P92,'03.08 Kireka-Kinawataka-24h'!P92)</f>
        <v>19</v>
      </c>
      <c r="R92" s="8"/>
      <c r="T92"/>
    </row>
    <row r="93" spans="2:20" ht="23.1" customHeight="1" x14ac:dyDescent="0.25">
      <c r="B93" s="23" t="s">
        <v>133</v>
      </c>
      <c r="C93" s="49">
        <f>AVERAGE('01.08 Kireka-Kinawataka-24h'!C93,'03.08 Kireka-Kinawataka-24h'!C93)</f>
        <v>4.5</v>
      </c>
      <c r="D93" s="49">
        <f>AVERAGE('01.08 Kireka-Kinawataka-24h'!D93,'03.08 Kireka-Kinawataka-24h'!D93)</f>
        <v>0.5</v>
      </c>
      <c r="E93" s="49">
        <f>AVERAGE('01.08 Kireka-Kinawataka-24h'!E93,'03.08 Kireka-Kinawataka-24h'!E93)</f>
        <v>0</v>
      </c>
      <c r="F93" s="49">
        <f>AVERAGE('01.08 Kireka-Kinawataka-24h'!F93,'03.08 Kireka-Kinawataka-24h'!F93)</f>
        <v>0.5</v>
      </c>
      <c r="G93" s="49">
        <f>AVERAGE('01.08 Kireka-Kinawataka-24h'!G93,'03.08 Kireka-Kinawataka-24h'!G93)</f>
        <v>0</v>
      </c>
      <c r="H93" s="49">
        <f>AVERAGE('01.08 Kireka-Kinawataka-24h'!H93,'03.08 Kireka-Kinawataka-24h'!H93)</f>
        <v>0</v>
      </c>
      <c r="I93" s="49">
        <f>AVERAGE('01.08 Kireka-Kinawataka-24h'!I93,'03.08 Kireka-Kinawataka-24h'!I93)</f>
        <v>0</v>
      </c>
      <c r="J93" s="49">
        <f>AVERAGE('01.08 Kireka-Kinawataka-24h'!J93,'03.08 Kireka-Kinawataka-24h'!J93)</f>
        <v>0</v>
      </c>
      <c r="K93" s="49">
        <f>AVERAGE('01.08 Kireka-Kinawataka-24h'!K93,'03.08 Kireka-Kinawataka-24h'!K93)</f>
        <v>0</v>
      </c>
      <c r="L93" s="49">
        <f>AVERAGE('01.08 Kireka-Kinawataka-24h'!L93,'03.08 Kireka-Kinawataka-24h'!L93)</f>
        <v>0</v>
      </c>
      <c r="M93" s="49">
        <f>AVERAGE('01.08 Kireka-Kinawataka-24h'!M93,'03.08 Kireka-Kinawataka-24h'!M93)</f>
        <v>15</v>
      </c>
      <c r="N93" s="49">
        <f>AVERAGE('01.08 Kireka-Kinawataka-24h'!N93,'03.08 Kireka-Kinawataka-24h'!N93)</f>
        <v>0</v>
      </c>
      <c r="O93" s="49">
        <f>AVERAGE('01.08 Kireka-Kinawataka-24h'!O93,'03.08 Kireka-Kinawataka-24h'!O93)</f>
        <v>5.5</v>
      </c>
      <c r="P93" s="49">
        <f>AVERAGE('01.08 Kireka-Kinawataka-24h'!P93,'03.08 Kireka-Kinawataka-24h'!P93)</f>
        <v>20.5</v>
      </c>
      <c r="R93" s="8"/>
      <c r="T93"/>
    </row>
    <row r="94" spans="2:20" ht="23.1" customHeight="1" x14ac:dyDescent="0.25">
      <c r="B94" s="24" t="s">
        <v>134</v>
      </c>
      <c r="C94" s="49">
        <f>AVERAGE('01.08 Kireka-Kinawataka-24h'!C94,'03.08 Kireka-Kinawataka-24h'!C94)</f>
        <v>6.5</v>
      </c>
      <c r="D94" s="49">
        <f>AVERAGE('01.08 Kireka-Kinawataka-24h'!D94,'03.08 Kireka-Kinawataka-24h'!D94)</f>
        <v>0</v>
      </c>
      <c r="E94" s="49">
        <f>AVERAGE('01.08 Kireka-Kinawataka-24h'!E94,'03.08 Kireka-Kinawataka-24h'!E94)</f>
        <v>0</v>
      </c>
      <c r="F94" s="49">
        <f>AVERAGE('01.08 Kireka-Kinawataka-24h'!F94,'03.08 Kireka-Kinawataka-24h'!F94)</f>
        <v>3</v>
      </c>
      <c r="G94" s="49">
        <f>AVERAGE('01.08 Kireka-Kinawataka-24h'!G94,'03.08 Kireka-Kinawataka-24h'!G94)</f>
        <v>0</v>
      </c>
      <c r="H94" s="49">
        <f>AVERAGE('01.08 Kireka-Kinawataka-24h'!H94,'03.08 Kireka-Kinawataka-24h'!H94)</f>
        <v>0</v>
      </c>
      <c r="I94" s="49">
        <f>AVERAGE('01.08 Kireka-Kinawataka-24h'!I94,'03.08 Kireka-Kinawataka-24h'!I94)</f>
        <v>0</v>
      </c>
      <c r="J94" s="49">
        <f>AVERAGE('01.08 Kireka-Kinawataka-24h'!J94,'03.08 Kireka-Kinawataka-24h'!J94)</f>
        <v>0</v>
      </c>
      <c r="K94" s="49">
        <f>AVERAGE('01.08 Kireka-Kinawataka-24h'!K94,'03.08 Kireka-Kinawataka-24h'!K94)</f>
        <v>0</v>
      </c>
      <c r="L94" s="49">
        <f>AVERAGE('01.08 Kireka-Kinawataka-24h'!L94,'03.08 Kireka-Kinawataka-24h'!L94)</f>
        <v>0</v>
      </c>
      <c r="M94" s="49">
        <f>AVERAGE('01.08 Kireka-Kinawataka-24h'!M94,'03.08 Kireka-Kinawataka-24h'!M94)</f>
        <v>18</v>
      </c>
      <c r="N94" s="49">
        <f>AVERAGE('01.08 Kireka-Kinawataka-24h'!N94,'03.08 Kireka-Kinawataka-24h'!N94)</f>
        <v>0</v>
      </c>
      <c r="O94" s="49">
        <f>AVERAGE('01.08 Kireka-Kinawataka-24h'!O94,'03.08 Kireka-Kinawataka-24h'!O94)</f>
        <v>9.5</v>
      </c>
      <c r="P94" s="49">
        <f>AVERAGE('01.08 Kireka-Kinawataka-24h'!P94,'03.08 Kireka-Kinawataka-24h'!P94)</f>
        <v>27.5</v>
      </c>
      <c r="R94" s="8"/>
      <c r="T94"/>
    </row>
    <row r="95" spans="2:20" ht="23.1" customHeight="1" x14ac:dyDescent="0.25">
      <c r="B95" s="23" t="s">
        <v>135</v>
      </c>
      <c r="C95" s="49">
        <f>AVERAGE('01.08 Kireka-Kinawataka-24h'!C95,'03.08 Kireka-Kinawataka-24h'!C95)</f>
        <v>8</v>
      </c>
      <c r="D95" s="49">
        <f>AVERAGE('01.08 Kireka-Kinawataka-24h'!D95,'03.08 Kireka-Kinawataka-24h'!D95)</f>
        <v>0</v>
      </c>
      <c r="E95" s="49">
        <f>AVERAGE('01.08 Kireka-Kinawataka-24h'!E95,'03.08 Kireka-Kinawataka-24h'!E95)</f>
        <v>0</v>
      </c>
      <c r="F95" s="49">
        <f>AVERAGE('01.08 Kireka-Kinawataka-24h'!F95,'03.08 Kireka-Kinawataka-24h'!F95)</f>
        <v>2</v>
      </c>
      <c r="G95" s="49">
        <f>AVERAGE('01.08 Kireka-Kinawataka-24h'!G95,'03.08 Kireka-Kinawataka-24h'!G95)</f>
        <v>0</v>
      </c>
      <c r="H95" s="49">
        <f>AVERAGE('01.08 Kireka-Kinawataka-24h'!H95,'03.08 Kireka-Kinawataka-24h'!H95)</f>
        <v>0</v>
      </c>
      <c r="I95" s="49">
        <f>AVERAGE('01.08 Kireka-Kinawataka-24h'!I95,'03.08 Kireka-Kinawataka-24h'!I95)</f>
        <v>0</v>
      </c>
      <c r="J95" s="49">
        <f>AVERAGE('01.08 Kireka-Kinawataka-24h'!J95,'03.08 Kireka-Kinawataka-24h'!J95)</f>
        <v>0</v>
      </c>
      <c r="K95" s="49">
        <f>AVERAGE('01.08 Kireka-Kinawataka-24h'!K95,'03.08 Kireka-Kinawataka-24h'!K95)</f>
        <v>0</v>
      </c>
      <c r="L95" s="49">
        <f>AVERAGE('01.08 Kireka-Kinawataka-24h'!L95,'03.08 Kireka-Kinawataka-24h'!L95)</f>
        <v>0</v>
      </c>
      <c r="M95" s="49">
        <f>AVERAGE('01.08 Kireka-Kinawataka-24h'!M95,'03.08 Kireka-Kinawataka-24h'!M95)</f>
        <v>12</v>
      </c>
      <c r="N95" s="49">
        <f>AVERAGE('01.08 Kireka-Kinawataka-24h'!N95,'03.08 Kireka-Kinawataka-24h'!N95)</f>
        <v>0</v>
      </c>
      <c r="O95" s="49">
        <f>AVERAGE('01.08 Kireka-Kinawataka-24h'!O95,'03.08 Kireka-Kinawataka-24h'!O95)</f>
        <v>10</v>
      </c>
      <c r="P95" s="49">
        <f>AVERAGE('01.08 Kireka-Kinawataka-24h'!P95,'03.08 Kireka-Kinawataka-24h'!P95)</f>
        <v>22</v>
      </c>
      <c r="R95" s="8"/>
      <c r="T95"/>
    </row>
    <row r="96" spans="2:20" ht="23.1" customHeight="1" x14ac:dyDescent="0.25">
      <c r="B96" s="25" t="s">
        <v>136</v>
      </c>
      <c r="C96" s="49">
        <f>AVERAGE('01.08 Kireka-Kinawataka-24h'!C96,'03.08 Kireka-Kinawataka-24h'!C96)</f>
        <v>8</v>
      </c>
      <c r="D96" s="49">
        <f>AVERAGE('01.08 Kireka-Kinawataka-24h'!D96,'03.08 Kireka-Kinawataka-24h'!D96)</f>
        <v>1</v>
      </c>
      <c r="E96" s="49">
        <f>AVERAGE('01.08 Kireka-Kinawataka-24h'!E96,'03.08 Kireka-Kinawataka-24h'!E96)</f>
        <v>0</v>
      </c>
      <c r="F96" s="49">
        <f>AVERAGE('01.08 Kireka-Kinawataka-24h'!F96,'03.08 Kireka-Kinawataka-24h'!F96)</f>
        <v>0.5</v>
      </c>
      <c r="G96" s="49">
        <f>AVERAGE('01.08 Kireka-Kinawataka-24h'!G96,'03.08 Kireka-Kinawataka-24h'!G96)</f>
        <v>0</v>
      </c>
      <c r="H96" s="49">
        <f>AVERAGE('01.08 Kireka-Kinawataka-24h'!H96,'03.08 Kireka-Kinawataka-24h'!H96)</f>
        <v>0</v>
      </c>
      <c r="I96" s="49">
        <f>AVERAGE('01.08 Kireka-Kinawataka-24h'!I96,'03.08 Kireka-Kinawataka-24h'!I96)</f>
        <v>0.5</v>
      </c>
      <c r="J96" s="49">
        <f>AVERAGE('01.08 Kireka-Kinawataka-24h'!J96,'03.08 Kireka-Kinawataka-24h'!J96)</f>
        <v>0</v>
      </c>
      <c r="K96" s="49">
        <f>AVERAGE('01.08 Kireka-Kinawataka-24h'!K96,'03.08 Kireka-Kinawataka-24h'!K96)</f>
        <v>0</v>
      </c>
      <c r="L96" s="49">
        <f>AVERAGE('01.08 Kireka-Kinawataka-24h'!L96,'03.08 Kireka-Kinawataka-24h'!L96)</f>
        <v>0</v>
      </c>
      <c r="M96" s="49">
        <f>AVERAGE('01.08 Kireka-Kinawataka-24h'!M96,'03.08 Kireka-Kinawataka-24h'!M96)</f>
        <v>16.5</v>
      </c>
      <c r="N96" s="49">
        <f>AVERAGE('01.08 Kireka-Kinawataka-24h'!N96,'03.08 Kireka-Kinawataka-24h'!N96)</f>
        <v>0</v>
      </c>
      <c r="O96" s="49">
        <f>AVERAGE('01.08 Kireka-Kinawataka-24h'!O96,'03.08 Kireka-Kinawataka-24h'!O96)</f>
        <v>10</v>
      </c>
      <c r="P96" s="49">
        <f>AVERAGE('01.08 Kireka-Kinawataka-24h'!P96,'03.08 Kireka-Kinawataka-24h'!P96)</f>
        <v>26.5</v>
      </c>
      <c r="R96" s="8"/>
      <c r="T96"/>
    </row>
    <row r="97" spans="2:20" ht="23.1" customHeight="1" x14ac:dyDescent="0.25">
      <c r="B97" s="23" t="s">
        <v>137</v>
      </c>
      <c r="C97" s="49">
        <f>AVERAGE('01.08 Kireka-Kinawataka-24h'!C97,'03.08 Kireka-Kinawataka-24h'!C97)</f>
        <v>5</v>
      </c>
      <c r="D97" s="49">
        <f>AVERAGE('01.08 Kireka-Kinawataka-24h'!D97,'03.08 Kireka-Kinawataka-24h'!D97)</f>
        <v>0</v>
      </c>
      <c r="E97" s="49">
        <f>AVERAGE('01.08 Kireka-Kinawataka-24h'!E97,'03.08 Kireka-Kinawataka-24h'!E97)</f>
        <v>1.5</v>
      </c>
      <c r="F97" s="49">
        <f>AVERAGE('01.08 Kireka-Kinawataka-24h'!F97,'03.08 Kireka-Kinawataka-24h'!F97)</f>
        <v>3</v>
      </c>
      <c r="G97" s="49">
        <f>AVERAGE('01.08 Kireka-Kinawataka-24h'!G97,'03.08 Kireka-Kinawataka-24h'!G97)</f>
        <v>0</v>
      </c>
      <c r="H97" s="49">
        <f>AVERAGE('01.08 Kireka-Kinawataka-24h'!H97,'03.08 Kireka-Kinawataka-24h'!H97)</f>
        <v>0</v>
      </c>
      <c r="I97" s="49">
        <f>AVERAGE('01.08 Kireka-Kinawataka-24h'!I97,'03.08 Kireka-Kinawataka-24h'!I97)</f>
        <v>0</v>
      </c>
      <c r="J97" s="49">
        <f>AVERAGE('01.08 Kireka-Kinawataka-24h'!J97,'03.08 Kireka-Kinawataka-24h'!J97)</f>
        <v>1.5</v>
      </c>
      <c r="K97" s="49">
        <f>AVERAGE('01.08 Kireka-Kinawataka-24h'!K97,'03.08 Kireka-Kinawataka-24h'!K97)</f>
        <v>0</v>
      </c>
      <c r="L97" s="49">
        <f>AVERAGE('01.08 Kireka-Kinawataka-24h'!L97,'03.08 Kireka-Kinawataka-24h'!L97)</f>
        <v>0.5</v>
      </c>
      <c r="M97" s="49">
        <f>AVERAGE('01.08 Kireka-Kinawataka-24h'!M97,'03.08 Kireka-Kinawataka-24h'!M97)</f>
        <v>19.5</v>
      </c>
      <c r="N97" s="49">
        <f>AVERAGE('01.08 Kireka-Kinawataka-24h'!N97,'03.08 Kireka-Kinawataka-24h'!N97)</f>
        <v>0</v>
      </c>
      <c r="O97" s="49">
        <f>AVERAGE('01.08 Kireka-Kinawataka-24h'!O97,'03.08 Kireka-Kinawataka-24h'!O97)</f>
        <v>11.5</v>
      </c>
      <c r="P97" s="49">
        <f>AVERAGE('01.08 Kireka-Kinawataka-24h'!P97,'03.08 Kireka-Kinawataka-24h'!P97)</f>
        <v>31</v>
      </c>
      <c r="R97" s="8"/>
      <c r="T97"/>
    </row>
    <row r="98" spans="2:20" ht="23.1" customHeight="1" x14ac:dyDescent="0.25">
      <c r="B98" s="24" t="s">
        <v>138</v>
      </c>
      <c r="C98" s="49">
        <f>AVERAGE('01.08 Kireka-Kinawataka-24h'!C98,'03.08 Kireka-Kinawataka-24h'!C98)</f>
        <v>6</v>
      </c>
      <c r="D98" s="49">
        <f>AVERAGE('01.08 Kireka-Kinawataka-24h'!D98,'03.08 Kireka-Kinawataka-24h'!D98)</f>
        <v>0</v>
      </c>
      <c r="E98" s="49">
        <f>AVERAGE('01.08 Kireka-Kinawataka-24h'!E98,'03.08 Kireka-Kinawataka-24h'!E98)</f>
        <v>1</v>
      </c>
      <c r="F98" s="49">
        <f>AVERAGE('01.08 Kireka-Kinawataka-24h'!F98,'03.08 Kireka-Kinawataka-24h'!F98)</f>
        <v>5</v>
      </c>
      <c r="G98" s="49">
        <f>AVERAGE('01.08 Kireka-Kinawataka-24h'!G98,'03.08 Kireka-Kinawataka-24h'!G98)</f>
        <v>1</v>
      </c>
      <c r="H98" s="49">
        <f>AVERAGE('01.08 Kireka-Kinawataka-24h'!H98,'03.08 Kireka-Kinawataka-24h'!H98)</f>
        <v>0</v>
      </c>
      <c r="I98" s="49">
        <f>AVERAGE('01.08 Kireka-Kinawataka-24h'!I98,'03.08 Kireka-Kinawataka-24h'!I98)</f>
        <v>1</v>
      </c>
      <c r="J98" s="49">
        <f>AVERAGE('01.08 Kireka-Kinawataka-24h'!J98,'03.08 Kireka-Kinawataka-24h'!J98)</f>
        <v>0</v>
      </c>
      <c r="K98" s="49">
        <f>AVERAGE('01.08 Kireka-Kinawataka-24h'!K98,'03.08 Kireka-Kinawataka-24h'!K98)</f>
        <v>0</v>
      </c>
      <c r="L98" s="49">
        <f>AVERAGE('01.08 Kireka-Kinawataka-24h'!L98,'03.08 Kireka-Kinawataka-24h'!L98)</f>
        <v>0</v>
      </c>
      <c r="M98" s="49">
        <f>AVERAGE('01.08 Kireka-Kinawataka-24h'!M98,'03.08 Kireka-Kinawataka-24h'!M98)</f>
        <v>25.5</v>
      </c>
      <c r="N98" s="49">
        <f>AVERAGE('01.08 Kireka-Kinawataka-24h'!N98,'03.08 Kireka-Kinawataka-24h'!N98)</f>
        <v>0</v>
      </c>
      <c r="O98" s="49">
        <f>AVERAGE('01.08 Kireka-Kinawataka-24h'!O98,'03.08 Kireka-Kinawataka-24h'!O98)</f>
        <v>14</v>
      </c>
      <c r="P98" s="49">
        <f>AVERAGE('01.08 Kireka-Kinawataka-24h'!P98,'03.08 Kireka-Kinawataka-24h'!P98)</f>
        <v>39.5</v>
      </c>
      <c r="R98" s="8"/>
      <c r="T98"/>
    </row>
    <row r="99" spans="2:20" ht="23.1" customHeight="1" x14ac:dyDescent="0.25">
      <c r="B99" s="23" t="s">
        <v>139</v>
      </c>
      <c r="C99" s="49">
        <f>AVERAGE('01.08 Kireka-Kinawataka-24h'!C99,'03.08 Kireka-Kinawataka-24h'!C99)</f>
        <v>6.5</v>
      </c>
      <c r="D99" s="49">
        <f>AVERAGE('01.08 Kireka-Kinawataka-24h'!D99,'03.08 Kireka-Kinawataka-24h'!D99)</f>
        <v>3</v>
      </c>
      <c r="E99" s="49">
        <f>AVERAGE('01.08 Kireka-Kinawataka-24h'!E99,'03.08 Kireka-Kinawataka-24h'!E99)</f>
        <v>1</v>
      </c>
      <c r="F99" s="49">
        <f>AVERAGE('01.08 Kireka-Kinawataka-24h'!F99,'03.08 Kireka-Kinawataka-24h'!F99)</f>
        <v>11</v>
      </c>
      <c r="G99" s="49">
        <f>AVERAGE('01.08 Kireka-Kinawataka-24h'!G99,'03.08 Kireka-Kinawataka-24h'!G99)</f>
        <v>0</v>
      </c>
      <c r="H99" s="49">
        <f>AVERAGE('01.08 Kireka-Kinawataka-24h'!H99,'03.08 Kireka-Kinawataka-24h'!H99)</f>
        <v>0</v>
      </c>
      <c r="I99" s="49">
        <f>AVERAGE('01.08 Kireka-Kinawataka-24h'!I99,'03.08 Kireka-Kinawataka-24h'!I99)</f>
        <v>0.5</v>
      </c>
      <c r="J99" s="49">
        <f>AVERAGE('01.08 Kireka-Kinawataka-24h'!J99,'03.08 Kireka-Kinawataka-24h'!J99)</f>
        <v>0.5</v>
      </c>
      <c r="K99" s="49">
        <f>AVERAGE('01.08 Kireka-Kinawataka-24h'!K99,'03.08 Kireka-Kinawataka-24h'!K99)</f>
        <v>0</v>
      </c>
      <c r="L99" s="49">
        <f>AVERAGE('01.08 Kireka-Kinawataka-24h'!L99,'03.08 Kireka-Kinawataka-24h'!L99)</f>
        <v>0</v>
      </c>
      <c r="M99" s="49">
        <f>AVERAGE('01.08 Kireka-Kinawataka-24h'!M99,'03.08 Kireka-Kinawataka-24h'!M99)</f>
        <v>27.5</v>
      </c>
      <c r="N99" s="49">
        <f>AVERAGE('01.08 Kireka-Kinawataka-24h'!N99,'03.08 Kireka-Kinawataka-24h'!N99)</f>
        <v>0</v>
      </c>
      <c r="O99" s="49">
        <f>AVERAGE('01.08 Kireka-Kinawataka-24h'!O99,'03.08 Kireka-Kinawataka-24h'!O99)</f>
        <v>22.5</v>
      </c>
      <c r="P99" s="49">
        <f>AVERAGE('01.08 Kireka-Kinawataka-24h'!P99,'03.08 Kireka-Kinawataka-24h'!P99)</f>
        <v>50</v>
      </c>
      <c r="R99" s="8"/>
      <c r="T99"/>
    </row>
    <row r="100" spans="2:20" ht="23.1" customHeight="1" x14ac:dyDescent="0.25">
      <c r="B100" s="25" t="s">
        <v>140</v>
      </c>
      <c r="C100" s="49">
        <f>AVERAGE('01.08 Kireka-Kinawataka-24h'!C100,'03.08 Kireka-Kinawataka-24h'!C100)</f>
        <v>8</v>
      </c>
      <c r="D100" s="49">
        <f>AVERAGE('01.08 Kireka-Kinawataka-24h'!D100,'03.08 Kireka-Kinawataka-24h'!D100)</f>
        <v>1.5</v>
      </c>
      <c r="E100" s="49">
        <f>AVERAGE('01.08 Kireka-Kinawataka-24h'!E100,'03.08 Kireka-Kinawataka-24h'!E100)</f>
        <v>2</v>
      </c>
      <c r="F100" s="49">
        <f>AVERAGE('01.08 Kireka-Kinawataka-24h'!F100,'03.08 Kireka-Kinawataka-24h'!F100)</f>
        <v>12</v>
      </c>
      <c r="G100" s="49">
        <f>AVERAGE('01.08 Kireka-Kinawataka-24h'!G100,'03.08 Kireka-Kinawataka-24h'!G100)</f>
        <v>1</v>
      </c>
      <c r="H100" s="49">
        <f>AVERAGE('01.08 Kireka-Kinawataka-24h'!H100,'03.08 Kireka-Kinawataka-24h'!H100)</f>
        <v>0</v>
      </c>
      <c r="I100" s="49">
        <f>AVERAGE('01.08 Kireka-Kinawataka-24h'!I100,'03.08 Kireka-Kinawataka-24h'!I100)</f>
        <v>1.5</v>
      </c>
      <c r="J100" s="49">
        <f>AVERAGE('01.08 Kireka-Kinawataka-24h'!J100,'03.08 Kireka-Kinawataka-24h'!J100)</f>
        <v>0.5</v>
      </c>
      <c r="K100" s="49">
        <f>AVERAGE('01.08 Kireka-Kinawataka-24h'!K100,'03.08 Kireka-Kinawataka-24h'!K100)</f>
        <v>0</v>
      </c>
      <c r="L100" s="49">
        <f>AVERAGE('01.08 Kireka-Kinawataka-24h'!L100,'03.08 Kireka-Kinawataka-24h'!L100)</f>
        <v>0.5</v>
      </c>
      <c r="M100" s="49">
        <f>AVERAGE('01.08 Kireka-Kinawataka-24h'!M100,'03.08 Kireka-Kinawataka-24h'!M100)</f>
        <v>37.5</v>
      </c>
      <c r="N100" s="49">
        <f>AVERAGE('01.08 Kireka-Kinawataka-24h'!N100,'03.08 Kireka-Kinawataka-24h'!N100)</f>
        <v>0</v>
      </c>
      <c r="O100" s="49">
        <f>AVERAGE('01.08 Kireka-Kinawataka-24h'!O100,'03.08 Kireka-Kinawataka-24h'!O100)</f>
        <v>27</v>
      </c>
      <c r="P100" s="49">
        <f>AVERAGE('01.08 Kireka-Kinawataka-24h'!P100,'03.08 Kireka-Kinawataka-24h'!P100)</f>
        <v>64.5</v>
      </c>
      <c r="R100" s="8"/>
      <c r="T100"/>
    </row>
    <row r="101" spans="2:20" ht="23.1" customHeight="1" x14ac:dyDescent="0.25">
      <c r="B101" s="23" t="s">
        <v>141</v>
      </c>
      <c r="C101" s="49">
        <f>AVERAGE('01.08 Kireka-Kinawataka-24h'!C101,'03.08 Kireka-Kinawataka-24h'!C101)</f>
        <v>12</v>
      </c>
      <c r="D101" s="49">
        <f>AVERAGE('01.08 Kireka-Kinawataka-24h'!D101,'03.08 Kireka-Kinawataka-24h'!D101)</f>
        <v>1.5</v>
      </c>
      <c r="E101" s="49">
        <f>AVERAGE('01.08 Kireka-Kinawataka-24h'!E101,'03.08 Kireka-Kinawataka-24h'!E101)</f>
        <v>2</v>
      </c>
      <c r="F101" s="49">
        <f>AVERAGE('01.08 Kireka-Kinawataka-24h'!F101,'03.08 Kireka-Kinawataka-24h'!F101)</f>
        <v>19</v>
      </c>
      <c r="G101" s="49">
        <f>AVERAGE('01.08 Kireka-Kinawataka-24h'!G101,'03.08 Kireka-Kinawataka-24h'!G101)</f>
        <v>1</v>
      </c>
      <c r="H101" s="49">
        <f>AVERAGE('01.08 Kireka-Kinawataka-24h'!H101,'03.08 Kireka-Kinawataka-24h'!H101)</f>
        <v>0</v>
      </c>
      <c r="I101" s="49">
        <f>AVERAGE('01.08 Kireka-Kinawataka-24h'!I101,'03.08 Kireka-Kinawataka-24h'!I101)</f>
        <v>3.5</v>
      </c>
      <c r="J101" s="49">
        <f>AVERAGE('01.08 Kireka-Kinawataka-24h'!J101,'03.08 Kireka-Kinawataka-24h'!J101)</f>
        <v>0.5</v>
      </c>
      <c r="K101" s="49">
        <f>AVERAGE('01.08 Kireka-Kinawataka-24h'!K101,'03.08 Kireka-Kinawataka-24h'!K101)</f>
        <v>0</v>
      </c>
      <c r="L101" s="49">
        <f>AVERAGE('01.08 Kireka-Kinawataka-24h'!L101,'03.08 Kireka-Kinawataka-24h'!L101)</f>
        <v>1.5</v>
      </c>
      <c r="M101" s="49">
        <f>AVERAGE('01.08 Kireka-Kinawataka-24h'!M101,'03.08 Kireka-Kinawataka-24h'!M101)</f>
        <v>47</v>
      </c>
      <c r="N101" s="49">
        <f>AVERAGE('01.08 Kireka-Kinawataka-24h'!N101,'03.08 Kireka-Kinawataka-24h'!N101)</f>
        <v>0</v>
      </c>
      <c r="O101" s="49">
        <f>AVERAGE('01.08 Kireka-Kinawataka-24h'!O101,'03.08 Kireka-Kinawataka-24h'!O101)</f>
        <v>41</v>
      </c>
      <c r="P101" s="49">
        <f>AVERAGE('01.08 Kireka-Kinawataka-24h'!P101,'03.08 Kireka-Kinawataka-24h'!P101)</f>
        <v>88</v>
      </c>
      <c r="R101" s="8"/>
      <c r="T101"/>
    </row>
    <row r="102" spans="2:20" ht="23.1" customHeight="1" x14ac:dyDescent="0.25">
      <c r="B102" s="24" t="s">
        <v>142</v>
      </c>
      <c r="C102" s="49">
        <f>AVERAGE('01.08 Kireka-Kinawataka-24h'!C102,'03.08 Kireka-Kinawataka-24h'!C102)</f>
        <v>28</v>
      </c>
      <c r="D102" s="49">
        <f>AVERAGE('01.08 Kireka-Kinawataka-24h'!D102,'03.08 Kireka-Kinawataka-24h'!D102)</f>
        <v>7</v>
      </c>
      <c r="E102" s="49">
        <f>AVERAGE('01.08 Kireka-Kinawataka-24h'!E102,'03.08 Kireka-Kinawataka-24h'!E102)</f>
        <v>6</v>
      </c>
      <c r="F102" s="49">
        <f>AVERAGE('01.08 Kireka-Kinawataka-24h'!F102,'03.08 Kireka-Kinawataka-24h'!F102)</f>
        <v>16.5</v>
      </c>
      <c r="G102" s="49">
        <f>AVERAGE('01.08 Kireka-Kinawataka-24h'!G102,'03.08 Kireka-Kinawataka-24h'!G102)</f>
        <v>2.5</v>
      </c>
      <c r="H102" s="49">
        <f>AVERAGE('01.08 Kireka-Kinawataka-24h'!H102,'03.08 Kireka-Kinawataka-24h'!H102)</f>
        <v>0</v>
      </c>
      <c r="I102" s="49">
        <f>AVERAGE('01.08 Kireka-Kinawataka-24h'!I102,'03.08 Kireka-Kinawataka-24h'!I102)</f>
        <v>5</v>
      </c>
      <c r="J102" s="49">
        <f>AVERAGE('01.08 Kireka-Kinawataka-24h'!J102,'03.08 Kireka-Kinawataka-24h'!J102)</f>
        <v>1.5</v>
      </c>
      <c r="K102" s="49">
        <f>AVERAGE('01.08 Kireka-Kinawataka-24h'!K102,'03.08 Kireka-Kinawataka-24h'!K102)</f>
        <v>0</v>
      </c>
      <c r="L102" s="49">
        <f>AVERAGE('01.08 Kireka-Kinawataka-24h'!L102,'03.08 Kireka-Kinawataka-24h'!L102)</f>
        <v>1.5</v>
      </c>
      <c r="M102" s="49">
        <f>AVERAGE('01.08 Kireka-Kinawataka-24h'!M102,'03.08 Kireka-Kinawataka-24h'!M102)</f>
        <v>57.5</v>
      </c>
      <c r="N102" s="49">
        <f>AVERAGE('01.08 Kireka-Kinawataka-24h'!N102,'03.08 Kireka-Kinawataka-24h'!N102)</f>
        <v>0</v>
      </c>
      <c r="O102" s="49">
        <f>AVERAGE('01.08 Kireka-Kinawataka-24h'!O102,'03.08 Kireka-Kinawataka-24h'!O102)</f>
        <v>68</v>
      </c>
      <c r="P102" s="49">
        <f>AVERAGE('01.08 Kireka-Kinawataka-24h'!P102,'03.08 Kireka-Kinawataka-24h'!P102)</f>
        <v>125.5</v>
      </c>
      <c r="R102" s="8"/>
      <c r="T102"/>
    </row>
    <row r="103" spans="2:20" ht="23.1" customHeight="1" x14ac:dyDescent="0.25">
      <c r="B103" s="23" t="s">
        <v>143</v>
      </c>
      <c r="C103" s="49">
        <f>AVERAGE('01.08 Kireka-Kinawataka-24h'!C103,'03.08 Kireka-Kinawataka-24h'!C103)</f>
        <v>67.5</v>
      </c>
      <c r="D103" s="49">
        <f>AVERAGE('01.08 Kireka-Kinawataka-24h'!D103,'03.08 Kireka-Kinawataka-24h'!D103)</f>
        <v>10</v>
      </c>
      <c r="E103" s="49">
        <f>AVERAGE('01.08 Kireka-Kinawataka-24h'!E103,'03.08 Kireka-Kinawataka-24h'!E103)</f>
        <v>12.5</v>
      </c>
      <c r="F103" s="49">
        <f>AVERAGE('01.08 Kireka-Kinawataka-24h'!F103,'03.08 Kireka-Kinawataka-24h'!F103)</f>
        <v>21.5</v>
      </c>
      <c r="G103" s="49">
        <f>AVERAGE('01.08 Kireka-Kinawataka-24h'!G103,'03.08 Kireka-Kinawataka-24h'!G103)</f>
        <v>4.5</v>
      </c>
      <c r="H103" s="49">
        <f>AVERAGE('01.08 Kireka-Kinawataka-24h'!H103,'03.08 Kireka-Kinawataka-24h'!H103)</f>
        <v>1</v>
      </c>
      <c r="I103" s="49">
        <f>AVERAGE('01.08 Kireka-Kinawataka-24h'!I103,'03.08 Kireka-Kinawataka-24h'!I103)</f>
        <v>5</v>
      </c>
      <c r="J103" s="49">
        <f>AVERAGE('01.08 Kireka-Kinawataka-24h'!J103,'03.08 Kireka-Kinawataka-24h'!J103)</f>
        <v>0.5</v>
      </c>
      <c r="K103" s="49">
        <f>AVERAGE('01.08 Kireka-Kinawataka-24h'!K103,'03.08 Kireka-Kinawataka-24h'!K103)</f>
        <v>1.5</v>
      </c>
      <c r="L103" s="49">
        <f>AVERAGE('01.08 Kireka-Kinawataka-24h'!L103,'03.08 Kireka-Kinawataka-24h'!L103)</f>
        <v>1.5</v>
      </c>
      <c r="M103" s="49">
        <f>AVERAGE('01.08 Kireka-Kinawataka-24h'!M103,'03.08 Kireka-Kinawataka-24h'!M103)</f>
        <v>69</v>
      </c>
      <c r="N103" s="49">
        <f>AVERAGE('01.08 Kireka-Kinawataka-24h'!N103,'03.08 Kireka-Kinawataka-24h'!N103)</f>
        <v>0</v>
      </c>
      <c r="O103" s="49">
        <f>AVERAGE('01.08 Kireka-Kinawataka-24h'!O103,'03.08 Kireka-Kinawataka-24h'!O103)</f>
        <v>125.5</v>
      </c>
      <c r="P103" s="49">
        <f>AVERAGE('01.08 Kireka-Kinawataka-24h'!P103,'03.08 Kireka-Kinawataka-24h'!P103)</f>
        <v>194.5</v>
      </c>
      <c r="R103" s="8"/>
      <c r="T103"/>
    </row>
    <row r="104" spans="2:20" ht="23.1" customHeight="1" x14ac:dyDescent="0.25">
      <c r="B104" s="25" t="s">
        <v>144</v>
      </c>
      <c r="C104" s="49">
        <f>AVERAGE('01.08 Kireka-Kinawataka-24h'!C104,'03.08 Kireka-Kinawataka-24h'!C104)</f>
        <v>58.5</v>
      </c>
      <c r="D104" s="49">
        <f>AVERAGE('01.08 Kireka-Kinawataka-24h'!D104,'03.08 Kireka-Kinawataka-24h'!D104)</f>
        <v>12</v>
      </c>
      <c r="E104" s="49">
        <f>AVERAGE('01.08 Kireka-Kinawataka-24h'!E104,'03.08 Kireka-Kinawataka-24h'!E104)</f>
        <v>9.5</v>
      </c>
      <c r="F104" s="49">
        <f>AVERAGE('01.08 Kireka-Kinawataka-24h'!F104,'03.08 Kireka-Kinawataka-24h'!F104)</f>
        <v>27</v>
      </c>
      <c r="G104" s="49">
        <f>AVERAGE('01.08 Kireka-Kinawataka-24h'!G104,'03.08 Kireka-Kinawataka-24h'!G104)</f>
        <v>2.5</v>
      </c>
      <c r="H104" s="49">
        <f>AVERAGE('01.08 Kireka-Kinawataka-24h'!H104,'03.08 Kireka-Kinawataka-24h'!H104)</f>
        <v>0</v>
      </c>
      <c r="I104" s="49">
        <f>AVERAGE('01.08 Kireka-Kinawataka-24h'!I104,'03.08 Kireka-Kinawataka-24h'!I104)</f>
        <v>2.5</v>
      </c>
      <c r="J104" s="49">
        <f>AVERAGE('01.08 Kireka-Kinawataka-24h'!J104,'03.08 Kireka-Kinawataka-24h'!J104)</f>
        <v>1.5</v>
      </c>
      <c r="K104" s="49">
        <f>AVERAGE('01.08 Kireka-Kinawataka-24h'!K104,'03.08 Kireka-Kinawataka-24h'!K104)</f>
        <v>0</v>
      </c>
      <c r="L104" s="49">
        <f>AVERAGE('01.08 Kireka-Kinawataka-24h'!L104,'03.08 Kireka-Kinawataka-24h'!L104)</f>
        <v>1.5</v>
      </c>
      <c r="M104" s="49">
        <f>AVERAGE('01.08 Kireka-Kinawataka-24h'!M104,'03.08 Kireka-Kinawataka-24h'!M104)</f>
        <v>89</v>
      </c>
      <c r="N104" s="49">
        <f>AVERAGE('01.08 Kireka-Kinawataka-24h'!N104,'03.08 Kireka-Kinawataka-24h'!N104)</f>
        <v>0</v>
      </c>
      <c r="O104" s="49">
        <f>AVERAGE('01.08 Kireka-Kinawataka-24h'!O104,'03.08 Kireka-Kinawataka-24h'!O104)</f>
        <v>115</v>
      </c>
      <c r="P104" s="49">
        <f>AVERAGE('01.08 Kireka-Kinawataka-24h'!P104,'03.08 Kireka-Kinawataka-24h'!P104)</f>
        <v>204</v>
      </c>
      <c r="R104" s="8"/>
      <c r="T104"/>
    </row>
    <row r="105" spans="2:20" ht="23.1" customHeight="1" x14ac:dyDescent="0.25">
      <c r="B105" s="23" t="s">
        <v>145</v>
      </c>
      <c r="C105" s="49">
        <f>AVERAGE('01.08 Kireka-Kinawataka-24h'!C105,'03.08 Kireka-Kinawataka-24h'!C105)</f>
        <v>66</v>
      </c>
      <c r="D105" s="49">
        <f>AVERAGE('01.08 Kireka-Kinawataka-24h'!D105,'03.08 Kireka-Kinawataka-24h'!D105)</f>
        <v>14</v>
      </c>
      <c r="E105" s="49">
        <f>AVERAGE('01.08 Kireka-Kinawataka-24h'!E105,'03.08 Kireka-Kinawataka-24h'!E105)</f>
        <v>4.5</v>
      </c>
      <c r="F105" s="49">
        <f>AVERAGE('01.08 Kireka-Kinawataka-24h'!F105,'03.08 Kireka-Kinawataka-24h'!F105)</f>
        <v>23.5</v>
      </c>
      <c r="G105" s="49">
        <f>AVERAGE('01.08 Kireka-Kinawataka-24h'!G105,'03.08 Kireka-Kinawataka-24h'!G105)</f>
        <v>1.5</v>
      </c>
      <c r="H105" s="49">
        <f>AVERAGE('01.08 Kireka-Kinawataka-24h'!H105,'03.08 Kireka-Kinawataka-24h'!H105)</f>
        <v>0</v>
      </c>
      <c r="I105" s="49">
        <f>AVERAGE('01.08 Kireka-Kinawataka-24h'!I105,'03.08 Kireka-Kinawataka-24h'!I105)</f>
        <v>3</v>
      </c>
      <c r="J105" s="49">
        <f>AVERAGE('01.08 Kireka-Kinawataka-24h'!J105,'03.08 Kireka-Kinawataka-24h'!J105)</f>
        <v>0.5</v>
      </c>
      <c r="K105" s="49">
        <f>AVERAGE('01.08 Kireka-Kinawataka-24h'!K105,'03.08 Kireka-Kinawataka-24h'!K105)</f>
        <v>1</v>
      </c>
      <c r="L105" s="49">
        <f>AVERAGE('01.08 Kireka-Kinawataka-24h'!L105,'03.08 Kireka-Kinawataka-24h'!L105)</f>
        <v>0.5</v>
      </c>
      <c r="M105" s="49">
        <f>AVERAGE('01.08 Kireka-Kinawataka-24h'!M105,'03.08 Kireka-Kinawataka-24h'!M105)</f>
        <v>125</v>
      </c>
      <c r="N105" s="49">
        <f>AVERAGE('01.08 Kireka-Kinawataka-24h'!N105,'03.08 Kireka-Kinawataka-24h'!N105)</f>
        <v>0</v>
      </c>
      <c r="O105" s="49">
        <f>AVERAGE('01.08 Kireka-Kinawataka-24h'!O105,'03.08 Kireka-Kinawataka-24h'!O105)</f>
        <v>114.5</v>
      </c>
      <c r="P105" s="49">
        <f>AVERAGE('01.08 Kireka-Kinawataka-24h'!P105,'03.08 Kireka-Kinawataka-24h'!P105)</f>
        <v>239.5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2887</v>
      </c>
      <c r="D106" s="16">
        <f t="shared" ref="D106:P106" si="35">SUM(D10:D105)</f>
        <v>1337.1428571428571</v>
      </c>
      <c r="E106" s="16">
        <f t="shared" si="35"/>
        <v>534.50000000000011</v>
      </c>
      <c r="F106" s="16">
        <f t="shared" si="35"/>
        <v>1348.3571428571429</v>
      </c>
      <c r="G106" s="16">
        <f t="shared" si="35"/>
        <v>82.285714285714306</v>
      </c>
      <c r="H106" s="16">
        <f t="shared" si="35"/>
        <v>16.214285714285712</v>
      </c>
      <c r="I106" s="16">
        <f t="shared" si="35"/>
        <v>356.64285714285717</v>
      </c>
      <c r="J106" s="16">
        <f t="shared" si="35"/>
        <v>391.4285714285715</v>
      </c>
      <c r="K106" s="16">
        <f t="shared" si="35"/>
        <v>152.64285714285717</v>
      </c>
      <c r="L106" s="16">
        <f t="shared" si="35"/>
        <v>150.78571428571428</v>
      </c>
      <c r="M106" s="16">
        <f t="shared" si="35"/>
        <v>9078.8571428571413</v>
      </c>
      <c r="N106" s="16">
        <f t="shared" si="35"/>
        <v>1.6428571428571426</v>
      </c>
      <c r="O106" s="16">
        <f t="shared" si="35"/>
        <v>7258.6428571428596</v>
      </c>
      <c r="P106" s="16">
        <f t="shared" si="35"/>
        <v>16337.500000000002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6">C106/$P$106</f>
        <v>0.17671002295332822</v>
      </c>
      <c r="D107" s="43">
        <f t="shared" si="36"/>
        <v>8.184501038364847E-2</v>
      </c>
      <c r="E107" s="43">
        <f t="shared" si="36"/>
        <v>3.2716143840856929E-2</v>
      </c>
      <c r="F107" s="43">
        <f t="shared" si="36"/>
        <v>8.2531424199366044E-2</v>
      </c>
      <c r="G107" s="43">
        <f t="shared" si="36"/>
        <v>5.0366160236091379E-3</v>
      </c>
      <c r="H107" s="43">
        <f t="shared" si="36"/>
        <v>9.9245819215214759E-4</v>
      </c>
      <c r="I107" s="43">
        <f t="shared" si="36"/>
        <v>2.1829708164826756E-2</v>
      </c>
      <c r="J107" s="43">
        <f t="shared" si="36"/>
        <v>2.3958902612307358E-2</v>
      </c>
      <c r="K107" s="43">
        <f t="shared" si="36"/>
        <v>9.3430976062957704E-3</v>
      </c>
      <c r="L107" s="43">
        <f t="shared" si="36"/>
        <v>9.2294239807629228E-3</v>
      </c>
      <c r="M107" s="43">
        <f t="shared" si="36"/>
        <v>0.55570663460487468</v>
      </c>
      <c r="N107" s="43">
        <f t="shared" si="36"/>
        <v>1.0055743797136296E-4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0.39773275208864295</v>
      </c>
      <c r="D108" s="44">
        <f t="shared" ref="D108:N108" si="37">D106/$O$106</f>
        <v>0.18421389279774844</v>
      </c>
      <c r="E108" s="44">
        <f t="shared" si="37"/>
        <v>7.3636354690467518E-2</v>
      </c>
      <c r="F108" s="44">
        <f t="shared" si="37"/>
        <v>0.18575884905678938</v>
      </c>
      <c r="G108" s="44">
        <f t="shared" si="37"/>
        <v>1.1336239556784523E-2</v>
      </c>
      <c r="H108" s="44">
        <f t="shared" si="37"/>
        <v>2.233790259887227E-3</v>
      </c>
      <c r="I108" s="44">
        <f t="shared" si="37"/>
        <v>4.9133545231792627E-2</v>
      </c>
      <c r="J108" s="44">
        <f t="shared" si="37"/>
        <v>5.392586178053748E-2</v>
      </c>
      <c r="K108" s="44">
        <f t="shared" si="37"/>
        <v>2.1029117997264341E-2</v>
      </c>
      <c r="L108" s="44">
        <f t="shared" si="37"/>
        <v>2.0773265368378573E-2</v>
      </c>
      <c r="M108" s="44"/>
      <c r="N108" s="44">
        <f t="shared" si="37"/>
        <v>2.2633117170663532E-4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N73" zoomScale="60" workbookViewId="0">
      <selection activeCell="AD53" sqref="AD5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0" width="10.7109375" customWidth="1"/>
    <col min="31" max="31" width="13.140625" customWidth="1"/>
    <col min="32" max="33" width="10.7109375" customWidth="1"/>
  </cols>
  <sheetData>
    <row r="1" spans="2:32" ht="23.25" customHeight="1" x14ac:dyDescent="0.3">
      <c r="B1" s="57" t="s">
        <v>23</v>
      </c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</row>
    <row r="2" spans="2:32" ht="20.100000000000001" customHeight="1" x14ac:dyDescent="0.25">
      <c r="B2" s="58" t="s">
        <v>95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</row>
    <row r="3" spans="2:32" ht="20.100000000000001" customHeight="1" x14ac:dyDescent="0.25">
      <c r="B3" s="22" t="s">
        <v>96</v>
      </c>
      <c r="C3" s="62" t="str">
        <f>'04.08 Kireka-Kinawataka'!C3:G3</f>
        <v>MCC - C1 - STN042 - KIREKA  ROAD</v>
      </c>
      <c r="D3" s="62"/>
      <c r="E3" s="62"/>
      <c r="F3" s="62"/>
      <c r="G3" s="62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5" t="s">
        <v>162</v>
      </c>
      <c r="E5" s="66"/>
      <c r="F5" s="41" t="s">
        <v>1</v>
      </c>
      <c r="G5" s="63" t="str">
        <f>'Avg Week Kireka-Kinwataka'!G5:H5</f>
        <v>Kireka road</v>
      </c>
      <c r="H5" s="64"/>
      <c r="I5" s="14"/>
      <c r="J5" s="2" t="s">
        <v>5</v>
      </c>
      <c r="K5" s="63" t="str">
        <f>'Avg Week Kireka-Kinwataka'!K5:L5</f>
        <v>Mirembe Keren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161</v>
      </c>
      <c r="E6" s="68"/>
      <c r="F6" s="2" t="s">
        <v>2</v>
      </c>
      <c r="G6" s="67" t="s">
        <v>161</v>
      </c>
      <c r="H6" s="68"/>
      <c r="J6" s="2" t="s">
        <v>21</v>
      </c>
      <c r="K6" s="63" t="str">
        <f>'Avg Week Kireka-Kinwataka'!K6:L6</f>
        <v>Batrice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6" t="s">
        <v>88</v>
      </c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Kinawataka-Kireka'!C10+'Avg Week Kireka-Kinwataka'!C10</f>
        <v>49.714285714285708</v>
      </c>
      <c r="D10" s="49">
        <f>'Avg Week Kinawataka-Kireka'!D10+'Avg Week Kireka-Kinwataka'!D10</f>
        <v>17.714285714285712</v>
      </c>
      <c r="E10" s="49">
        <f>'Avg Week Kinawataka-Kireka'!E10+'Avg Week Kireka-Kinwataka'!E10</f>
        <v>6.5714285714285712</v>
      </c>
      <c r="F10" s="49">
        <f>'Avg Week Kinawataka-Kireka'!F10+'Avg Week Kireka-Kinwataka'!F10</f>
        <v>30.428571428571427</v>
      </c>
      <c r="G10" s="49">
        <f>'Avg Week Kinawataka-Kireka'!G10+'Avg Week Kireka-Kinwataka'!G10</f>
        <v>2.4285714285714284</v>
      </c>
      <c r="H10" s="49">
        <f>'Avg Week Kinawataka-Kireka'!H10+'Avg Week Kireka-Kinwataka'!H10</f>
        <v>0.2857142857142857</v>
      </c>
      <c r="I10" s="49">
        <f>'Avg Week Kinawataka-Kireka'!I10+'Avg Week Kireka-Kinwataka'!I10</f>
        <v>5</v>
      </c>
      <c r="J10" s="49">
        <f>'Avg Week Kinawataka-Kireka'!J10+'Avg Week Kireka-Kinwataka'!J10</f>
        <v>2.4285714285714284</v>
      </c>
      <c r="K10" s="49">
        <f>'Avg Week Kinawataka-Kireka'!K10+'Avg Week Kireka-Kinwataka'!K10</f>
        <v>1</v>
      </c>
      <c r="L10" s="49">
        <f>'Avg Week Kinawataka-Kireka'!L10+'Avg Week Kireka-Kinwataka'!L10</f>
        <v>2.1428571428571428</v>
      </c>
      <c r="M10" s="49">
        <f>'Avg Week Kinawataka-Kireka'!M10+'Avg Week Kireka-Kinwataka'!M10</f>
        <v>152</v>
      </c>
      <c r="N10" s="49">
        <f>'Avg Week Kinawataka-Kireka'!N10+'Avg Week Kireka-Kinwataka'!N10</f>
        <v>0</v>
      </c>
      <c r="O10" s="15">
        <f t="shared" ref="O10:O57" si="0">SUM(C10:L10,N10)</f>
        <v>117.71428571428571</v>
      </c>
      <c r="P10" s="15">
        <f t="shared" ref="P10:P57" si="1">SUM(C10:N10)</f>
        <v>269.71428571428572</v>
      </c>
      <c r="R10" s="1" t="s">
        <v>6</v>
      </c>
      <c r="S10" s="17">
        <f t="shared" ref="S10:AF10" si="2">SUM(C10:C13)</f>
        <v>277.14285714285711</v>
      </c>
      <c r="T10" s="17">
        <f t="shared" si="2"/>
        <v>114.42857142857142</v>
      </c>
      <c r="U10" s="17">
        <f t="shared" si="2"/>
        <v>40.714285714285715</v>
      </c>
      <c r="V10" s="17">
        <f t="shared" si="2"/>
        <v>140.85714285714283</v>
      </c>
      <c r="W10" s="17">
        <f t="shared" si="2"/>
        <v>10.857142857142858</v>
      </c>
      <c r="X10" s="17">
        <f t="shared" si="2"/>
        <v>1.8571428571428572</v>
      </c>
      <c r="Y10" s="17">
        <f t="shared" si="2"/>
        <v>20.857142857142858</v>
      </c>
      <c r="Z10" s="17">
        <f t="shared" si="2"/>
        <v>20.285714285714285</v>
      </c>
      <c r="AA10" s="17">
        <f t="shared" si="2"/>
        <v>7.5714285714285712</v>
      </c>
      <c r="AB10" s="17">
        <f t="shared" si="2"/>
        <v>8.428571428571427</v>
      </c>
      <c r="AC10" s="17">
        <f t="shared" si="2"/>
        <v>821.42857142857144</v>
      </c>
      <c r="AD10" s="17">
        <f t="shared" si="2"/>
        <v>0</v>
      </c>
      <c r="AE10" s="31">
        <f t="shared" si="2"/>
        <v>643</v>
      </c>
      <c r="AF10" s="31">
        <f t="shared" si="2"/>
        <v>1464.4285714285716</v>
      </c>
    </row>
    <row r="11" spans="2:32" s="6" customFormat="1" ht="23.1" customHeight="1" x14ac:dyDescent="0.25">
      <c r="B11" s="23" t="s">
        <v>38</v>
      </c>
      <c r="C11" s="49">
        <f>'Avg Week Kinawataka-Kireka'!C11+'Avg Week Kireka-Kinwataka'!C11</f>
        <v>71.428571428571431</v>
      </c>
      <c r="D11" s="49">
        <f>'Avg Week Kinawataka-Kireka'!D11+'Avg Week Kireka-Kinwataka'!D11</f>
        <v>29.285714285714285</v>
      </c>
      <c r="E11" s="49">
        <f>'Avg Week Kinawataka-Kireka'!E11+'Avg Week Kireka-Kinwataka'!E11</f>
        <v>13</v>
      </c>
      <c r="F11" s="49">
        <f>'Avg Week Kinawataka-Kireka'!F11+'Avg Week Kireka-Kinwataka'!F11</f>
        <v>39.285714285714285</v>
      </c>
      <c r="G11" s="49">
        <f>'Avg Week Kinawataka-Kireka'!G11+'Avg Week Kireka-Kinwataka'!G11</f>
        <v>3.2857142857142856</v>
      </c>
      <c r="H11" s="49">
        <f>'Avg Week Kinawataka-Kireka'!H11+'Avg Week Kireka-Kinwataka'!H11</f>
        <v>0.14285714285714285</v>
      </c>
      <c r="I11" s="49">
        <f>'Avg Week Kinawataka-Kireka'!I11+'Avg Week Kireka-Kinwataka'!I11</f>
        <v>6.2857142857142856</v>
      </c>
      <c r="J11" s="49">
        <f>'Avg Week Kinawataka-Kireka'!J11+'Avg Week Kireka-Kinwataka'!J11</f>
        <v>6.1428571428571423</v>
      </c>
      <c r="K11" s="49">
        <f>'Avg Week Kinawataka-Kireka'!K11+'Avg Week Kireka-Kinwataka'!K11</f>
        <v>3.1428571428571428</v>
      </c>
      <c r="L11" s="49">
        <f>'Avg Week Kinawataka-Kireka'!L11+'Avg Week Kireka-Kinwataka'!L11</f>
        <v>2.1428571428571428</v>
      </c>
      <c r="M11" s="49">
        <f>'Avg Week Kinawataka-Kireka'!M11+'Avg Week Kireka-Kinwataka'!M11</f>
        <v>199</v>
      </c>
      <c r="N11" s="49">
        <f>'Avg Week Kinawataka-Kireka'!N11+'Avg Week Kireka-Kinwataka'!N11</f>
        <v>0</v>
      </c>
      <c r="O11" s="15">
        <f t="shared" si="0"/>
        <v>174.14285714285711</v>
      </c>
      <c r="P11" s="15">
        <f t="shared" si="1"/>
        <v>373.14285714285711</v>
      </c>
      <c r="R11" s="1" t="s">
        <v>7</v>
      </c>
      <c r="S11" s="17">
        <f t="shared" ref="S11:AF11" si="3">SUM(C14:C17)</f>
        <v>294.14285714285717</v>
      </c>
      <c r="T11" s="17">
        <f t="shared" si="3"/>
        <v>135.57142857142858</v>
      </c>
      <c r="U11" s="17">
        <f t="shared" si="3"/>
        <v>48.857142857142854</v>
      </c>
      <c r="V11" s="17">
        <f t="shared" si="3"/>
        <v>149.42857142857144</v>
      </c>
      <c r="W11" s="17">
        <f t="shared" si="3"/>
        <v>12.142857142857142</v>
      </c>
      <c r="X11" s="17">
        <f t="shared" si="3"/>
        <v>2.4285714285714284</v>
      </c>
      <c r="Y11" s="17">
        <f t="shared" si="3"/>
        <v>34.857142857142861</v>
      </c>
      <c r="Z11" s="17">
        <f t="shared" si="3"/>
        <v>26.571428571428573</v>
      </c>
      <c r="AA11" s="17">
        <f t="shared" si="3"/>
        <v>11.857142857142858</v>
      </c>
      <c r="AB11" s="17">
        <f t="shared" si="3"/>
        <v>12.714285714285714</v>
      </c>
      <c r="AC11" s="17">
        <f t="shared" si="3"/>
        <v>1064.4285714285716</v>
      </c>
      <c r="AD11" s="17">
        <f t="shared" si="3"/>
        <v>0</v>
      </c>
      <c r="AE11" s="31">
        <f t="shared" si="3"/>
        <v>728.57142857142856</v>
      </c>
      <c r="AF11" s="31">
        <f t="shared" si="3"/>
        <v>1793</v>
      </c>
    </row>
    <row r="12" spans="2:32" ht="23.1" customHeight="1" x14ac:dyDescent="0.25">
      <c r="B12" s="23" t="s">
        <v>39</v>
      </c>
      <c r="C12" s="49">
        <f>'Avg Week Kinawataka-Kireka'!C12+'Avg Week Kireka-Kinwataka'!C12</f>
        <v>77.714285714285708</v>
      </c>
      <c r="D12" s="49">
        <f>'Avg Week Kinawataka-Kireka'!D12+'Avg Week Kireka-Kinwataka'!D12</f>
        <v>34.285714285714285</v>
      </c>
      <c r="E12" s="49">
        <f>'Avg Week Kinawataka-Kireka'!E12+'Avg Week Kireka-Kinwataka'!E12</f>
        <v>11.571428571428573</v>
      </c>
      <c r="F12" s="49">
        <f>'Avg Week Kinawataka-Kireka'!F12+'Avg Week Kireka-Kinwataka'!F12</f>
        <v>36.857142857142854</v>
      </c>
      <c r="G12" s="49">
        <f>'Avg Week Kinawataka-Kireka'!G12+'Avg Week Kireka-Kinwataka'!G12</f>
        <v>2.8571428571428572</v>
      </c>
      <c r="H12" s="49">
        <f>'Avg Week Kinawataka-Kireka'!H12+'Avg Week Kireka-Kinwataka'!H12</f>
        <v>0.5714285714285714</v>
      </c>
      <c r="I12" s="49">
        <f>'Avg Week Kinawataka-Kireka'!I12+'Avg Week Kireka-Kinwataka'!I12</f>
        <v>3.7142857142857144</v>
      </c>
      <c r="J12" s="49">
        <f>'Avg Week Kinawataka-Kireka'!J12+'Avg Week Kireka-Kinwataka'!J12</f>
        <v>5.7142857142857144</v>
      </c>
      <c r="K12" s="49">
        <f>'Avg Week Kinawataka-Kireka'!K12+'Avg Week Kireka-Kinwataka'!K12</f>
        <v>1.8571428571428572</v>
      </c>
      <c r="L12" s="49">
        <f>'Avg Week Kinawataka-Kireka'!L12+'Avg Week Kireka-Kinwataka'!L12</f>
        <v>1.8571428571428572</v>
      </c>
      <c r="M12" s="49">
        <f>'Avg Week Kinawataka-Kireka'!M12+'Avg Week Kireka-Kinwataka'!M12</f>
        <v>226</v>
      </c>
      <c r="N12" s="49">
        <f>'Avg Week Kinawataka-Kireka'!N12+'Avg Week Kireka-Kinwataka'!N12</f>
        <v>0</v>
      </c>
      <c r="O12" s="15">
        <f t="shared" si="0"/>
        <v>177.00000000000003</v>
      </c>
      <c r="P12" s="15">
        <f t="shared" si="1"/>
        <v>403</v>
      </c>
      <c r="R12" s="1" t="s">
        <v>8</v>
      </c>
      <c r="S12" s="17">
        <f t="shared" ref="S12:AF12" si="4">SUM(C18:C21)</f>
        <v>262</v>
      </c>
      <c r="T12" s="17">
        <f t="shared" si="4"/>
        <v>125.42857142857143</v>
      </c>
      <c r="U12" s="17">
        <f t="shared" si="4"/>
        <v>53.714285714285722</v>
      </c>
      <c r="V12" s="17">
        <f t="shared" si="4"/>
        <v>147.28571428571428</v>
      </c>
      <c r="W12" s="17">
        <f t="shared" si="4"/>
        <v>18.428571428571431</v>
      </c>
      <c r="X12" s="17">
        <f t="shared" si="4"/>
        <v>2.5714285714285712</v>
      </c>
      <c r="Y12" s="17">
        <f t="shared" si="4"/>
        <v>38.714285714285715</v>
      </c>
      <c r="Z12" s="17">
        <f t="shared" si="4"/>
        <v>35.142857142857139</v>
      </c>
      <c r="AA12" s="17">
        <f t="shared" si="4"/>
        <v>16.857142857142858</v>
      </c>
      <c r="AB12" s="17">
        <f t="shared" si="4"/>
        <v>18.571428571428569</v>
      </c>
      <c r="AC12" s="17">
        <f t="shared" si="4"/>
        <v>952.14285714285711</v>
      </c>
      <c r="AD12" s="17">
        <f t="shared" si="4"/>
        <v>0.2857142857142857</v>
      </c>
      <c r="AE12" s="31">
        <f t="shared" si="4"/>
        <v>719</v>
      </c>
      <c r="AF12" s="31">
        <f t="shared" si="4"/>
        <v>1671.1428571428573</v>
      </c>
    </row>
    <row r="13" spans="2:32" ht="23.1" customHeight="1" x14ac:dyDescent="0.25">
      <c r="B13" s="23" t="s">
        <v>40</v>
      </c>
      <c r="C13" s="49">
        <f>'Avg Week Kinawataka-Kireka'!C13+'Avg Week Kireka-Kinwataka'!C13</f>
        <v>78.285714285714278</v>
      </c>
      <c r="D13" s="49">
        <f>'Avg Week Kinawataka-Kireka'!D13+'Avg Week Kireka-Kinwataka'!D13</f>
        <v>33.142857142857146</v>
      </c>
      <c r="E13" s="49">
        <f>'Avg Week Kinawataka-Kireka'!E13+'Avg Week Kireka-Kinwataka'!E13</f>
        <v>9.5714285714285712</v>
      </c>
      <c r="F13" s="49">
        <f>'Avg Week Kinawataka-Kireka'!F13+'Avg Week Kireka-Kinwataka'!F13</f>
        <v>34.285714285714285</v>
      </c>
      <c r="G13" s="49">
        <f>'Avg Week Kinawataka-Kireka'!G13+'Avg Week Kireka-Kinwataka'!G13</f>
        <v>2.2857142857142856</v>
      </c>
      <c r="H13" s="49">
        <f>'Avg Week Kinawataka-Kireka'!H13+'Avg Week Kireka-Kinwataka'!H13</f>
        <v>0.85714285714285721</v>
      </c>
      <c r="I13" s="49">
        <f>'Avg Week Kinawataka-Kireka'!I13+'Avg Week Kireka-Kinwataka'!I13</f>
        <v>5.8571428571428577</v>
      </c>
      <c r="J13" s="49">
        <f>'Avg Week Kinawataka-Kireka'!J13+'Avg Week Kireka-Kinwataka'!J13</f>
        <v>6</v>
      </c>
      <c r="K13" s="49">
        <f>'Avg Week Kinawataka-Kireka'!K13+'Avg Week Kireka-Kinwataka'!K13</f>
        <v>1.5714285714285714</v>
      </c>
      <c r="L13" s="49">
        <f>'Avg Week Kinawataka-Kireka'!L13+'Avg Week Kireka-Kinwataka'!L13</f>
        <v>2.2857142857142856</v>
      </c>
      <c r="M13" s="49">
        <f>'Avg Week Kinawataka-Kireka'!M13+'Avg Week Kireka-Kinwataka'!M13</f>
        <v>244.42857142857144</v>
      </c>
      <c r="N13" s="49">
        <f>'Avg Week Kinawataka-Kireka'!N13+'Avg Week Kireka-Kinwataka'!N13</f>
        <v>0</v>
      </c>
      <c r="O13" s="15">
        <f t="shared" si="0"/>
        <v>174.14285714285714</v>
      </c>
      <c r="P13" s="15">
        <f t="shared" si="1"/>
        <v>418.57142857142856</v>
      </c>
      <c r="R13" s="1" t="s">
        <v>9</v>
      </c>
      <c r="S13" s="17">
        <f t="shared" ref="S13:AF13" si="5">SUM(C22:C25)</f>
        <v>334.42857142857144</v>
      </c>
      <c r="T13" s="17">
        <f t="shared" si="5"/>
        <v>138</v>
      </c>
      <c r="U13" s="17">
        <f t="shared" si="5"/>
        <v>58.285714285714278</v>
      </c>
      <c r="V13" s="17">
        <f t="shared" si="5"/>
        <v>151.42857142857142</v>
      </c>
      <c r="W13" s="17">
        <f t="shared" si="5"/>
        <v>13</v>
      </c>
      <c r="X13" s="17">
        <f t="shared" si="5"/>
        <v>2.8571428571428568</v>
      </c>
      <c r="Y13" s="17">
        <f t="shared" si="5"/>
        <v>56.285714285714292</v>
      </c>
      <c r="Z13" s="17">
        <f t="shared" si="5"/>
        <v>49</v>
      </c>
      <c r="AA13" s="17">
        <f t="shared" si="5"/>
        <v>20.857142857142854</v>
      </c>
      <c r="AB13" s="17">
        <f t="shared" si="5"/>
        <v>31.428571428571431</v>
      </c>
      <c r="AC13" s="17">
        <f t="shared" si="5"/>
        <v>959.71428571428567</v>
      </c>
      <c r="AD13" s="17">
        <f t="shared" si="5"/>
        <v>0.14285714285714285</v>
      </c>
      <c r="AE13" s="31">
        <f t="shared" si="5"/>
        <v>855.71428571428567</v>
      </c>
      <c r="AF13" s="31">
        <f t="shared" si="5"/>
        <v>1815.4285714285716</v>
      </c>
    </row>
    <row r="14" spans="2:32" ht="23.1" customHeight="1" x14ac:dyDescent="0.25">
      <c r="B14" s="23" t="s">
        <v>41</v>
      </c>
      <c r="C14" s="49">
        <f>'Avg Week Kinawataka-Kireka'!C14+'Avg Week Kireka-Kinwataka'!C14</f>
        <v>73.857142857142861</v>
      </c>
      <c r="D14" s="49">
        <f>'Avg Week Kinawataka-Kireka'!D14+'Avg Week Kireka-Kinwataka'!D14</f>
        <v>28.857142857142858</v>
      </c>
      <c r="E14" s="49">
        <f>'Avg Week Kinawataka-Kireka'!E14+'Avg Week Kireka-Kinwataka'!E14</f>
        <v>11.285714285714285</v>
      </c>
      <c r="F14" s="49">
        <f>'Avg Week Kinawataka-Kireka'!F14+'Avg Week Kireka-Kinwataka'!F14</f>
        <v>33.571428571428569</v>
      </c>
      <c r="G14" s="49">
        <f>'Avg Week Kinawataka-Kireka'!G14+'Avg Week Kireka-Kinwataka'!G14</f>
        <v>2.1428571428571428</v>
      </c>
      <c r="H14" s="49">
        <f>'Avg Week Kinawataka-Kireka'!H14+'Avg Week Kireka-Kinwataka'!H14</f>
        <v>0.5714285714285714</v>
      </c>
      <c r="I14" s="49">
        <f>'Avg Week Kinawataka-Kireka'!I14+'Avg Week Kireka-Kinwataka'!I14</f>
        <v>8.1428571428571423</v>
      </c>
      <c r="J14" s="49">
        <f>'Avg Week Kinawataka-Kireka'!J14+'Avg Week Kireka-Kinwataka'!J14</f>
        <v>6.5714285714285712</v>
      </c>
      <c r="K14" s="49">
        <f>'Avg Week Kinawataka-Kireka'!K14+'Avg Week Kireka-Kinwataka'!K14</f>
        <v>3.1428571428571428</v>
      </c>
      <c r="L14" s="49">
        <f>'Avg Week Kinawataka-Kireka'!L14+'Avg Week Kireka-Kinwataka'!L14</f>
        <v>2.8571428571428572</v>
      </c>
      <c r="M14" s="49">
        <f>'Avg Week Kinawataka-Kireka'!M14+'Avg Week Kireka-Kinwataka'!M14</f>
        <v>261.14285714285711</v>
      </c>
      <c r="N14" s="49">
        <f>'Avg Week Kinawataka-Kireka'!N14+'Avg Week Kireka-Kinwataka'!N14</f>
        <v>0</v>
      </c>
      <c r="O14" s="15">
        <f t="shared" si="0"/>
        <v>171</v>
      </c>
      <c r="P14" s="15">
        <f t="shared" si="1"/>
        <v>432.14285714285711</v>
      </c>
      <c r="R14" s="1" t="s">
        <v>10</v>
      </c>
      <c r="S14" s="17">
        <f t="shared" ref="S14:AF14" si="6">SUM(C26:C29)</f>
        <v>315.14285714285711</v>
      </c>
      <c r="T14" s="17">
        <f t="shared" si="6"/>
        <v>119.14285714285714</v>
      </c>
      <c r="U14" s="17">
        <f t="shared" si="6"/>
        <v>57.857142857142861</v>
      </c>
      <c r="V14" s="17">
        <f t="shared" si="6"/>
        <v>128</v>
      </c>
      <c r="W14" s="17">
        <f t="shared" si="6"/>
        <v>9.1428571428571423</v>
      </c>
      <c r="X14" s="17">
        <f t="shared" si="6"/>
        <v>1.1428571428571428</v>
      </c>
      <c r="Y14" s="17">
        <f t="shared" si="6"/>
        <v>59</v>
      </c>
      <c r="Z14" s="17">
        <f t="shared" si="6"/>
        <v>49.857142857142861</v>
      </c>
      <c r="AA14" s="17">
        <f t="shared" si="6"/>
        <v>39.142857142857146</v>
      </c>
      <c r="AB14" s="17">
        <f t="shared" si="6"/>
        <v>27.857142857142858</v>
      </c>
      <c r="AC14" s="17">
        <f t="shared" si="6"/>
        <v>855.57142857142867</v>
      </c>
      <c r="AD14" s="17">
        <f t="shared" si="6"/>
        <v>0.42857142857142855</v>
      </c>
      <c r="AE14" s="31">
        <f t="shared" si="6"/>
        <v>806.71428571428578</v>
      </c>
      <c r="AF14" s="31">
        <f t="shared" si="6"/>
        <v>1662.2857142857142</v>
      </c>
    </row>
    <row r="15" spans="2:32" ht="23.1" customHeight="1" x14ac:dyDescent="0.25">
      <c r="B15" s="23" t="s">
        <v>42</v>
      </c>
      <c r="C15" s="49">
        <f>'Avg Week Kinawataka-Kireka'!C15+'Avg Week Kireka-Kinwataka'!C15</f>
        <v>75.428571428571431</v>
      </c>
      <c r="D15" s="49">
        <f>'Avg Week Kinawataka-Kireka'!D15+'Avg Week Kireka-Kinwataka'!D15</f>
        <v>32.714285714285715</v>
      </c>
      <c r="E15" s="49">
        <f>'Avg Week Kinawataka-Kireka'!E15+'Avg Week Kireka-Kinwataka'!E15</f>
        <v>11.285714285714285</v>
      </c>
      <c r="F15" s="49">
        <f>'Avg Week Kinawataka-Kireka'!F15+'Avg Week Kireka-Kinwataka'!F15</f>
        <v>37</v>
      </c>
      <c r="G15" s="49">
        <f>'Avg Week Kinawataka-Kireka'!G15+'Avg Week Kireka-Kinwataka'!G15</f>
        <v>2.8571428571428568</v>
      </c>
      <c r="H15" s="49">
        <f>'Avg Week Kinawataka-Kireka'!H15+'Avg Week Kireka-Kinwataka'!H15</f>
        <v>0.7142857142857143</v>
      </c>
      <c r="I15" s="49">
        <f>'Avg Week Kinawataka-Kireka'!I15+'Avg Week Kireka-Kinwataka'!I15</f>
        <v>10</v>
      </c>
      <c r="J15" s="49">
        <f>'Avg Week Kinawataka-Kireka'!J15+'Avg Week Kireka-Kinwataka'!J15</f>
        <v>5.7142857142857144</v>
      </c>
      <c r="K15" s="49">
        <f>'Avg Week Kinawataka-Kireka'!K15+'Avg Week Kireka-Kinwataka'!K15</f>
        <v>1.8571428571428572</v>
      </c>
      <c r="L15" s="49">
        <f>'Avg Week Kinawataka-Kireka'!L15+'Avg Week Kireka-Kinwataka'!L15</f>
        <v>2.5714285714285712</v>
      </c>
      <c r="M15" s="49">
        <f>'Avg Week Kinawataka-Kireka'!M15+'Avg Week Kireka-Kinwataka'!M15</f>
        <v>278.85714285714289</v>
      </c>
      <c r="N15" s="49">
        <f>'Avg Week Kinawataka-Kireka'!N15+'Avg Week Kireka-Kinwataka'!N15</f>
        <v>0</v>
      </c>
      <c r="O15" s="15">
        <f t="shared" si="0"/>
        <v>180.14285714285717</v>
      </c>
      <c r="P15" s="15">
        <f t="shared" si="1"/>
        <v>459.00000000000006</v>
      </c>
      <c r="R15" s="1" t="s">
        <v>11</v>
      </c>
      <c r="S15" s="17">
        <f t="shared" ref="S15:AF15" si="7">SUM(C30:C33)</f>
        <v>302.71428571428567</v>
      </c>
      <c r="T15" s="17">
        <f t="shared" si="7"/>
        <v>103.57142857142856</v>
      </c>
      <c r="U15" s="17">
        <f t="shared" si="7"/>
        <v>48.857142857142861</v>
      </c>
      <c r="V15" s="17">
        <f t="shared" si="7"/>
        <v>111.71428571428572</v>
      </c>
      <c r="W15" s="17">
        <f t="shared" si="7"/>
        <v>8.8571428571428577</v>
      </c>
      <c r="X15" s="17">
        <f t="shared" si="7"/>
        <v>1.2857142857142856</v>
      </c>
      <c r="Y15" s="17">
        <f t="shared" si="7"/>
        <v>59.285714285714292</v>
      </c>
      <c r="Z15" s="17">
        <f t="shared" si="7"/>
        <v>48.714285714285715</v>
      </c>
      <c r="AA15" s="17">
        <f t="shared" si="7"/>
        <v>24.428571428571431</v>
      </c>
      <c r="AB15" s="17">
        <f t="shared" si="7"/>
        <v>29.571428571428573</v>
      </c>
      <c r="AC15" s="17">
        <f t="shared" si="7"/>
        <v>838</v>
      </c>
      <c r="AD15" s="17">
        <f t="shared" si="7"/>
        <v>0.2857142857142857</v>
      </c>
      <c r="AE15" s="31">
        <f t="shared" si="7"/>
        <v>739.28571428571422</v>
      </c>
      <c r="AF15" s="31">
        <f t="shared" si="7"/>
        <v>1577.2857142857142</v>
      </c>
    </row>
    <row r="16" spans="2:32" ht="23.1" customHeight="1" x14ac:dyDescent="0.25">
      <c r="B16" s="23" t="s">
        <v>43</v>
      </c>
      <c r="C16" s="49">
        <f>'Avg Week Kinawataka-Kireka'!C16+'Avg Week Kireka-Kinwataka'!C16</f>
        <v>72.428571428571431</v>
      </c>
      <c r="D16" s="49">
        <f>'Avg Week Kinawataka-Kireka'!D16+'Avg Week Kireka-Kinwataka'!D16</f>
        <v>35.142857142857146</v>
      </c>
      <c r="E16" s="49">
        <f>'Avg Week Kinawataka-Kireka'!E16+'Avg Week Kireka-Kinwataka'!E16</f>
        <v>11.285714285714285</v>
      </c>
      <c r="F16" s="49">
        <f>'Avg Week Kinawataka-Kireka'!F16+'Avg Week Kireka-Kinwataka'!F16</f>
        <v>39.428571428571431</v>
      </c>
      <c r="G16" s="49">
        <f>'Avg Week Kinawataka-Kireka'!G16+'Avg Week Kireka-Kinwataka'!G16</f>
        <v>3.4285714285714284</v>
      </c>
      <c r="H16" s="49">
        <f>'Avg Week Kinawataka-Kireka'!H16+'Avg Week Kireka-Kinwataka'!H16</f>
        <v>0.5714285714285714</v>
      </c>
      <c r="I16" s="49">
        <f>'Avg Week Kinawataka-Kireka'!I16+'Avg Week Kireka-Kinwataka'!I16</f>
        <v>8.8571428571428577</v>
      </c>
      <c r="J16" s="49">
        <f>'Avg Week Kinawataka-Kireka'!J16+'Avg Week Kireka-Kinwataka'!J16</f>
        <v>7.7142857142857144</v>
      </c>
      <c r="K16" s="49">
        <f>'Avg Week Kinawataka-Kireka'!K16+'Avg Week Kireka-Kinwataka'!K16</f>
        <v>2.4285714285714288</v>
      </c>
      <c r="L16" s="49">
        <f>'Avg Week Kinawataka-Kireka'!L16+'Avg Week Kireka-Kinwataka'!L16</f>
        <v>3.7142857142857144</v>
      </c>
      <c r="M16" s="49">
        <f>'Avg Week Kinawataka-Kireka'!M16+'Avg Week Kireka-Kinwataka'!M16</f>
        <v>275</v>
      </c>
      <c r="N16" s="49">
        <f>'Avg Week Kinawataka-Kireka'!N16+'Avg Week Kireka-Kinwataka'!N16</f>
        <v>0</v>
      </c>
      <c r="O16" s="15">
        <f t="shared" si="0"/>
        <v>185</v>
      </c>
      <c r="P16" s="15">
        <f t="shared" si="1"/>
        <v>460</v>
      </c>
      <c r="R16" s="1" t="s">
        <v>12</v>
      </c>
      <c r="S16" s="17">
        <f t="shared" ref="S16:AF16" si="8">SUM(C34:C37)</f>
        <v>298.57142857142856</v>
      </c>
      <c r="T16" s="17">
        <f t="shared" si="8"/>
        <v>95.142857142857139</v>
      </c>
      <c r="U16" s="17">
        <f t="shared" si="8"/>
        <v>52.142857142857139</v>
      </c>
      <c r="V16" s="17">
        <f t="shared" si="8"/>
        <v>99.714285714285722</v>
      </c>
      <c r="W16" s="17">
        <f t="shared" si="8"/>
        <v>8.8571428571428577</v>
      </c>
      <c r="X16" s="17">
        <f t="shared" si="8"/>
        <v>1.1428571428571428</v>
      </c>
      <c r="Y16" s="17">
        <f t="shared" si="8"/>
        <v>58.142857142857146</v>
      </c>
      <c r="Z16" s="17">
        <f t="shared" si="8"/>
        <v>44.857142857142854</v>
      </c>
      <c r="AA16" s="17">
        <f t="shared" si="8"/>
        <v>27.285714285714285</v>
      </c>
      <c r="AB16" s="17">
        <f t="shared" si="8"/>
        <v>33.285714285714292</v>
      </c>
      <c r="AC16" s="17">
        <f t="shared" si="8"/>
        <v>724.85714285714289</v>
      </c>
      <c r="AD16" s="17">
        <f t="shared" si="8"/>
        <v>0.42857142857142855</v>
      </c>
      <c r="AE16" s="31">
        <f t="shared" si="8"/>
        <v>719.57142857142844</v>
      </c>
      <c r="AF16" s="31">
        <f t="shared" si="8"/>
        <v>1444.4285714285716</v>
      </c>
    </row>
    <row r="17" spans="2:32" ht="23.1" customHeight="1" x14ac:dyDescent="0.25">
      <c r="B17" s="23" t="s">
        <v>44</v>
      </c>
      <c r="C17" s="49">
        <f>'Avg Week Kinawataka-Kireka'!C17+'Avg Week Kireka-Kinwataka'!C17</f>
        <v>72.428571428571431</v>
      </c>
      <c r="D17" s="49">
        <f>'Avg Week Kinawataka-Kireka'!D17+'Avg Week Kireka-Kinwataka'!D17</f>
        <v>38.857142857142854</v>
      </c>
      <c r="E17" s="49">
        <f>'Avg Week Kinawataka-Kireka'!E17+'Avg Week Kireka-Kinwataka'!E17</f>
        <v>15</v>
      </c>
      <c r="F17" s="49">
        <f>'Avg Week Kinawataka-Kireka'!F17+'Avg Week Kireka-Kinwataka'!F17</f>
        <v>39.428571428571431</v>
      </c>
      <c r="G17" s="49">
        <f>'Avg Week Kinawataka-Kireka'!G17+'Avg Week Kireka-Kinwataka'!G17</f>
        <v>3.7142857142857144</v>
      </c>
      <c r="H17" s="49">
        <f>'Avg Week Kinawataka-Kireka'!H17+'Avg Week Kireka-Kinwataka'!H17</f>
        <v>0.5714285714285714</v>
      </c>
      <c r="I17" s="49">
        <f>'Avg Week Kinawataka-Kireka'!I17+'Avg Week Kireka-Kinwataka'!I17</f>
        <v>7.8571428571428577</v>
      </c>
      <c r="J17" s="49">
        <f>'Avg Week Kinawataka-Kireka'!J17+'Avg Week Kireka-Kinwataka'!J17</f>
        <v>6.5714285714285721</v>
      </c>
      <c r="K17" s="49">
        <f>'Avg Week Kinawataka-Kireka'!K17+'Avg Week Kireka-Kinwataka'!K17</f>
        <v>4.4285714285714288</v>
      </c>
      <c r="L17" s="49">
        <f>'Avg Week Kinawataka-Kireka'!L17+'Avg Week Kireka-Kinwataka'!L17</f>
        <v>3.5714285714285712</v>
      </c>
      <c r="M17" s="49">
        <f>'Avg Week Kinawataka-Kireka'!M17+'Avg Week Kireka-Kinwataka'!M17</f>
        <v>249.42857142857144</v>
      </c>
      <c r="N17" s="49">
        <f>'Avg Week Kinawataka-Kireka'!N17+'Avg Week Kireka-Kinwataka'!N17</f>
        <v>0</v>
      </c>
      <c r="O17" s="15">
        <f t="shared" si="0"/>
        <v>192.42857142857147</v>
      </c>
      <c r="P17" s="15">
        <f t="shared" si="1"/>
        <v>441.85714285714289</v>
      </c>
      <c r="R17" s="1" t="s">
        <v>13</v>
      </c>
      <c r="S17" s="17">
        <f t="shared" ref="S17:AF17" si="9">SUM(C38:C41)</f>
        <v>327.28571428571428</v>
      </c>
      <c r="T17" s="17">
        <f t="shared" si="9"/>
        <v>101.99999999999999</v>
      </c>
      <c r="U17" s="17">
        <f t="shared" si="9"/>
        <v>58</v>
      </c>
      <c r="V17" s="17">
        <f t="shared" si="9"/>
        <v>108</v>
      </c>
      <c r="W17" s="17">
        <f t="shared" si="9"/>
        <v>9.7142857142857153</v>
      </c>
      <c r="X17" s="17">
        <f t="shared" si="9"/>
        <v>0.8571428571428571</v>
      </c>
      <c r="Y17" s="17">
        <f t="shared" si="9"/>
        <v>58.285714285714292</v>
      </c>
      <c r="Z17" s="17">
        <f t="shared" si="9"/>
        <v>49.428571428571423</v>
      </c>
      <c r="AA17" s="17">
        <f t="shared" si="9"/>
        <v>19.857142857142858</v>
      </c>
      <c r="AB17" s="17">
        <f t="shared" si="9"/>
        <v>28.999999999999996</v>
      </c>
      <c r="AC17" s="17">
        <f t="shared" si="9"/>
        <v>768</v>
      </c>
      <c r="AD17" s="17">
        <f t="shared" si="9"/>
        <v>0</v>
      </c>
      <c r="AE17" s="31">
        <f t="shared" si="9"/>
        <v>762.42857142857144</v>
      </c>
      <c r="AF17" s="31">
        <f t="shared" si="9"/>
        <v>1530.4285714285716</v>
      </c>
    </row>
    <row r="18" spans="2:32" ht="23.1" customHeight="1" x14ac:dyDescent="0.25">
      <c r="B18" s="23" t="s">
        <v>45</v>
      </c>
      <c r="C18" s="49">
        <f>'Avg Week Kinawataka-Kireka'!C18+'Avg Week Kireka-Kinwataka'!C18</f>
        <v>65.142857142857139</v>
      </c>
      <c r="D18" s="49">
        <f>'Avg Week Kinawataka-Kireka'!D18+'Avg Week Kireka-Kinwataka'!D18</f>
        <v>32.857142857142854</v>
      </c>
      <c r="E18" s="49">
        <f>'Avg Week Kinawataka-Kireka'!E18+'Avg Week Kireka-Kinwataka'!E18</f>
        <v>13.142857142857142</v>
      </c>
      <c r="F18" s="49">
        <f>'Avg Week Kinawataka-Kireka'!F18+'Avg Week Kireka-Kinwataka'!F18</f>
        <v>37.571428571428569</v>
      </c>
      <c r="G18" s="49">
        <f>'Avg Week Kinawataka-Kireka'!G18+'Avg Week Kireka-Kinwataka'!G18</f>
        <v>8.5714285714285712</v>
      </c>
      <c r="H18" s="49">
        <f>'Avg Week Kinawataka-Kireka'!H18+'Avg Week Kireka-Kinwataka'!H18</f>
        <v>0.42857142857142855</v>
      </c>
      <c r="I18" s="49">
        <f>'Avg Week Kinawataka-Kireka'!I18+'Avg Week Kireka-Kinwataka'!I18</f>
        <v>9.7142857142857153</v>
      </c>
      <c r="J18" s="49">
        <f>'Avg Week Kinawataka-Kireka'!J18+'Avg Week Kireka-Kinwataka'!J18</f>
        <v>9.5714285714285712</v>
      </c>
      <c r="K18" s="49">
        <f>'Avg Week Kinawataka-Kireka'!K18+'Avg Week Kireka-Kinwataka'!K18</f>
        <v>2.2857142857142856</v>
      </c>
      <c r="L18" s="49">
        <f>'Avg Week Kinawataka-Kireka'!L18+'Avg Week Kireka-Kinwataka'!L18</f>
        <v>4</v>
      </c>
      <c r="M18" s="49">
        <f>'Avg Week Kinawataka-Kireka'!M18+'Avg Week Kireka-Kinwataka'!M18</f>
        <v>246.42857142857144</v>
      </c>
      <c r="N18" s="49">
        <f>'Avg Week Kinawataka-Kireka'!N18+'Avg Week Kireka-Kinwataka'!N18</f>
        <v>0.14285714285714285</v>
      </c>
      <c r="O18" s="15">
        <f t="shared" si="0"/>
        <v>183.42857142857144</v>
      </c>
      <c r="P18" s="15">
        <f t="shared" si="1"/>
        <v>429.85714285714295</v>
      </c>
      <c r="R18" s="1" t="s">
        <v>14</v>
      </c>
      <c r="S18" s="17">
        <f t="shared" ref="S18:AF18" si="10">SUM(C42:C45)</f>
        <v>373.57142857142856</v>
      </c>
      <c r="T18" s="17">
        <f t="shared" si="10"/>
        <v>124.71428571428571</v>
      </c>
      <c r="U18" s="17">
        <f t="shared" si="10"/>
        <v>65.571428571428569</v>
      </c>
      <c r="V18" s="17">
        <f t="shared" si="10"/>
        <v>123.57142857142857</v>
      </c>
      <c r="W18" s="17">
        <f t="shared" si="10"/>
        <v>7.7142857142857153</v>
      </c>
      <c r="X18" s="17">
        <f t="shared" si="10"/>
        <v>1.2857142857142856</v>
      </c>
      <c r="Y18" s="17">
        <f t="shared" si="10"/>
        <v>64.428571428571431</v>
      </c>
      <c r="Z18" s="17">
        <f t="shared" si="10"/>
        <v>51.285714285714292</v>
      </c>
      <c r="AA18" s="17">
        <f t="shared" si="10"/>
        <v>18.857142857142854</v>
      </c>
      <c r="AB18" s="17">
        <f t="shared" si="10"/>
        <v>32</v>
      </c>
      <c r="AC18" s="17">
        <f t="shared" si="10"/>
        <v>778.28571428571422</v>
      </c>
      <c r="AD18" s="17">
        <f t="shared" si="10"/>
        <v>0.14285714285714285</v>
      </c>
      <c r="AE18" s="31">
        <f t="shared" si="10"/>
        <v>863.14285714285722</v>
      </c>
      <c r="AF18" s="31">
        <f t="shared" si="10"/>
        <v>1641.4285714285716</v>
      </c>
    </row>
    <row r="19" spans="2:32" ht="23.1" customHeight="1" x14ac:dyDescent="0.25">
      <c r="B19" s="23" t="s">
        <v>46</v>
      </c>
      <c r="C19" s="49">
        <f>'Avg Week Kinawataka-Kireka'!C19+'Avg Week Kireka-Kinwataka'!C19</f>
        <v>72</v>
      </c>
      <c r="D19" s="49">
        <f>'Avg Week Kinawataka-Kireka'!D19+'Avg Week Kireka-Kinwataka'!D19</f>
        <v>26.571428571428569</v>
      </c>
      <c r="E19" s="49">
        <f>'Avg Week Kinawataka-Kireka'!E19+'Avg Week Kireka-Kinwataka'!E19</f>
        <v>10.714285714285715</v>
      </c>
      <c r="F19" s="49">
        <f>'Avg Week Kinawataka-Kireka'!F19+'Avg Week Kireka-Kinwataka'!F19</f>
        <v>36.142857142857139</v>
      </c>
      <c r="G19" s="49">
        <f>'Avg Week Kinawataka-Kireka'!G19+'Avg Week Kireka-Kinwataka'!G19</f>
        <v>2.4285714285714288</v>
      </c>
      <c r="H19" s="49">
        <f>'Avg Week Kinawataka-Kireka'!H19+'Avg Week Kireka-Kinwataka'!H19</f>
        <v>0.8571428571428571</v>
      </c>
      <c r="I19" s="49">
        <f>'Avg Week Kinawataka-Kireka'!I19+'Avg Week Kireka-Kinwataka'!I19</f>
        <v>9</v>
      </c>
      <c r="J19" s="49">
        <f>'Avg Week Kinawataka-Kireka'!J19+'Avg Week Kireka-Kinwataka'!J19</f>
        <v>8.2857142857142847</v>
      </c>
      <c r="K19" s="49">
        <f>'Avg Week Kinawataka-Kireka'!K19+'Avg Week Kireka-Kinwataka'!K19</f>
        <v>4.8571428571428568</v>
      </c>
      <c r="L19" s="49">
        <f>'Avg Week Kinawataka-Kireka'!L19+'Avg Week Kireka-Kinwataka'!L19</f>
        <v>5</v>
      </c>
      <c r="M19" s="49">
        <f>'Avg Week Kinawataka-Kireka'!M19+'Avg Week Kireka-Kinwataka'!M19</f>
        <v>223.28571428571428</v>
      </c>
      <c r="N19" s="49">
        <f>'Avg Week Kinawataka-Kireka'!N19+'Avg Week Kireka-Kinwataka'!N19</f>
        <v>0.14285714285714285</v>
      </c>
      <c r="O19" s="15">
        <f t="shared" si="0"/>
        <v>175.99999999999997</v>
      </c>
      <c r="P19" s="15">
        <f t="shared" si="1"/>
        <v>399.28571428571428</v>
      </c>
      <c r="R19" s="1" t="s">
        <v>15</v>
      </c>
      <c r="S19" s="17">
        <f t="shared" ref="S19:AF19" si="11">SUM(C46:C49)</f>
        <v>423.85714285714289</v>
      </c>
      <c r="T19" s="17">
        <f t="shared" si="11"/>
        <v>116.14285714285714</v>
      </c>
      <c r="U19" s="17">
        <f t="shared" si="11"/>
        <v>69.142857142857139</v>
      </c>
      <c r="V19" s="17">
        <f t="shared" si="11"/>
        <v>121.57142857142857</v>
      </c>
      <c r="W19" s="17">
        <f t="shared" si="11"/>
        <v>10.428571428571429</v>
      </c>
      <c r="X19" s="17">
        <f t="shared" si="11"/>
        <v>0.42857142857142855</v>
      </c>
      <c r="Y19" s="17">
        <f t="shared" si="11"/>
        <v>60.428571428571431</v>
      </c>
      <c r="Z19" s="17">
        <f t="shared" si="11"/>
        <v>56.142857142857139</v>
      </c>
      <c r="AA19" s="17">
        <f t="shared" si="11"/>
        <v>24.285714285714285</v>
      </c>
      <c r="AB19" s="17">
        <f t="shared" si="11"/>
        <v>27</v>
      </c>
      <c r="AC19" s="17">
        <f t="shared" si="11"/>
        <v>787</v>
      </c>
      <c r="AD19" s="17">
        <f t="shared" si="11"/>
        <v>0.42857142857142855</v>
      </c>
      <c r="AE19" s="31">
        <f t="shared" si="11"/>
        <v>909.85714285714278</v>
      </c>
      <c r="AF19" s="31">
        <f t="shared" si="11"/>
        <v>1696.8571428571427</v>
      </c>
    </row>
    <row r="20" spans="2:32" ht="23.1" customHeight="1" x14ac:dyDescent="0.25">
      <c r="B20" s="23" t="s">
        <v>47</v>
      </c>
      <c r="C20" s="49">
        <f>'Avg Week Kinawataka-Kireka'!C20+'Avg Week Kireka-Kinwataka'!C20</f>
        <v>55.428571428571431</v>
      </c>
      <c r="D20" s="49">
        <f>'Avg Week Kinawataka-Kireka'!D20+'Avg Week Kireka-Kinwataka'!D20</f>
        <v>35.428571428571431</v>
      </c>
      <c r="E20" s="49">
        <f>'Avg Week Kinawataka-Kireka'!E20+'Avg Week Kireka-Kinwataka'!E20</f>
        <v>13</v>
      </c>
      <c r="F20" s="49">
        <f>'Avg Week Kinawataka-Kireka'!F20+'Avg Week Kireka-Kinwataka'!F20</f>
        <v>35</v>
      </c>
      <c r="G20" s="49">
        <f>'Avg Week Kinawataka-Kireka'!G20+'Avg Week Kireka-Kinwataka'!G20</f>
        <v>2.4285714285714288</v>
      </c>
      <c r="H20" s="49">
        <f>'Avg Week Kinawataka-Kireka'!H20+'Avg Week Kireka-Kinwataka'!H20</f>
        <v>1</v>
      </c>
      <c r="I20" s="49">
        <f>'Avg Week Kinawataka-Kireka'!I20+'Avg Week Kireka-Kinwataka'!I20</f>
        <v>9.2857142857142847</v>
      </c>
      <c r="J20" s="49">
        <f>'Avg Week Kinawataka-Kireka'!J20+'Avg Week Kireka-Kinwataka'!J20</f>
        <v>8</v>
      </c>
      <c r="K20" s="49">
        <f>'Avg Week Kinawataka-Kireka'!K20+'Avg Week Kireka-Kinwataka'!K20</f>
        <v>4.4285714285714288</v>
      </c>
      <c r="L20" s="49">
        <f>'Avg Week Kinawataka-Kireka'!L20+'Avg Week Kireka-Kinwataka'!L20</f>
        <v>5.1428571428571423</v>
      </c>
      <c r="M20" s="49">
        <f>'Avg Week Kinawataka-Kireka'!M20+'Avg Week Kireka-Kinwataka'!M20</f>
        <v>240.42857142857144</v>
      </c>
      <c r="N20" s="49">
        <f>'Avg Week Kinawataka-Kireka'!N20+'Avg Week Kireka-Kinwataka'!N20</f>
        <v>0</v>
      </c>
      <c r="O20" s="15">
        <f t="shared" si="0"/>
        <v>169.14285714285711</v>
      </c>
      <c r="P20" s="15">
        <f t="shared" si="1"/>
        <v>409.57142857142856</v>
      </c>
      <c r="R20" s="1" t="s">
        <v>16</v>
      </c>
      <c r="S20" s="17">
        <f t="shared" ref="S20:AF20" si="12">SUM(C50:C53)</f>
        <v>427.14285714285711</v>
      </c>
      <c r="T20" s="17">
        <f t="shared" si="12"/>
        <v>130.85714285714286</v>
      </c>
      <c r="U20" s="17">
        <f t="shared" si="12"/>
        <v>81.142857142857139</v>
      </c>
      <c r="V20" s="17">
        <f t="shared" si="12"/>
        <v>142.42857142857142</v>
      </c>
      <c r="W20" s="17">
        <f t="shared" si="12"/>
        <v>16.857142857142858</v>
      </c>
      <c r="X20" s="17">
        <f t="shared" si="12"/>
        <v>1.5714285714285712</v>
      </c>
      <c r="Y20" s="17">
        <f t="shared" si="12"/>
        <v>47.714285714285708</v>
      </c>
      <c r="Z20" s="17">
        <f t="shared" si="12"/>
        <v>46.428571428571423</v>
      </c>
      <c r="AA20" s="17">
        <f t="shared" si="12"/>
        <v>16.571428571428569</v>
      </c>
      <c r="AB20" s="17">
        <f t="shared" si="12"/>
        <v>27.142857142857142</v>
      </c>
      <c r="AC20" s="17">
        <f t="shared" si="12"/>
        <v>795.85714285714289</v>
      </c>
      <c r="AD20" s="17">
        <f t="shared" si="12"/>
        <v>0.2857142857142857</v>
      </c>
      <c r="AE20" s="31">
        <f t="shared" si="12"/>
        <v>938.14285714285711</v>
      </c>
      <c r="AF20" s="31">
        <f t="shared" si="12"/>
        <v>1734</v>
      </c>
    </row>
    <row r="21" spans="2:32" ht="23.1" customHeight="1" x14ac:dyDescent="0.25">
      <c r="B21" s="23" t="s">
        <v>48</v>
      </c>
      <c r="C21" s="49">
        <f>'Avg Week Kinawataka-Kireka'!C21+'Avg Week Kireka-Kinwataka'!C21</f>
        <v>69.428571428571431</v>
      </c>
      <c r="D21" s="49">
        <f>'Avg Week Kinawataka-Kireka'!D21+'Avg Week Kireka-Kinwataka'!D21</f>
        <v>30.571428571428569</v>
      </c>
      <c r="E21" s="49">
        <f>'Avg Week Kinawataka-Kireka'!E21+'Avg Week Kireka-Kinwataka'!E21</f>
        <v>16.857142857142858</v>
      </c>
      <c r="F21" s="49">
        <f>'Avg Week Kinawataka-Kireka'!F21+'Avg Week Kireka-Kinwataka'!F21</f>
        <v>38.571428571428569</v>
      </c>
      <c r="G21" s="49">
        <f>'Avg Week Kinawataka-Kireka'!G21+'Avg Week Kireka-Kinwataka'!G21</f>
        <v>5</v>
      </c>
      <c r="H21" s="49">
        <f>'Avg Week Kinawataka-Kireka'!H21+'Avg Week Kireka-Kinwataka'!H21</f>
        <v>0.2857142857142857</v>
      </c>
      <c r="I21" s="49">
        <f>'Avg Week Kinawataka-Kireka'!I21+'Avg Week Kireka-Kinwataka'!I21</f>
        <v>10.714285714285715</v>
      </c>
      <c r="J21" s="49">
        <f>'Avg Week Kinawataka-Kireka'!J21+'Avg Week Kireka-Kinwataka'!J21</f>
        <v>9.2857142857142847</v>
      </c>
      <c r="K21" s="49">
        <f>'Avg Week Kinawataka-Kireka'!K21+'Avg Week Kireka-Kinwataka'!K21</f>
        <v>5.2857142857142856</v>
      </c>
      <c r="L21" s="49">
        <f>'Avg Week Kinawataka-Kireka'!L21+'Avg Week Kireka-Kinwataka'!L21</f>
        <v>4.4285714285714288</v>
      </c>
      <c r="M21" s="49">
        <f>'Avg Week Kinawataka-Kireka'!M21+'Avg Week Kireka-Kinwataka'!M21</f>
        <v>242</v>
      </c>
      <c r="N21" s="49">
        <f>'Avg Week Kinawataka-Kireka'!N21+'Avg Week Kireka-Kinwataka'!N21</f>
        <v>0</v>
      </c>
      <c r="O21" s="15">
        <f t="shared" si="0"/>
        <v>190.42857142857142</v>
      </c>
      <c r="P21" s="15">
        <f t="shared" si="1"/>
        <v>432.42857142857144</v>
      </c>
      <c r="R21" s="36" t="s">
        <v>20</v>
      </c>
      <c r="S21" s="34">
        <f t="shared" ref="S21:AF21" si="13">SUM(C54:C57)</f>
        <v>418.42857142857144</v>
      </c>
      <c r="T21" s="17">
        <f t="shared" si="13"/>
        <v>124.14285714285714</v>
      </c>
      <c r="U21" s="17">
        <f t="shared" si="13"/>
        <v>74</v>
      </c>
      <c r="V21" s="17">
        <f t="shared" si="13"/>
        <v>155.57142857142858</v>
      </c>
      <c r="W21" s="17">
        <f t="shared" si="13"/>
        <v>13.571428571428569</v>
      </c>
      <c r="X21" s="17">
        <f t="shared" si="13"/>
        <v>1.4285714285714284</v>
      </c>
      <c r="Y21" s="17">
        <f t="shared" si="13"/>
        <v>52.428571428571431</v>
      </c>
      <c r="Z21" s="17">
        <f t="shared" si="13"/>
        <v>43.857142857142854</v>
      </c>
      <c r="AA21" s="17">
        <f t="shared" si="13"/>
        <v>16.857142857142858</v>
      </c>
      <c r="AB21" s="17">
        <f t="shared" si="13"/>
        <v>21.142857142857142</v>
      </c>
      <c r="AC21" s="17">
        <f t="shared" si="13"/>
        <v>991.00000000000011</v>
      </c>
      <c r="AD21" s="17">
        <f t="shared" si="13"/>
        <v>0.14285714285714285</v>
      </c>
      <c r="AE21" s="31">
        <f t="shared" si="13"/>
        <v>921.57142857142856</v>
      </c>
      <c r="AF21" s="31">
        <f t="shared" si="13"/>
        <v>1912.5714285714284</v>
      </c>
    </row>
    <row r="22" spans="2:32" ht="23.1" customHeight="1" x14ac:dyDescent="0.25">
      <c r="B22" s="23" t="s">
        <v>49</v>
      </c>
      <c r="C22" s="49">
        <f>'Avg Week Kinawataka-Kireka'!C22+'Avg Week Kireka-Kinwataka'!C22</f>
        <v>83.142857142857139</v>
      </c>
      <c r="D22" s="49">
        <f>'Avg Week Kinawataka-Kireka'!D22+'Avg Week Kireka-Kinwataka'!D22</f>
        <v>36.285714285714285</v>
      </c>
      <c r="E22" s="49">
        <f>'Avg Week Kinawataka-Kireka'!E22+'Avg Week Kireka-Kinwataka'!E22</f>
        <v>13.714285714285714</v>
      </c>
      <c r="F22" s="49">
        <f>'Avg Week Kinawataka-Kireka'!F22+'Avg Week Kireka-Kinwataka'!F22</f>
        <v>36.142857142857139</v>
      </c>
      <c r="G22" s="49">
        <f>'Avg Week Kinawataka-Kireka'!G22+'Avg Week Kireka-Kinwataka'!G22</f>
        <v>2.4285714285714288</v>
      </c>
      <c r="H22" s="49">
        <f>'Avg Week Kinawataka-Kireka'!H22+'Avg Week Kireka-Kinwataka'!H22</f>
        <v>0.71428571428571419</v>
      </c>
      <c r="I22" s="49">
        <f>'Avg Week Kinawataka-Kireka'!I22+'Avg Week Kireka-Kinwataka'!I22</f>
        <v>13.428571428571429</v>
      </c>
      <c r="J22" s="49">
        <f>'Avg Week Kinawataka-Kireka'!J22+'Avg Week Kireka-Kinwataka'!J22</f>
        <v>14.428571428571431</v>
      </c>
      <c r="K22" s="49">
        <f>'Avg Week Kinawataka-Kireka'!K22+'Avg Week Kireka-Kinwataka'!K22</f>
        <v>5.1428571428571432</v>
      </c>
      <c r="L22" s="49">
        <f>'Avg Week Kinawataka-Kireka'!L22+'Avg Week Kireka-Kinwataka'!L22</f>
        <v>6.4285714285714288</v>
      </c>
      <c r="M22" s="49">
        <f>'Avg Week Kinawataka-Kireka'!M22+'Avg Week Kireka-Kinwataka'!M22</f>
        <v>227.85714285714286</v>
      </c>
      <c r="N22" s="49">
        <f>'Avg Week Kinawataka-Kireka'!N22+'Avg Week Kireka-Kinwataka'!N22</f>
        <v>0</v>
      </c>
      <c r="O22" s="15">
        <f t="shared" si="0"/>
        <v>211.85714285714283</v>
      </c>
      <c r="P22" s="15">
        <f t="shared" si="1"/>
        <v>439.71428571428567</v>
      </c>
      <c r="R22" s="1" t="s">
        <v>146</v>
      </c>
      <c r="S22" s="34">
        <f>SUM(C58:C61)</f>
        <v>413</v>
      </c>
      <c r="T22" s="34">
        <f t="shared" ref="T22:AF22" si="14">SUM(D58:D61)</f>
        <v>63</v>
      </c>
      <c r="U22" s="34">
        <f t="shared" si="14"/>
        <v>58</v>
      </c>
      <c r="V22" s="34">
        <f t="shared" si="14"/>
        <v>125.5</v>
      </c>
      <c r="W22" s="34">
        <f t="shared" si="14"/>
        <v>18.5</v>
      </c>
      <c r="X22" s="34">
        <f t="shared" si="14"/>
        <v>1.5</v>
      </c>
      <c r="Y22" s="34">
        <f t="shared" si="14"/>
        <v>36.5</v>
      </c>
      <c r="Z22" s="34">
        <f t="shared" si="14"/>
        <v>23</v>
      </c>
      <c r="AA22" s="34">
        <f t="shared" si="14"/>
        <v>9.5</v>
      </c>
      <c r="AB22" s="34">
        <f t="shared" si="14"/>
        <v>11</v>
      </c>
      <c r="AC22" s="34">
        <f t="shared" si="14"/>
        <v>1330.5</v>
      </c>
      <c r="AD22" s="34">
        <f t="shared" si="14"/>
        <v>0</v>
      </c>
      <c r="AE22" s="31">
        <f t="shared" si="14"/>
        <v>759.5</v>
      </c>
      <c r="AF22" s="31">
        <f t="shared" si="14"/>
        <v>2090</v>
      </c>
    </row>
    <row r="23" spans="2:32" ht="23.1" customHeight="1" x14ac:dyDescent="0.25">
      <c r="B23" s="23" t="s">
        <v>50</v>
      </c>
      <c r="C23" s="49">
        <f>'Avg Week Kinawataka-Kireka'!C23+'Avg Week Kireka-Kinwataka'!C23</f>
        <v>72.571428571428569</v>
      </c>
      <c r="D23" s="49">
        <f>'Avg Week Kinawataka-Kireka'!D23+'Avg Week Kireka-Kinwataka'!D23</f>
        <v>38.857142857142854</v>
      </c>
      <c r="E23" s="49">
        <f>'Avg Week Kinawataka-Kireka'!E23+'Avg Week Kireka-Kinwataka'!E23</f>
        <v>14.142857142857142</v>
      </c>
      <c r="F23" s="49">
        <f>'Avg Week Kinawataka-Kireka'!F23+'Avg Week Kireka-Kinwataka'!F23</f>
        <v>44.285714285714285</v>
      </c>
      <c r="G23" s="49">
        <f>'Avg Week Kinawataka-Kireka'!G23+'Avg Week Kireka-Kinwataka'!G23</f>
        <v>3.1428571428571428</v>
      </c>
      <c r="H23" s="49">
        <f>'Avg Week Kinawataka-Kireka'!H23+'Avg Week Kireka-Kinwataka'!H23</f>
        <v>0.7142857142857143</v>
      </c>
      <c r="I23" s="49">
        <f>'Avg Week Kinawataka-Kireka'!I23+'Avg Week Kireka-Kinwataka'!I23</f>
        <v>12.571428571428571</v>
      </c>
      <c r="J23" s="49">
        <f>'Avg Week Kinawataka-Kireka'!J23+'Avg Week Kireka-Kinwataka'!J23</f>
        <v>12.714285714285715</v>
      </c>
      <c r="K23" s="49">
        <f>'Avg Week Kinawataka-Kireka'!K23+'Avg Week Kireka-Kinwataka'!K23</f>
        <v>4.1428571428571423</v>
      </c>
      <c r="L23" s="49">
        <f>'Avg Week Kinawataka-Kireka'!L23+'Avg Week Kireka-Kinwataka'!L23</f>
        <v>7.2857142857142865</v>
      </c>
      <c r="M23" s="49">
        <f>'Avg Week Kinawataka-Kireka'!M23+'Avg Week Kireka-Kinwataka'!M23</f>
        <v>233.85714285714286</v>
      </c>
      <c r="N23" s="49">
        <f>'Avg Week Kinawataka-Kireka'!N23+'Avg Week Kireka-Kinwataka'!N23</f>
        <v>0</v>
      </c>
      <c r="O23" s="15">
        <f t="shared" si="0"/>
        <v>210.42857142857142</v>
      </c>
      <c r="P23" s="15">
        <f t="shared" si="1"/>
        <v>444.28571428571428</v>
      </c>
      <c r="R23" s="1" t="s">
        <v>147</v>
      </c>
      <c r="S23" s="34">
        <f>SUM(C62:C65)</f>
        <v>436</v>
      </c>
      <c r="T23" s="34">
        <f t="shared" ref="T23:AF23" si="15">SUM(D62:D65)</f>
        <v>52.5</v>
      </c>
      <c r="U23" s="34">
        <f t="shared" si="15"/>
        <v>45.5</v>
      </c>
      <c r="V23" s="34">
        <f t="shared" si="15"/>
        <v>128</v>
      </c>
      <c r="W23" s="34">
        <f t="shared" si="15"/>
        <v>19</v>
      </c>
      <c r="X23" s="34">
        <f t="shared" si="15"/>
        <v>1.5</v>
      </c>
      <c r="Y23" s="34">
        <f t="shared" si="15"/>
        <v>28.5</v>
      </c>
      <c r="Z23" s="34">
        <f t="shared" si="15"/>
        <v>17</v>
      </c>
      <c r="AA23" s="34">
        <f t="shared" si="15"/>
        <v>4</v>
      </c>
      <c r="AB23" s="34">
        <f t="shared" si="15"/>
        <v>6.5</v>
      </c>
      <c r="AC23" s="34">
        <f t="shared" si="15"/>
        <v>1471.5</v>
      </c>
      <c r="AD23" s="34">
        <f t="shared" si="15"/>
        <v>0</v>
      </c>
      <c r="AE23" s="31">
        <f t="shared" si="15"/>
        <v>738.5</v>
      </c>
      <c r="AF23" s="31">
        <f t="shared" si="15"/>
        <v>2210</v>
      </c>
    </row>
    <row r="24" spans="2:32" ht="23.1" customHeight="1" x14ac:dyDescent="0.25">
      <c r="B24" s="23" t="s">
        <v>51</v>
      </c>
      <c r="C24" s="49">
        <f>'Avg Week Kinawataka-Kireka'!C24+'Avg Week Kireka-Kinwataka'!C24</f>
        <v>95.142857142857139</v>
      </c>
      <c r="D24" s="49">
        <f>'Avg Week Kinawataka-Kireka'!D24+'Avg Week Kireka-Kinwataka'!D24</f>
        <v>30</v>
      </c>
      <c r="E24" s="49">
        <f>'Avg Week Kinawataka-Kireka'!E24+'Avg Week Kireka-Kinwataka'!E24</f>
        <v>15.571428571428571</v>
      </c>
      <c r="F24" s="49">
        <f>'Avg Week Kinawataka-Kireka'!F24+'Avg Week Kireka-Kinwataka'!F24</f>
        <v>34.142857142857139</v>
      </c>
      <c r="G24" s="49">
        <f>'Avg Week Kinawataka-Kireka'!G24+'Avg Week Kireka-Kinwataka'!G24</f>
        <v>4.2857142857142856</v>
      </c>
      <c r="H24" s="49">
        <f>'Avg Week Kinawataka-Kireka'!H24+'Avg Week Kireka-Kinwataka'!H24</f>
        <v>0.85714285714285721</v>
      </c>
      <c r="I24" s="49">
        <f>'Avg Week Kinawataka-Kireka'!I24+'Avg Week Kireka-Kinwataka'!I24</f>
        <v>17.428571428571431</v>
      </c>
      <c r="J24" s="49">
        <f>'Avg Week Kinawataka-Kireka'!J24+'Avg Week Kireka-Kinwataka'!J24</f>
        <v>11.857142857142858</v>
      </c>
      <c r="K24" s="49">
        <f>'Avg Week Kinawataka-Kireka'!K24+'Avg Week Kireka-Kinwataka'!K24</f>
        <v>5.4285714285714288</v>
      </c>
      <c r="L24" s="49">
        <f>'Avg Week Kinawataka-Kireka'!L24+'Avg Week Kireka-Kinwataka'!L24</f>
        <v>9.8571428571428577</v>
      </c>
      <c r="M24" s="49">
        <f>'Avg Week Kinawataka-Kireka'!M24+'Avg Week Kireka-Kinwataka'!M24</f>
        <v>259.42857142857144</v>
      </c>
      <c r="N24" s="49">
        <f>'Avg Week Kinawataka-Kireka'!N24+'Avg Week Kireka-Kinwataka'!N24</f>
        <v>0</v>
      </c>
      <c r="O24" s="15">
        <f t="shared" si="0"/>
        <v>224.57142857142858</v>
      </c>
      <c r="P24" s="15">
        <f t="shared" si="1"/>
        <v>484</v>
      </c>
      <c r="R24" s="1" t="s">
        <v>148</v>
      </c>
      <c r="S24" s="34">
        <f>SUM(C66:C69)</f>
        <v>451.5</v>
      </c>
      <c r="T24" s="34">
        <f t="shared" ref="T24:AF24" si="16">SUM(D66:D69)</f>
        <v>66.5</v>
      </c>
      <c r="U24" s="34">
        <f t="shared" si="16"/>
        <v>51</v>
      </c>
      <c r="V24" s="34">
        <f t="shared" si="16"/>
        <v>132</v>
      </c>
      <c r="W24" s="34">
        <f t="shared" si="16"/>
        <v>16.5</v>
      </c>
      <c r="X24" s="34">
        <f t="shared" si="16"/>
        <v>0.5</v>
      </c>
      <c r="Y24" s="34">
        <f t="shared" si="16"/>
        <v>36</v>
      </c>
      <c r="Z24" s="34">
        <f t="shared" si="16"/>
        <v>14</v>
      </c>
      <c r="AA24" s="34">
        <f t="shared" si="16"/>
        <v>5.5</v>
      </c>
      <c r="AB24" s="34">
        <f t="shared" si="16"/>
        <v>8.5</v>
      </c>
      <c r="AC24" s="34">
        <f t="shared" si="16"/>
        <v>1187.5</v>
      </c>
      <c r="AD24" s="34">
        <f t="shared" si="16"/>
        <v>0</v>
      </c>
      <c r="AE24" s="31">
        <f t="shared" si="16"/>
        <v>782</v>
      </c>
      <c r="AF24" s="31">
        <f t="shared" si="16"/>
        <v>1969.5</v>
      </c>
    </row>
    <row r="25" spans="2:32" ht="23.1" customHeight="1" x14ac:dyDescent="0.25">
      <c r="B25" s="23" t="s">
        <v>52</v>
      </c>
      <c r="C25" s="49">
        <f>'Avg Week Kinawataka-Kireka'!C25+'Avg Week Kireka-Kinwataka'!C25</f>
        <v>83.571428571428569</v>
      </c>
      <c r="D25" s="49">
        <f>'Avg Week Kinawataka-Kireka'!D25+'Avg Week Kireka-Kinwataka'!D25</f>
        <v>32.857142857142854</v>
      </c>
      <c r="E25" s="49">
        <f>'Avg Week Kinawataka-Kireka'!E25+'Avg Week Kireka-Kinwataka'!E25</f>
        <v>14.857142857142858</v>
      </c>
      <c r="F25" s="49">
        <f>'Avg Week Kinawataka-Kireka'!F25+'Avg Week Kireka-Kinwataka'!F25</f>
        <v>36.857142857142861</v>
      </c>
      <c r="G25" s="49">
        <f>'Avg Week Kinawataka-Kireka'!G25+'Avg Week Kireka-Kinwataka'!G25</f>
        <v>3.1428571428571428</v>
      </c>
      <c r="H25" s="49">
        <f>'Avg Week Kinawataka-Kireka'!H25+'Avg Week Kireka-Kinwataka'!H25</f>
        <v>0.5714285714285714</v>
      </c>
      <c r="I25" s="49">
        <f>'Avg Week Kinawataka-Kireka'!I25+'Avg Week Kireka-Kinwataka'!I25</f>
        <v>12.857142857142858</v>
      </c>
      <c r="J25" s="49">
        <f>'Avg Week Kinawataka-Kireka'!J25+'Avg Week Kireka-Kinwataka'!J25</f>
        <v>10</v>
      </c>
      <c r="K25" s="49">
        <f>'Avg Week Kinawataka-Kireka'!K25+'Avg Week Kireka-Kinwataka'!K25</f>
        <v>6.1428571428571423</v>
      </c>
      <c r="L25" s="49">
        <f>'Avg Week Kinawataka-Kireka'!L25+'Avg Week Kireka-Kinwataka'!L25</f>
        <v>7.8571428571428577</v>
      </c>
      <c r="M25" s="49">
        <f>'Avg Week Kinawataka-Kireka'!M25+'Avg Week Kireka-Kinwataka'!M25</f>
        <v>238.57142857142856</v>
      </c>
      <c r="N25" s="49">
        <f>'Avg Week Kinawataka-Kireka'!N25+'Avg Week Kireka-Kinwataka'!N25</f>
        <v>0.14285714285714285</v>
      </c>
      <c r="O25" s="15">
        <f t="shared" si="0"/>
        <v>208.85714285714286</v>
      </c>
      <c r="P25" s="15">
        <f t="shared" si="1"/>
        <v>447.42857142857144</v>
      </c>
      <c r="R25" s="1" t="s">
        <v>149</v>
      </c>
      <c r="S25" s="34">
        <f>SUM(C70:C73)</f>
        <v>463.5</v>
      </c>
      <c r="T25" s="34">
        <f t="shared" ref="T25:AF25" si="17">SUM(D70:D73)</f>
        <v>44.5</v>
      </c>
      <c r="U25" s="34">
        <f t="shared" si="17"/>
        <v>42</v>
      </c>
      <c r="V25" s="34">
        <f t="shared" si="17"/>
        <v>94.5</v>
      </c>
      <c r="W25" s="34">
        <f t="shared" si="17"/>
        <v>11</v>
      </c>
      <c r="X25" s="34">
        <f t="shared" si="17"/>
        <v>0.5</v>
      </c>
      <c r="Y25" s="34">
        <f t="shared" si="17"/>
        <v>20.5</v>
      </c>
      <c r="Z25" s="34">
        <f t="shared" si="17"/>
        <v>13</v>
      </c>
      <c r="AA25" s="34">
        <f t="shared" si="17"/>
        <v>6.5</v>
      </c>
      <c r="AB25" s="34">
        <f t="shared" si="17"/>
        <v>4</v>
      </c>
      <c r="AC25" s="34">
        <f t="shared" si="17"/>
        <v>1116.5</v>
      </c>
      <c r="AD25" s="34">
        <f t="shared" si="17"/>
        <v>0</v>
      </c>
      <c r="AE25" s="31">
        <f t="shared" si="17"/>
        <v>700</v>
      </c>
      <c r="AF25" s="31">
        <f t="shared" si="17"/>
        <v>1816.5</v>
      </c>
    </row>
    <row r="26" spans="2:32" ht="23.1" customHeight="1" x14ac:dyDescent="0.25">
      <c r="B26" s="23" t="s">
        <v>53</v>
      </c>
      <c r="C26" s="49">
        <f>'Avg Week Kinawataka-Kireka'!C26+'Avg Week Kireka-Kinwataka'!C26</f>
        <v>75.428571428571431</v>
      </c>
      <c r="D26" s="49">
        <f>'Avg Week Kinawataka-Kireka'!D26+'Avg Week Kireka-Kinwataka'!D26</f>
        <v>25.857142857142858</v>
      </c>
      <c r="E26" s="49">
        <f>'Avg Week Kinawataka-Kireka'!E26+'Avg Week Kireka-Kinwataka'!E26</f>
        <v>10.714285714285715</v>
      </c>
      <c r="F26" s="49">
        <f>'Avg Week Kinawataka-Kireka'!F26+'Avg Week Kireka-Kinwataka'!F26</f>
        <v>34</v>
      </c>
      <c r="G26" s="49">
        <f>'Avg Week Kinawataka-Kireka'!G26+'Avg Week Kireka-Kinwataka'!G26</f>
        <v>2.1428571428571428</v>
      </c>
      <c r="H26" s="49">
        <f>'Avg Week Kinawataka-Kireka'!H26+'Avg Week Kireka-Kinwataka'!H26</f>
        <v>0.14285714285714285</v>
      </c>
      <c r="I26" s="49">
        <f>'Avg Week Kinawataka-Kireka'!I26+'Avg Week Kireka-Kinwataka'!I26</f>
        <v>13.857142857142858</v>
      </c>
      <c r="J26" s="49">
        <f>'Avg Week Kinawataka-Kireka'!J26+'Avg Week Kireka-Kinwataka'!J26</f>
        <v>12.285714285714285</v>
      </c>
      <c r="K26" s="49">
        <f>'Avg Week Kinawataka-Kireka'!K26+'Avg Week Kireka-Kinwataka'!K26</f>
        <v>10.142857142857142</v>
      </c>
      <c r="L26" s="49">
        <f>'Avg Week Kinawataka-Kireka'!L26+'Avg Week Kireka-Kinwataka'!L26</f>
        <v>5.1428571428571423</v>
      </c>
      <c r="M26" s="49">
        <f>'Avg Week Kinawataka-Kireka'!M26+'Avg Week Kireka-Kinwataka'!M26</f>
        <v>202</v>
      </c>
      <c r="N26" s="49">
        <f>'Avg Week Kinawataka-Kireka'!N26+'Avg Week Kireka-Kinwataka'!N26</f>
        <v>0.2857142857142857</v>
      </c>
      <c r="O26" s="15">
        <f t="shared" si="0"/>
        <v>189.99999999999997</v>
      </c>
      <c r="P26" s="15">
        <f t="shared" si="1"/>
        <v>391.99999999999994</v>
      </c>
      <c r="R26" s="1" t="s">
        <v>150</v>
      </c>
      <c r="S26" s="34">
        <f>SUM(C74:C77)</f>
        <v>273</v>
      </c>
      <c r="T26" s="34">
        <f t="shared" ref="T26:AF26" si="18">SUM(D74:D77)</f>
        <v>31</v>
      </c>
      <c r="U26" s="34">
        <f t="shared" si="18"/>
        <v>26</v>
      </c>
      <c r="V26" s="34">
        <f t="shared" si="18"/>
        <v>43</v>
      </c>
      <c r="W26" s="34">
        <f t="shared" si="18"/>
        <v>2.5</v>
      </c>
      <c r="X26" s="34">
        <f t="shared" si="18"/>
        <v>0.5</v>
      </c>
      <c r="Y26" s="34">
        <f t="shared" si="18"/>
        <v>15.5</v>
      </c>
      <c r="Z26" s="34">
        <f t="shared" si="18"/>
        <v>10</v>
      </c>
      <c r="AA26" s="34">
        <f t="shared" si="18"/>
        <v>1.5</v>
      </c>
      <c r="AB26" s="34">
        <f t="shared" si="18"/>
        <v>0.5</v>
      </c>
      <c r="AC26" s="34">
        <f t="shared" si="18"/>
        <v>744</v>
      </c>
      <c r="AD26" s="34">
        <f t="shared" si="18"/>
        <v>0.5</v>
      </c>
      <c r="AE26" s="31">
        <f t="shared" si="18"/>
        <v>404</v>
      </c>
      <c r="AF26" s="31">
        <f t="shared" si="18"/>
        <v>1148</v>
      </c>
    </row>
    <row r="27" spans="2:32" ht="23.1" customHeight="1" x14ac:dyDescent="0.25">
      <c r="B27" s="23" t="s">
        <v>54</v>
      </c>
      <c r="C27" s="49">
        <f>'Avg Week Kinawataka-Kireka'!C27+'Avg Week Kireka-Kinwataka'!C27</f>
        <v>74.142857142857139</v>
      </c>
      <c r="D27" s="49">
        <f>'Avg Week Kinawataka-Kireka'!D27+'Avg Week Kireka-Kinwataka'!D27</f>
        <v>31.428571428571431</v>
      </c>
      <c r="E27" s="49">
        <f>'Avg Week Kinawataka-Kireka'!E27+'Avg Week Kireka-Kinwataka'!E27</f>
        <v>17.714285714285715</v>
      </c>
      <c r="F27" s="49">
        <f>'Avg Week Kinawataka-Kireka'!F27+'Avg Week Kireka-Kinwataka'!F27</f>
        <v>32.428571428571431</v>
      </c>
      <c r="G27" s="49">
        <f>'Avg Week Kinawataka-Kireka'!G27+'Avg Week Kireka-Kinwataka'!G27</f>
        <v>1.4285714285714286</v>
      </c>
      <c r="H27" s="49">
        <f>'Avg Week Kinawataka-Kireka'!H27+'Avg Week Kireka-Kinwataka'!H27</f>
        <v>0.2857142857142857</v>
      </c>
      <c r="I27" s="49">
        <f>'Avg Week Kinawataka-Kireka'!I27+'Avg Week Kireka-Kinwataka'!I27</f>
        <v>14</v>
      </c>
      <c r="J27" s="49">
        <f>'Avg Week Kinawataka-Kireka'!J27+'Avg Week Kireka-Kinwataka'!J27</f>
        <v>11</v>
      </c>
      <c r="K27" s="49">
        <f>'Avg Week Kinawataka-Kireka'!K27+'Avg Week Kireka-Kinwataka'!K27</f>
        <v>17.142857142857142</v>
      </c>
      <c r="L27" s="49">
        <f>'Avg Week Kinawataka-Kireka'!L27+'Avg Week Kireka-Kinwataka'!L27</f>
        <v>8</v>
      </c>
      <c r="M27" s="49">
        <f>'Avg Week Kinawataka-Kireka'!M27+'Avg Week Kireka-Kinwataka'!M27</f>
        <v>224.42857142857144</v>
      </c>
      <c r="N27" s="49">
        <f>'Avg Week Kinawataka-Kireka'!N27+'Avg Week Kireka-Kinwataka'!N27</f>
        <v>0</v>
      </c>
      <c r="O27" s="15">
        <f t="shared" si="0"/>
        <v>207.57142857142856</v>
      </c>
      <c r="P27" s="15">
        <f t="shared" si="1"/>
        <v>432</v>
      </c>
      <c r="R27" s="1" t="s">
        <v>151</v>
      </c>
      <c r="S27" s="34">
        <f>SUM(C78:C81)</f>
        <v>121</v>
      </c>
      <c r="T27" s="34">
        <f t="shared" ref="T27:AF27" si="19">SUM(D78:D81)</f>
        <v>15</v>
      </c>
      <c r="U27" s="34">
        <f t="shared" si="19"/>
        <v>13.5</v>
      </c>
      <c r="V27" s="34">
        <f t="shared" si="19"/>
        <v>24.5</v>
      </c>
      <c r="W27" s="34">
        <f t="shared" si="19"/>
        <v>1</v>
      </c>
      <c r="X27" s="34">
        <f t="shared" si="19"/>
        <v>0.5</v>
      </c>
      <c r="Y27" s="34">
        <f t="shared" si="19"/>
        <v>9.5</v>
      </c>
      <c r="Z27" s="34">
        <f t="shared" si="19"/>
        <v>4</v>
      </c>
      <c r="AA27" s="34">
        <f t="shared" si="19"/>
        <v>1.5</v>
      </c>
      <c r="AB27" s="34">
        <f t="shared" si="19"/>
        <v>3</v>
      </c>
      <c r="AC27" s="34">
        <f t="shared" si="19"/>
        <v>379.5</v>
      </c>
      <c r="AD27" s="34">
        <f t="shared" si="19"/>
        <v>0</v>
      </c>
      <c r="AE27" s="31">
        <f t="shared" si="19"/>
        <v>193.5</v>
      </c>
      <c r="AF27" s="31">
        <f t="shared" si="19"/>
        <v>573</v>
      </c>
    </row>
    <row r="28" spans="2:32" ht="23.1" customHeight="1" x14ac:dyDescent="0.25">
      <c r="B28" s="23" t="s">
        <v>55</v>
      </c>
      <c r="C28" s="49">
        <f>'Avg Week Kinawataka-Kireka'!C28+'Avg Week Kireka-Kinwataka'!C28</f>
        <v>89.285714285714292</v>
      </c>
      <c r="D28" s="49">
        <f>'Avg Week Kinawataka-Kireka'!D28+'Avg Week Kireka-Kinwataka'!D28</f>
        <v>28</v>
      </c>
      <c r="E28" s="49">
        <f>'Avg Week Kinawataka-Kireka'!E28+'Avg Week Kireka-Kinwataka'!E28</f>
        <v>14.571428571428573</v>
      </c>
      <c r="F28" s="49">
        <f>'Avg Week Kinawataka-Kireka'!F28+'Avg Week Kireka-Kinwataka'!F28</f>
        <v>31</v>
      </c>
      <c r="G28" s="49">
        <f>'Avg Week Kinawataka-Kireka'!G28+'Avg Week Kireka-Kinwataka'!G28</f>
        <v>2.8571428571428572</v>
      </c>
      <c r="H28" s="49">
        <f>'Avg Week Kinawataka-Kireka'!H28+'Avg Week Kireka-Kinwataka'!H28</f>
        <v>0.2857142857142857</v>
      </c>
      <c r="I28" s="49">
        <f>'Avg Week Kinawataka-Kireka'!I28+'Avg Week Kireka-Kinwataka'!I28</f>
        <v>15.714285714285715</v>
      </c>
      <c r="J28" s="49">
        <f>'Avg Week Kinawataka-Kireka'!J28+'Avg Week Kireka-Kinwataka'!J28</f>
        <v>11.142857142857142</v>
      </c>
      <c r="K28" s="49">
        <f>'Avg Week Kinawataka-Kireka'!K28+'Avg Week Kireka-Kinwataka'!K28</f>
        <v>6.4285714285714279</v>
      </c>
      <c r="L28" s="49">
        <f>'Avg Week Kinawataka-Kireka'!L28+'Avg Week Kireka-Kinwataka'!L28</f>
        <v>6</v>
      </c>
      <c r="M28" s="49">
        <f>'Avg Week Kinawataka-Kireka'!M28+'Avg Week Kireka-Kinwataka'!M28</f>
        <v>226.85714285714286</v>
      </c>
      <c r="N28" s="49">
        <f>'Avg Week Kinawataka-Kireka'!N28+'Avg Week Kireka-Kinwataka'!N28</f>
        <v>0.14285714285714285</v>
      </c>
      <c r="O28" s="15">
        <f t="shared" si="0"/>
        <v>205.42857142857142</v>
      </c>
      <c r="P28" s="15">
        <f t="shared" si="1"/>
        <v>432.28571428571428</v>
      </c>
      <c r="R28" s="1" t="s">
        <v>152</v>
      </c>
      <c r="S28" s="34">
        <f>SUM(C82:C85)</f>
        <v>117.5</v>
      </c>
      <c r="T28" s="34">
        <f t="shared" ref="T28:AF28" si="20">SUM(D82:D85)</f>
        <v>7</v>
      </c>
      <c r="U28" s="34">
        <f t="shared" si="20"/>
        <v>9</v>
      </c>
      <c r="V28" s="34">
        <f t="shared" si="20"/>
        <v>13.5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5</v>
      </c>
      <c r="AA28" s="34">
        <f t="shared" si="20"/>
        <v>2</v>
      </c>
      <c r="AB28" s="34">
        <f t="shared" si="20"/>
        <v>2.5</v>
      </c>
      <c r="AC28" s="34">
        <f t="shared" si="20"/>
        <v>258</v>
      </c>
      <c r="AD28" s="34">
        <f t="shared" si="20"/>
        <v>0</v>
      </c>
      <c r="AE28" s="31">
        <f t="shared" si="20"/>
        <v>159.5</v>
      </c>
      <c r="AF28" s="31">
        <f t="shared" si="20"/>
        <v>417.5</v>
      </c>
    </row>
    <row r="29" spans="2:32" ht="23.1" customHeight="1" x14ac:dyDescent="0.25">
      <c r="B29" s="23" t="s">
        <v>56</v>
      </c>
      <c r="C29" s="49">
        <f>'Avg Week Kinawataka-Kireka'!C29+'Avg Week Kireka-Kinwataka'!C29</f>
        <v>76.285714285714278</v>
      </c>
      <c r="D29" s="49">
        <f>'Avg Week Kinawataka-Kireka'!D29+'Avg Week Kireka-Kinwataka'!D29</f>
        <v>33.857142857142854</v>
      </c>
      <c r="E29" s="49">
        <f>'Avg Week Kinawataka-Kireka'!E29+'Avg Week Kireka-Kinwataka'!E29</f>
        <v>14.857142857142858</v>
      </c>
      <c r="F29" s="49">
        <f>'Avg Week Kinawataka-Kireka'!F29+'Avg Week Kireka-Kinwataka'!F29</f>
        <v>30.571428571428573</v>
      </c>
      <c r="G29" s="49">
        <f>'Avg Week Kinawataka-Kireka'!G29+'Avg Week Kireka-Kinwataka'!G29</f>
        <v>2.7142857142857144</v>
      </c>
      <c r="H29" s="49">
        <f>'Avg Week Kinawataka-Kireka'!H29+'Avg Week Kireka-Kinwataka'!H29</f>
        <v>0.42857142857142855</v>
      </c>
      <c r="I29" s="49">
        <f>'Avg Week Kinawataka-Kireka'!I29+'Avg Week Kireka-Kinwataka'!I29</f>
        <v>15.428571428571431</v>
      </c>
      <c r="J29" s="49">
        <f>'Avg Week Kinawataka-Kireka'!J29+'Avg Week Kireka-Kinwataka'!J29</f>
        <v>15.428571428571429</v>
      </c>
      <c r="K29" s="49">
        <f>'Avg Week Kinawataka-Kireka'!K29+'Avg Week Kireka-Kinwataka'!K29</f>
        <v>5.4285714285714288</v>
      </c>
      <c r="L29" s="49">
        <f>'Avg Week Kinawataka-Kireka'!L29+'Avg Week Kireka-Kinwataka'!L29</f>
        <v>8.7142857142857153</v>
      </c>
      <c r="M29" s="49">
        <f>'Avg Week Kinawataka-Kireka'!M29+'Avg Week Kireka-Kinwataka'!M29</f>
        <v>202.28571428571428</v>
      </c>
      <c r="N29" s="49">
        <f>'Avg Week Kinawataka-Kireka'!N29+'Avg Week Kireka-Kinwataka'!N29</f>
        <v>0</v>
      </c>
      <c r="O29" s="15">
        <f t="shared" si="0"/>
        <v>203.71428571428572</v>
      </c>
      <c r="P29" s="15">
        <f t="shared" si="1"/>
        <v>406</v>
      </c>
      <c r="R29" s="1" t="s">
        <v>153</v>
      </c>
      <c r="S29" s="34">
        <f>SUM(C86:C89)</f>
        <v>68</v>
      </c>
      <c r="T29" s="34">
        <f t="shared" ref="T29:AF29" si="21">SUM(D86:D89)</f>
        <v>8</v>
      </c>
      <c r="U29" s="34">
        <f t="shared" si="21"/>
        <v>2.5</v>
      </c>
      <c r="V29" s="34">
        <f t="shared" si="21"/>
        <v>18</v>
      </c>
      <c r="W29" s="34">
        <f t="shared" si="21"/>
        <v>1</v>
      </c>
      <c r="X29" s="34">
        <f t="shared" si="21"/>
        <v>0</v>
      </c>
      <c r="Y29" s="34">
        <f t="shared" si="21"/>
        <v>3</v>
      </c>
      <c r="Z29" s="34">
        <f t="shared" si="21"/>
        <v>5.5</v>
      </c>
      <c r="AA29" s="34">
        <f t="shared" si="21"/>
        <v>2</v>
      </c>
      <c r="AB29" s="34">
        <f t="shared" si="21"/>
        <v>5.5</v>
      </c>
      <c r="AC29" s="34">
        <f t="shared" si="21"/>
        <v>165.5</v>
      </c>
      <c r="AD29" s="34">
        <f t="shared" si="21"/>
        <v>0</v>
      </c>
      <c r="AE29" s="31">
        <f t="shared" si="21"/>
        <v>113.5</v>
      </c>
      <c r="AF29" s="31">
        <f t="shared" si="21"/>
        <v>279</v>
      </c>
    </row>
    <row r="30" spans="2:32" ht="23.1" customHeight="1" x14ac:dyDescent="0.25">
      <c r="B30" s="23" t="s">
        <v>57</v>
      </c>
      <c r="C30" s="49">
        <f>'Avg Week Kinawataka-Kireka'!C30+'Avg Week Kireka-Kinwataka'!C30</f>
        <v>70.857142857142861</v>
      </c>
      <c r="D30" s="49">
        <f>'Avg Week Kinawataka-Kireka'!D30+'Avg Week Kireka-Kinwataka'!D30</f>
        <v>24.142857142857142</v>
      </c>
      <c r="E30" s="49">
        <f>'Avg Week Kinawataka-Kireka'!E30+'Avg Week Kireka-Kinwataka'!E30</f>
        <v>11.857142857142858</v>
      </c>
      <c r="F30" s="49">
        <f>'Avg Week Kinawataka-Kireka'!F30+'Avg Week Kireka-Kinwataka'!F30</f>
        <v>27.142857142857146</v>
      </c>
      <c r="G30" s="49">
        <f>'Avg Week Kinawataka-Kireka'!G30+'Avg Week Kireka-Kinwataka'!G30</f>
        <v>2</v>
      </c>
      <c r="H30" s="49">
        <f>'Avg Week Kinawataka-Kireka'!H30+'Avg Week Kireka-Kinwataka'!H30</f>
        <v>0.42857142857142855</v>
      </c>
      <c r="I30" s="49">
        <f>'Avg Week Kinawataka-Kireka'!I30+'Avg Week Kireka-Kinwataka'!I30</f>
        <v>17.285714285714285</v>
      </c>
      <c r="J30" s="49">
        <f>'Avg Week Kinawataka-Kireka'!J30+'Avg Week Kireka-Kinwataka'!J30</f>
        <v>12.714285714285715</v>
      </c>
      <c r="K30" s="49">
        <f>'Avg Week Kinawataka-Kireka'!K30+'Avg Week Kireka-Kinwataka'!K30</f>
        <v>3.8571428571428572</v>
      </c>
      <c r="L30" s="49">
        <f>'Avg Week Kinawataka-Kireka'!L30+'Avg Week Kireka-Kinwataka'!L30</f>
        <v>5.7142857142857144</v>
      </c>
      <c r="M30" s="49">
        <f>'Avg Week Kinawataka-Kireka'!M30+'Avg Week Kireka-Kinwataka'!M30</f>
        <v>211.28571428571428</v>
      </c>
      <c r="N30" s="49">
        <f>'Avg Week Kinawataka-Kireka'!N30+'Avg Week Kireka-Kinwataka'!N30</f>
        <v>0.14285714285714285</v>
      </c>
      <c r="O30" s="15">
        <f t="shared" si="0"/>
        <v>176.14285714285714</v>
      </c>
      <c r="P30" s="15">
        <f t="shared" si="1"/>
        <v>387.42857142857144</v>
      </c>
      <c r="R30" s="1" t="s">
        <v>154</v>
      </c>
      <c r="S30" s="34">
        <f>SUM(C90:C93)</f>
        <v>53.5</v>
      </c>
      <c r="T30" s="34">
        <f t="shared" ref="T30:AF30" si="22">SUM(D90:D93)</f>
        <v>2</v>
      </c>
      <c r="U30" s="34">
        <f t="shared" si="22"/>
        <v>1.5</v>
      </c>
      <c r="V30" s="34">
        <f t="shared" si="22"/>
        <v>5</v>
      </c>
      <c r="W30" s="34">
        <f t="shared" si="22"/>
        <v>0</v>
      </c>
      <c r="X30" s="34">
        <f t="shared" si="22"/>
        <v>0</v>
      </c>
      <c r="Y30" s="34">
        <f t="shared" si="22"/>
        <v>4.5</v>
      </c>
      <c r="Z30" s="34">
        <f t="shared" si="22"/>
        <v>2.5</v>
      </c>
      <c r="AA30" s="34">
        <f t="shared" si="22"/>
        <v>0</v>
      </c>
      <c r="AB30" s="34">
        <f t="shared" si="22"/>
        <v>1.5</v>
      </c>
      <c r="AC30" s="34">
        <f t="shared" si="22"/>
        <v>126</v>
      </c>
      <c r="AD30" s="34">
        <f t="shared" si="22"/>
        <v>0</v>
      </c>
      <c r="AE30" s="31">
        <f t="shared" si="22"/>
        <v>70.5</v>
      </c>
      <c r="AF30" s="31">
        <f t="shared" si="22"/>
        <v>196.5</v>
      </c>
    </row>
    <row r="31" spans="2:32" ht="23.1" customHeight="1" x14ac:dyDescent="0.25">
      <c r="B31" s="24" t="s">
        <v>58</v>
      </c>
      <c r="C31" s="49">
        <f>'Avg Week Kinawataka-Kireka'!C31+'Avg Week Kireka-Kinwataka'!C31</f>
        <v>75.714285714285708</v>
      </c>
      <c r="D31" s="49">
        <f>'Avg Week Kinawataka-Kireka'!D31+'Avg Week Kireka-Kinwataka'!D31</f>
        <v>27</v>
      </c>
      <c r="E31" s="49">
        <f>'Avg Week Kinawataka-Kireka'!E31+'Avg Week Kireka-Kinwataka'!E31</f>
        <v>12</v>
      </c>
      <c r="F31" s="49">
        <f>'Avg Week Kinawataka-Kireka'!F31+'Avg Week Kireka-Kinwataka'!F31</f>
        <v>27.428571428571431</v>
      </c>
      <c r="G31" s="49">
        <f>'Avg Week Kinawataka-Kireka'!G31+'Avg Week Kireka-Kinwataka'!G31</f>
        <v>2.4285714285714288</v>
      </c>
      <c r="H31" s="49">
        <f>'Avg Week Kinawataka-Kireka'!H31+'Avg Week Kireka-Kinwataka'!H31</f>
        <v>0</v>
      </c>
      <c r="I31" s="49">
        <f>'Avg Week Kinawataka-Kireka'!I31+'Avg Week Kireka-Kinwataka'!I31</f>
        <v>12.714285714285715</v>
      </c>
      <c r="J31" s="49">
        <f>'Avg Week Kinawataka-Kireka'!J31+'Avg Week Kireka-Kinwataka'!J31</f>
        <v>13.428571428571429</v>
      </c>
      <c r="K31" s="49">
        <f>'Avg Week Kinawataka-Kireka'!K31+'Avg Week Kireka-Kinwataka'!K31</f>
        <v>6.7142857142857144</v>
      </c>
      <c r="L31" s="49">
        <f>'Avg Week Kinawataka-Kireka'!L31+'Avg Week Kireka-Kinwataka'!L31</f>
        <v>8.8571428571428577</v>
      </c>
      <c r="M31" s="49">
        <f>'Avg Week Kinawataka-Kireka'!M31+'Avg Week Kireka-Kinwataka'!M31</f>
        <v>201.71428571428572</v>
      </c>
      <c r="N31" s="49">
        <f>'Avg Week Kinawataka-Kireka'!N31+'Avg Week Kireka-Kinwataka'!N31</f>
        <v>0.14285714285714285</v>
      </c>
      <c r="O31" s="15">
        <f t="shared" si="0"/>
        <v>186.42857142857142</v>
      </c>
      <c r="P31" s="15">
        <f t="shared" si="1"/>
        <v>388.14285714285717</v>
      </c>
      <c r="R31" s="1" t="s">
        <v>155</v>
      </c>
      <c r="S31" s="34">
        <f>SUM(C94:C97)</f>
        <v>46</v>
      </c>
      <c r="T31" s="34">
        <f t="shared" ref="T31:AF31" si="23">SUM(D94:D97)</f>
        <v>2</v>
      </c>
      <c r="U31" s="34">
        <f t="shared" si="23"/>
        <v>3</v>
      </c>
      <c r="V31" s="34">
        <f t="shared" si="23"/>
        <v>13</v>
      </c>
      <c r="W31" s="34">
        <f t="shared" si="23"/>
        <v>0</v>
      </c>
      <c r="X31" s="34">
        <f t="shared" si="23"/>
        <v>0</v>
      </c>
      <c r="Y31" s="34">
        <f t="shared" si="23"/>
        <v>0.5</v>
      </c>
      <c r="Z31" s="34">
        <f t="shared" si="23"/>
        <v>3</v>
      </c>
      <c r="AA31" s="34">
        <f t="shared" si="23"/>
        <v>0.5</v>
      </c>
      <c r="AB31" s="34">
        <f t="shared" si="23"/>
        <v>0.5</v>
      </c>
      <c r="AC31" s="34">
        <f t="shared" si="23"/>
        <v>124.5</v>
      </c>
      <c r="AD31" s="34">
        <f t="shared" si="23"/>
        <v>0</v>
      </c>
      <c r="AE31" s="31">
        <f t="shared" si="23"/>
        <v>68.5</v>
      </c>
      <c r="AF31" s="31">
        <f t="shared" si="23"/>
        <v>193</v>
      </c>
    </row>
    <row r="32" spans="2:32" ht="23.1" customHeight="1" x14ac:dyDescent="0.25">
      <c r="B32" s="24" t="s">
        <v>59</v>
      </c>
      <c r="C32" s="49">
        <f>'Avg Week Kinawataka-Kireka'!C32+'Avg Week Kireka-Kinwataka'!C32</f>
        <v>74.857142857142861</v>
      </c>
      <c r="D32" s="49">
        <f>'Avg Week Kinawataka-Kireka'!D32+'Avg Week Kireka-Kinwataka'!D32</f>
        <v>31.142857142857142</v>
      </c>
      <c r="E32" s="49">
        <f>'Avg Week Kinawataka-Kireka'!E32+'Avg Week Kireka-Kinwataka'!E32</f>
        <v>13.571428571428571</v>
      </c>
      <c r="F32" s="49">
        <f>'Avg Week Kinawataka-Kireka'!F32+'Avg Week Kireka-Kinwataka'!F32</f>
        <v>29.857142857142854</v>
      </c>
      <c r="G32" s="49">
        <f>'Avg Week Kinawataka-Kireka'!G32+'Avg Week Kireka-Kinwataka'!G32</f>
        <v>2.2857142857142856</v>
      </c>
      <c r="H32" s="49">
        <f>'Avg Week Kinawataka-Kireka'!H32+'Avg Week Kireka-Kinwataka'!H32</f>
        <v>0.14285714285714285</v>
      </c>
      <c r="I32" s="49">
        <f>'Avg Week Kinawataka-Kireka'!I32+'Avg Week Kireka-Kinwataka'!I32</f>
        <v>15.428571428571427</v>
      </c>
      <c r="J32" s="49">
        <f>'Avg Week Kinawataka-Kireka'!J32+'Avg Week Kireka-Kinwataka'!J32</f>
        <v>12.285714285714285</v>
      </c>
      <c r="K32" s="49">
        <f>'Avg Week Kinawataka-Kireka'!K32+'Avg Week Kireka-Kinwataka'!K32</f>
        <v>6.2857142857142856</v>
      </c>
      <c r="L32" s="49">
        <f>'Avg Week Kinawataka-Kireka'!L32+'Avg Week Kireka-Kinwataka'!L32</f>
        <v>7.8571428571428577</v>
      </c>
      <c r="M32" s="49">
        <f>'Avg Week Kinawataka-Kireka'!M32+'Avg Week Kireka-Kinwataka'!M32</f>
        <v>209.57142857142856</v>
      </c>
      <c r="N32" s="49">
        <f>'Avg Week Kinawataka-Kireka'!N32+'Avg Week Kireka-Kinwataka'!N32</f>
        <v>0</v>
      </c>
      <c r="O32" s="15">
        <f t="shared" si="0"/>
        <v>193.71428571428567</v>
      </c>
      <c r="P32" s="15">
        <f t="shared" si="1"/>
        <v>403.28571428571422</v>
      </c>
      <c r="R32" s="1" t="s">
        <v>156</v>
      </c>
      <c r="S32" s="34">
        <f>SUM(C98:C101)</f>
        <v>57.5</v>
      </c>
      <c r="T32" s="34">
        <f t="shared" ref="T32:AF32" si="24">SUM(D98:D101)</f>
        <v>9.5</v>
      </c>
      <c r="U32" s="34">
        <f t="shared" si="24"/>
        <v>9.5</v>
      </c>
      <c r="V32" s="34">
        <f t="shared" si="24"/>
        <v>60.5</v>
      </c>
      <c r="W32" s="34">
        <f t="shared" si="24"/>
        <v>7</v>
      </c>
      <c r="X32" s="34">
        <f t="shared" si="24"/>
        <v>0</v>
      </c>
      <c r="Y32" s="34">
        <f t="shared" si="24"/>
        <v>7.5</v>
      </c>
      <c r="Z32" s="34">
        <f t="shared" si="24"/>
        <v>4</v>
      </c>
      <c r="AA32" s="34">
        <f t="shared" si="24"/>
        <v>0.5</v>
      </c>
      <c r="AB32" s="34">
        <f t="shared" si="24"/>
        <v>4.5</v>
      </c>
      <c r="AC32" s="34">
        <f t="shared" si="24"/>
        <v>234.5</v>
      </c>
      <c r="AD32" s="34">
        <f t="shared" si="24"/>
        <v>0</v>
      </c>
      <c r="AE32" s="31">
        <f t="shared" si="24"/>
        <v>160.5</v>
      </c>
      <c r="AF32" s="31">
        <f t="shared" si="24"/>
        <v>395</v>
      </c>
    </row>
    <row r="33" spans="2:32" ht="23.1" customHeight="1" x14ac:dyDescent="0.25">
      <c r="B33" s="23" t="s">
        <v>60</v>
      </c>
      <c r="C33" s="49">
        <f>'Avg Week Kinawataka-Kireka'!C33+'Avg Week Kireka-Kinwataka'!C33</f>
        <v>81.285714285714278</v>
      </c>
      <c r="D33" s="49">
        <f>'Avg Week Kinawataka-Kireka'!D33+'Avg Week Kireka-Kinwataka'!D33</f>
        <v>21.285714285714285</v>
      </c>
      <c r="E33" s="49">
        <f>'Avg Week Kinawataka-Kireka'!E33+'Avg Week Kireka-Kinwataka'!E33</f>
        <v>11.428571428571429</v>
      </c>
      <c r="F33" s="49">
        <f>'Avg Week Kinawataka-Kireka'!F33+'Avg Week Kireka-Kinwataka'!F33</f>
        <v>27.285714285714285</v>
      </c>
      <c r="G33" s="49">
        <f>'Avg Week Kinawataka-Kireka'!G33+'Avg Week Kireka-Kinwataka'!G33</f>
        <v>2.1428571428571428</v>
      </c>
      <c r="H33" s="49">
        <f>'Avg Week Kinawataka-Kireka'!H33+'Avg Week Kireka-Kinwataka'!H33</f>
        <v>0.71428571428571419</v>
      </c>
      <c r="I33" s="49">
        <f>'Avg Week Kinawataka-Kireka'!I33+'Avg Week Kireka-Kinwataka'!I33</f>
        <v>13.857142857142858</v>
      </c>
      <c r="J33" s="49">
        <f>'Avg Week Kinawataka-Kireka'!J33+'Avg Week Kireka-Kinwataka'!J33</f>
        <v>10.285714285714285</v>
      </c>
      <c r="K33" s="49">
        <f>'Avg Week Kinawataka-Kireka'!K33+'Avg Week Kireka-Kinwataka'!K33</f>
        <v>7.5714285714285712</v>
      </c>
      <c r="L33" s="49">
        <f>'Avg Week Kinawataka-Kireka'!L33+'Avg Week Kireka-Kinwataka'!L33</f>
        <v>7.1428571428571423</v>
      </c>
      <c r="M33" s="49">
        <f>'Avg Week Kinawataka-Kireka'!M33+'Avg Week Kireka-Kinwataka'!M33</f>
        <v>215.42857142857144</v>
      </c>
      <c r="N33" s="49">
        <f>'Avg Week Kinawataka-Kireka'!N33+'Avg Week Kireka-Kinwataka'!N33</f>
        <v>0</v>
      </c>
      <c r="O33" s="15">
        <f t="shared" si="0"/>
        <v>183</v>
      </c>
      <c r="P33" s="15">
        <f t="shared" si="1"/>
        <v>398.42857142857144</v>
      </c>
      <c r="R33" s="1" t="s">
        <v>157</v>
      </c>
      <c r="S33" s="34">
        <f>SUM(C102:C105)</f>
        <v>280</v>
      </c>
      <c r="T33" s="34">
        <f t="shared" ref="T33:AF33" si="25">SUM(D102:D105)</f>
        <v>52</v>
      </c>
      <c r="U33" s="34">
        <f t="shared" si="25"/>
        <v>45.5</v>
      </c>
      <c r="V33" s="34">
        <f t="shared" si="25"/>
        <v>123.5</v>
      </c>
      <c r="W33" s="34">
        <f t="shared" si="25"/>
        <v>13.5</v>
      </c>
      <c r="X33" s="34">
        <f t="shared" si="25"/>
        <v>1</v>
      </c>
      <c r="Y33" s="34">
        <f t="shared" si="25"/>
        <v>23</v>
      </c>
      <c r="Z33" s="34">
        <f t="shared" si="25"/>
        <v>15.5</v>
      </c>
      <c r="AA33" s="34">
        <f t="shared" si="25"/>
        <v>4</v>
      </c>
      <c r="AB33" s="34">
        <f t="shared" si="25"/>
        <v>7</v>
      </c>
      <c r="AC33" s="34">
        <f t="shared" si="25"/>
        <v>549.5</v>
      </c>
      <c r="AD33" s="34">
        <f t="shared" si="25"/>
        <v>0</v>
      </c>
      <c r="AE33" s="31">
        <f t="shared" si="25"/>
        <v>565</v>
      </c>
      <c r="AF33" s="31">
        <f t="shared" si="25"/>
        <v>1114.5</v>
      </c>
    </row>
    <row r="34" spans="2:32" ht="23.1" customHeight="1" x14ac:dyDescent="0.25">
      <c r="B34" s="24" t="s">
        <v>61</v>
      </c>
      <c r="C34" s="49">
        <f>'Avg Week Kinawataka-Kireka'!C34+'Avg Week Kireka-Kinwataka'!C34</f>
        <v>69.142857142857139</v>
      </c>
      <c r="D34" s="49">
        <f>'Avg Week Kinawataka-Kireka'!D34+'Avg Week Kireka-Kinwataka'!D34</f>
        <v>23.142857142857142</v>
      </c>
      <c r="E34" s="49">
        <f>'Avg Week Kinawataka-Kireka'!E34+'Avg Week Kireka-Kinwataka'!E34</f>
        <v>12.714285714285715</v>
      </c>
      <c r="F34" s="49">
        <f>'Avg Week Kinawataka-Kireka'!F34+'Avg Week Kireka-Kinwataka'!F34</f>
        <v>25.142857142857146</v>
      </c>
      <c r="G34" s="49">
        <f>'Avg Week Kinawataka-Kireka'!G34+'Avg Week Kireka-Kinwataka'!G34</f>
        <v>2.1428571428571428</v>
      </c>
      <c r="H34" s="49">
        <f>'Avg Week Kinawataka-Kireka'!H34+'Avg Week Kireka-Kinwataka'!H34</f>
        <v>0</v>
      </c>
      <c r="I34" s="49">
        <f>'Avg Week Kinawataka-Kireka'!I34+'Avg Week Kireka-Kinwataka'!I34</f>
        <v>16.142857142857142</v>
      </c>
      <c r="J34" s="49">
        <f>'Avg Week Kinawataka-Kireka'!J34+'Avg Week Kireka-Kinwataka'!J34</f>
        <v>9.4285714285714288</v>
      </c>
      <c r="K34" s="49">
        <f>'Avg Week Kinawataka-Kireka'!K34+'Avg Week Kireka-Kinwataka'!K34</f>
        <v>7.2857142857142856</v>
      </c>
      <c r="L34" s="49">
        <f>'Avg Week Kinawataka-Kireka'!L34+'Avg Week Kireka-Kinwataka'!L34</f>
        <v>8.1428571428571423</v>
      </c>
      <c r="M34" s="49">
        <f>'Avg Week Kinawataka-Kireka'!M34+'Avg Week Kireka-Kinwataka'!M34</f>
        <v>164.28571428571428</v>
      </c>
      <c r="N34" s="49">
        <f>'Avg Week Kinawataka-Kireka'!N34+'Avg Week Kireka-Kinwataka'!N34</f>
        <v>0</v>
      </c>
      <c r="O34" s="15">
        <f t="shared" si="0"/>
        <v>173.28571428571425</v>
      </c>
      <c r="P34" s="15">
        <f t="shared" si="1"/>
        <v>337.57142857142856</v>
      </c>
      <c r="R34" s="38" t="s">
        <v>90</v>
      </c>
      <c r="S34" s="39">
        <f t="shared" ref="S34:AF34" si="26">MAX(S10:S12)</f>
        <v>294.14285714285717</v>
      </c>
      <c r="T34" s="39">
        <f t="shared" si="26"/>
        <v>135.57142857142858</v>
      </c>
      <c r="U34" s="39">
        <f t="shared" si="26"/>
        <v>53.714285714285722</v>
      </c>
      <c r="V34" s="39">
        <f t="shared" si="26"/>
        <v>149.42857142857144</v>
      </c>
      <c r="W34" s="39">
        <f t="shared" si="26"/>
        <v>18.428571428571431</v>
      </c>
      <c r="X34" s="39">
        <f t="shared" si="26"/>
        <v>2.5714285714285712</v>
      </c>
      <c r="Y34" s="39">
        <f t="shared" si="26"/>
        <v>38.714285714285715</v>
      </c>
      <c r="Z34" s="39">
        <f t="shared" si="26"/>
        <v>35.142857142857139</v>
      </c>
      <c r="AA34" s="39">
        <f t="shared" si="26"/>
        <v>16.857142857142858</v>
      </c>
      <c r="AB34" s="39">
        <f t="shared" si="26"/>
        <v>18.571428571428569</v>
      </c>
      <c r="AC34" s="39">
        <f t="shared" si="26"/>
        <v>1064.4285714285716</v>
      </c>
      <c r="AD34" s="39">
        <f t="shared" si="26"/>
        <v>0.2857142857142857</v>
      </c>
      <c r="AE34" s="40">
        <f t="shared" si="26"/>
        <v>728.57142857142856</v>
      </c>
      <c r="AF34" s="40">
        <f t="shared" si="26"/>
        <v>1793</v>
      </c>
    </row>
    <row r="35" spans="2:32" ht="23.1" customHeight="1" x14ac:dyDescent="0.25">
      <c r="B35" s="24" t="s">
        <v>62</v>
      </c>
      <c r="C35" s="49">
        <f>'Avg Week Kinawataka-Kireka'!C35+'Avg Week Kireka-Kinwataka'!C35</f>
        <v>67.428571428571431</v>
      </c>
      <c r="D35" s="49">
        <f>'Avg Week Kinawataka-Kireka'!D35+'Avg Week Kireka-Kinwataka'!D35</f>
        <v>16.857142857142858</v>
      </c>
      <c r="E35" s="49">
        <f>'Avg Week Kinawataka-Kireka'!E35+'Avg Week Kireka-Kinwataka'!E35</f>
        <v>12.571428571428571</v>
      </c>
      <c r="F35" s="49">
        <f>'Avg Week Kinawataka-Kireka'!F35+'Avg Week Kireka-Kinwataka'!F35</f>
        <v>24.714285714285715</v>
      </c>
      <c r="G35" s="49">
        <f>'Avg Week Kinawataka-Kireka'!G35+'Avg Week Kireka-Kinwataka'!G35</f>
        <v>2</v>
      </c>
      <c r="H35" s="49">
        <f>'Avg Week Kinawataka-Kireka'!H35+'Avg Week Kireka-Kinwataka'!H35</f>
        <v>0.2857142857142857</v>
      </c>
      <c r="I35" s="49">
        <f>'Avg Week Kinawataka-Kireka'!I35+'Avg Week Kireka-Kinwataka'!I35</f>
        <v>11.857142857142858</v>
      </c>
      <c r="J35" s="49">
        <f>'Avg Week Kinawataka-Kireka'!J35+'Avg Week Kireka-Kinwataka'!J35</f>
        <v>11.142857142857142</v>
      </c>
      <c r="K35" s="49">
        <f>'Avg Week Kinawataka-Kireka'!K35+'Avg Week Kireka-Kinwataka'!K35</f>
        <v>5.1428571428571423</v>
      </c>
      <c r="L35" s="49">
        <f>'Avg Week Kinawataka-Kireka'!L35+'Avg Week Kireka-Kinwataka'!L35</f>
        <v>8.2857142857142865</v>
      </c>
      <c r="M35" s="49">
        <f>'Avg Week Kinawataka-Kireka'!M35+'Avg Week Kireka-Kinwataka'!M35</f>
        <v>185.57142857142858</v>
      </c>
      <c r="N35" s="49">
        <f>'Avg Week Kinawataka-Kireka'!N35+'Avg Week Kireka-Kinwataka'!N35</f>
        <v>0.14285714285714285</v>
      </c>
      <c r="O35" s="15">
        <f t="shared" si="0"/>
        <v>160.42857142857142</v>
      </c>
      <c r="P35" s="15">
        <f t="shared" si="1"/>
        <v>346.00000000000006</v>
      </c>
      <c r="R35" s="38" t="s">
        <v>91</v>
      </c>
      <c r="S35" s="39">
        <f t="shared" ref="S35:AF35" si="27">MAX(S13:S18)</f>
        <v>373.57142857142856</v>
      </c>
      <c r="T35" s="39">
        <f t="shared" si="27"/>
        <v>138</v>
      </c>
      <c r="U35" s="39">
        <f t="shared" si="27"/>
        <v>65.571428571428569</v>
      </c>
      <c r="V35" s="39">
        <f t="shared" si="27"/>
        <v>151.42857142857142</v>
      </c>
      <c r="W35" s="39">
        <f t="shared" si="27"/>
        <v>13</v>
      </c>
      <c r="X35" s="39">
        <f t="shared" si="27"/>
        <v>2.8571428571428568</v>
      </c>
      <c r="Y35" s="39">
        <f t="shared" si="27"/>
        <v>64.428571428571431</v>
      </c>
      <c r="Z35" s="39">
        <f t="shared" si="27"/>
        <v>51.285714285714292</v>
      </c>
      <c r="AA35" s="39">
        <f t="shared" si="27"/>
        <v>39.142857142857146</v>
      </c>
      <c r="AB35" s="39">
        <f t="shared" si="27"/>
        <v>33.285714285714292</v>
      </c>
      <c r="AC35" s="39">
        <f t="shared" si="27"/>
        <v>959.71428571428567</v>
      </c>
      <c r="AD35" s="39">
        <f t="shared" si="27"/>
        <v>0.42857142857142855</v>
      </c>
      <c r="AE35" s="40">
        <f t="shared" si="27"/>
        <v>863.14285714285722</v>
      </c>
      <c r="AF35" s="40">
        <f t="shared" si="27"/>
        <v>1815.4285714285716</v>
      </c>
    </row>
    <row r="36" spans="2:32" ht="23.1" customHeight="1" x14ac:dyDescent="0.25">
      <c r="B36" s="24" t="s">
        <v>63</v>
      </c>
      <c r="C36" s="49">
        <f>'Avg Week Kinawataka-Kireka'!C36+'Avg Week Kireka-Kinwataka'!C36</f>
        <v>78.428571428571431</v>
      </c>
      <c r="D36" s="49">
        <f>'Avg Week Kinawataka-Kireka'!D36+'Avg Week Kireka-Kinwataka'!D36</f>
        <v>27.428571428571431</v>
      </c>
      <c r="E36" s="49">
        <f>'Avg Week Kinawataka-Kireka'!E36+'Avg Week Kireka-Kinwataka'!E36</f>
        <v>12.857142857142858</v>
      </c>
      <c r="F36" s="49">
        <f>'Avg Week Kinawataka-Kireka'!F36+'Avg Week Kireka-Kinwataka'!F36</f>
        <v>20.714285714285715</v>
      </c>
      <c r="G36" s="49">
        <f>'Avg Week Kinawataka-Kireka'!G36+'Avg Week Kireka-Kinwataka'!G36</f>
        <v>2.4285714285714284</v>
      </c>
      <c r="H36" s="49">
        <f>'Avg Week Kinawataka-Kireka'!H36+'Avg Week Kireka-Kinwataka'!H36</f>
        <v>0.14285714285714285</v>
      </c>
      <c r="I36" s="49">
        <f>'Avg Week Kinawataka-Kireka'!I36+'Avg Week Kireka-Kinwataka'!I36</f>
        <v>14.428571428571429</v>
      </c>
      <c r="J36" s="49">
        <f>'Avg Week Kinawataka-Kireka'!J36+'Avg Week Kireka-Kinwataka'!J36</f>
        <v>12.285714285714286</v>
      </c>
      <c r="K36" s="49">
        <f>'Avg Week Kinawataka-Kireka'!K36+'Avg Week Kireka-Kinwataka'!K36</f>
        <v>7.7142857142857153</v>
      </c>
      <c r="L36" s="49">
        <f>'Avg Week Kinawataka-Kireka'!L36+'Avg Week Kireka-Kinwataka'!L36</f>
        <v>8.1428571428571423</v>
      </c>
      <c r="M36" s="49">
        <f>'Avg Week Kinawataka-Kireka'!M36+'Avg Week Kireka-Kinwataka'!M36</f>
        <v>191.42857142857144</v>
      </c>
      <c r="N36" s="49">
        <f>'Avg Week Kinawataka-Kireka'!N36+'Avg Week Kireka-Kinwataka'!N36</f>
        <v>0.14285714285714285</v>
      </c>
      <c r="O36" s="15">
        <f t="shared" si="0"/>
        <v>184.71428571428569</v>
      </c>
      <c r="P36" s="15">
        <f t="shared" si="1"/>
        <v>376.14285714285717</v>
      </c>
      <c r="R36" s="38" t="s">
        <v>92</v>
      </c>
      <c r="S36" s="39">
        <f t="shared" ref="S36:AF36" si="28">MAX(S19:S21)</f>
        <v>427.14285714285711</v>
      </c>
      <c r="T36" s="39">
        <f t="shared" si="28"/>
        <v>130.85714285714286</v>
      </c>
      <c r="U36" s="39">
        <f t="shared" si="28"/>
        <v>81.142857142857139</v>
      </c>
      <c r="V36" s="39">
        <f t="shared" si="28"/>
        <v>155.57142857142858</v>
      </c>
      <c r="W36" s="39">
        <f t="shared" si="28"/>
        <v>16.857142857142858</v>
      </c>
      <c r="X36" s="39">
        <f t="shared" si="28"/>
        <v>1.5714285714285712</v>
      </c>
      <c r="Y36" s="39">
        <f t="shared" si="28"/>
        <v>60.428571428571431</v>
      </c>
      <c r="Z36" s="39">
        <f t="shared" si="28"/>
        <v>56.142857142857139</v>
      </c>
      <c r="AA36" s="39">
        <f t="shared" si="28"/>
        <v>24.285714285714285</v>
      </c>
      <c r="AB36" s="39">
        <f t="shared" si="28"/>
        <v>27.142857142857142</v>
      </c>
      <c r="AC36" s="39">
        <f t="shared" si="28"/>
        <v>991.00000000000011</v>
      </c>
      <c r="AD36" s="39">
        <f t="shared" si="28"/>
        <v>0.42857142857142855</v>
      </c>
      <c r="AE36" s="40">
        <f t="shared" si="28"/>
        <v>938.14285714285711</v>
      </c>
      <c r="AF36" s="40">
        <f t="shared" si="28"/>
        <v>1912.5714285714284</v>
      </c>
    </row>
    <row r="37" spans="2:32" ht="23.1" customHeight="1" x14ac:dyDescent="0.25">
      <c r="B37" s="23" t="s">
        <v>64</v>
      </c>
      <c r="C37" s="49">
        <f>'Avg Week Kinawataka-Kireka'!C37+'Avg Week Kireka-Kinwataka'!C37</f>
        <v>83.571428571428569</v>
      </c>
      <c r="D37" s="49">
        <f>'Avg Week Kinawataka-Kireka'!D37+'Avg Week Kireka-Kinwataka'!D37</f>
        <v>27.714285714285715</v>
      </c>
      <c r="E37" s="49">
        <f>'Avg Week Kinawataka-Kireka'!E37+'Avg Week Kireka-Kinwataka'!E37</f>
        <v>14</v>
      </c>
      <c r="F37" s="49">
        <f>'Avg Week Kinawataka-Kireka'!F37+'Avg Week Kireka-Kinwataka'!F37</f>
        <v>29.142857142857142</v>
      </c>
      <c r="G37" s="49">
        <f>'Avg Week Kinawataka-Kireka'!G37+'Avg Week Kireka-Kinwataka'!G37</f>
        <v>2.2857142857142856</v>
      </c>
      <c r="H37" s="49">
        <f>'Avg Week Kinawataka-Kireka'!H37+'Avg Week Kireka-Kinwataka'!H37</f>
        <v>0.71428571428571419</v>
      </c>
      <c r="I37" s="49">
        <f>'Avg Week Kinawataka-Kireka'!I37+'Avg Week Kireka-Kinwataka'!I37</f>
        <v>15.714285714285715</v>
      </c>
      <c r="J37" s="49">
        <f>'Avg Week Kinawataka-Kireka'!J37+'Avg Week Kireka-Kinwataka'!J37</f>
        <v>12</v>
      </c>
      <c r="K37" s="49">
        <f>'Avg Week Kinawataka-Kireka'!K37+'Avg Week Kireka-Kinwataka'!K37</f>
        <v>7.1428571428571423</v>
      </c>
      <c r="L37" s="49">
        <f>'Avg Week Kinawataka-Kireka'!L37+'Avg Week Kireka-Kinwataka'!L37</f>
        <v>8.7142857142857153</v>
      </c>
      <c r="M37" s="49">
        <f>'Avg Week Kinawataka-Kireka'!M37+'Avg Week Kireka-Kinwataka'!M37</f>
        <v>183.57142857142856</v>
      </c>
      <c r="N37" s="49">
        <f>'Avg Week Kinawataka-Kireka'!N37+'Avg Week Kireka-Kinwataka'!N37</f>
        <v>0.14285714285714285</v>
      </c>
      <c r="O37" s="15">
        <f t="shared" si="0"/>
        <v>201.14285714285714</v>
      </c>
      <c r="P37" s="15">
        <f t="shared" si="1"/>
        <v>384.71428571428572</v>
      </c>
      <c r="R37" s="37" t="s">
        <v>85</v>
      </c>
      <c r="S37" s="35">
        <f t="shared" ref="S37:AF37" si="29">SUM(S10:S12)</f>
        <v>833.28571428571422</v>
      </c>
      <c r="T37" s="16">
        <f t="shared" si="29"/>
        <v>375.42857142857144</v>
      </c>
      <c r="U37" s="16">
        <f t="shared" si="29"/>
        <v>143.28571428571428</v>
      </c>
      <c r="V37" s="16">
        <f t="shared" si="29"/>
        <v>437.57142857142856</v>
      </c>
      <c r="W37" s="16">
        <f t="shared" si="29"/>
        <v>41.428571428571431</v>
      </c>
      <c r="X37" s="16">
        <f t="shared" si="29"/>
        <v>6.8571428571428568</v>
      </c>
      <c r="Y37" s="16">
        <f t="shared" si="29"/>
        <v>94.428571428571445</v>
      </c>
      <c r="Z37" s="16">
        <f t="shared" si="29"/>
        <v>82</v>
      </c>
      <c r="AA37" s="16">
        <f t="shared" si="29"/>
        <v>36.285714285714292</v>
      </c>
      <c r="AB37" s="16">
        <f t="shared" si="29"/>
        <v>39.714285714285708</v>
      </c>
      <c r="AC37" s="16">
        <f t="shared" si="29"/>
        <v>2838</v>
      </c>
      <c r="AD37" s="16">
        <f t="shared" si="29"/>
        <v>0.2857142857142857</v>
      </c>
      <c r="AE37" s="32">
        <f t="shared" si="29"/>
        <v>2090.5714285714284</v>
      </c>
      <c r="AF37" s="32">
        <f t="shared" si="29"/>
        <v>4928.5714285714294</v>
      </c>
    </row>
    <row r="38" spans="2:32" ht="23.1" customHeight="1" x14ac:dyDescent="0.25">
      <c r="B38" s="24" t="s">
        <v>65</v>
      </c>
      <c r="C38" s="49">
        <f>'Avg Week Kinawataka-Kireka'!C38+'Avg Week Kireka-Kinwataka'!C38</f>
        <v>81.857142857142861</v>
      </c>
      <c r="D38" s="49">
        <f>'Avg Week Kinawataka-Kireka'!D38+'Avg Week Kireka-Kinwataka'!D38</f>
        <v>19.857142857142858</v>
      </c>
      <c r="E38" s="49">
        <f>'Avg Week Kinawataka-Kireka'!E38+'Avg Week Kireka-Kinwataka'!E38</f>
        <v>14.285714285714285</v>
      </c>
      <c r="F38" s="49">
        <f>'Avg Week Kinawataka-Kireka'!F38+'Avg Week Kireka-Kinwataka'!F38</f>
        <v>24.142857142857142</v>
      </c>
      <c r="G38" s="49">
        <f>'Avg Week Kinawataka-Kireka'!G38+'Avg Week Kireka-Kinwataka'!G38</f>
        <v>2</v>
      </c>
      <c r="H38" s="49">
        <f>'Avg Week Kinawataka-Kireka'!H38+'Avg Week Kireka-Kinwataka'!H38</f>
        <v>0.14285714285714285</v>
      </c>
      <c r="I38" s="49">
        <f>'Avg Week Kinawataka-Kireka'!I38+'Avg Week Kireka-Kinwataka'!I38</f>
        <v>15.714285714285715</v>
      </c>
      <c r="J38" s="49">
        <f>'Avg Week Kinawataka-Kireka'!J38+'Avg Week Kireka-Kinwataka'!J38</f>
        <v>10</v>
      </c>
      <c r="K38" s="49">
        <f>'Avg Week Kinawataka-Kireka'!K38+'Avg Week Kireka-Kinwataka'!K38</f>
        <v>5.2857142857142856</v>
      </c>
      <c r="L38" s="49">
        <f>'Avg Week Kinawataka-Kireka'!L38+'Avg Week Kireka-Kinwataka'!L38</f>
        <v>8.2857142857142847</v>
      </c>
      <c r="M38" s="49">
        <f>'Avg Week Kinawataka-Kireka'!M38+'Avg Week Kireka-Kinwataka'!M38</f>
        <v>195.57142857142856</v>
      </c>
      <c r="N38" s="49">
        <f>'Avg Week Kinawataka-Kireka'!N38+'Avg Week Kireka-Kinwataka'!N38</f>
        <v>0</v>
      </c>
      <c r="O38" s="15">
        <f t="shared" si="0"/>
        <v>181.57142857142856</v>
      </c>
      <c r="P38" s="15">
        <f t="shared" si="1"/>
        <v>377.14285714285711</v>
      </c>
      <c r="R38" s="28" t="s">
        <v>86</v>
      </c>
      <c r="S38" s="16">
        <f t="shared" ref="S38:AF38" si="30">SUM(S13:S18)</f>
        <v>1951.7142857142853</v>
      </c>
      <c r="T38" s="16">
        <f t="shared" si="30"/>
        <v>682.57142857142844</v>
      </c>
      <c r="U38" s="16">
        <f t="shared" si="30"/>
        <v>340.71428571428567</v>
      </c>
      <c r="V38" s="16">
        <f t="shared" si="30"/>
        <v>722.42857142857144</v>
      </c>
      <c r="W38" s="16">
        <f t="shared" si="30"/>
        <v>57.285714285714292</v>
      </c>
      <c r="X38" s="16">
        <f t="shared" si="30"/>
        <v>8.5714285714285694</v>
      </c>
      <c r="Y38" s="16">
        <f t="shared" si="30"/>
        <v>355.42857142857144</v>
      </c>
      <c r="Z38" s="16">
        <f t="shared" si="30"/>
        <v>293.14285714285717</v>
      </c>
      <c r="AA38" s="16">
        <f t="shared" si="30"/>
        <v>150.42857142857144</v>
      </c>
      <c r="AB38" s="16">
        <f t="shared" si="30"/>
        <v>183.14285714285714</v>
      </c>
      <c r="AC38" s="16">
        <f t="shared" si="30"/>
        <v>4924.4285714285706</v>
      </c>
      <c r="AD38" s="16">
        <f t="shared" si="30"/>
        <v>1.4285714285714284</v>
      </c>
      <c r="AE38" s="32">
        <f t="shared" si="30"/>
        <v>4746.8571428571431</v>
      </c>
      <c r="AF38" s="32">
        <f t="shared" si="30"/>
        <v>9671.2857142857138</v>
      </c>
    </row>
    <row r="39" spans="2:32" ht="23.1" customHeight="1" x14ac:dyDescent="0.25">
      <c r="B39" s="24" t="s">
        <v>66</v>
      </c>
      <c r="C39" s="49">
        <f>'Avg Week Kinawataka-Kireka'!C39+'Avg Week Kireka-Kinwataka'!C39</f>
        <v>86.571428571428569</v>
      </c>
      <c r="D39" s="49">
        <f>'Avg Week Kinawataka-Kireka'!D39+'Avg Week Kireka-Kinwataka'!D39</f>
        <v>24.857142857142854</v>
      </c>
      <c r="E39" s="49">
        <f>'Avg Week Kinawataka-Kireka'!E39+'Avg Week Kireka-Kinwataka'!E39</f>
        <v>15.571428571428571</v>
      </c>
      <c r="F39" s="49">
        <f>'Avg Week Kinawataka-Kireka'!F39+'Avg Week Kireka-Kinwataka'!F39</f>
        <v>28.142857142857146</v>
      </c>
      <c r="G39" s="49">
        <f>'Avg Week Kinawataka-Kireka'!G39+'Avg Week Kireka-Kinwataka'!G39</f>
        <v>2</v>
      </c>
      <c r="H39" s="49">
        <f>'Avg Week Kinawataka-Kireka'!H39+'Avg Week Kireka-Kinwataka'!H39</f>
        <v>0.42857142857142855</v>
      </c>
      <c r="I39" s="49">
        <f>'Avg Week Kinawataka-Kireka'!I39+'Avg Week Kireka-Kinwataka'!I39</f>
        <v>15.857142857142858</v>
      </c>
      <c r="J39" s="49">
        <f>'Avg Week Kinawataka-Kireka'!J39+'Avg Week Kireka-Kinwataka'!J39</f>
        <v>12.285714285714286</v>
      </c>
      <c r="K39" s="49">
        <f>'Avg Week Kinawataka-Kireka'!K39+'Avg Week Kireka-Kinwataka'!K39</f>
        <v>5.7142857142857144</v>
      </c>
      <c r="L39" s="49">
        <f>'Avg Week Kinawataka-Kireka'!L39+'Avg Week Kireka-Kinwataka'!L39</f>
        <v>7</v>
      </c>
      <c r="M39" s="49">
        <f>'Avg Week Kinawataka-Kireka'!M39+'Avg Week Kireka-Kinwataka'!M39</f>
        <v>170.28571428571428</v>
      </c>
      <c r="N39" s="49">
        <f>'Avg Week Kinawataka-Kireka'!N39+'Avg Week Kireka-Kinwataka'!N39</f>
        <v>0</v>
      </c>
      <c r="O39" s="15">
        <f t="shared" si="0"/>
        <v>198.42857142857142</v>
      </c>
      <c r="P39" s="15">
        <f t="shared" si="1"/>
        <v>368.71428571428567</v>
      </c>
      <c r="R39" s="29" t="s">
        <v>87</v>
      </c>
      <c r="S39" s="16">
        <f t="shared" ref="S39:AF39" si="31">SUM(S19:S21)</f>
        <v>1269.4285714285716</v>
      </c>
      <c r="T39" s="16">
        <f t="shared" si="31"/>
        <v>371.14285714285711</v>
      </c>
      <c r="U39" s="16">
        <f t="shared" si="31"/>
        <v>224.28571428571428</v>
      </c>
      <c r="V39" s="16">
        <f t="shared" si="31"/>
        <v>419.57142857142856</v>
      </c>
      <c r="W39" s="16">
        <f t="shared" si="31"/>
        <v>40.857142857142854</v>
      </c>
      <c r="X39" s="16">
        <f t="shared" si="31"/>
        <v>3.4285714285714279</v>
      </c>
      <c r="Y39" s="16">
        <f t="shared" si="31"/>
        <v>160.57142857142856</v>
      </c>
      <c r="Z39" s="16">
        <f t="shared" si="31"/>
        <v>146.42857142857142</v>
      </c>
      <c r="AA39" s="16">
        <f t="shared" si="31"/>
        <v>57.714285714285708</v>
      </c>
      <c r="AB39" s="16">
        <f t="shared" si="31"/>
        <v>75.285714285714278</v>
      </c>
      <c r="AC39" s="16">
        <f t="shared" si="31"/>
        <v>2573.8571428571431</v>
      </c>
      <c r="AD39" s="16">
        <f t="shared" si="31"/>
        <v>0.85714285714285698</v>
      </c>
      <c r="AE39" s="32">
        <f t="shared" si="31"/>
        <v>2769.5714285714284</v>
      </c>
      <c r="AF39" s="32">
        <f t="shared" si="31"/>
        <v>5343.4285714285706</v>
      </c>
    </row>
    <row r="40" spans="2:32" ht="23.1" customHeight="1" x14ac:dyDescent="0.25">
      <c r="B40" s="24" t="s">
        <v>67</v>
      </c>
      <c r="C40" s="49">
        <f>'Avg Week Kinawataka-Kireka'!C40+'Avg Week Kireka-Kinwataka'!C40</f>
        <v>75.285714285714278</v>
      </c>
      <c r="D40" s="49">
        <f>'Avg Week Kinawataka-Kireka'!D40+'Avg Week Kireka-Kinwataka'!D40</f>
        <v>29.714285714285715</v>
      </c>
      <c r="E40" s="49">
        <f>'Avg Week Kinawataka-Kireka'!E40+'Avg Week Kireka-Kinwataka'!E40</f>
        <v>13.714285714285715</v>
      </c>
      <c r="F40" s="49">
        <f>'Avg Week Kinawataka-Kireka'!F40+'Avg Week Kireka-Kinwataka'!F40</f>
        <v>30</v>
      </c>
      <c r="G40" s="49">
        <f>'Avg Week Kinawataka-Kireka'!G40+'Avg Week Kireka-Kinwataka'!G40</f>
        <v>3.4285714285714288</v>
      </c>
      <c r="H40" s="49">
        <f>'Avg Week Kinawataka-Kireka'!H40+'Avg Week Kireka-Kinwataka'!H40</f>
        <v>0</v>
      </c>
      <c r="I40" s="49">
        <f>'Avg Week Kinawataka-Kireka'!I40+'Avg Week Kireka-Kinwataka'!I40</f>
        <v>12.571428571428571</v>
      </c>
      <c r="J40" s="49">
        <f>'Avg Week Kinawataka-Kireka'!J40+'Avg Week Kireka-Kinwataka'!J40</f>
        <v>14.571428571428571</v>
      </c>
      <c r="K40" s="49">
        <f>'Avg Week Kinawataka-Kireka'!K40+'Avg Week Kireka-Kinwataka'!K40</f>
        <v>4</v>
      </c>
      <c r="L40" s="49">
        <f>'Avg Week Kinawataka-Kireka'!L40+'Avg Week Kireka-Kinwataka'!L40</f>
        <v>5.5714285714285712</v>
      </c>
      <c r="M40" s="49">
        <f>'Avg Week Kinawataka-Kireka'!M40+'Avg Week Kireka-Kinwataka'!M40</f>
        <v>191</v>
      </c>
      <c r="N40" s="49">
        <f>'Avg Week Kinawataka-Kireka'!N40+'Avg Week Kireka-Kinwataka'!N40</f>
        <v>0</v>
      </c>
      <c r="O40" s="15">
        <f t="shared" si="0"/>
        <v>188.85714285714289</v>
      </c>
      <c r="P40" s="15">
        <f t="shared" si="1"/>
        <v>379.85714285714289</v>
      </c>
      <c r="R40" s="5" t="s">
        <v>17</v>
      </c>
      <c r="S40" s="16">
        <f t="shared" ref="S40:AF40" si="32">SUM(S10:S21)</f>
        <v>4054.4285714285706</v>
      </c>
      <c r="T40" s="16">
        <f t="shared" si="32"/>
        <v>1429.1428571428571</v>
      </c>
      <c r="U40" s="16">
        <f t="shared" si="32"/>
        <v>708.28571428571422</v>
      </c>
      <c r="V40" s="16">
        <f t="shared" si="32"/>
        <v>1579.5714285714289</v>
      </c>
      <c r="W40" s="16">
        <f t="shared" si="32"/>
        <v>139.57142857142858</v>
      </c>
      <c r="X40" s="16">
        <f t="shared" si="32"/>
        <v>18.857142857142854</v>
      </c>
      <c r="Y40" s="16">
        <f t="shared" si="32"/>
        <v>610.42857142857144</v>
      </c>
      <c r="Z40" s="16">
        <f t="shared" si="32"/>
        <v>521.57142857142867</v>
      </c>
      <c r="AA40" s="16">
        <f t="shared" si="32"/>
        <v>244.42857142857142</v>
      </c>
      <c r="AB40" s="16">
        <f t="shared" si="32"/>
        <v>298.14285714285722</v>
      </c>
      <c r="AC40" s="16">
        <f t="shared" si="32"/>
        <v>10336.285714285716</v>
      </c>
      <c r="AD40" s="16">
        <f t="shared" si="32"/>
        <v>2.5714285714285712</v>
      </c>
      <c r="AE40" s="32">
        <f t="shared" si="32"/>
        <v>9607</v>
      </c>
      <c r="AF40" s="32">
        <f t="shared" si="32"/>
        <v>19943.285714285717</v>
      </c>
    </row>
    <row r="41" spans="2:32" ht="23.1" customHeight="1" x14ac:dyDescent="0.25">
      <c r="B41" s="23" t="s">
        <v>68</v>
      </c>
      <c r="C41" s="49">
        <f>'Avg Week Kinawataka-Kireka'!C41+'Avg Week Kireka-Kinwataka'!C41</f>
        <v>83.571428571428569</v>
      </c>
      <c r="D41" s="49">
        <f>'Avg Week Kinawataka-Kireka'!D41+'Avg Week Kireka-Kinwataka'!D41</f>
        <v>27.571428571428569</v>
      </c>
      <c r="E41" s="49">
        <f>'Avg Week Kinawataka-Kireka'!E41+'Avg Week Kireka-Kinwataka'!E41</f>
        <v>14.428571428571427</v>
      </c>
      <c r="F41" s="49">
        <f>'Avg Week Kinawataka-Kireka'!F41+'Avg Week Kireka-Kinwataka'!F41</f>
        <v>25.714285714285715</v>
      </c>
      <c r="G41" s="49">
        <f>'Avg Week Kinawataka-Kireka'!G41+'Avg Week Kireka-Kinwataka'!G41</f>
        <v>2.2857142857142856</v>
      </c>
      <c r="H41" s="49">
        <f>'Avg Week Kinawataka-Kireka'!H41+'Avg Week Kireka-Kinwataka'!H41</f>
        <v>0.2857142857142857</v>
      </c>
      <c r="I41" s="49">
        <f>'Avg Week Kinawataka-Kireka'!I41+'Avg Week Kireka-Kinwataka'!I41</f>
        <v>14.142857142857142</v>
      </c>
      <c r="J41" s="49">
        <f>'Avg Week Kinawataka-Kireka'!J41+'Avg Week Kireka-Kinwataka'!J41</f>
        <v>12.571428571428571</v>
      </c>
      <c r="K41" s="49">
        <f>'Avg Week Kinawataka-Kireka'!K41+'Avg Week Kireka-Kinwataka'!K41</f>
        <v>4.8571428571428577</v>
      </c>
      <c r="L41" s="49">
        <f>'Avg Week Kinawataka-Kireka'!L41+'Avg Week Kireka-Kinwataka'!L41</f>
        <v>8.1428571428571423</v>
      </c>
      <c r="M41" s="49">
        <f>'Avg Week Kinawataka-Kireka'!M41+'Avg Week Kireka-Kinwataka'!M41</f>
        <v>211.14285714285717</v>
      </c>
      <c r="N41" s="49">
        <f>'Avg Week Kinawataka-Kireka'!N41+'Avg Week Kireka-Kinwataka'!N41</f>
        <v>0</v>
      </c>
      <c r="O41" s="15">
        <f t="shared" si="0"/>
        <v>193.57142857142856</v>
      </c>
      <c r="P41" s="15">
        <f t="shared" si="1"/>
        <v>404.71428571428572</v>
      </c>
      <c r="R41" s="5" t="s">
        <v>180</v>
      </c>
      <c r="S41" s="52">
        <f>SUM(S10:S33)</f>
        <v>6834.9285714285706</v>
      </c>
      <c r="T41" s="52">
        <f t="shared" ref="T41:AD41" si="33">SUM(T10:T33)</f>
        <v>1782.1428571428571</v>
      </c>
      <c r="U41" s="52">
        <f t="shared" si="33"/>
        <v>1015.2857142857142</v>
      </c>
      <c r="V41" s="52">
        <f t="shared" si="33"/>
        <v>2360.5714285714289</v>
      </c>
      <c r="W41" s="52">
        <f t="shared" si="33"/>
        <v>229.57142857142858</v>
      </c>
      <c r="X41" s="52">
        <f t="shared" si="33"/>
        <v>24.857142857142854</v>
      </c>
      <c r="Y41" s="52">
        <f t="shared" si="33"/>
        <v>798.42857142857144</v>
      </c>
      <c r="Z41" s="52">
        <f t="shared" si="33"/>
        <v>638.07142857142867</v>
      </c>
      <c r="AA41" s="52">
        <f t="shared" si="33"/>
        <v>281.92857142857144</v>
      </c>
      <c r="AB41" s="52">
        <f t="shared" si="33"/>
        <v>353.14285714285722</v>
      </c>
      <c r="AC41" s="52">
        <f t="shared" si="33"/>
        <v>18023.785714285717</v>
      </c>
      <c r="AD41" s="52">
        <f t="shared" si="33"/>
        <v>3.0714285714285712</v>
      </c>
      <c r="AE41" s="53">
        <f>SUM(AE10:AE33)</f>
        <v>14322</v>
      </c>
      <c r="AF41" s="53">
        <f>SUM(AF10:AF33)</f>
        <v>32345.785714285717</v>
      </c>
    </row>
    <row r="42" spans="2:32" ht="23.1" customHeight="1" x14ac:dyDescent="0.25">
      <c r="B42" s="24" t="s">
        <v>69</v>
      </c>
      <c r="C42" s="49">
        <f>'Avg Week Kinawataka-Kireka'!C42+'Avg Week Kireka-Kinwataka'!C42</f>
        <v>94.428571428571431</v>
      </c>
      <c r="D42" s="49">
        <f>'Avg Week Kinawataka-Kireka'!D42+'Avg Week Kireka-Kinwataka'!D42</f>
        <v>25.285714285714285</v>
      </c>
      <c r="E42" s="49">
        <f>'Avg Week Kinawataka-Kireka'!E42+'Avg Week Kireka-Kinwataka'!E42</f>
        <v>17.285714285714285</v>
      </c>
      <c r="F42" s="49">
        <f>'Avg Week Kinawataka-Kireka'!F42+'Avg Week Kireka-Kinwataka'!F42</f>
        <v>31.285714285714285</v>
      </c>
      <c r="G42" s="49">
        <f>'Avg Week Kinawataka-Kireka'!G42+'Avg Week Kireka-Kinwataka'!G42</f>
        <v>1.5714285714285716</v>
      </c>
      <c r="H42" s="49">
        <f>'Avg Week Kinawataka-Kireka'!H42+'Avg Week Kireka-Kinwataka'!H42</f>
        <v>0.2857142857142857</v>
      </c>
      <c r="I42" s="49">
        <f>'Avg Week Kinawataka-Kireka'!I42+'Avg Week Kireka-Kinwataka'!I42</f>
        <v>16.571428571428569</v>
      </c>
      <c r="J42" s="49">
        <f>'Avg Week Kinawataka-Kireka'!J42+'Avg Week Kireka-Kinwataka'!J42</f>
        <v>14</v>
      </c>
      <c r="K42" s="49">
        <f>'Avg Week Kinawataka-Kireka'!K42+'Avg Week Kireka-Kinwataka'!K42</f>
        <v>3.1428571428571428</v>
      </c>
      <c r="L42" s="49">
        <f>'Avg Week Kinawataka-Kireka'!L42+'Avg Week Kireka-Kinwataka'!L42</f>
        <v>7.5714285714285712</v>
      </c>
      <c r="M42" s="49">
        <f>'Avg Week Kinawataka-Kireka'!M42+'Avg Week Kireka-Kinwataka'!M42</f>
        <v>207.57142857142856</v>
      </c>
      <c r="N42" s="49">
        <f>'Avg Week Kinawataka-Kireka'!N42+'Avg Week Kireka-Kinwataka'!N42</f>
        <v>0</v>
      </c>
      <c r="O42" s="15">
        <f t="shared" si="0"/>
        <v>211.42857142857144</v>
      </c>
      <c r="P42" s="15">
        <f t="shared" si="1"/>
        <v>419</v>
      </c>
      <c r="R42" s="5" t="s">
        <v>160</v>
      </c>
      <c r="S42" s="48">
        <f>S41/S40</f>
        <v>1.6857933124273283</v>
      </c>
      <c r="T42" s="48">
        <f t="shared" ref="T42:AF42" si="34">T41/T40</f>
        <v>1.2470011995201919</v>
      </c>
      <c r="U42" s="48">
        <f t="shared" si="34"/>
        <v>1.4334409035901574</v>
      </c>
      <c r="V42" s="48">
        <f t="shared" si="34"/>
        <v>1.49443791263453</v>
      </c>
      <c r="W42" s="48">
        <f t="shared" si="34"/>
        <v>1.6448311156601843</v>
      </c>
      <c r="X42" s="48">
        <f t="shared" si="34"/>
        <v>1.3181818181818183</v>
      </c>
      <c r="Y42" s="48">
        <f t="shared" si="34"/>
        <v>1.3079803416803182</v>
      </c>
      <c r="Z42" s="48">
        <f t="shared" si="34"/>
        <v>1.2233634620651876</v>
      </c>
      <c r="AA42" s="48">
        <f t="shared" si="34"/>
        <v>1.1534190531852719</v>
      </c>
      <c r="AB42" s="48">
        <f t="shared" si="34"/>
        <v>1.1844753234307619</v>
      </c>
      <c r="AC42" s="48">
        <f t="shared" si="34"/>
        <v>1.7437391160129365</v>
      </c>
      <c r="AD42" s="48">
        <f t="shared" si="34"/>
        <v>1.1944444444444444</v>
      </c>
      <c r="AE42" s="51">
        <f t="shared" si="34"/>
        <v>1.4907879671073176</v>
      </c>
      <c r="AF42" s="51">
        <f t="shared" si="34"/>
        <v>1.6218884980981783</v>
      </c>
    </row>
    <row r="43" spans="2:32" ht="23.1" customHeight="1" x14ac:dyDescent="0.25">
      <c r="B43" s="23" t="s">
        <v>70</v>
      </c>
      <c r="C43" s="49">
        <f>'Avg Week Kinawataka-Kireka'!C43+'Avg Week Kireka-Kinwataka'!C43</f>
        <v>89.142857142857139</v>
      </c>
      <c r="D43" s="49">
        <f>'Avg Week Kinawataka-Kireka'!D43+'Avg Week Kireka-Kinwataka'!D43</f>
        <v>35.571428571428569</v>
      </c>
      <c r="E43" s="49">
        <f>'Avg Week Kinawataka-Kireka'!E43+'Avg Week Kireka-Kinwataka'!E43</f>
        <v>15.285714285714285</v>
      </c>
      <c r="F43" s="49">
        <f>'Avg Week Kinawataka-Kireka'!F43+'Avg Week Kireka-Kinwataka'!F43</f>
        <v>25.857142857142854</v>
      </c>
      <c r="G43" s="49">
        <f>'Avg Week Kinawataka-Kireka'!G43+'Avg Week Kireka-Kinwataka'!G43</f>
        <v>2.1428571428571428</v>
      </c>
      <c r="H43" s="49">
        <f>'Avg Week Kinawataka-Kireka'!H43+'Avg Week Kireka-Kinwataka'!H43</f>
        <v>0.14285714285714285</v>
      </c>
      <c r="I43" s="49">
        <f>'Avg Week Kinawataka-Kireka'!I43+'Avg Week Kireka-Kinwataka'!I43</f>
        <v>13.285714285714286</v>
      </c>
      <c r="J43" s="49">
        <f>'Avg Week Kinawataka-Kireka'!J43+'Avg Week Kireka-Kinwataka'!J43</f>
        <v>14.571428571428573</v>
      </c>
      <c r="K43" s="49">
        <f>'Avg Week Kinawataka-Kireka'!K43+'Avg Week Kireka-Kinwataka'!K43</f>
        <v>5.5714285714285712</v>
      </c>
      <c r="L43" s="49">
        <f>'Avg Week Kinawataka-Kireka'!L43+'Avg Week Kireka-Kinwataka'!L43</f>
        <v>7.5714285714285712</v>
      </c>
      <c r="M43" s="49">
        <f>'Avg Week Kinawataka-Kireka'!M43+'Avg Week Kireka-Kinwataka'!M43</f>
        <v>201.42857142857144</v>
      </c>
      <c r="N43" s="49">
        <f>'Avg Week Kinawataka-Kireka'!N43+'Avg Week Kireka-Kinwataka'!N43</f>
        <v>0</v>
      </c>
      <c r="O43" s="15">
        <f t="shared" si="0"/>
        <v>209.14285714285717</v>
      </c>
      <c r="P43" s="15">
        <f t="shared" si="1"/>
        <v>410.57142857142861</v>
      </c>
    </row>
    <row r="44" spans="2:32" ht="23.1" customHeight="1" x14ac:dyDescent="0.25">
      <c r="B44" s="25" t="s">
        <v>71</v>
      </c>
      <c r="C44" s="49">
        <f>'Avg Week Kinawataka-Kireka'!C44+'Avg Week Kireka-Kinwataka'!C44</f>
        <v>90.714285714285722</v>
      </c>
      <c r="D44" s="49">
        <f>'Avg Week Kinawataka-Kireka'!D44+'Avg Week Kireka-Kinwataka'!D44</f>
        <v>28.285714285714288</v>
      </c>
      <c r="E44" s="49">
        <f>'Avg Week Kinawataka-Kireka'!E44+'Avg Week Kireka-Kinwataka'!E44</f>
        <v>16.285714285714285</v>
      </c>
      <c r="F44" s="49">
        <f>'Avg Week Kinawataka-Kireka'!F44+'Avg Week Kireka-Kinwataka'!F44</f>
        <v>31.857142857142854</v>
      </c>
      <c r="G44" s="49">
        <f>'Avg Week Kinawataka-Kireka'!G44+'Avg Week Kireka-Kinwataka'!G44</f>
        <v>2.1428571428571428</v>
      </c>
      <c r="H44" s="49">
        <f>'Avg Week Kinawataka-Kireka'!H44+'Avg Week Kireka-Kinwataka'!H44</f>
        <v>0.2857142857142857</v>
      </c>
      <c r="I44" s="49">
        <f>'Avg Week Kinawataka-Kireka'!I44+'Avg Week Kireka-Kinwataka'!I44</f>
        <v>14.714285714285714</v>
      </c>
      <c r="J44" s="49">
        <f>'Avg Week Kinawataka-Kireka'!J44+'Avg Week Kireka-Kinwataka'!J44</f>
        <v>10.285714285714285</v>
      </c>
      <c r="K44" s="49">
        <f>'Avg Week Kinawataka-Kireka'!K44+'Avg Week Kireka-Kinwataka'!K44</f>
        <v>4.5714285714285712</v>
      </c>
      <c r="L44" s="49">
        <f>'Avg Week Kinawataka-Kireka'!L44+'Avg Week Kireka-Kinwataka'!L44</f>
        <v>8.2857142857142865</v>
      </c>
      <c r="M44" s="49">
        <f>'Avg Week Kinawataka-Kireka'!M44+'Avg Week Kireka-Kinwataka'!M44</f>
        <v>203.28571428571428</v>
      </c>
      <c r="N44" s="49">
        <f>'Avg Week Kinawataka-Kireka'!N44+'Avg Week Kireka-Kinwataka'!N44</f>
        <v>0</v>
      </c>
      <c r="O44" s="15">
        <f t="shared" si="0"/>
        <v>207.42857142857144</v>
      </c>
      <c r="P44" s="15">
        <f t="shared" si="1"/>
        <v>410.71428571428572</v>
      </c>
    </row>
    <row r="45" spans="2:32" ht="23.1" customHeight="1" x14ac:dyDescent="0.25">
      <c r="B45" s="23" t="s">
        <v>72</v>
      </c>
      <c r="C45" s="49">
        <f>'Avg Week Kinawataka-Kireka'!C45+'Avg Week Kireka-Kinwataka'!C45</f>
        <v>99.285714285714292</v>
      </c>
      <c r="D45" s="49">
        <f>'Avg Week Kinawataka-Kireka'!D45+'Avg Week Kireka-Kinwataka'!D45</f>
        <v>35.571428571428569</v>
      </c>
      <c r="E45" s="49">
        <f>'Avg Week Kinawataka-Kireka'!E45+'Avg Week Kireka-Kinwataka'!E45</f>
        <v>16.714285714285715</v>
      </c>
      <c r="F45" s="49">
        <f>'Avg Week Kinawataka-Kireka'!F45+'Avg Week Kireka-Kinwataka'!F45</f>
        <v>34.571428571428569</v>
      </c>
      <c r="G45" s="49">
        <f>'Avg Week Kinawataka-Kireka'!G45+'Avg Week Kireka-Kinwataka'!G45</f>
        <v>1.8571428571428572</v>
      </c>
      <c r="H45" s="49">
        <f>'Avg Week Kinawataka-Kireka'!H45+'Avg Week Kireka-Kinwataka'!H45</f>
        <v>0.5714285714285714</v>
      </c>
      <c r="I45" s="49">
        <f>'Avg Week Kinawataka-Kireka'!I45+'Avg Week Kireka-Kinwataka'!I45</f>
        <v>19.857142857142858</v>
      </c>
      <c r="J45" s="49">
        <f>'Avg Week Kinawataka-Kireka'!J45+'Avg Week Kireka-Kinwataka'!J45</f>
        <v>12.428571428571429</v>
      </c>
      <c r="K45" s="49">
        <f>'Avg Week Kinawataka-Kireka'!K45+'Avg Week Kireka-Kinwataka'!K45</f>
        <v>5.5714285714285712</v>
      </c>
      <c r="L45" s="49">
        <f>'Avg Week Kinawataka-Kireka'!L45+'Avg Week Kireka-Kinwataka'!L45</f>
        <v>8.5714285714285712</v>
      </c>
      <c r="M45" s="49">
        <f>'Avg Week Kinawataka-Kireka'!M45+'Avg Week Kireka-Kinwataka'!M45</f>
        <v>166</v>
      </c>
      <c r="N45" s="49">
        <f>'Avg Week Kinawataka-Kireka'!N45+'Avg Week Kireka-Kinwataka'!N45</f>
        <v>0.14285714285714285</v>
      </c>
      <c r="O45" s="15">
        <f t="shared" si="0"/>
        <v>235.1428571428572</v>
      </c>
      <c r="P45" s="15">
        <f t="shared" si="1"/>
        <v>401.14285714285722</v>
      </c>
    </row>
    <row r="46" spans="2:32" ht="23.1" customHeight="1" x14ac:dyDescent="0.25">
      <c r="B46" s="24" t="s">
        <v>73</v>
      </c>
      <c r="C46" s="49">
        <f>'Avg Week Kinawataka-Kireka'!C46+'Avg Week Kireka-Kinwataka'!C46</f>
        <v>104.85714285714286</v>
      </c>
      <c r="D46" s="49">
        <f>'Avg Week Kinawataka-Kireka'!D46+'Avg Week Kireka-Kinwataka'!D46</f>
        <v>28.428571428571431</v>
      </c>
      <c r="E46" s="49">
        <f>'Avg Week Kinawataka-Kireka'!E46+'Avg Week Kireka-Kinwataka'!E46</f>
        <v>18.285714285714285</v>
      </c>
      <c r="F46" s="49">
        <f>'Avg Week Kinawataka-Kireka'!F46+'Avg Week Kireka-Kinwataka'!F46</f>
        <v>27</v>
      </c>
      <c r="G46" s="49">
        <f>'Avg Week Kinawataka-Kireka'!G46+'Avg Week Kireka-Kinwataka'!G46</f>
        <v>2</v>
      </c>
      <c r="H46" s="49">
        <f>'Avg Week Kinawataka-Kireka'!H46+'Avg Week Kireka-Kinwataka'!H46</f>
        <v>0</v>
      </c>
      <c r="I46" s="49">
        <f>'Avg Week Kinawataka-Kireka'!I46+'Avg Week Kireka-Kinwataka'!I46</f>
        <v>15.285714285714285</v>
      </c>
      <c r="J46" s="49">
        <f>'Avg Week Kinawataka-Kireka'!J46+'Avg Week Kireka-Kinwataka'!J46</f>
        <v>14.142857142857142</v>
      </c>
      <c r="K46" s="49">
        <f>'Avg Week Kinawataka-Kireka'!K46+'Avg Week Kireka-Kinwataka'!K46</f>
        <v>4.2857142857142856</v>
      </c>
      <c r="L46" s="49">
        <f>'Avg Week Kinawataka-Kireka'!L46+'Avg Week Kireka-Kinwataka'!L46</f>
        <v>6</v>
      </c>
      <c r="M46" s="49">
        <f>'Avg Week Kinawataka-Kireka'!M46+'Avg Week Kireka-Kinwataka'!M46</f>
        <v>191.42857142857144</v>
      </c>
      <c r="N46" s="49">
        <f>'Avg Week Kinawataka-Kireka'!N46+'Avg Week Kireka-Kinwataka'!N46</f>
        <v>0.14285714285714285</v>
      </c>
      <c r="O46" s="15">
        <f t="shared" si="0"/>
        <v>220.42857142857139</v>
      </c>
      <c r="P46" s="15">
        <f t="shared" si="1"/>
        <v>411.85714285714283</v>
      </c>
      <c r="R46" s="8"/>
      <c r="T46"/>
    </row>
    <row r="47" spans="2:32" ht="23.1" customHeight="1" x14ac:dyDescent="0.25">
      <c r="B47" s="24" t="s">
        <v>74</v>
      </c>
      <c r="C47" s="49">
        <f>'Avg Week Kinawataka-Kireka'!C47+'Avg Week Kireka-Kinwataka'!C47</f>
        <v>95.857142857142861</v>
      </c>
      <c r="D47" s="49">
        <f>'Avg Week Kinawataka-Kireka'!D47+'Avg Week Kireka-Kinwataka'!D47</f>
        <v>29.285714285714285</v>
      </c>
      <c r="E47" s="49">
        <f>'Avg Week Kinawataka-Kireka'!E47+'Avg Week Kireka-Kinwataka'!E47</f>
        <v>16.571428571428573</v>
      </c>
      <c r="F47" s="49">
        <f>'Avg Week Kinawataka-Kireka'!F47+'Avg Week Kireka-Kinwataka'!F47</f>
        <v>33.571428571428569</v>
      </c>
      <c r="G47" s="49">
        <f>'Avg Week Kinawataka-Kireka'!G47+'Avg Week Kireka-Kinwataka'!G47</f>
        <v>1.857142857142857</v>
      </c>
      <c r="H47" s="49">
        <f>'Avg Week Kinawataka-Kireka'!H47+'Avg Week Kireka-Kinwataka'!H47</f>
        <v>0.2857142857142857</v>
      </c>
      <c r="I47" s="49">
        <f>'Avg Week Kinawataka-Kireka'!I47+'Avg Week Kireka-Kinwataka'!I47</f>
        <v>16.142857142857142</v>
      </c>
      <c r="J47" s="49">
        <f>'Avg Week Kinawataka-Kireka'!J47+'Avg Week Kireka-Kinwataka'!J47</f>
        <v>13.428571428571429</v>
      </c>
      <c r="K47" s="49">
        <f>'Avg Week Kinawataka-Kireka'!K47+'Avg Week Kireka-Kinwataka'!K47</f>
        <v>5.8571428571428568</v>
      </c>
      <c r="L47" s="49">
        <f>'Avg Week Kinawataka-Kireka'!L47+'Avg Week Kireka-Kinwataka'!L47</f>
        <v>7.5714285714285712</v>
      </c>
      <c r="M47" s="49">
        <f>'Avg Week Kinawataka-Kireka'!M47+'Avg Week Kireka-Kinwataka'!M47</f>
        <v>197.14285714285717</v>
      </c>
      <c r="N47" s="49">
        <f>'Avg Week Kinawataka-Kireka'!N47+'Avg Week Kireka-Kinwataka'!N47</f>
        <v>0.14285714285714285</v>
      </c>
      <c r="O47" s="15">
        <f t="shared" si="0"/>
        <v>220.57142857142856</v>
      </c>
      <c r="P47" s="15">
        <f t="shared" si="1"/>
        <v>417.71428571428572</v>
      </c>
      <c r="R47" s="8"/>
      <c r="T47"/>
    </row>
    <row r="48" spans="2:32" ht="23.1" customHeight="1" x14ac:dyDescent="0.25">
      <c r="B48" s="24" t="s">
        <v>75</v>
      </c>
      <c r="C48" s="49">
        <f>'Avg Week Kinawataka-Kireka'!C48+'Avg Week Kireka-Kinwataka'!C48</f>
        <v>105.71428571428572</v>
      </c>
      <c r="D48" s="49">
        <f>'Avg Week Kinawataka-Kireka'!D48+'Avg Week Kireka-Kinwataka'!D48</f>
        <v>30.285714285714285</v>
      </c>
      <c r="E48" s="49">
        <f>'Avg Week Kinawataka-Kireka'!E48+'Avg Week Kireka-Kinwataka'!E48</f>
        <v>17.714285714285715</v>
      </c>
      <c r="F48" s="49">
        <f>'Avg Week Kinawataka-Kireka'!F48+'Avg Week Kireka-Kinwataka'!F48</f>
        <v>29</v>
      </c>
      <c r="G48" s="49">
        <f>'Avg Week Kinawataka-Kireka'!G48+'Avg Week Kireka-Kinwataka'!G48</f>
        <v>3.1428571428571428</v>
      </c>
      <c r="H48" s="49">
        <f>'Avg Week Kinawataka-Kireka'!H48+'Avg Week Kireka-Kinwataka'!H48</f>
        <v>0</v>
      </c>
      <c r="I48" s="49">
        <f>'Avg Week Kinawataka-Kireka'!I48+'Avg Week Kireka-Kinwataka'!I48</f>
        <v>15</v>
      </c>
      <c r="J48" s="49">
        <f>'Avg Week Kinawataka-Kireka'!J48+'Avg Week Kireka-Kinwataka'!J48</f>
        <v>15.714285714285715</v>
      </c>
      <c r="K48" s="49">
        <f>'Avg Week Kinawataka-Kireka'!K48+'Avg Week Kireka-Kinwataka'!K48</f>
        <v>8.1428571428571423</v>
      </c>
      <c r="L48" s="49">
        <f>'Avg Week Kinawataka-Kireka'!L48+'Avg Week Kireka-Kinwataka'!L48</f>
        <v>7.2857142857142856</v>
      </c>
      <c r="M48" s="49">
        <f>'Avg Week Kinawataka-Kireka'!M48+'Avg Week Kireka-Kinwataka'!M48</f>
        <v>191.42857142857144</v>
      </c>
      <c r="N48" s="49">
        <f>'Avg Week Kinawataka-Kireka'!N48+'Avg Week Kireka-Kinwataka'!N48</f>
        <v>0.14285714285714285</v>
      </c>
      <c r="O48" s="15">
        <f t="shared" si="0"/>
        <v>232.14285714285714</v>
      </c>
      <c r="P48" s="15">
        <f t="shared" si="1"/>
        <v>423.57142857142861</v>
      </c>
      <c r="R48" s="8"/>
      <c r="T48"/>
    </row>
    <row r="49" spans="2:20" ht="23.1" customHeight="1" x14ac:dyDescent="0.25">
      <c r="B49" s="23" t="s">
        <v>76</v>
      </c>
      <c r="C49" s="49">
        <f>'Avg Week Kinawataka-Kireka'!C49+'Avg Week Kireka-Kinwataka'!C49</f>
        <v>117.42857142857142</v>
      </c>
      <c r="D49" s="49">
        <f>'Avg Week Kinawataka-Kireka'!D49+'Avg Week Kireka-Kinwataka'!D49</f>
        <v>28.142857142857146</v>
      </c>
      <c r="E49" s="49">
        <f>'Avg Week Kinawataka-Kireka'!E49+'Avg Week Kireka-Kinwataka'!E49</f>
        <v>16.571428571428569</v>
      </c>
      <c r="F49" s="49">
        <f>'Avg Week Kinawataka-Kireka'!F49+'Avg Week Kireka-Kinwataka'!F49</f>
        <v>32</v>
      </c>
      <c r="G49" s="49">
        <f>'Avg Week Kinawataka-Kireka'!G49+'Avg Week Kireka-Kinwataka'!G49</f>
        <v>3.4285714285714284</v>
      </c>
      <c r="H49" s="49">
        <f>'Avg Week Kinawataka-Kireka'!H49+'Avg Week Kireka-Kinwataka'!H49</f>
        <v>0.14285714285714285</v>
      </c>
      <c r="I49" s="49">
        <f>'Avg Week Kinawataka-Kireka'!I49+'Avg Week Kireka-Kinwataka'!I49</f>
        <v>14</v>
      </c>
      <c r="J49" s="49">
        <f>'Avg Week Kinawataka-Kireka'!J49+'Avg Week Kireka-Kinwataka'!J49</f>
        <v>12.857142857142858</v>
      </c>
      <c r="K49" s="49">
        <f>'Avg Week Kinawataka-Kireka'!K49+'Avg Week Kireka-Kinwataka'!K49</f>
        <v>6</v>
      </c>
      <c r="L49" s="49">
        <f>'Avg Week Kinawataka-Kireka'!L49+'Avg Week Kireka-Kinwataka'!L49</f>
        <v>6.1428571428571423</v>
      </c>
      <c r="M49" s="49">
        <f>'Avg Week Kinawataka-Kireka'!M49+'Avg Week Kireka-Kinwataka'!M49</f>
        <v>207</v>
      </c>
      <c r="N49" s="49">
        <f>'Avg Week Kinawataka-Kireka'!N49+'Avg Week Kireka-Kinwataka'!N49</f>
        <v>0</v>
      </c>
      <c r="O49" s="15">
        <f t="shared" si="0"/>
        <v>236.71428571428567</v>
      </c>
      <c r="P49" s="15">
        <f t="shared" si="1"/>
        <v>443.71428571428567</v>
      </c>
      <c r="R49" s="8"/>
      <c r="T49"/>
    </row>
    <row r="50" spans="2:20" ht="23.1" customHeight="1" x14ac:dyDescent="0.25">
      <c r="B50" s="24" t="s">
        <v>77</v>
      </c>
      <c r="C50" s="49">
        <f>'Avg Week Kinawataka-Kireka'!C50+'Avg Week Kireka-Kinwataka'!C50</f>
        <v>91.571428571428569</v>
      </c>
      <c r="D50" s="49">
        <f>'Avg Week Kinawataka-Kireka'!D50+'Avg Week Kireka-Kinwataka'!D50</f>
        <v>28.571428571428569</v>
      </c>
      <c r="E50" s="49">
        <f>'Avg Week Kinawataka-Kireka'!E50+'Avg Week Kireka-Kinwataka'!E50</f>
        <v>15.714285714285715</v>
      </c>
      <c r="F50" s="49">
        <f>'Avg Week Kinawataka-Kireka'!F50+'Avg Week Kireka-Kinwataka'!F50</f>
        <v>31.571428571428573</v>
      </c>
      <c r="G50" s="49">
        <f>'Avg Week Kinawataka-Kireka'!G50+'Avg Week Kireka-Kinwataka'!G50</f>
        <v>4.2857142857142856</v>
      </c>
      <c r="H50" s="49">
        <f>'Avg Week Kinawataka-Kireka'!H50+'Avg Week Kireka-Kinwataka'!H50</f>
        <v>0.14285714285714285</v>
      </c>
      <c r="I50" s="49">
        <f>'Avg Week Kinawataka-Kireka'!I50+'Avg Week Kireka-Kinwataka'!I50</f>
        <v>13.142857142857142</v>
      </c>
      <c r="J50" s="49">
        <f>'Avg Week Kinawataka-Kireka'!J50+'Avg Week Kireka-Kinwataka'!J50</f>
        <v>11</v>
      </c>
      <c r="K50" s="49">
        <f>'Avg Week Kinawataka-Kireka'!K50+'Avg Week Kireka-Kinwataka'!K50</f>
        <v>5.1428571428571423</v>
      </c>
      <c r="L50" s="49">
        <f>'Avg Week Kinawataka-Kireka'!L50+'Avg Week Kireka-Kinwataka'!L50</f>
        <v>6.4285714285714288</v>
      </c>
      <c r="M50" s="49">
        <f>'Avg Week Kinawataka-Kireka'!M50+'Avg Week Kireka-Kinwataka'!M50</f>
        <v>180.85714285714286</v>
      </c>
      <c r="N50" s="49">
        <f>'Avg Week Kinawataka-Kireka'!N50+'Avg Week Kireka-Kinwataka'!N50</f>
        <v>0.14285714285714285</v>
      </c>
      <c r="O50" s="15">
        <f t="shared" si="0"/>
        <v>207.71428571428569</v>
      </c>
      <c r="P50" s="15">
        <f t="shared" si="1"/>
        <v>388.57142857142861</v>
      </c>
      <c r="R50" s="8"/>
      <c r="T50"/>
    </row>
    <row r="51" spans="2:20" ht="23.1" customHeight="1" x14ac:dyDescent="0.25">
      <c r="B51" s="24" t="s">
        <v>78</v>
      </c>
      <c r="C51" s="49">
        <f>'Avg Week Kinawataka-Kireka'!C51+'Avg Week Kireka-Kinwataka'!C51</f>
        <v>112.14285714285714</v>
      </c>
      <c r="D51" s="49">
        <f>'Avg Week Kinawataka-Kireka'!D51+'Avg Week Kireka-Kinwataka'!D51</f>
        <v>33.857142857142854</v>
      </c>
      <c r="E51" s="49">
        <f>'Avg Week Kinawataka-Kireka'!E51+'Avg Week Kireka-Kinwataka'!E51</f>
        <v>19</v>
      </c>
      <c r="F51" s="49">
        <f>'Avg Week Kinawataka-Kireka'!F51+'Avg Week Kireka-Kinwataka'!F51</f>
        <v>42</v>
      </c>
      <c r="G51" s="49">
        <f>'Avg Week Kinawataka-Kireka'!G51+'Avg Week Kireka-Kinwataka'!G51</f>
        <v>6</v>
      </c>
      <c r="H51" s="49">
        <f>'Avg Week Kinawataka-Kireka'!H51+'Avg Week Kireka-Kinwataka'!H51</f>
        <v>0.14285714285714285</v>
      </c>
      <c r="I51" s="49">
        <f>'Avg Week Kinawataka-Kireka'!I51+'Avg Week Kireka-Kinwataka'!I51</f>
        <v>14</v>
      </c>
      <c r="J51" s="49">
        <f>'Avg Week Kinawataka-Kireka'!J51+'Avg Week Kireka-Kinwataka'!J51</f>
        <v>12.571428571428571</v>
      </c>
      <c r="K51" s="49">
        <f>'Avg Week Kinawataka-Kireka'!K51+'Avg Week Kireka-Kinwataka'!K51</f>
        <v>5</v>
      </c>
      <c r="L51" s="49">
        <f>'Avg Week Kinawataka-Kireka'!L51+'Avg Week Kireka-Kinwataka'!L51</f>
        <v>9.4285714285714288</v>
      </c>
      <c r="M51" s="49">
        <f>'Avg Week Kinawataka-Kireka'!M51+'Avg Week Kireka-Kinwataka'!M51</f>
        <v>204</v>
      </c>
      <c r="N51" s="49">
        <f>'Avg Week Kinawataka-Kireka'!N51+'Avg Week Kireka-Kinwataka'!N51</f>
        <v>0</v>
      </c>
      <c r="O51" s="15">
        <f t="shared" si="0"/>
        <v>254.14285714285714</v>
      </c>
      <c r="P51" s="15">
        <f t="shared" si="1"/>
        <v>458.14285714285711</v>
      </c>
      <c r="R51" s="8"/>
      <c r="T51"/>
    </row>
    <row r="52" spans="2:20" ht="23.1" customHeight="1" x14ac:dyDescent="0.25">
      <c r="B52" s="24" t="s">
        <v>79</v>
      </c>
      <c r="C52" s="49">
        <f>'Avg Week Kinawataka-Kireka'!C52+'Avg Week Kireka-Kinwataka'!C52</f>
        <v>117</v>
      </c>
      <c r="D52" s="49">
        <f>'Avg Week Kinawataka-Kireka'!D52+'Avg Week Kireka-Kinwataka'!D52</f>
        <v>33.428571428571431</v>
      </c>
      <c r="E52" s="49">
        <f>'Avg Week Kinawataka-Kireka'!E52+'Avg Week Kireka-Kinwataka'!E52</f>
        <v>26.428571428571431</v>
      </c>
      <c r="F52" s="49">
        <f>'Avg Week Kinawataka-Kireka'!F52+'Avg Week Kireka-Kinwataka'!F52</f>
        <v>35</v>
      </c>
      <c r="G52" s="49">
        <f>'Avg Week Kinawataka-Kireka'!G52+'Avg Week Kireka-Kinwataka'!G52</f>
        <v>3.4285714285714284</v>
      </c>
      <c r="H52" s="49">
        <f>'Avg Week Kinawataka-Kireka'!H52+'Avg Week Kireka-Kinwataka'!H52</f>
        <v>1.1428571428571428</v>
      </c>
      <c r="I52" s="49">
        <f>'Avg Week Kinawataka-Kireka'!I52+'Avg Week Kireka-Kinwataka'!I52</f>
        <v>10.428571428571429</v>
      </c>
      <c r="J52" s="49">
        <f>'Avg Week Kinawataka-Kireka'!J52+'Avg Week Kireka-Kinwataka'!J52</f>
        <v>10</v>
      </c>
      <c r="K52" s="49">
        <f>'Avg Week Kinawataka-Kireka'!K52+'Avg Week Kireka-Kinwataka'!K52</f>
        <v>4.1428571428571423</v>
      </c>
      <c r="L52" s="49">
        <f>'Avg Week Kinawataka-Kireka'!L52+'Avg Week Kireka-Kinwataka'!L52</f>
        <v>5.2857142857142856</v>
      </c>
      <c r="M52" s="49">
        <f>'Avg Week Kinawataka-Kireka'!M52+'Avg Week Kireka-Kinwataka'!M52</f>
        <v>210.71428571428572</v>
      </c>
      <c r="N52" s="49">
        <f>'Avg Week Kinawataka-Kireka'!N52+'Avg Week Kireka-Kinwataka'!N52</f>
        <v>0.14285714285714285</v>
      </c>
      <c r="O52" s="15">
        <f t="shared" si="0"/>
        <v>246.42857142857142</v>
      </c>
      <c r="P52" s="15">
        <f t="shared" si="1"/>
        <v>457.14285714285717</v>
      </c>
      <c r="R52" s="8"/>
      <c r="T52"/>
    </row>
    <row r="53" spans="2:20" ht="23.1" customHeight="1" x14ac:dyDescent="0.25">
      <c r="B53" s="23" t="s">
        <v>80</v>
      </c>
      <c r="C53" s="49">
        <f>'Avg Week Kinawataka-Kireka'!C53+'Avg Week Kireka-Kinwataka'!C53</f>
        <v>106.42857142857142</v>
      </c>
      <c r="D53" s="49">
        <f>'Avg Week Kinawataka-Kireka'!D53+'Avg Week Kireka-Kinwataka'!D53</f>
        <v>35</v>
      </c>
      <c r="E53" s="49">
        <f>'Avg Week Kinawataka-Kireka'!E53+'Avg Week Kireka-Kinwataka'!E53</f>
        <v>20</v>
      </c>
      <c r="F53" s="49">
        <f>'Avg Week Kinawataka-Kireka'!F53+'Avg Week Kireka-Kinwataka'!F53</f>
        <v>33.857142857142854</v>
      </c>
      <c r="G53" s="49">
        <f>'Avg Week Kinawataka-Kireka'!G53+'Avg Week Kireka-Kinwataka'!G53</f>
        <v>3.1428571428571428</v>
      </c>
      <c r="H53" s="49">
        <f>'Avg Week Kinawataka-Kireka'!H53+'Avg Week Kireka-Kinwataka'!H53</f>
        <v>0.14285714285714285</v>
      </c>
      <c r="I53" s="49">
        <f>'Avg Week Kinawataka-Kireka'!I53+'Avg Week Kireka-Kinwataka'!I53</f>
        <v>10.142857142857142</v>
      </c>
      <c r="J53" s="49">
        <f>'Avg Week Kinawataka-Kireka'!J53+'Avg Week Kireka-Kinwataka'!J53</f>
        <v>12.857142857142856</v>
      </c>
      <c r="K53" s="49">
        <f>'Avg Week Kinawataka-Kireka'!K53+'Avg Week Kireka-Kinwataka'!K53</f>
        <v>2.2857142857142856</v>
      </c>
      <c r="L53" s="49">
        <f>'Avg Week Kinawataka-Kireka'!L53+'Avg Week Kireka-Kinwataka'!L53</f>
        <v>6</v>
      </c>
      <c r="M53" s="49">
        <f>'Avg Week Kinawataka-Kireka'!M53+'Avg Week Kireka-Kinwataka'!M53</f>
        <v>200.28571428571428</v>
      </c>
      <c r="N53" s="49">
        <f>'Avg Week Kinawataka-Kireka'!N53+'Avg Week Kireka-Kinwataka'!N53</f>
        <v>0</v>
      </c>
      <c r="O53" s="15">
        <f t="shared" si="0"/>
        <v>229.85714285714283</v>
      </c>
      <c r="P53" s="15">
        <f t="shared" si="1"/>
        <v>430.14285714285711</v>
      </c>
      <c r="R53" s="8"/>
      <c r="T53"/>
    </row>
    <row r="54" spans="2:20" ht="23.1" customHeight="1" x14ac:dyDescent="0.25">
      <c r="B54" s="23" t="s">
        <v>81</v>
      </c>
      <c r="C54" s="49">
        <f>'Avg Week Kinawataka-Kireka'!C54+'Avg Week Kireka-Kinwataka'!C54</f>
        <v>95.571428571428569</v>
      </c>
      <c r="D54" s="49">
        <f>'Avg Week Kinawataka-Kireka'!D54+'Avg Week Kireka-Kinwataka'!D54</f>
        <v>30</v>
      </c>
      <c r="E54" s="49">
        <f>'Avg Week Kinawataka-Kireka'!E54+'Avg Week Kireka-Kinwataka'!E54</f>
        <v>19.142857142857142</v>
      </c>
      <c r="F54" s="49">
        <f>'Avg Week Kinawataka-Kireka'!F54+'Avg Week Kireka-Kinwataka'!F54</f>
        <v>31.285714285714285</v>
      </c>
      <c r="G54" s="49">
        <f>'Avg Week Kinawataka-Kireka'!G54+'Avg Week Kireka-Kinwataka'!G54</f>
        <v>2.8571428571428568</v>
      </c>
      <c r="H54" s="49">
        <f>'Avg Week Kinawataka-Kireka'!H54+'Avg Week Kireka-Kinwataka'!H54</f>
        <v>0.42857142857142855</v>
      </c>
      <c r="I54" s="49">
        <f>'Avg Week Kinawataka-Kireka'!I54+'Avg Week Kireka-Kinwataka'!I54</f>
        <v>14.428571428571429</v>
      </c>
      <c r="J54" s="49">
        <f>'Avg Week Kinawataka-Kireka'!J54+'Avg Week Kireka-Kinwataka'!J54</f>
        <v>8.4285714285714288</v>
      </c>
      <c r="K54" s="49">
        <f>'Avg Week Kinawataka-Kireka'!K54+'Avg Week Kireka-Kinwataka'!K54</f>
        <v>2.4285714285714284</v>
      </c>
      <c r="L54" s="49">
        <f>'Avg Week Kinawataka-Kireka'!L54+'Avg Week Kireka-Kinwataka'!L54</f>
        <v>6.7142857142857144</v>
      </c>
      <c r="M54" s="49">
        <f>'Avg Week Kinawataka-Kireka'!M54+'Avg Week Kireka-Kinwataka'!M54</f>
        <v>237.28571428571428</v>
      </c>
      <c r="N54" s="49">
        <f>'Avg Week Kinawataka-Kireka'!N54+'Avg Week Kireka-Kinwataka'!N54</f>
        <v>0</v>
      </c>
      <c r="O54" s="15">
        <f t="shared" si="0"/>
        <v>211.28571428571425</v>
      </c>
      <c r="P54" s="15">
        <f t="shared" si="1"/>
        <v>448.57142857142856</v>
      </c>
      <c r="R54" s="8"/>
      <c r="T54"/>
    </row>
    <row r="55" spans="2:20" ht="23.1" customHeight="1" x14ac:dyDescent="0.25">
      <c r="B55" s="23" t="s">
        <v>82</v>
      </c>
      <c r="C55" s="49">
        <f>'Avg Week Kinawataka-Kireka'!C55+'Avg Week Kireka-Kinwataka'!C55</f>
        <v>102.71428571428572</v>
      </c>
      <c r="D55" s="49">
        <f>'Avg Week Kinawataka-Kireka'!D55+'Avg Week Kireka-Kinwataka'!D55</f>
        <v>33.428571428571431</v>
      </c>
      <c r="E55" s="49">
        <f>'Avg Week Kinawataka-Kireka'!E55+'Avg Week Kireka-Kinwataka'!E55</f>
        <v>16.428571428571431</v>
      </c>
      <c r="F55" s="49">
        <f>'Avg Week Kinawataka-Kireka'!F55+'Avg Week Kireka-Kinwataka'!F55</f>
        <v>37.571428571428569</v>
      </c>
      <c r="G55" s="49">
        <f>'Avg Week Kinawataka-Kireka'!G55+'Avg Week Kireka-Kinwataka'!G55</f>
        <v>2.7142857142857144</v>
      </c>
      <c r="H55" s="49">
        <f>'Avg Week Kinawataka-Kireka'!H55+'Avg Week Kireka-Kinwataka'!H55</f>
        <v>0.42857142857142855</v>
      </c>
      <c r="I55" s="49">
        <f>'Avg Week Kinawataka-Kireka'!I55+'Avg Week Kireka-Kinwataka'!I55</f>
        <v>13</v>
      </c>
      <c r="J55" s="49">
        <f>'Avg Week Kinawataka-Kireka'!J55+'Avg Week Kireka-Kinwataka'!J55</f>
        <v>10.571428571428573</v>
      </c>
      <c r="K55" s="49">
        <f>'Avg Week Kinawataka-Kireka'!K55+'Avg Week Kireka-Kinwataka'!K55</f>
        <v>6.7142857142857144</v>
      </c>
      <c r="L55" s="49">
        <f>'Avg Week Kinawataka-Kireka'!L55+'Avg Week Kireka-Kinwataka'!L55</f>
        <v>4</v>
      </c>
      <c r="M55" s="49">
        <f>'Avg Week Kinawataka-Kireka'!M55+'Avg Week Kireka-Kinwataka'!M55</f>
        <v>242.85714285714289</v>
      </c>
      <c r="N55" s="49">
        <f>'Avg Week Kinawataka-Kireka'!N55+'Avg Week Kireka-Kinwataka'!N55</f>
        <v>0.14285714285714285</v>
      </c>
      <c r="O55" s="15">
        <f t="shared" si="0"/>
        <v>227.71428571428575</v>
      </c>
      <c r="P55" s="15">
        <f t="shared" si="1"/>
        <v>470.57142857142867</v>
      </c>
      <c r="R55" s="8"/>
      <c r="T55"/>
    </row>
    <row r="56" spans="2:20" ht="23.1" customHeight="1" x14ac:dyDescent="0.25">
      <c r="B56" s="23" t="s">
        <v>83</v>
      </c>
      <c r="C56" s="49">
        <f>'Avg Week Kinawataka-Kireka'!C56+'Avg Week Kireka-Kinwataka'!C56</f>
        <v>118.14285714285714</v>
      </c>
      <c r="D56" s="49">
        <f>'Avg Week Kinawataka-Kireka'!D56+'Avg Week Kireka-Kinwataka'!D56</f>
        <v>31</v>
      </c>
      <c r="E56" s="49">
        <f>'Avg Week Kinawataka-Kireka'!E56+'Avg Week Kireka-Kinwataka'!E56</f>
        <v>26.571428571428573</v>
      </c>
      <c r="F56" s="49">
        <f>'Avg Week Kinawataka-Kireka'!F56+'Avg Week Kireka-Kinwataka'!F56</f>
        <v>46</v>
      </c>
      <c r="G56" s="49">
        <f>'Avg Week Kinawataka-Kireka'!G56+'Avg Week Kireka-Kinwataka'!G56</f>
        <v>4.7142857142857144</v>
      </c>
      <c r="H56" s="49">
        <f>'Avg Week Kinawataka-Kireka'!H56+'Avg Week Kireka-Kinwataka'!H56</f>
        <v>0.2857142857142857</v>
      </c>
      <c r="I56" s="49">
        <f>'Avg Week Kinawataka-Kireka'!I56+'Avg Week Kireka-Kinwataka'!I56</f>
        <v>13.285714285714286</v>
      </c>
      <c r="J56" s="49">
        <f>'Avg Week Kinawataka-Kireka'!J56+'Avg Week Kireka-Kinwataka'!J56</f>
        <v>18.571428571428569</v>
      </c>
      <c r="K56" s="49">
        <f>'Avg Week Kinawataka-Kireka'!K56+'Avg Week Kireka-Kinwataka'!K56</f>
        <v>4.5714285714285712</v>
      </c>
      <c r="L56" s="49">
        <f>'Avg Week Kinawataka-Kireka'!L56+'Avg Week Kireka-Kinwataka'!L56</f>
        <v>5.5714285714285712</v>
      </c>
      <c r="M56" s="49">
        <f>'Avg Week Kinawataka-Kireka'!M56+'Avg Week Kireka-Kinwataka'!M56</f>
        <v>254.42857142857144</v>
      </c>
      <c r="N56" s="49">
        <f>'Avg Week Kinawataka-Kireka'!N56+'Avg Week Kireka-Kinwataka'!N56</f>
        <v>0</v>
      </c>
      <c r="O56" s="15">
        <f t="shared" si="0"/>
        <v>268.71428571428567</v>
      </c>
      <c r="P56" s="15">
        <f t="shared" si="1"/>
        <v>523.14285714285711</v>
      </c>
      <c r="R56" s="8"/>
      <c r="T56"/>
    </row>
    <row r="57" spans="2:20" ht="23.1" customHeight="1" x14ac:dyDescent="0.25">
      <c r="B57" s="23" t="s">
        <v>84</v>
      </c>
      <c r="C57" s="49">
        <f>'Avg Week Kinawataka-Kireka'!C57+'Avg Week Kireka-Kinwataka'!C57</f>
        <v>102</v>
      </c>
      <c r="D57" s="49">
        <f>'Avg Week Kinawataka-Kireka'!D57+'Avg Week Kireka-Kinwataka'!D57</f>
        <v>29.714285714285715</v>
      </c>
      <c r="E57" s="49">
        <f>'Avg Week Kinawataka-Kireka'!E57+'Avg Week Kireka-Kinwataka'!E57</f>
        <v>11.857142857142858</v>
      </c>
      <c r="F57" s="49">
        <f>'Avg Week Kinawataka-Kireka'!F57+'Avg Week Kireka-Kinwataka'!F57</f>
        <v>40.714285714285715</v>
      </c>
      <c r="G57" s="49">
        <f>'Avg Week Kinawataka-Kireka'!G57+'Avg Week Kireka-Kinwataka'!G57</f>
        <v>3.2857142857142856</v>
      </c>
      <c r="H57" s="49">
        <f>'Avg Week Kinawataka-Kireka'!H57+'Avg Week Kireka-Kinwataka'!H57</f>
        <v>0.2857142857142857</v>
      </c>
      <c r="I57" s="49">
        <f>'Avg Week Kinawataka-Kireka'!I57+'Avg Week Kireka-Kinwataka'!I57</f>
        <v>11.714285714285715</v>
      </c>
      <c r="J57" s="49">
        <f>'Avg Week Kinawataka-Kireka'!J57+'Avg Week Kireka-Kinwataka'!J57</f>
        <v>6.2857142857142856</v>
      </c>
      <c r="K57" s="49">
        <f>'Avg Week Kinawataka-Kireka'!K57+'Avg Week Kireka-Kinwataka'!K57</f>
        <v>3.1428571428571428</v>
      </c>
      <c r="L57" s="49">
        <f>'Avg Week Kinawataka-Kireka'!L57+'Avg Week Kireka-Kinwataka'!L57</f>
        <v>4.8571428571428577</v>
      </c>
      <c r="M57" s="49">
        <f>'Avg Week Kinawataka-Kireka'!M57+'Avg Week Kireka-Kinwataka'!M57</f>
        <v>256.42857142857144</v>
      </c>
      <c r="N57" s="49">
        <f>'Avg Week Kinawataka-Kireka'!N57+'Avg Week Kireka-Kinwataka'!N57</f>
        <v>0</v>
      </c>
      <c r="O57" s="15">
        <f t="shared" si="0"/>
        <v>213.85714285714286</v>
      </c>
      <c r="P57" s="15">
        <f t="shared" si="1"/>
        <v>470.28571428571433</v>
      </c>
      <c r="R57" s="8"/>
      <c r="T57"/>
    </row>
    <row r="58" spans="2:20" ht="23.1" customHeight="1" x14ac:dyDescent="0.25">
      <c r="B58" s="23" t="s">
        <v>99</v>
      </c>
      <c r="C58" s="49">
        <f>'Avg Week Kinawataka-Kireka'!C58+'Avg Week Kireka-Kinwataka'!C58</f>
        <v>92</v>
      </c>
      <c r="D58" s="49">
        <f>'Avg Week Kinawataka-Kireka'!D58+'Avg Week Kireka-Kinwataka'!D58</f>
        <v>14</v>
      </c>
      <c r="E58" s="49">
        <f>'Avg Week Kinawataka-Kireka'!E58+'Avg Week Kireka-Kinwataka'!E58</f>
        <v>15.5</v>
      </c>
      <c r="F58" s="49">
        <f>'Avg Week Kinawataka-Kireka'!F58+'Avg Week Kireka-Kinwataka'!F58</f>
        <v>35</v>
      </c>
      <c r="G58" s="49">
        <f>'Avg Week Kinawataka-Kireka'!G58+'Avg Week Kireka-Kinwataka'!G58</f>
        <v>9</v>
      </c>
      <c r="H58" s="49">
        <f>'Avg Week Kinawataka-Kireka'!H58+'Avg Week Kireka-Kinwataka'!H58</f>
        <v>0.5</v>
      </c>
      <c r="I58" s="49">
        <f>'Avg Week Kinawataka-Kireka'!I58+'Avg Week Kireka-Kinwataka'!I58</f>
        <v>13</v>
      </c>
      <c r="J58" s="49">
        <f>'Avg Week Kinawataka-Kireka'!J58+'Avg Week Kireka-Kinwataka'!J58</f>
        <v>3</v>
      </c>
      <c r="K58" s="49">
        <f>'Avg Week Kinawataka-Kireka'!K58+'Avg Week Kireka-Kinwataka'!K58</f>
        <v>4</v>
      </c>
      <c r="L58" s="49">
        <f>'Avg Week Kinawataka-Kireka'!L58+'Avg Week Kireka-Kinwataka'!L58</f>
        <v>4</v>
      </c>
      <c r="M58" s="49">
        <f>'Avg Week Kinawataka-Kireka'!M58+'Avg Week Kireka-Kinwataka'!M58</f>
        <v>226.5</v>
      </c>
      <c r="N58" s="49">
        <f>'Avg Week Kinawataka-Kireka'!N58+'Avg Week Kireka-Kinwataka'!N58</f>
        <v>0</v>
      </c>
      <c r="O58" s="49">
        <f>'Avg Week Kinawataka-Kireka'!O58+'Avg Week Kireka-Kinwataka'!O58</f>
        <v>190</v>
      </c>
      <c r="P58" s="49">
        <f>'Avg Week Kinawataka-Kireka'!P58+'Avg Week Kireka-Kinwataka'!P58</f>
        <v>416.5</v>
      </c>
      <c r="R58" s="8"/>
      <c r="T58"/>
    </row>
    <row r="59" spans="2:20" ht="23.1" customHeight="1" x14ac:dyDescent="0.25">
      <c r="B59" s="23" t="s">
        <v>100</v>
      </c>
      <c r="C59" s="49">
        <f>'Avg Week Kinawataka-Kireka'!C59+'Avg Week Kireka-Kinwataka'!C59</f>
        <v>86</v>
      </c>
      <c r="D59" s="49">
        <f>'Avg Week Kinawataka-Kireka'!D59+'Avg Week Kireka-Kinwataka'!D59</f>
        <v>16</v>
      </c>
      <c r="E59" s="49">
        <f>'Avg Week Kinawataka-Kireka'!E59+'Avg Week Kireka-Kinwataka'!E59</f>
        <v>14</v>
      </c>
      <c r="F59" s="49">
        <f>'Avg Week Kinawataka-Kireka'!F59+'Avg Week Kireka-Kinwataka'!F59</f>
        <v>26</v>
      </c>
      <c r="G59" s="49">
        <f>'Avg Week Kinawataka-Kireka'!G59+'Avg Week Kireka-Kinwataka'!G59</f>
        <v>1.5</v>
      </c>
      <c r="H59" s="49">
        <f>'Avg Week Kinawataka-Kireka'!H59+'Avg Week Kireka-Kinwataka'!H59</f>
        <v>0</v>
      </c>
      <c r="I59" s="49">
        <f>'Avg Week Kinawataka-Kireka'!I59+'Avg Week Kireka-Kinwataka'!I59</f>
        <v>5.5</v>
      </c>
      <c r="J59" s="49">
        <f>'Avg Week Kinawataka-Kireka'!J59+'Avg Week Kireka-Kinwataka'!J59</f>
        <v>5</v>
      </c>
      <c r="K59" s="49">
        <f>'Avg Week Kinawataka-Kireka'!K59+'Avg Week Kireka-Kinwataka'!K59</f>
        <v>3.5</v>
      </c>
      <c r="L59" s="49">
        <f>'Avg Week Kinawataka-Kireka'!L59+'Avg Week Kireka-Kinwataka'!L59</f>
        <v>3.5</v>
      </c>
      <c r="M59" s="49">
        <f>'Avg Week Kinawataka-Kireka'!M59+'Avg Week Kireka-Kinwataka'!M59</f>
        <v>308</v>
      </c>
      <c r="N59" s="49">
        <f>'Avg Week Kinawataka-Kireka'!N59+'Avg Week Kireka-Kinwataka'!N59</f>
        <v>0</v>
      </c>
      <c r="O59" s="49">
        <f>'Avg Week Kinawataka-Kireka'!O59+'Avg Week Kireka-Kinwataka'!O59</f>
        <v>161</v>
      </c>
      <c r="P59" s="49">
        <f>'Avg Week Kinawataka-Kireka'!P59+'Avg Week Kireka-Kinwataka'!P59</f>
        <v>469</v>
      </c>
      <c r="R59" s="8"/>
      <c r="T59"/>
    </row>
    <row r="60" spans="2:20" ht="23.1" customHeight="1" x14ac:dyDescent="0.25">
      <c r="B60" s="23" t="s">
        <v>101</v>
      </c>
      <c r="C60" s="49">
        <f>'Avg Week Kinawataka-Kireka'!C60+'Avg Week Kireka-Kinwataka'!C60</f>
        <v>118</v>
      </c>
      <c r="D60" s="49">
        <f>'Avg Week Kinawataka-Kireka'!D60+'Avg Week Kireka-Kinwataka'!D60</f>
        <v>17</v>
      </c>
      <c r="E60" s="49">
        <f>'Avg Week Kinawataka-Kireka'!E60+'Avg Week Kireka-Kinwataka'!E60</f>
        <v>14.5</v>
      </c>
      <c r="F60" s="49">
        <f>'Avg Week Kinawataka-Kireka'!F60+'Avg Week Kireka-Kinwataka'!F60</f>
        <v>32</v>
      </c>
      <c r="G60" s="49">
        <f>'Avg Week Kinawataka-Kireka'!G60+'Avg Week Kireka-Kinwataka'!G60</f>
        <v>3.5</v>
      </c>
      <c r="H60" s="49">
        <f>'Avg Week Kinawataka-Kireka'!H60+'Avg Week Kireka-Kinwataka'!H60</f>
        <v>0.5</v>
      </c>
      <c r="I60" s="49">
        <f>'Avg Week Kinawataka-Kireka'!I60+'Avg Week Kireka-Kinwataka'!I60</f>
        <v>9</v>
      </c>
      <c r="J60" s="49">
        <f>'Avg Week Kinawataka-Kireka'!J60+'Avg Week Kireka-Kinwataka'!J60</f>
        <v>7.5</v>
      </c>
      <c r="K60" s="49">
        <f>'Avg Week Kinawataka-Kireka'!K60+'Avg Week Kireka-Kinwataka'!K60</f>
        <v>1.5</v>
      </c>
      <c r="L60" s="49">
        <f>'Avg Week Kinawataka-Kireka'!L60+'Avg Week Kireka-Kinwataka'!L60</f>
        <v>1.5</v>
      </c>
      <c r="M60" s="49">
        <f>'Avg Week Kinawataka-Kireka'!M60+'Avg Week Kireka-Kinwataka'!M60</f>
        <v>356.5</v>
      </c>
      <c r="N60" s="49">
        <f>'Avg Week Kinawataka-Kireka'!N60+'Avg Week Kireka-Kinwataka'!N60</f>
        <v>0</v>
      </c>
      <c r="O60" s="49">
        <f>'Avg Week Kinawataka-Kireka'!O60+'Avg Week Kireka-Kinwataka'!O60</f>
        <v>205</v>
      </c>
      <c r="P60" s="49">
        <f>'Avg Week Kinawataka-Kireka'!P60+'Avg Week Kireka-Kinwataka'!P60</f>
        <v>561.5</v>
      </c>
      <c r="R60" s="8"/>
      <c r="T60"/>
    </row>
    <row r="61" spans="2:20" ht="23.1" customHeight="1" x14ac:dyDescent="0.25">
      <c r="B61" s="23" t="s">
        <v>102</v>
      </c>
      <c r="C61" s="49">
        <f>'Avg Week Kinawataka-Kireka'!C61+'Avg Week Kireka-Kinwataka'!C61</f>
        <v>117</v>
      </c>
      <c r="D61" s="49">
        <f>'Avg Week Kinawataka-Kireka'!D61+'Avg Week Kireka-Kinwataka'!D61</f>
        <v>16</v>
      </c>
      <c r="E61" s="49">
        <f>'Avg Week Kinawataka-Kireka'!E61+'Avg Week Kireka-Kinwataka'!E61</f>
        <v>14</v>
      </c>
      <c r="F61" s="49">
        <f>'Avg Week Kinawataka-Kireka'!F61+'Avg Week Kireka-Kinwataka'!F61</f>
        <v>32.5</v>
      </c>
      <c r="G61" s="49">
        <f>'Avg Week Kinawataka-Kireka'!G61+'Avg Week Kireka-Kinwataka'!G61</f>
        <v>4.5</v>
      </c>
      <c r="H61" s="49">
        <f>'Avg Week Kinawataka-Kireka'!H61+'Avg Week Kireka-Kinwataka'!H61</f>
        <v>0.5</v>
      </c>
      <c r="I61" s="49">
        <f>'Avg Week Kinawataka-Kireka'!I61+'Avg Week Kireka-Kinwataka'!I61</f>
        <v>9</v>
      </c>
      <c r="J61" s="49">
        <f>'Avg Week Kinawataka-Kireka'!J61+'Avg Week Kireka-Kinwataka'!J61</f>
        <v>7.5</v>
      </c>
      <c r="K61" s="49">
        <f>'Avg Week Kinawataka-Kireka'!K61+'Avg Week Kireka-Kinwataka'!K61</f>
        <v>0.5</v>
      </c>
      <c r="L61" s="49">
        <f>'Avg Week Kinawataka-Kireka'!L61+'Avg Week Kireka-Kinwataka'!L61</f>
        <v>2</v>
      </c>
      <c r="M61" s="49">
        <f>'Avg Week Kinawataka-Kireka'!M61+'Avg Week Kireka-Kinwataka'!M61</f>
        <v>439.5</v>
      </c>
      <c r="N61" s="49">
        <f>'Avg Week Kinawataka-Kireka'!N61+'Avg Week Kireka-Kinwataka'!N61</f>
        <v>0</v>
      </c>
      <c r="O61" s="49">
        <f>'Avg Week Kinawataka-Kireka'!O61+'Avg Week Kireka-Kinwataka'!O61</f>
        <v>203.5</v>
      </c>
      <c r="P61" s="49">
        <f>'Avg Week Kinawataka-Kireka'!P61+'Avg Week Kireka-Kinwataka'!P61</f>
        <v>643</v>
      </c>
      <c r="R61" s="8"/>
      <c r="T61"/>
    </row>
    <row r="62" spans="2:20" ht="23.1" customHeight="1" x14ac:dyDescent="0.25">
      <c r="B62" s="23" t="s">
        <v>107</v>
      </c>
      <c r="C62" s="49">
        <f>'Avg Week Kinawataka-Kireka'!C62+'Avg Week Kireka-Kinwataka'!C62</f>
        <v>118</v>
      </c>
      <c r="D62" s="49">
        <f>'Avg Week Kinawataka-Kireka'!D62+'Avg Week Kireka-Kinwataka'!D62</f>
        <v>16</v>
      </c>
      <c r="E62" s="49">
        <f>'Avg Week Kinawataka-Kireka'!E62+'Avg Week Kireka-Kinwataka'!E62</f>
        <v>14</v>
      </c>
      <c r="F62" s="49">
        <f>'Avg Week Kinawataka-Kireka'!F62+'Avg Week Kireka-Kinwataka'!F62</f>
        <v>43</v>
      </c>
      <c r="G62" s="49">
        <f>'Avg Week Kinawataka-Kireka'!G62+'Avg Week Kireka-Kinwataka'!G62</f>
        <v>6.5</v>
      </c>
      <c r="H62" s="49">
        <f>'Avg Week Kinawataka-Kireka'!H62+'Avg Week Kireka-Kinwataka'!H62</f>
        <v>0</v>
      </c>
      <c r="I62" s="49">
        <f>'Avg Week Kinawataka-Kireka'!I62+'Avg Week Kireka-Kinwataka'!I62</f>
        <v>7.5</v>
      </c>
      <c r="J62" s="49">
        <f>'Avg Week Kinawataka-Kireka'!J62+'Avg Week Kireka-Kinwataka'!J62</f>
        <v>4.5</v>
      </c>
      <c r="K62" s="49">
        <f>'Avg Week Kinawataka-Kireka'!K62+'Avg Week Kireka-Kinwataka'!K62</f>
        <v>2</v>
      </c>
      <c r="L62" s="49">
        <f>'Avg Week Kinawataka-Kireka'!L62+'Avg Week Kireka-Kinwataka'!L62</f>
        <v>2.5</v>
      </c>
      <c r="M62" s="49">
        <f>'Avg Week Kinawataka-Kireka'!M62+'Avg Week Kireka-Kinwataka'!M62</f>
        <v>378.5</v>
      </c>
      <c r="N62" s="49">
        <f>'Avg Week Kinawataka-Kireka'!N62+'Avg Week Kireka-Kinwataka'!N62</f>
        <v>0</v>
      </c>
      <c r="O62" s="49">
        <f>'Avg Week Kinawataka-Kireka'!O62+'Avg Week Kireka-Kinwataka'!O62</f>
        <v>214</v>
      </c>
      <c r="P62" s="49">
        <f>'Avg Week Kinawataka-Kireka'!P62+'Avg Week Kireka-Kinwataka'!P62</f>
        <v>592.5</v>
      </c>
      <c r="R62" s="8"/>
      <c r="T62"/>
    </row>
    <row r="63" spans="2:20" ht="23.1" customHeight="1" x14ac:dyDescent="0.25">
      <c r="B63" s="23" t="s">
        <v>108</v>
      </c>
      <c r="C63" s="49">
        <f>'Avg Week Kinawataka-Kireka'!C63+'Avg Week Kireka-Kinwataka'!C63</f>
        <v>106</v>
      </c>
      <c r="D63" s="49">
        <f>'Avg Week Kinawataka-Kireka'!D63+'Avg Week Kireka-Kinwataka'!D63</f>
        <v>11</v>
      </c>
      <c r="E63" s="49">
        <f>'Avg Week Kinawataka-Kireka'!E63+'Avg Week Kireka-Kinwataka'!E63</f>
        <v>9.5</v>
      </c>
      <c r="F63" s="49">
        <f>'Avg Week Kinawataka-Kireka'!F63+'Avg Week Kireka-Kinwataka'!F63</f>
        <v>27</v>
      </c>
      <c r="G63" s="49">
        <f>'Avg Week Kinawataka-Kireka'!G63+'Avg Week Kireka-Kinwataka'!G63</f>
        <v>5.5</v>
      </c>
      <c r="H63" s="49">
        <f>'Avg Week Kinawataka-Kireka'!H63+'Avg Week Kireka-Kinwataka'!H63</f>
        <v>1</v>
      </c>
      <c r="I63" s="49">
        <f>'Avg Week Kinawataka-Kireka'!I63+'Avg Week Kireka-Kinwataka'!I63</f>
        <v>7.5</v>
      </c>
      <c r="J63" s="49">
        <f>'Avg Week Kinawataka-Kireka'!J63+'Avg Week Kireka-Kinwataka'!J63</f>
        <v>2.5</v>
      </c>
      <c r="K63" s="49">
        <f>'Avg Week Kinawataka-Kireka'!K63+'Avg Week Kireka-Kinwataka'!K63</f>
        <v>0.5</v>
      </c>
      <c r="L63" s="49">
        <f>'Avg Week Kinawataka-Kireka'!L63+'Avg Week Kireka-Kinwataka'!L63</f>
        <v>1.5</v>
      </c>
      <c r="M63" s="49">
        <f>'Avg Week Kinawataka-Kireka'!M63+'Avg Week Kireka-Kinwataka'!M63</f>
        <v>400.5</v>
      </c>
      <c r="N63" s="49">
        <f>'Avg Week Kinawataka-Kireka'!N63+'Avg Week Kireka-Kinwataka'!N63</f>
        <v>0</v>
      </c>
      <c r="O63" s="49">
        <f>'Avg Week Kinawataka-Kireka'!O63+'Avg Week Kireka-Kinwataka'!O63</f>
        <v>172</v>
      </c>
      <c r="P63" s="49">
        <f>'Avg Week Kinawataka-Kireka'!P63+'Avg Week Kireka-Kinwataka'!P63</f>
        <v>572.5</v>
      </c>
      <c r="R63" s="8"/>
      <c r="T63"/>
    </row>
    <row r="64" spans="2:20" ht="23.1" customHeight="1" x14ac:dyDescent="0.25">
      <c r="B64" s="23" t="s">
        <v>109</v>
      </c>
      <c r="C64" s="49">
        <f>'Avg Week Kinawataka-Kireka'!C64+'Avg Week Kireka-Kinwataka'!C64</f>
        <v>96</v>
      </c>
      <c r="D64" s="49">
        <f>'Avg Week Kinawataka-Kireka'!D64+'Avg Week Kireka-Kinwataka'!D64</f>
        <v>9</v>
      </c>
      <c r="E64" s="49">
        <f>'Avg Week Kinawataka-Kireka'!E64+'Avg Week Kireka-Kinwataka'!E64</f>
        <v>7.5</v>
      </c>
      <c r="F64" s="49">
        <f>'Avg Week Kinawataka-Kireka'!F64+'Avg Week Kireka-Kinwataka'!F64</f>
        <v>23.5</v>
      </c>
      <c r="G64" s="49">
        <f>'Avg Week Kinawataka-Kireka'!G64+'Avg Week Kireka-Kinwataka'!G64</f>
        <v>2.5</v>
      </c>
      <c r="H64" s="49">
        <f>'Avg Week Kinawataka-Kireka'!H64+'Avg Week Kireka-Kinwataka'!H64</f>
        <v>0.5</v>
      </c>
      <c r="I64" s="49">
        <f>'Avg Week Kinawataka-Kireka'!I64+'Avg Week Kireka-Kinwataka'!I64</f>
        <v>5.5</v>
      </c>
      <c r="J64" s="49">
        <f>'Avg Week Kinawataka-Kireka'!J64+'Avg Week Kireka-Kinwataka'!J64</f>
        <v>4</v>
      </c>
      <c r="K64" s="49">
        <f>'Avg Week Kinawataka-Kireka'!K64+'Avg Week Kireka-Kinwataka'!K64</f>
        <v>0.5</v>
      </c>
      <c r="L64" s="49">
        <f>'Avg Week Kinawataka-Kireka'!L64+'Avg Week Kireka-Kinwataka'!L64</f>
        <v>2.5</v>
      </c>
      <c r="M64" s="49">
        <f>'Avg Week Kinawataka-Kireka'!M64+'Avg Week Kireka-Kinwataka'!M64</f>
        <v>329</v>
      </c>
      <c r="N64" s="49">
        <f>'Avg Week Kinawataka-Kireka'!N64+'Avg Week Kireka-Kinwataka'!N64</f>
        <v>0</v>
      </c>
      <c r="O64" s="49">
        <f>'Avg Week Kinawataka-Kireka'!O64+'Avg Week Kireka-Kinwataka'!O64</f>
        <v>151.5</v>
      </c>
      <c r="P64" s="49">
        <f>'Avg Week Kinawataka-Kireka'!P64+'Avg Week Kireka-Kinwataka'!P64</f>
        <v>480.5</v>
      </c>
      <c r="R64" s="8"/>
      <c r="T64"/>
    </row>
    <row r="65" spans="2:20" ht="23.1" customHeight="1" x14ac:dyDescent="0.25">
      <c r="B65" s="23" t="s">
        <v>158</v>
      </c>
      <c r="C65" s="49">
        <f>'Avg Week Kinawataka-Kireka'!C65+'Avg Week Kireka-Kinwataka'!C65</f>
        <v>116</v>
      </c>
      <c r="D65" s="49">
        <f>'Avg Week Kinawataka-Kireka'!D65+'Avg Week Kireka-Kinwataka'!D65</f>
        <v>16.5</v>
      </c>
      <c r="E65" s="49">
        <f>'Avg Week Kinawataka-Kireka'!E65+'Avg Week Kireka-Kinwataka'!E65</f>
        <v>14.5</v>
      </c>
      <c r="F65" s="49">
        <f>'Avg Week Kinawataka-Kireka'!F65+'Avg Week Kireka-Kinwataka'!F65</f>
        <v>34.5</v>
      </c>
      <c r="G65" s="49">
        <f>'Avg Week Kinawataka-Kireka'!G65+'Avg Week Kireka-Kinwataka'!G65</f>
        <v>4.5</v>
      </c>
      <c r="H65" s="49">
        <f>'Avg Week Kinawataka-Kireka'!H65+'Avg Week Kireka-Kinwataka'!H65</f>
        <v>0</v>
      </c>
      <c r="I65" s="49">
        <f>'Avg Week Kinawataka-Kireka'!I65+'Avg Week Kireka-Kinwataka'!I65</f>
        <v>8</v>
      </c>
      <c r="J65" s="49">
        <f>'Avg Week Kinawataka-Kireka'!J65+'Avg Week Kireka-Kinwataka'!J65</f>
        <v>6</v>
      </c>
      <c r="K65" s="49">
        <f>'Avg Week Kinawataka-Kireka'!K65+'Avg Week Kireka-Kinwataka'!K65</f>
        <v>1</v>
      </c>
      <c r="L65" s="49">
        <f>'Avg Week Kinawataka-Kireka'!L65+'Avg Week Kireka-Kinwataka'!L65</f>
        <v>0</v>
      </c>
      <c r="M65" s="49">
        <f>'Avg Week Kinawataka-Kireka'!M65+'Avg Week Kireka-Kinwataka'!M65</f>
        <v>363.5</v>
      </c>
      <c r="N65" s="49">
        <f>'Avg Week Kinawataka-Kireka'!N65+'Avg Week Kireka-Kinwataka'!N65</f>
        <v>0</v>
      </c>
      <c r="O65" s="49">
        <f>'Avg Week Kinawataka-Kireka'!O65+'Avg Week Kireka-Kinwataka'!O65</f>
        <v>201</v>
      </c>
      <c r="P65" s="49">
        <f>'Avg Week Kinawataka-Kireka'!P65+'Avg Week Kireka-Kinwataka'!P65</f>
        <v>564.5</v>
      </c>
      <c r="R65" s="8"/>
      <c r="T65"/>
    </row>
    <row r="66" spans="2:20" ht="23.1" customHeight="1" x14ac:dyDescent="0.25">
      <c r="B66" s="23" t="s">
        <v>103</v>
      </c>
      <c r="C66" s="49">
        <f>'Avg Week Kinawataka-Kireka'!C66+'Avg Week Kireka-Kinwataka'!C66</f>
        <v>81</v>
      </c>
      <c r="D66" s="49">
        <f>'Avg Week Kinawataka-Kireka'!D66+'Avg Week Kireka-Kinwataka'!D66</f>
        <v>21</v>
      </c>
      <c r="E66" s="49">
        <f>'Avg Week Kinawataka-Kireka'!E66+'Avg Week Kireka-Kinwataka'!E66</f>
        <v>14</v>
      </c>
      <c r="F66" s="49">
        <f>'Avg Week Kinawataka-Kireka'!F66+'Avg Week Kireka-Kinwataka'!F66</f>
        <v>26</v>
      </c>
      <c r="G66" s="49">
        <f>'Avg Week Kinawataka-Kireka'!G66+'Avg Week Kireka-Kinwataka'!G66</f>
        <v>2</v>
      </c>
      <c r="H66" s="49">
        <f>'Avg Week Kinawataka-Kireka'!H66+'Avg Week Kireka-Kinwataka'!H66</f>
        <v>0</v>
      </c>
      <c r="I66" s="49">
        <f>'Avg Week Kinawataka-Kireka'!I66+'Avg Week Kireka-Kinwataka'!I66</f>
        <v>7.5</v>
      </c>
      <c r="J66" s="49">
        <f>'Avg Week Kinawataka-Kireka'!J66+'Avg Week Kireka-Kinwataka'!J66</f>
        <v>5</v>
      </c>
      <c r="K66" s="49">
        <f>'Avg Week Kinawataka-Kireka'!K66+'Avg Week Kireka-Kinwataka'!K66</f>
        <v>1</v>
      </c>
      <c r="L66" s="49">
        <f>'Avg Week Kinawataka-Kireka'!L66+'Avg Week Kireka-Kinwataka'!L66</f>
        <v>1.5</v>
      </c>
      <c r="M66" s="49">
        <f>'Avg Week Kinawataka-Kireka'!M66+'Avg Week Kireka-Kinwataka'!M66</f>
        <v>297.5</v>
      </c>
      <c r="N66" s="49">
        <f>'Avg Week Kinawataka-Kireka'!N66+'Avg Week Kireka-Kinwataka'!N66</f>
        <v>0</v>
      </c>
      <c r="O66" s="49">
        <f>'Avg Week Kinawataka-Kireka'!O66+'Avg Week Kireka-Kinwataka'!O66</f>
        <v>159</v>
      </c>
      <c r="P66" s="49">
        <f>'Avg Week Kinawataka-Kireka'!P66+'Avg Week Kireka-Kinwataka'!P66</f>
        <v>456.5</v>
      </c>
      <c r="R66" s="8"/>
      <c r="T66"/>
    </row>
    <row r="67" spans="2:20" ht="23.1" customHeight="1" x14ac:dyDescent="0.25">
      <c r="B67" s="23" t="s">
        <v>104</v>
      </c>
      <c r="C67" s="49">
        <f>'Avg Week Kinawataka-Kireka'!C67+'Avg Week Kireka-Kinwataka'!C67</f>
        <v>106</v>
      </c>
      <c r="D67" s="49">
        <f>'Avg Week Kinawataka-Kireka'!D67+'Avg Week Kireka-Kinwataka'!D67</f>
        <v>12</v>
      </c>
      <c r="E67" s="49">
        <f>'Avg Week Kinawataka-Kireka'!E67+'Avg Week Kireka-Kinwataka'!E67</f>
        <v>11</v>
      </c>
      <c r="F67" s="49">
        <f>'Avg Week Kinawataka-Kireka'!F67+'Avg Week Kireka-Kinwataka'!F67</f>
        <v>28.5</v>
      </c>
      <c r="G67" s="49">
        <f>'Avg Week Kinawataka-Kireka'!G67+'Avg Week Kireka-Kinwataka'!G67</f>
        <v>6</v>
      </c>
      <c r="H67" s="49">
        <f>'Avg Week Kinawataka-Kireka'!H67+'Avg Week Kireka-Kinwataka'!H67</f>
        <v>0.5</v>
      </c>
      <c r="I67" s="49">
        <f>'Avg Week Kinawataka-Kireka'!I67+'Avg Week Kireka-Kinwataka'!I67</f>
        <v>11</v>
      </c>
      <c r="J67" s="49">
        <f>'Avg Week Kinawataka-Kireka'!J67+'Avg Week Kireka-Kinwataka'!J67</f>
        <v>4</v>
      </c>
      <c r="K67" s="49">
        <f>'Avg Week Kinawataka-Kireka'!K67+'Avg Week Kireka-Kinwataka'!K67</f>
        <v>1.5</v>
      </c>
      <c r="L67" s="49">
        <f>'Avg Week Kinawataka-Kireka'!L67+'Avg Week Kireka-Kinwataka'!L67</f>
        <v>4</v>
      </c>
      <c r="M67" s="49">
        <f>'Avg Week Kinawataka-Kireka'!M67+'Avg Week Kireka-Kinwataka'!M67</f>
        <v>296.5</v>
      </c>
      <c r="N67" s="49">
        <f>'Avg Week Kinawataka-Kireka'!N67+'Avg Week Kireka-Kinwataka'!N67</f>
        <v>0</v>
      </c>
      <c r="O67" s="49">
        <f>'Avg Week Kinawataka-Kireka'!O67+'Avg Week Kireka-Kinwataka'!O67</f>
        <v>184.5</v>
      </c>
      <c r="P67" s="49">
        <f>'Avg Week Kinawataka-Kireka'!P67+'Avg Week Kireka-Kinwataka'!P67</f>
        <v>481</v>
      </c>
      <c r="R67" s="8"/>
      <c r="T67"/>
    </row>
    <row r="68" spans="2:20" ht="23.1" customHeight="1" x14ac:dyDescent="0.25">
      <c r="B68" s="23" t="s">
        <v>105</v>
      </c>
      <c r="C68" s="49">
        <f>'Avg Week Kinawataka-Kireka'!C68+'Avg Week Kireka-Kinwataka'!C68</f>
        <v>119</v>
      </c>
      <c r="D68" s="49">
        <f>'Avg Week Kinawataka-Kireka'!D68+'Avg Week Kireka-Kinwataka'!D68</f>
        <v>17</v>
      </c>
      <c r="E68" s="49">
        <f>'Avg Week Kinawataka-Kireka'!E68+'Avg Week Kireka-Kinwataka'!E68</f>
        <v>15</v>
      </c>
      <c r="F68" s="49">
        <f>'Avg Week Kinawataka-Kireka'!F68+'Avg Week Kireka-Kinwataka'!F68</f>
        <v>39.5</v>
      </c>
      <c r="G68" s="49">
        <f>'Avg Week Kinawataka-Kireka'!G68+'Avg Week Kireka-Kinwataka'!G68</f>
        <v>5</v>
      </c>
      <c r="H68" s="49">
        <f>'Avg Week Kinawataka-Kireka'!H68+'Avg Week Kireka-Kinwataka'!H68</f>
        <v>0</v>
      </c>
      <c r="I68" s="49">
        <f>'Avg Week Kinawataka-Kireka'!I68+'Avg Week Kireka-Kinwataka'!I68</f>
        <v>11</v>
      </c>
      <c r="J68" s="49">
        <f>'Avg Week Kinawataka-Kireka'!J68+'Avg Week Kireka-Kinwataka'!J68</f>
        <v>1.5</v>
      </c>
      <c r="K68" s="49">
        <f>'Avg Week Kinawataka-Kireka'!K68+'Avg Week Kireka-Kinwataka'!K68</f>
        <v>1</v>
      </c>
      <c r="L68" s="49">
        <f>'Avg Week Kinawataka-Kireka'!L68+'Avg Week Kireka-Kinwataka'!L68</f>
        <v>2</v>
      </c>
      <c r="M68" s="49">
        <f>'Avg Week Kinawataka-Kireka'!M68+'Avg Week Kireka-Kinwataka'!M68</f>
        <v>289</v>
      </c>
      <c r="N68" s="49">
        <f>'Avg Week Kinawataka-Kireka'!N68+'Avg Week Kireka-Kinwataka'!N68</f>
        <v>0</v>
      </c>
      <c r="O68" s="49">
        <f>'Avg Week Kinawataka-Kireka'!O68+'Avg Week Kireka-Kinwataka'!O68</f>
        <v>211</v>
      </c>
      <c r="P68" s="49">
        <f>'Avg Week Kinawataka-Kireka'!P68+'Avg Week Kireka-Kinwataka'!P68</f>
        <v>500</v>
      </c>
      <c r="R68" s="8"/>
      <c r="T68"/>
    </row>
    <row r="69" spans="2:20" ht="23.1" customHeight="1" x14ac:dyDescent="0.25">
      <c r="B69" s="23" t="s">
        <v>106</v>
      </c>
      <c r="C69" s="49">
        <f>'Avg Week Kinawataka-Kireka'!C69+'Avg Week Kireka-Kinwataka'!C69</f>
        <v>145.5</v>
      </c>
      <c r="D69" s="49">
        <f>'Avg Week Kinawataka-Kireka'!D69+'Avg Week Kireka-Kinwataka'!D69</f>
        <v>16.5</v>
      </c>
      <c r="E69" s="49">
        <f>'Avg Week Kinawataka-Kireka'!E69+'Avg Week Kireka-Kinwataka'!E69</f>
        <v>11</v>
      </c>
      <c r="F69" s="49">
        <f>'Avg Week Kinawataka-Kireka'!F69+'Avg Week Kireka-Kinwataka'!F69</f>
        <v>38</v>
      </c>
      <c r="G69" s="49">
        <f>'Avg Week Kinawataka-Kireka'!G69+'Avg Week Kireka-Kinwataka'!G69</f>
        <v>3.5</v>
      </c>
      <c r="H69" s="49">
        <f>'Avg Week Kinawataka-Kireka'!H69+'Avg Week Kireka-Kinwataka'!H69</f>
        <v>0</v>
      </c>
      <c r="I69" s="49">
        <f>'Avg Week Kinawataka-Kireka'!I69+'Avg Week Kireka-Kinwataka'!I69</f>
        <v>6.5</v>
      </c>
      <c r="J69" s="49">
        <f>'Avg Week Kinawataka-Kireka'!J69+'Avg Week Kireka-Kinwataka'!J69</f>
        <v>3.5</v>
      </c>
      <c r="K69" s="49">
        <f>'Avg Week Kinawataka-Kireka'!K69+'Avg Week Kireka-Kinwataka'!K69</f>
        <v>2</v>
      </c>
      <c r="L69" s="49">
        <f>'Avg Week Kinawataka-Kireka'!L69+'Avg Week Kireka-Kinwataka'!L69</f>
        <v>1</v>
      </c>
      <c r="M69" s="49">
        <f>'Avg Week Kinawataka-Kireka'!M69+'Avg Week Kireka-Kinwataka'!M69</f>
        <v>304.5</v>
      </c>
      <c r="N69" s="49">
        <f>'Avg Week Kinawataka-Kireka'!N69+'Avg Week Kireka-Kinwataka'!N69</f>
        <v>0</v>
      </c>
      <c r="O69" s="49">
        <f>'Avg Week Kinawataka-Kireka'!O69+'Avg Week Kireka-Kinwataka'!O69</f>
        <v>227.5</v>
      </c>
      <c r="P69" s="49">
        <f>'Avg Week Kinawataka-Kireka'!P69+'Avg Week Kireka-Kinwataka'!P69</f>
        <v>532</v>
      </c>
      <c r="R69" s="8"/>
      <c r="T69"/>
    </row>
    <row r="70" spans="2:20" ht="23.1" customHeight="1" x14ac:dyDescent="0.25">
      <c r="B70" s="23" t="s">
        <v>110</v>
      </c>
      <c r="C70" s="49">
        <f>'Avg Week Kinawataka-Kireka'!C70+'Avg Week Kireka-Kinwataka'!C70</f>
        <v>133</v>
      </c>
      <c r="D70" s="49">
        <f>'Avg Week Kinawataka-Kireka'!D70+'Avg Week Kireka-Kinwataka'!D70</f>
        <v>18</v>
      </c>
      <c r="E70" s="49">
        <f>'Avg Week Kinawataka-Kireka'!E70+'Avg Week Kireka-Kinwataka'!E70</f>
        <v>9.5</v>
      </c>
      <c r="F70" s="49">
        <f>'Avg Week Kinawataka-Kireka'!F70+'Avg Week Kireka-Kinwataka'!F70</f>
        <v>23</v>
      </c>
      <c r="G70" s="49">
        <f>'Avg Week Kinawataka-Kireka'!G70+'Avg Week Kireka-Kinwataka'!G70</f>
        <v>5</v>
      </c>
      <c r="H70" s="49">
        <f>'Avg Week Kinawataka-Kireka'!H70+'Avg Week Kireka-Kinwataka'!H70</f>
        <v>0</v>
      </c>
      <c r="I70" s="49">
        <f>'Avg Week Kinawataka-Kireka'!I70+'Avg Week Kireka-Kinwataka'!I70</f>
        <v>7.5</v>
      </c>
      <c r="J70" s="49">
        <f>'Avg Week Kinawataka-Kireka'!J70+'Avg Week Kireka-Kinwataka'!J70</f>
        <v>3</v>
      </c>
      <c r="K70" s="49">
        <f>'Avg Week Kinawataka-Kireka'!K70+'Avg Week Kireka-Kinwataka'!K70</f>
        <v>1.5</v>
      </c>
      <c r="L70" s="49">
        <f>'Avg Week Kinawataka-Kireka'!L70+'Avg Week Kireka-Kinwataka'!L70</f>
        <v>1</v>
      </c>
      <c r="M70" s="49">
        <f>'Avg Week Kinawataka-Kireka'!M70+'Avg Week Kireka-Kinwataka'!M70</f>
        <v>269</v>
      </c>
      <c r="N70" s="49">
        <f>'Avg Week Kinawataka-Kireka'!N70+'Avg Week Kireka-Kinwataka'!N70</f>
        <v>0</v>
      </c>
      <c r="O70" s="49">
        <f>'Avg Week Kinawataka-Kireka'!O70+'Avg Week Kireka-Kinwataka'!O70</f>
        <v>201.5</v>
      </c>
      <c r="P70" s="49">
        <f>'Avg Week Kinawataka-Kireka'!P70+'Avg Week Kireka-Kinwataka'!P70</f>
        <v>470.5</v>
      </c>
      <c r="R70" s="8"/>
      <c r="T70"/>
    </row>
    <row r="71" spans="2:20" ht="23.1" customHeight="1" x14ac:dyDescent="0.25">
      <c r="B71" s="23" t="s">
        <v>111</v>
      </c>
      <c r="C71" s="49">
        <f>'Avg Week Kinawataka-Kireka'!C71+'Avg Week Kireka-Kinwataka'!C71</f>
        <v>120.5</v>
      </c>
      <c r="D71" s="49">
        <f>'Avg Week Kinawataka-Kireka'!D71+'Avg Week Kireka-Kinwataka'!D71</f>
        <v>7</v>
      </c>
      <c r="E71" s="49">
        <f>'Avg Week Kinawataka-Kireka'!E71+'Avg Week Kireka-Kinwataka'!E71</f>
        <v>12.5</v>
      </c>
      <c r="F71" s="49">
        <f>'Avg Week Kinawataka-Kireka'!F71+'Avg Week Kireka-Kinwataka'!F71</f>
        <v>29.5</v>
      </c>
      <c r="G71" s="49">
        <f>'Avg Week Kinawataka-Kireka'!G71+'Avg Week Kireka-Kinwataka'!G71</f>
        <v>1</v>
      </c>
      <c r="H71" s="49">
        <f>'Avg Week Kinawataka-Kireka'!H71+'Avg Week Kireka-Kinwataka'!H71</f>
        <v>0.5</v>
      </c>
      <c r="I71" s="49">
        <f>'Avg Week Kinawataka-Kireka'!I71+'Avg Week Kireka-Kinwataka'!I71</f>
        <v>4</v>
      </c>
      <c r="J71" s="49">
        <f>'Avg Week Kinawataka-Kireka'!J71+'Avg Week Kireka-Kinwataka'!J71</f>
        <v>4.5</v>
      </c>
      <c r="K71" s="49">
        <f>'Avg Week Kinawataka-Kireka'!K71+'Avg Week Kireka-Kinwataka'!K71</f>
        <v>1.5</v>
      </c>
      <c r="L71" s="49">
        <f>'Avg Week Kinawataka-Kireka'!L71+'Avg Week Kireka-Kinwataka'!L71</f>
        <v>2</v>
      </c>
      <c r="M71" s="49">
        <f>'Avg Week Kinawataka-Kireka'!M71+'Avg Week Kireka-Kinwataka'!M71</f>
        <v>280.5</v>
      </c>
      <c r="N71" s="49">
        <f>'Avg Week Kinawataka-Kireka'!N71+'Avg Week Kireka-Kinwataka'!N71</f>
        <v>0</v>
      </c>
      <c r="O71" s="49">
        <f>'Avg Week Kinawataka-Kireka'!O71+'Avg Week Kireka-Kinwataka'!O71</f>
        <v>183</v>
      </c>
      <c r="P71" s="49">
        <f>'Avg Week Kinawataka-Kireka'!P71+'Avg Week Kireka-Kinwataka'!P71</f>
        <v>463.5</v>
      </c>
      <c r="R71" s="8"/>
      <c r="T71"/>
    </row>
    <row r="72" spans="2:20" ht="23.1" customHeight="1" x14ac:dyDescent="0.25">
      <c r="B72" s="23" t="s">
        <v>112</v>
      </c>
      <c r="C72" s="49">
        <f>'Avg Week Kinawataka-Kireka'!C72+'Avg Week Kireka-Kinwataka'!C72</f>
        <v>113</v>
      </c>
      <c r="D72" s="49">
        <f>'Avg Week Kinawataka-Kireka'!D72+'Avg Week Kireka-Kinwataka'!D72</f>
        <v>9.5</v>
      </c>
      <c r="E72" s="49">
        <f>'Avg Week Kinawataka-Kireka'!E72+'Avg Week Kireka-Kinwataka'!E72</f>
        <v>12</v>
      </c>
      <c r="F72" s="49">
        <f>'Avg Week Kinawataka-Kireka'!F72+'Avg Week Kireka-Kinwataka'!F72</f>
        <v>21</v>
      </c>
      <c r="G72" s="49">
        <f>'Avg Week Kinawataka-Kireka'!G72+'Avg Week Kireka-Kinwataka'!G72</f>
        <v>2.5</v>
      </c>
      <c r="H72" s="49">
        <f>'Avg Week Kinawataka-Kireka'!H72+'Avg Week Kireka-Kinwataka'!H72</f>
        <v>0</v>
      </c>
      <c r="I72" s="49">
        <f>'Avg Week Kinawataka-Kireka'!I72+'Avg Week Kireka-Kinwataka'!I72</f>
        <v>5</v>
      </c>
      <c r="J72" s="49">
        <f>'Avg Week Kinawataka-Kireka'!J72+'Avg Week Kireka-Kinwataka'!J72</f>
        <v>3</v>
      </c>
      <c r="K72" s="49">
        <f>'Avg Week Kinawataka-Kireka'!K72+'Avg Week Kireka-Kinwataka'!K72</f>
        <v>1</v>
      </c>
      <c r="L72" s="49">
        <f>'Avg Week Kinawataka-Kireka'!L72+'Avg Week Kireka-Kinwataka'!L72</f>
        <v>0.5</v>
      </c>
      <c r="M72" s="49">
        <f>'Avg Week Kinawataka-Kireka'!M72+'Avg Week Kireka-Kinwataka'!M72</f>
        <v>314.5</v>
      </c>
      <c r="N72" s="49">
        <f>'Avg Week Kinawataka-Kireka'!N72+'Avg Week Kireka-Kinwataka'!N72</f>
        <v>0</v>
      </c>
      <c r="O72" s="49">
        <f>'Avg Week Kinawataka-Kireka'!O72+'Avg Week Kireka-Kinwataka'!O72</f>
        <v>167.5</v>
      </c>
      <c r="P72" s="49">
        <f>'Avg Week Kinawataka-Kireka'!P72+'Avg Week Kireka-Kinwataka'!P72</f>
        <v>482</v>
      </c>
      <c r="R72" s="8"/>
      <c r="T72"/>
    </row>
    <row r="73" spans="2:20" ht="23.1" customHeight="1" x14ac:dyDescent="0.25">
      <c r="B73" s="23" t="s">
        <v>113</v>
      </c>
      <c r="C73" s="49">
        <f>'Avg Week Kinawataka-Kireka'!C73+'Avg Week Kireka-Kinwataka'!C73</f>
        <v>97</v>
      </c>
      <c r="D73" s="49">
        <f>'Avg Week Kinawataka-Kireka'!D73+'Avg Week Kireka-Kinwataka'!D73</f>
        <v>10</v>
      </c>
      <c r="E73" s="49">
        <f>'Avg Week Kinawataka-Kireka'!E73+'Avg Week Kireka-Kinwataka'!E73</f>
        <v>8</v>
      </c>
      <c r="F73" s="49">
        <f>'Avg Week Kinawataka-Kireka'!F73+'Avg Week Kireka-Kinwataka'!F73</f>
        <v>21</v>
      </c>
      <c r="G73" s="49">
        <f>'Avg Week Kinawataka-Kireka'!G73+'Avg Week Kireka-Kinwataka'!G73</f>
        <v>2.5</v>
      </c>
      <c r="H73" s="49">
        <f>'Avg Week Kinawataka-Kireka'!H73+'Avg Week Kireka-Kinwataka'!H73</f>
        <v>0</v>
      </c>
      <c r="I73" s="49">
        <f>'Avg Week Kinawataka-Kireka'!I73+'Avg Week Kireka-Kinwataka'!I73</f>
        <v>4</v>
      </c>
      <c r="J73" s="49">
        <f>'Avg Week Kinawataka-Kireka'!J73+'Avg Week Kireka-Kinwataka'!J73</f>
        <v>2.5</v>
      </c>
      <c r="K73" s="49">
        <f>'Avg Week Kinawataka-Kireka'!K73+'Avg Week Kireka-Kinwataka'!K73</f>
        <v>2.5</v>
      </c>
      <c r="L73" s="49">
        <f>'Avg Week Kinawataka-Kireka'!L73+'Avg Week Kireka-Kinwataka'!L73</f>
        <v>0.5</v>
      </c>
      <c r="M73" s="49">
        <f>'Avg Week Kinawataka-Kireka'!M73+'Avg Week Kireka-Kinwataka'!M73</f>
        <v>252.5</v>
      </c>
      <c r="N73" s="49">
        <f>'Avg Week Kinawataka-Kireka'!N73+'Avg Week Kireka-Kinwataka'!N73</f>
        <v>0</v>
      </c>
      <c r="O73" s="49">
        <f>'Avg Week Kinawataka-Kireka'!O73+'Avg Week Kireka-Kinwataka'!O73</f>
        <v>148</v>
      </c>
      <c r="P73" s="49">
        <f>'Avg Week Kinawataka-Kireka'!P73+'Avg Week Kireka-Kinwataka'!P73</f>
        <v>400.5</v>
      </c>
      <c r="R73" s="8"/>
      <c r="T73"/>
    </row>
    <row r="74" spans="2:20" ht="23.1" customHeight="1" x14ac:dyDescent="0.25">
      <c r="B74" s="23" t="s">
        <v>114</v>
      </c>
      <c r="C74" s="49">
        <f>'Avg Week Kinawataka-Kireka'!C74+'Avg Week Kireka-Kinwataka'!C74</f>
        <v>95.5</v>
      </c>
      <c r="D74" s="49">
        <f>'Avg Week Kinawataka-Kireka'!D74+'Avg Week Kireka-Kinwataka'!D74</f>
        <v>8</v>
      </c>
      <c r="E74" s="49">
        <f>'Avg Week Kinawataka-Kireka'!E74+'Avg Week Kireka-Kinwataka'!E74</f>
        <v>8.5</v>
      </c>
      <c r="F74" s="49">
        <f>'Avg Week Kinawataka-Kireka'!F74+'Avg Week Kireka-Kinwataka'!F74</f>
        <v>14.5</v>
      </c>
      <c r="G74" s="49">
        <f>'Avg Week Kinawataka-Kireka'!G74+'Avg Week Kireka-Kinwataka'!G74</f>
        <v>1</v>
      </c>
      <c r="H74" s="49">
        <f>'Avg Week Kinawataka-Kireka'!H74+'Avg Week Kireka-Kinwataka'!H74</f>
        <v>0</v>
      </c>
      <c r="I74" s="49">
        <f>'Avg Week Kinawataka-Kireka'!I74+'Avg Week Kireka-Kinwataka'!I74</f>
        <v>2</v>
      </c>
      <c r="J74" s="49">
        <f>'Avg Week Kinawataka-Kireka'!J74+'Avg Week Kireka-Kinwataka'!J74</f>
        <v>2</v>
      </c>
      <c r="K74" s="49">
        <f>'Avg Week Kinawataka-Kireka'!K74+'Avg Week Kireka-Kinwataka'!K74</f>
        <v>0</v>
      </c>
      <c r="L74" s="49">
        <f>'Avg Week Kinawataka-Kireka'!L74+'Avg Week Kireka-Kinwataka'!L74</f>
        <v>0</v>
      </c>
      <c r="M74" s="49">
        <f>'Avg Week Kinawataka-Kireka'!M74+'Avg Week Kireka-Kinwataka'!M74</f>
        <v>210</v>
      </c>
      <c r="N74" s="49">
        <f>'Avg Week Kinawataka-Kireka'!N74+'Avg Week Kireka-Kinwataka'!N74</f>
        <v>0.5</v>
      </c>
      <c r="O74" s="49">
        <f>'Avg Week Kinawataka-Kireka'!O74+'Avg Week Kireka-Kinwataka'!O74</f>
        <v>132</v>
      </c>
      <c r="P74" s="49">
        <f>'Avg Week Kinawataka-Kireka'!P74+'Avg Week Kireka-Kinwataka'!P74</f>
        <v>342</v>
      </c>
      <c r="R74" s="8"/>
      <c r="T74"/>
    </row>
    <row r="75" spans="2:20" ht="23.1" customHeight="1" x14ac:dyDescent="0.25">
      <c r="B75" s="23" t="s">
        <v>115</v>
      </c>
      <c r="C75" s="49">
        <f>'Avg Week Kinawataka-Kireka'!C75+'Avg Week Kireka-Kinwataka'!C75</f>
        <v>69</v>
      </c>
      <c r="D75" s="49">
        <f>'Avg Week Kinawataka-Kireka'!D75+'Avg Week Kireka-Kinwataka'!D75</f>
        <v>8</v>
      </c>
      <c r="E75" s="49">
        <f>'Avg Week Kinawataka-Kireka'!E75+'Avg Week Kireka-Kinwataka'!E75</f>
        <v>10.5</v>
      </c>
      <c r="F75" s="49">
        <f>'Avg Week Kinawataka-Kireka'!F75+'Avg Week Kireka-Kinwataka'!F75</f>
        <v>13</v>
      </c>
      <c r="G75" s="49">
        <f>'Avg Week Kinawataka-Kireka'!G75+'Avg Week Kireka-Kinwataka'!G75</f>
        <v>1</v>
      </c>
      <c r="H75" s="49">
        <f>'Avg Week Kinawataka-Kireka'!H75+'Avg Week Kireka-Kinwataka'!H75</f>
        <v>0.5</v>
      </c>
      <c r="I75" s="49">
        <f>'Avg Week Kinawataka-Kireka'!I75+'Avg Week Kireka-Kinwataka'!I75</f>
        <v>3</v>
      </c>
      <c r="J75" s="49">
        <f>'Avg Week Kinawataka-Kireka'!J75+'Avg Week Kireka-Kinwataka'!J75</f>
        <v>3</v>
      </c>
      <c r="K75" s="49">
        <f>'Avg Week Kinawataka-Kireka'!K75+'Avg Week Kireka-Kinwataka'!K75</f>
        <v>0.5</v>
      </c>
      <c r="L75" s="49">
        <f>'Avg Week Kinawataka-Kireka'!L75+'Avg Week Kireka-Kinwataka'!L75</f>
        <v>0.5</v>
      </c>
      <c r="M75" s="49">
        <f>'Avg Week Kinawataka-Kireka'!M75+'Avg Week Kireka-Kinwataka'!M75</f>
        <v>211</v>
      </c>
      <c r="N75" s="49">
        <f>'Avg Week Kinawataka-Kireka'!N75+'Avg Week Kireka-Kinwataka'!N75</f>
        <v>0</v>
      </c>
      <c r="O75" s="49">
        <f>'Avg Week Kinawataka-Kireka'!O75+'Avg Week Kireka-Kinwataka'!O75</f>
        <v>109</v>
      </c>
      <c r="P75" s="49">
        <f>'Avg Week Kinawataka-Kireka'!P75+'Avg Week Kireka-Kinwataka'!P75</f>
        <v>320</v>
      </c>
      <c r="R75" s="8"/>
      <c r="T75"/>
    </row>
    <row r="76" spans="2:20" ht="23.1" customHeight="1" x14ac:dyDescent="0.25">
      <c r="B76" s="23" t="s">
        <v>116</v>
      </c>
      <c r="C76" s="49">
        <f>'Avg Week Kinawataka-Kireka'!C76+'Avg Week Kireka-Kinwataka'!C76</f>
        <v>64</v>
      </c>
      <c r="D76" s="49">
        <f>'Avg Week Kinawataka-Kireka'!D76+'Avg Week Kireka-Kinwataka'!D76</f>
        <v>6.5</v>
      </c>
      <c r="E76" s="49">
        <f>'Avg Week Kinawataka-Kireka'!E76+'Avg Week Kireka-Kinwataka'!E76</f>
        <v>5</v>
      </c>
      <c r="F76" s="49">
        <f>'Avg Week Kinawataka-Kireka'!F76+'Avg Week Kireka-Kinwataka'!F76</f>
        <v>6.5</v>
      </c>
      <c r="G76" s="49">
        <f>'Avg Week Kinawataka-Kireka'!G76+'Avg Week Kireka-Kinwataka'!G76</f>
        <v>0.5</v>
      </c>
      <c r="H76" s="49">
        <f>'Avg Week Kinawataka-Kireka'!H76+'Avg Week Kireka-Kinwataka'!H76</f>
        <v>0</v>
      </c>
      <c r="I76" s="49">
        <f>'Avg Week Kinawataka-Kireka'!I76+'Avg Week Kireka-Kinwataka'!I76</f>
        <v>7.5</v>
      </c>
      <c r="J76" s="49">
        <f>'Avg Week Kinawataka-Kireka'!J76+'Avg Week Kireka-Kinwataka'!J76</f>
        <v>3</v>
      </c>
      <c r="K76" s="49">
        <f>'Avg Week Kinawataka-Kireka'!K76+'Avg Week Kireka-Kinwataka'!K76</f>
        <v>1</v>
      </c>
      <c r="L76" s="49">
        <f>'Avg Week Kinawataka-Kireka'!L76+'Avg Week Kireka-Kinwataka'!L76</f>
        <v>0</v>
      </c>
      <c r="M76" s="49">
        <f>'Avg Week Kinawataka-Kireka'!M76+'Avg Week Kireka-Kinwataka'!M76</f>
        <v>174</v>
      </c>
      <c r="N76" s="49">
        <f>'Avg Week Kinawataka-Kireka'!N76+'Avg Week Kireka-Kinwataka'!N76</f>
        <v>0</v>
      </c>
      <c r="O76" s="49">
        <f>'Avg Week Kinawataka-Kireka'!O76+'Avg Week Kireka-Kinwataka'!O76</f>
        <v>94</v>
      </c>
      <c r="P76" s="49">
        <f>'Avg Week Kinawataka-Kireka'!P76+'Avg Week Kireka-Kinwataka'!P76</f>
        <v>268</v>
      </c>
      <c r="R76" s="8"/>
      <c r="T76"/>
    </row>
    <row r="77" spans="2:20" ht="23.1" customHeight="1" x14ac:dyDescent="0.25">
      <c r="B77" s="23" t="s">
        <v>117</v>
      </c>
      <c r="C77" s="49">
        <f>'Avg Week Kinawataka-Kireka'!C77+'Avg Week Kireka-Kinwataka'!C77</f>
        <v>44.5</v>
      </c>
      <c r="D77" s="49">
        <f>'Avg Week Kinawataka-Kireka'!D77+'Avg Week Kireka-Kinwataka'!D77</f>
        <v>8.5</v>
      </c>
      <c r="E77" s="49">
        <f>'Avg Week Kinawataka-Kireka'!E77+'Avg Week Kireka-Kinwataka'!E77</f>
        <v>2</v>
      </c>
      <c r="F77" s="49">
        <f>'Avg Week Kinawataka-Kireka'!F77+'Avg Week Kireka-Kinwataka'!F77</f>
        <v>9</v>
      </c>
      <c r="G77" s="49">
        <f>'Avg Week Kinawataka-Kireka'!G77+'Avg Week Kireka-Kinwataka'!G77</f>
        <v>0</v>
      </c>
      <c r="H77" s="49">
        <f>'Avg Week Kinawataka-Kireka'!H77+'Avg Week Kireka-Kinwataka'!H77</f>
        <v>0</v>
      </c>
      <c r="I77" s="49">
        <f>'Avg Week Kinawataka-Kireka'!I77+'Avg Week Kireka-Kinwataka'!I77</f>
        <v>3</v>
      </c>
      <c r="J77" s="49">
        <f>'Avg Week Kinawataka-Kireka'!J77+'Avg Week Kireka-Kinwataka'!J77</f>
        <v>2</v>
      </c>
      <c r="K77" s="49">
        <f>'Avg Week Kinawataka-Kireka'!K77+'Avg Week Kireka-Kinwataka'!K77</f>
        <v>0</v>
      </c>
      <c r="L77" s="49">
        <f>'Avg Week Kinawataka-Kireka'!L77+'Avg Week Kireka-Kinwataka'!L77</f>
        <v>0</v>
      </c>
      <c r="M77" s="49">
        <f>'Avg Week Kinawataka-Kireka'!M77+'Avg Week Kireka-Kinwataka'!M77</f>
        <v>149</v>
      </c>
      <c r="N77" s="49">
        <f>'Avg Week Kinawataka-Kireka'!N77+'Avg Week Kireka-Kinwataka'!N77</f>
        <v>0</v>
      </c>
      <c r="O77" s="49">
        <f>'Avg Week Kinawataka-Kireka'!O77+'Avg Week Kireka-Kinwataka'!O77</f>
        <v>69</v>
      </c>
      <c r="P77" s="49">
        <f>'Avg Week Kinawataka-Kireka'!P77+'Avg Week Kireka-Kinwataka'!P77</f>
        <v>218</v>
      </c>
      <c r="R77" s="8"/>
      <c r="T77"/>
    </row>
    <row r="78" spans="2:20" ht="23.1" customHeight="1" x14ac:dyDescent="0.25">
      <c r="B78" s="24" t="s">
        <v>118</v>
      </c>
      <c r="C78" s="49">
        <f>'Avg Week Kinawataka-Kireka'!C78+'Avg Week Kireka-Kinwataka'!C78</f>
        <v>28.5</v>
      </c>
      <c r="D78" s="49">
        <f>'Avg Week Kinawataka-Kireka'!D78+'Avg Week Kireka-Kinwataka'!D78</f>
        <v>4.5</v>
      </c>
      <c r="E78" s="49">
        <f>'Avg Week Kinawataka-Kireka'!E78+'Avg Week Kireka-Kinwataka'!E78</f>
        <v>3</v>
      </c>
      <c r="F78" s="49">
        <f>'Avg Week Kinawataka-Kireka'!F78+'Avg Week Kireka-Kinwataka'!F78</f>
        <v>6.5</v>
      </c>
      <c r="G78" s="49">
        <f>'Avg Week Kinawataka-Kireka'!G78+'Avg Week Kireka-Kinwataka'!G78</f>
        <v>0</v>
      </c>
      <c r="H78" s="49">
        <f>'Avg Week Kinawataka-Kireka'!H78+'Avg Week Kireka-Kinwataka'!H78</f>
        <v>0</v>
      </c>
      <c r="I78" s="49">
        <f>'Avg Week Kinawataka-Kireka'!I78+'Avg Week Kireka-Kinwataka'!I78</f>
        <v>2</v>
      </c>
      <c r="J78" s="49">
        <f>'Avg Week Kinawataka-Kireka'!J78+'Avg Week Kireka-Kinwataka'!J78</f>
        <v>0.5</v>
      </c>
      <c r="K78" s="49">
        <f>'Avg Week Kinawataka-Kireka'!K78+'Avg Week Kireka-Kinwataka'!K78</f>
        <v>0</v>
      </c>
      <c r="L78" s="49">
        <f>'Avg Week Kinawataka-Kireka'!L78+'Avg Week Kireka-Kinwataka'!L78</f>
        <v>0</v>
      </c>
      <c r="M78" s="49">
        <f>'Avg Week Kinawataka-Kireka'!M78+'Avg Week Kireka-Kinwataka'!M78</f>
        <v>111.5</v>
      </c>
      <c r="N78" s="49">
        <f>'Avg Week Kinawataka-Kireka'!N78+'Avg Week Kireka-Kinwataka'!N78</f>
        <v>0</v>
      </c>
      <c r="O78" s="49">
        <f>'Avg Week Kinawataka-Kireka'!O78+'Avg Week Kireka-Kinwataka'!O78</f>
        <v>45</v>
      </c>
      <c r="P78" s="49">
        <f>'Avg Week Kinawataka-Kireka'!P78+'Avg Week Kireka-Kinwataka'!P78</f>
        <v>156.5</v>
      </c>
      <c r="R78" s="8"/>
      <c r="T78"/>
    </row>
    <row r="79" spans="2:20" ht="23.1" customHeight="1" x14ac:dyDescent="0.25">
      <c r="B79" s="23" t="s">
        <v>119</v>
      </c>
      <c r="C79" s="49">
        <f>'Avg Week Kinawataka-Kireka'!C79+'Avg Week Kireka-Kinwataka'!C79</f>
        <v>42</v>
      </c>
      <c r="D79" s="49">
        <f>'Avg Week Kinawataka-Kireka'!D79+'Avg Week Kireka-Kinwataka'!D79</f>
        <v>3</v>
      </c>
      <c r="E79" s="49">
        <f>'Avg Week Kinawataka-Kireka'!E79+'Avg Week Kireka-Kinwataka'!E79</f>
        <v>5</v>
      </c>
      <c r="F79" s="49">
        <f>'Avg Week Kinawataka-Kireka'!F79+'Avg Week Kireka-Kinwataka'!F79</f>
        <v>3.5</v>
      </c>
      <c r="G79" s="49">
        <f>'Avg Week Kinawataka-Kireka'!G79+'Avg Week Kireka-Kinwataka'!G79</f>
        <v>0</v>
      </c>
      <c r="H79" s="49">
        <f>'Avg Week Kinawataka-Kireka'!H79+'Avg Week Kireka-Kinwataka'!H79</f>
        <v>0</v>
      </c>
      <c r="I79" s="49">
        <f>'Avg Week Kinawataka-Kireka'!I79+'Avg Week Kireka-Kinwataka'!I79</f>
        <v>3.5</v>
      </c>
      <c r="J79" s="49">
        <f>'Avg Week Kinawataka-Kireka'!J79+'Avg Week Kireka-Kinwataka'!J79</f>
        <v>1.5</v>
      </c>
      <c r="K79" s="49">
        <f>'Avg Week Kinawataka-Kireka'!K79+'Avg Week Kireka-Kinwataka'!K79</f>
        <v>0</v>
      </c>
      <c r="L79" s="49">
        <f>'Avg Week Kinawataka-Kireka'!L79+'Avg Week Kireka-Kinwataka'!L79</f>
        <v>0.5</v>
      </c>
      <c r="M79" s="49">
        <f>'Avg Week Kinawataka-Kireka'!M79+'Avg Week Kireka-Kinwataka'!M79</f>
        <v>99.5</v>
      </c>
      <c r="N79" s="49">
        <f>'Avg Week Kinawataka-Kireka'!N79+'Avg Week Kireka-Kinwataka'!N79</f>
        <v>0</v>
      </c>
      <c r="O79" s="49">
        <f>'Avg Week Kinawataka-Kireka'!O79+'Avg Week Kireka-Kinwataka'!O79</f>
        <v>59</v>
      </c>
      <c r="P79" s="49">
        <f>'Avg Week Kinawataka-Kireka'!P79+'Avg Week Kireka-Kinwataka'!P79</f>
        <v>158.5</v>
      </c>
      <c r="R79" s="8"/>
      <c r="T79"/>
    </row>
    <row r="80" spans="2:20" ht="23.1" customHeight="1" x14ac:dyDescent="0.25">
      <c r="B80" s="25" t="s">
        <v>120</v>
      </c>
      <c r="C80" s="49">
        <f>'Avg Week Kinawataka-Kireka'!C80+'Avg Week Kireka-Kinwataka'!C80</f>
        <v>31.5</v>
      </c>
      <c r="D80" s="49">
        <f>'Avg Week Kinawataka-Kireka'!D80+'Avg Week Kireka-Kinwataka'!D80</f>
        <v>5</v>
      </c>
      <c r="E80" s="49">
        <f>'Avg Week Kinawataka-Kireka'!E80+'Avg Week Kireka-Kinwataka'!E80</f>
        <v>4</v>
      </c>
      <c r="F80" s="49">
        <f>'Avg Week Kinawataka-Kireka'!F80+'Avg Week Kireka-Kinwataka'!F80</f>
        <v>11</v>
      </c>
      <c r="G80" s="49">
        <f>'Avg Week Kinawataka-Kireka'!G80+'Avg Week Kireka-Kinwataka'!G80</f>
        <v>0.5</v>
      </c>
      <c r="H80" s="49">
        <f>'Avg Week Kinawataka-Kireka'!H80+'Avg Week Kireka-Kinwataka'!H80</f>
        <v>0.5</v>
      </c>
      <c r="I80" s="49">
        <f>'Avg Week Kinawataka-Kireka'!I80+'Avg Week Kireka-Kinwataka'!I80</f>
        <v>2.5</v>
      </c>
      <c r="J80" s="49">
        <f>'Avg Week Kinawataka-Kireka'!J80+'Avg Week Kireka-Kinwataka'!J80</f>
        <v>1</v>
      </c>
      <c r="K80" s="49">
        <f>'Avg Week Kinawataka-Kireka'!K80+'Avg Week Kireka-Kinwataka'!K80</f>
        <v>0</v>
      </c>
      <c r="L80" s="49">
        <f>'Avg Week Kinawataka-Kireka'!L80+'Avg Week Kireka-Kinwataka'!L80</f>
        <v>1</v>
      </c>
      <c r="M80" s="49">
        <f>'Avg Week Kinawataka-Kireka'!M80+'Avg Week Kireka-Kinwataka'!M80</f>
        <v>87.5</v>
      </c>
      <c r="N80" s="49">
        <f>'Avg Week Kinawataka-Kireka'!N80+'Avg Week Kireka-Kinwataka'!N80</f>
        <v>0</v>
      </c>
      <c r="O80" s="49">
        <f>'Avg Week Kinawataka-Kireka'!O80+'Avg Week Kireka-Kinwataka'!O80</f>
        <v>57</v>
      </c>
      <c r="P80" s="49">
        <f>'Avg Week Kinawataka-Kireka'!P80+'Avg Week Kireka-Kinwataka'!P80</f>
        <v>144.5</v>
      </c>
      <c r="R80" s="8"/>
      <c r="T80"/>
    </row>
    <row r="81" spans="2:20" ht="23.1" customHeight="1" x14ac:dyDescent="0.25">
      <c r="B81" s="23" t="s">
        <v>121</v>
      </c>
      <c r="C81" s="49">
        <f>'Avg Week Kinawataka-Kireka'!C81+'Avg Week Kireka-Kinwataka'!C81</f>
        <v>19</v>
      </c>
      <c r="D81" s="49">
        <f>'Avg Week Kinawataka-Kireka'!D81+'Avg Week Kireka-Kinwataka'!D81</f>
        <v>2.5</v>
      </c>
      <c r="E81" s="49">
        <f>'Avg Week Kinawataka-Kireka'!E81+'Avg Week Kireka-Kinwataka'!E81</f>
        <v>1.5</v>
      </c>
      <c r="F81" s="49">
        <f>'Avg Week Kinawataka-Kireka'!F81+'Avg Week Kireka-Kinwataka'!F81</f>
        <v>3.5</v>
      </c>
      <c r="G81" s="49">
        <f>'Avg Week Kinawataka-Kireka'!G81+'Avg Week Kireka-Kinwataka'!G81</f>
        <v>0.5</v>
      </c>
      <c r="H81" s="49">
        <f>'Avg Week Kinawataka-Kireka'!H81+'Avg Week Kireka-Kinwataka'!H81</f>
        <v>0</v>
      </c>
      <c r="I81" s="49">
        <f>'Avg Week Kinawataka-Kireka'!I81+'Avg Week Kireka-Kinwataka'!I81</f>
        <v>1.5</v>
      </c>
      <c r="J81" s="49">
        <f>'Avg Week Kinawataka-Kireka'!J81+'Avg Week Kireka-Kinwataka'!J81</f>
        <v>1</v>
      </c>
      <c r="K81" s="49">
        <f>'Avg Week Kinawataka-Kireka'!K81+'Avg Week Kireka-Kinwataka'!K81</f>
        <v>1.5</v>
      </c>
      <c r="L81" s="49">
        <f>'Avg Week Kinawataka-Kireka'!L81+'Avg Week Kireka-Kinwataka'!L81</f>
        <v>1.5</v>
      </c>
      <c r="M81" s="49">
        <f>'Avg Week Kinawataka-Kireka'!M81+'Avg Week Kireka-Kinwataka'!M81</f>
        <v>81</v>
      </c>
      <c r="N81" s="49">
        <f>'Avg Week Kinawataka-Kireka'!N81+'Avg Week Kireka-Kinwataka'!N81</f>
        <v>0</v>
      </c>
      <c r="O81" s="49">
        <f>'Avg Week Kinawataka-Kireka'!O81+'Avg Week Kireka-Kinwataka'!O81</f>
        <v>32.5</v>
      </c>
      <c r="P81" s="49">
        <f>'Avg Week Kinawataka-Kireka'!P81+'Avg Week Kireka-Kinwataka'!P81</f>
        <v>113.5</v>
      </c>
      <c r="R81" s="8"/>
      <c r="T81"/>
    </row>
    <row r="82" spans="2:20" ht="23.1" customHeight="1" x14ac:dyDescent="0.25">
      <c r="B82" s="24" t="s">
        <v>122</v>
      </c>
      <c r="C82" s="49">
        <f>'Avg Week Kinawataka-Kireka'!C82+'Avg Week Kireka-Kinwataka'!C82</f>
        <v>29</v>
      </c>
      <c r="D82" s="49">
        <f>'Avg Week Kinawataka-Kireka'!D82+'Avg Week Kireka-Kinwataka'!D82</f>
        <v>0.5</v>
      </c>
      <c r="E82" s="49">
        <f>'Avg Week Kinawataka-Kireka'!E82+'Avg Week Kireka-Kinwataka'!E82</f>
        <v>5</v>
      </c>
      <c r="F82" s="49">
        <f>'Avg Week Kinawataka-Kireka'!F82+'Avg Week Kireka-Kinwataka'!F82</f>
        <v>2.5</v>
      </c>
      <c r="G82" s="49">
        <f>'Avg Week Kinawataka-Kireka'!G82+'Avg Week Kireka-Kinwataka'!G82</f>
        <v>0</v>
      </c>
      <c r="H82" s="49">
        <f>'Avg Week Kinawataka-Kireka'!H82+'Avg Week Kireka-Kinwataka'!H82</f>
        <v>0</v>
      </c>
      <c r="I82" s="49">
        <f>'Avg Week Kinawataka-Kireka'!I82+'Avg Week Kireka-Kinwataka'!I82</f>
        <v>1.5</v>
      </c>
      <c r="J82" s="49">
        <f>'Avg Week Kinawataka-Kireka'!J82+'Avg Week Kireka-Kinwataka'!J82</f>
        <v>1</v>
      </c>
      <c r="K82" s="49">
        <f>'Avg Week Kinawataka-Kireka'!K82+'Avg Week Kireka-Kinwataka'!K82</f>
        <v>0</v>
      </c>
      <c r="L82" s="49">
        <f>'Avg Week Kinawataka-Kireka'!L82+'Avg Week Kireka-Kinwataka'!L82</f>
        <v>0.5</v>
      </c>
      <c r="M82" s="49">
        <f>'Avg Week Kinawataka-Kireka'!M82+'Avg Week Kireka-Kinwataka'!M82</f>
        <v>75.5</v>
      </c>
      <c r="N82" s="49">
        <f>'Avg Week Kinawataka-Kireka'!N82+'Avg Week Kireka-Kinwataka'!N82</f>
        <v>0</v>
      </c>
      <c r="O82" s="49">
        <f>'Avg Week Kinawataka-Kireka'!O82+'Avg Week Kireka-Kinwataka'!O82</f>
        <v>40</v>
      </c>
      <c r="P82" s="49">
        <f>'Avg Week Kinawataka-Kireka'!P82+'Avg Week Kireka-Kinwataka'!P82</f>
        <v>115.5</v>
      </c>
      <c r="R82" s="8"/>
      <c r="T82"/>
    </row>
    <row r="83" spans="2:20" ht="23.1" customHeight="1" x14ac:dyDescent="0.25">
      <c r="B83" s="23" t="s">
        <v>123</v>
      </c>
      <c r="C83" s="49">
        <f>'Avg Week Kinawataka-Kireka'!C83+'Avg Week Kireka-Kinwataka'!C83</f>
        <v>32</v>
      </c>
      <c r="D83" s="49">
        <f>'Avg Week Kinawataka-Kireka'!D83+'Avg Week Kireka-Kinwataka'!D83</f>
        <v>2</v>
      </c>
      <c r="E83" s="49">
        <f>'Avg Week Kinawataka-Kireka'!E83+'Avg Week Kireka-Kinwataka'!E83</f>
        <v>1</v>
      </c>
      <c r="F83" s="49">
        <f>'Avg Week Kinawataka-Kireka'!F83+'Avg Week Kireka-Kinwataka'!F83</f>
        <v>5</v>
      </c>
      <c r="G83" s="49">
        <f>'Avg Week Kinawataka-Kireka'!G83+'Avg Week Kireka-Kinwataka'!G83</f>
        <v>0</v>
      </c>
      <c r="H83" s="49">
        <f>'Avg Week Kinawataka-Kireka'!H83+'Avg Week Kireka-Kinwataka'!H83</f>
        <v>0</v>
      </c>
      <c r="I83" s="49">
        <f>'Avg Week Kinawataka-Kireka'!I83+'Avg Week Kireka-Kinwataka'!I83</f>
        <v>0.5</v>
      </c>
      <c r="J83" s="49">
        <f>'Avg Week Kinawataka-Kireka'!J83+'Avg Week Kireka-Kinwataka'!J83</f>
        <v>1</v>
      </c>
      <c r="K83" s="49">
        <f>'Avg Week Kinawataka-Kireka'!K83+'Avg Week Kireka-Kinwataka'!K83</f>
        <v>0.5</v>
      </c>
      <c r="L83" s="49">
        <f>'Avg Week Kinawataka-Kireka'!L83+'Avg Week Kireka-Kinwataka'!L83</f>
        <v>0</v>
      </c>
      <c r="M83" s="49">
        <f>'Avg Week Kinawataka-Kireka'!M83+'Avg Week Kireka-Kinwataka'!M83</f>
        <v>70</v>
      </c>
      <c r="N83" s="49">
        <f>'Avg Week Kinawataka-Kireka'!N83+'Avg Week Kireka-Kinwataka'!N83</f>
        <v>0</v>
      </c>
      <c r="O83" s="49">
        <f>'Avg Week Kinawataka-Kireka'!O83+'Avg Week Kireka-Kinwataka'!O83</f>
        <v>42</v>
      </c>
      <c r="P83" s="49">
        <f>'Avg Week Kinawataka-Kireka'!P83+'Avg Week Kireka-Kinwataka'!P83</f>
        <v>112</v>
      </c>
      <c r="R83" s="8"/>
      <c r="T83"/>
    </row>
    <row r="84" spans="2:20" ht="23.1" customHeight="1" x14ac:dyDescent="0.25">
      <c r="B84" s="25" t="s">
        <v>124</v>
      </c>
      <c r="C84" s="49">
        <f>'Avg Week Kinawataka-Kireka'!C84+'Avg Week Kireka-Kinwataka'!C84</f>
        <v>32.5</v>
      </c>
      <c r="D84" s="49">
        <f>'Avg Week Kinawataka-Kireka'!D84+'Avg Week Kireka-Kinwataka'!D84</f>
        <v>2</v>
      </c>
      <c r="E84" s="49">
        <f>'Avg Week Kinawataka-Kireka'!E84+'Avg Week Kireka-Kinwataka'!E84</f>
        <v>2</v>
      </c>
      <c r="F84" s="49">
        <f>'Avg Week Kinawataka-Kireka'!F84+'Avg Week Kireka-Kinwataka'!F84</f>
        <v>5.5</v>
      </c>
      <c r="G84" s="49">
        <f>'Avg Week Kinawataka-Kireka'!G84+'Avg Week Kireka-Kinwataka'!G84</f>
        <v>0</v>
      </c>
      <c r="H84" s="49">
        <f>'Avg Week Kinawataka-Kireka'!H84+'Avg Week Kireka-Kinwataka'!H84</f>
        <v>0</v>
      </c>
      <c r="I84" s="49">
        <f>'Avg Week Kinawataka-Kireka'!I84+'Avg Week Kireka-Kinwataka'!I84</f>
        <v>1</v>
      </c>
      <c r="J84" s="49">
        <f>'Avg Week Kinawataka-Kireka'!J84+'Avg Week Kireka-Kinwataka'!J84</f>
        <v>2</v>
      </c>
      <c r="K84" s="49">
        <f>'Avg Week Kinawataka-Kireka'!K84+'Avg Week Kireka-Kinwataka'!K84</f>
        <v>0</v>
      </c>
      <c r="L84" s="49">
        <f>'Avg Week Kinawataka-Kireka'!L84+'Avg Week Kireka-Kinwataka'!L84</f>
        <v>0.5</v>
      </c>
      <c r="M84" s="49">
        <f>'Avg Week Kinawataka-Kireka'!M84+'Avg Week Kireka-Kinwataka'!M84</f>
        <v>58.5</v>
      </c>
      <c r="N84" s="49">
        <f>'Avg Week Kinawataka-Kireka'!N84+'Avg Week Kireka-Kinwataka'!N84</f>
        <v>0</v>
      </c>
      <c r="O84" s="49">
        <f>'Avg Week Kinawataka-Kireka'!O84+'Avg Week Kireka-Kinwataka'!O84</f>
        <v>45.5</v>
      </c>
      <c r="P84" s="49">
        <f>'Avg Week Kinawataka-Kireka'!P84+'Avg Week Kireka-Kinwataka'!P84</f>
        <v>104</v>
      </c>
      <c r="R84" s="8"/>
      <c r="T84"/>
    </row>
    <row r="85" spans="2:20" ht="23.1" customHeight="1" x14ac:dyDescent="0.25">
      <c r="B85" s="23" t="s">
        <v>125</v>
      </c>
      <c r="C85" s="49">
        <f>'Avg Week Kinawataka-Kireka'!C85+'Avg Week Kireka-Kinwataka'!C85</f>
        <v>24</v>
      </c>
      <c r="D85" s="49">
        <f>'Avg Week Kinawataka-Kireka'!D85+'Avg Week Kireka-Kinwataka'!D85</f>
        <v>2.5</v>
      </c>
      <c r="E85" s="49">
        <f>'Avg Week Kinawataka-Kireka'!E85+'Avg Week Kireka-Kinwataka'!E85</f>
        <v>1</v>
      </c>
      <c r="F85" s="49">
        <f>'Avg Week Kinawataka-Kireka'!F85+'Avg Week Kireka-Kinwataka'!F85</f>
        <v>0.5</v>
      </c>
      <c r="G85" s="49">
        <f>'Avg Week Kinawataka-Kireka'!G85+'Avg Week Kireka-Kinwataka'!G85</f>
        <v>0</v>
      </c>
      <c r="H85" s="49">
        <f>'Avg Week Kinawataka-Kireka'!H85+'Avg Week Kireka-Kinwataka'!H85</f>
        <v>0</v>
      </c>
      <c r="I85" s="49">
        <f>'Avg Week Kinawataka-Kireka'!I85+'Avg Week Kireka-Kinwataka'!I85</f>
        <v>0</v>
      </c>
      <c r="J85" s="49">
        <f>'Avg Week Kinawataka-Kireka'!J85+'Avg Week Kireka-Kinwataka'!J85</f>
        <v>1</v>
      </c>
      <c r="K85" s="49">
        <f>'Avg Week Kinawataka-Kireka'!K85+'Avg Week Kireka-Kinwataka'!K85</f>
        <v>1.5</v>
      </c>
      <c r="L85" s="49">
        <f>'Avg Week Kinawataka-Kireka'!L85+'Avg Week Kireka-Kinwataka'!L85</f>
        <v>1.5</v>
      </c>
      <c r="M85" s="49">
        <f>'Avg Week Kinawataka-Kireka'!M85+'Avg Week Kireka-Kinwataka'!M85</f>
        <v>54</v>
      </c>
      <c r="N85" s="49">
        <f>'Avg Week Kinawataka-Kireka'!N85+'Avg Week Kireka-Kinwataka'!N85</f>
        <v>0</v>
      </c>
      <c r="O85" s="49">
        <f>'Avg Week Kinawataka-Kireka'!O85+'Avg Week Kireka-Kinwataka'!O85</f>
        <v>32</v>
      </c>
      <c r="P85" s="49">
        <f>'Avg Week Kinawataka-Kireka'!P85+'Avg Week Kireka-Kinwataka'!P85</f>
        <v>86</v>
      </c>
      <c r="R85" s="8"/>
      <c r="T85"/>
    </row>
    <row r="86" spans="2:20" ht="23.1" customHeight="1" x14ac:dyDescent="0.25">
      <c r="B86" s="24" t="s">
        <v>126</v>
      </c>
      <c r="C86" s="49">
        <f>'Avg Week Kinawataka-Kireka'!C86+'Avg Week Kireka-Kinwataka'!C86</f>
        <v>11.5</v>
      </c>
      <c r="D86" s="49">
        <f>'Avg Week Kinawataka-Kireka'!D86+'Avg Week Kireka-Kinwataka'!D86</f>
        <v>0.5</v>
      </c>
      <c r="E86" s="49">
        <f>'Avg Week Kinawataka-Kireka'!E86+'Avg Week Kireka-Kinwataka'!E86</f>
        <v>0</v>
      </c>
      <c r="F86" s="49">
        <f>'Avg Week Kinawataka-Kireka'!F86+'Avg Week Kireka-Kinwataka'!F86</f>
        <v>2.5</v>
      </c>
      <c r="G86" s="49">
        <f>'Avg Week Kinawataka-Kireka'!G86+'Avg Week Kireka-Kinwataka'!G86</f>
        <v>0</v>
      </c>
      <c r="H86" s="49">
        <f>'Avg Week Kinawataka-Kireka'!H86+'Avg Week Kireka-Kinwataka'!H86</f>
        <v>0</v>
      </c>
      <c r="I86" s="49">
        <f>'Avg Week Kinawataka-Kireka'!I86+'Avg Week Kireka-Kinwataka'!I86</f>
        <v>1</v>
      </c>
      <c r="J86" s="49">
        <f>'Avg Week Kinawataka-Kireka'!J86+'Avg Week Kireka-Kinwataka'!J86</f>
        <v>1</v>
      </c>
      <c r="K86" s="49">
        <f>'Avg Week Kinawataka-Kireka'!K86+'Avg Week Kireka-Kinwataka'!K86</f>
        <v>0.5</v>
      </c>
      <c r="L86" s="49">
        <f>'Avg Week Kinawataka-Kireka'!L86+'Avg Week Kireka-Kinwataka'!L86</f>
        <v>0.5</v>
      </c>
      <c r="M86" s="49">
        <f>'Avg Week Kinawataka-Kireka'!M86+'Avg Week Kireka-Kinwataka'!M86</f>
        <v>43</v>
      </c>
      <c r="N86" s="49">
        <f>'Avg Week Kinawataka-Kireka'!N86+'Avg Week Kireka-Kinwataka'!N86</f>
        <v>0</v>
      </c>
      <c r="O86" s="49">
        <f>'Avg Week Kinawataka-Kireka'!O86+'Avg Week Kireka-Kinwataka'!O86</f>
        <v>17.5</v>
      </c>
      <c r="P86" s="49">
        <f>'Avg Week Kinawataka-Kireka'!P86+'Avg Week Kireka-Kinwataka'!P86</f>
        <v>60.5</v>
      </c>
      <c r="R86" s="8"/>
      <c r="T86"/>
    </row>
    <row r="87" spans="2:20" ht="23.1" customHeight="1" x14ac:dyDescent="0.25">
      <c r="B87" s="23" t="s">
        <v>127</v>
      </c>
      <c r="C87" s="49">
        <f>'Avg Week Kinawataka-Kireka'!C87+'Avg Week Kireka-Kinwataka'!C87</f>
        <v>18</v>
      </c>
      <c r="D87" s="49">
        <f>'Avg Week Kinawataka-Kireka'!D87+'Avg Week Kireka-Kinwataka'!D87</f>
        <v>2.5</v>
      </c>
      <c r="E87" s="49">
        <f>'Avg Week Kinawataka-Kireka'!E87+'Avg Week Kireka-Kinwataka'!E87</f>
        <v>1</v>
      </c>
      <c r="F87" s="49">
        <f>'Avg Week Kinawataka-Kireka'!F87+'Avg Week Kireka-Kinwataka'!F87</f>
        <v>5</v>
      </c>
      <c r="G87" s="49">
        <f>'Avg Week Kinawataka-Kireka'!G87+'Avg Week Kireka-Kinwataka'!G87</f>
        <v>0</v>
      </c>
      <c r="H87" s="49">
        <f>'Avg Week Kinawataka-Kireka'!H87+'Avg Week Kireka-Kinwataka'!H87</f>
        <v>0</v>
      </c>
      <c r="I87" s="49">
        <f>'Avg Week Kinawataka-Kireka'!I87+'Avg Week Kireka-Kinwataka'!I87</f>
        <v>0</v>
      </c>
      <c r="J87" s="49">
        <f>'Avg Week Kinawataka-Kireka'!J87+'Avg Week Kireka-Kinwataka'!J87</f>
        <v>1</v>
      </c>
      <c r="K87" s="49">
        <f>'Avg Week Kinawataka-Kireka'!K87+'Avg Week Kireka-Kinwataka'!K87</f>
        <v>1.5</v>
      </c>
      <c r="L87" s="49">
        <f>'Avg Week Kinawataka-Kireka'!L87+'Avg Week Kireka-Kinwataka'!L87</f>
        <v>4</v>
      </c>
      <c r="M87" s="49">
        <f>'Avg Week Kinawataka-Kireka'!M87+'Avg Week Kireka-Kinwataka'!M87</f>
        <v>44.5</v>
      </c>
      <c r="N87" s="49">
        <f>'Avg Week Kinawataka-Kireka'!N87+'Avg Week Kireka-Kinwataka'!N87</f>
        <v>0</v>
      </c>
      <c r="O87" s="49">
        <f>'Avg Week Kinawataka-Kireka'!O87+'Avg Week Kireka-Kinwataka'!O87</f>
        <v>33</v>
      </c>
      <c r="P87" s="49">
        <f>'Avg Week Kinawataka-Kireka'!P87+'Avg Week Kireka-Kinwataka'!P87</f>
        <v>77.5</v>
      </c>
      <c r="R87" s="8"/>
      <c r="T87"/>
    </row>
    <row r="88" spans="2:20" ht="23.1" customHeight="1" x14ac:dyDescent="0.25">
      <c r="B88" s="25" t="s">
        <v>128</v>
      </c>
      <c r="C88" s="49">
        <f>'Avg Week Kinawataka-Kireka'!C88+'Avg Week Kireka-Kinwataka'!C88</f>
        <v>16.5</v>
      </c>
      <c r="D88" s="49">
        <f>'Avg Week Kinawataka-Kireka'!D88+'Avg Week Kireka-Kinwataka'!D88</f>
        <v>2</v>
      </c>
      <c r="E88" s="49">
        <f>'Avg Week Kinawataka-Kireka'!E88+'Avg Week Kireka-Kinwataka'!E88</f>
        <v>0.5</v>
      </c>
      <c r="F88" s="49">
        <f>'Avg Week Kinawataka-Kireka'!F88+'Avg Week Kireka-Kinwataka'!F88</f>
        <v>5.5</v>
      </c>
      <c r="G88" s="49">
        <f>'Avg Week Kinawataka-Kireka'!G88+'Avg Week Kireka-Kinwataka'!G88</f>
        <v>0</v>
      </c>
      <c r="H88" s="49">
        <f>'Avg Week Kinawataka-Kireka'!H88+'Avg Week Kireka-Kinwataka'!H88</f>
        <v>0</v>
      </c>
      <c r="I88" s="49">
        <f>'Avg Week Kinawataka-Kireka'!I88+'Avg Week Kireka-Kinwataka'!I88</f>
        <v>1</v>
      </c>
      <c r="J88" s="49">
        <f>'Avg Week Kinawataka-Kireka'!J88+'Avg Week Kireka-Kinwataka'!J88</f>
        <v>2.5</v>
      </c>
      <c r="K88" s="49">
        <f>'Avg Week Kinawataka-Kireka'!K88+'Avg Week Kireka-Kinwataka'!K88</f>
        <v>0</v>
      </c>
      <c r="L88" s="49">
        <f>'Avg Week Kinawataka-Kireka'!L88+'Avg Week Kireka-Kinwataka'!L88</f>
        <v>0</v>
      </c>
      <c r="M88" s="49">
        <f>'Avg Week Kinawataka-Kireka'!M88+'Avg Week Kireka-Kinwataka'!M88</f>
        <v>37.5</v>
      </c>
      <c r="N88" s="49">
        <f>'Avg Week Kinawataka-Kireka'!N88+'Avg Week Kireka-Kinwataka'!N88</f>
        <v>0</v>
      </c>
      <c r="O88" s="49">
        <f>'Avg Week Kinawataka-Kireka'!O88+'Avg Week Kireka-Kinwataka'!O88</f>
        <v>28</v>
      </c>
      <c r="P88" s="49">
        <f>'Avg Week Kinawataka-Kireka'!P88+'Avg Week Kireka-Kinwataka'!P88</f>
        <v>65.5</v>
      </c>
      <c r="R88" s="8"/>
      <c r="T88"/>
    </row>
    <row r="89" spans="2:20" ht="23.1" customHeight="1" x14ac:dyDescent="0.25">
      <c r="B89" s="23" t="s">
        <v>129</v>
      </c>
      <c r="C89" s="49">
        <f>'Avg Week Kinawataka-Kireka'!C89+'Avg Week Kireka-Kinwataka'!C89</f>
        <v>22</v>
      </c>
      <c r="D89" s="49">
        <f>'Avg Week Kinawataka-Kireka'!D89+'Avg Week Kireka-Kinwataka'!D89</f>
        <v>3</v>
      </c>
      <c r="E89" s="49">
        <f>'Avg Week Kinawataka-Kireka'!E89+'Avg Week Kireka-Kinwataka'!E89</f>
        <v>1</v>
      </c>
      <c r="F89" s="49">
        <f>'Avg Week Kinawataka-Kireka'!F89+'Avg Week Kireka-Kinwataka'!F89</f>
        <v>5</v>
      </c>
      <c r="G89" s="49">
        <f>'Avg Week Kinawataka-Kireka'!G89+'Avg Week Kireka-Kinwataka'!G89</f>
        <v>1</v>
      </c>
      <c r="H89" s="49">
        <f>'Avg Week Kinawataka-Kireka'!H89+'Avg Week Kireka-Kinwataka'!H89</f>
        <v>0</v>
      </c>
      <c r="I89" s="49">
        <f>'Avg Week Kinawataka-Kireka'!I89+'Avg Week Kireka-Kinwataka'!I89</f>
        <v>1</v>
      </c>
      <c r="J89" s="49">
        <f>'Avg Week Kinawataka-Kireka'!J89+'Avg Week Kireka-Kinwataka'!J89</f>
        <v>1</v>
      </c>
      <c r="K89" s="49">
        <f>'Avg Week Kinawataka-Kireka'!K89+'Avg Week Kireka-Kinwataka'!K89</f>
        <v>0</v>
      </c>
      <c r="L89" s="49">
        <f>'Avg Week Kinawataka-Kireka'!L89+'Avg Week Kireka-Kinwataka'!L89</f>
        <v>1</v>
      </c>
      <c r="M89" s="49">
        <f>'Avg Week Kinawataka-Kireka'!M89+'Avg Week Kireka-Kinwataka'!M89</f>
        <v>40.5</v>
      </c>
      <c r="N89" s="49">
        <f>'Avg Week Kinawataka-Kireka'!N89+'Avg Week Kireka-Kinwataka'!N89</f>
        <v>0</v>
      </c>
      <c r="O89" s="49">
        <f>'Avg Week Kinawataka-Kireka'!O89+'Avg Week Kireka-Kinwataka'!O89</f>
        <v>35</v>
      </c>
      <c r="P89" s="49">
        <f>'Avg Week Kinawataka-Kireka'!P89+'Avg Week Kireka-Kinwataka'!P89</f>
        <v>75.5</v>
      </c>
      <c r="R89" s="8"/>
      <c r="T89"/>
    </row>
    <row r="90" spans="2:20" ht="23.1" customHeight="1" x14ac:dyDescent="0.25">
      <c r="B90" s="24" t="s">
        <v>130</v>
      </c>
      <c r="C90" s="49">
        <f>'Avg Week Kinawataka-Kireka'!C90+'Avg Week Kireka-Kinwataka'!C90</f>
        <v>12.5</v>
      </c>
      <c r="D90" s="49">
        <f>'Avg Week Kinawataka-Kireka'!D90+'Avg Week Kireka-Kinwataka'!D90</f>
        <v>0.5</v>
      </c>
      <c r="E90" s="49">
        <f>'Avg Week Kinawataka-Kireka'!E90+'Avg Week Kireka-Kinwataka'!E90</f>
        <v>0.5</v>
      </c>
      <c r="F90" s="49">
        <f>'Avg Week Kinawataka-Kireka'!F90+'Avg Week Kireka-Kinwataka'!F90</f>
        <v>1</v>
      </c>
      <c r="G90" s="49">
        <f>'Avg Week Kinawataka-Kireka'!G90+'Avg Week Kireka-Kinwataka'!G90</f>
        <v>0</v>
      </c>
      <c r="H90" s="49">
        <f>'Avg Week Kinawataka-Kireka'!H90+'Avg Week Kireka-Kinwataka'!H90</f>
        <v>0</v>
      </c>
      <c r="I90" s="49">
        <f>'Avg Week Kinawataka-Kireka'!I90+'Avg Week Kireka-Kinwataka'!I90</f>
        <v>1.5</v>
      </c>
      <c r="J90" s="49">
        <f>'Avg Week Kinawataka-Kireka'!J90+'Avg Week Kireka-Kinwataka'!J90</f>
        <v>0</v>
      </c>
      <c r="K90" s="49">
        <f>'Avg Week Kinawataka-Kireka'!K90+'Avg Week Kireka-Kinwataka'!K90</f>
        <v>0</v>
      </c>
      <c r="L90" s="49">
        <f>'Avg Week Kinawataka-Kireka'!L90+'Avg Week Kireka-Kinwataka'!L90</f>
        <v>1.5</v>
      </c>
      <c r="M90" s="49">
        <f>'Avg Week Kinawataka-Kireka'!M90+'Avg Week Kireka-Kinwataka'!M90</f>
        <v>47</v>
      </c>
      <c r="N90" s="49">
        <f>'Avg Week Kinawataka-Kireka'!N90+'Avg Week Kireka-Kinwataka'!N90</f>
        <v>0</v>
      </c>
      <c r="O90" s="49">
        <f>'Avg Week Kinawataka-Kireka'!O90+'Avg Week Kireka-Kinwataka'!O90</f>
        <v>17.5</v>
      </c>
      <c r="P90" s="49">
        <f>'Avg Week Kinawataka-Kireka'!P90+'Avg Week Kireka-Kinwataka'!P90</f>
        <v>64.5</v>
      </c>
      <c r="R90" s="8"/>
      <c r="T90"/>
    </row>
    <row r="91" spans="2:20" ht="23.1" customHeight="1" x14ac:dyDescent="0.25">
      <c r="B91" s="23" t="s">
        <v>131</v>
      </c>
      <c r="C91" s="49">
        <f>'Avg Week Kinawataka-Kireka'!C91+'Avg Week Kireka-Kinwataka'!C91</f>
        <v>18.5</v>
      </c>
      <c r="D91" s="49">
        <f>'Avg Week Kinawataka-Kireka'!D91+'Avg Week Kireka-Kinwataka'!D91</f>
        <v>0.5</v>
      </c>
      <c r="E91" s="49">
        <f>'Avg Week Kinawataka-Kireka'!E91+'Avg Week Kireka-Kinwataka'!E91</f>
        <v>0</v>
      </c>
      <c r="F91" s="49">
        <f>'Avg Week Kinawataka-Kireka'!F91+'Avg Week Kireka-Kinwataka'!F91</f>
        <v>1.5</v>
      </c>
      <c r="G91" s="49">
        <f>'Avg Week Kinawataka-Kireka'!G91+'Avg Week Kireka-Kinwataka'!G91</f>
        <v>0</v>
      </c>
      <c r="H91" s="49">
        <f>'Avg Week Kinawataka-Kireka'!H91+'Avg Week Kireka-Kinwataka'!H91</f>
        <v>0</v>
      </c>
      <c r="I91" s="49">
        <f>'Avg Week Kinawataka-Kireka'!I91+'Avg Week Kireka-Kinwataka'!I91</f>
        <v>1.5</v>
      </c>
      <c r="J91" s="49">
        <f>'Avg Week Kinawataka-Kireka'!J91+'Avg Week Kireka-Kinwataka'!J91</f>
        <v>1.5</v>
      </c>
      <c r="K91" s="49">
        <f>'Avg Week Kinawataka-Kireka'!K91+'Avg Week Kireka-Kinwataka'!K91</f>
        <v>0</v>
      </c>
      <c r="L91" s="49">
        <f>'Avg Week Kinawataka-Kireka'!L91+'Avg Week Kireka-Kinwataka'!L91</f>
        <v>0</v>
      </c>
      <c r="M91" s="49">
        <f>'Avg Week Kinawataka-Kireka'!M91+'Avg Week Kireka-Kinwataka'!M91</f>
        <v>25.5</v>
      </c>
      <c r="N91" s="49">
        <f>'Avg Week Kinawataka-Kireka'!N91+'Avg Week Kireka-Kinwataka'!N91</f>
        <v>0</v>
      </c>
      <c r="O91" s="49">
        <f>'Avg Week Kinawataka-Kireka'!O91+'Avg Week Kireka-Kinwataka'!O91</f>
        <v>23.5</v>
      </c>
      <c r="P91" s="49">
        <f>'Avg Week Kinawataka-Kireka'!P91+'Avg Week Kireka-Kinwataka'!P91</f>
        <v>49</v>
      </c>
      <c r="R91" s="8"/>
      <c r="T91"/>
    </row>
    <row r="92" spans="2:20" ht="23.1" customHeight="1" x14ac:dyDescent="0.25">
      <c r="B92" s="25" t="s">
        <v>132</v>
      </c>
      <c r="C92" s="49">
        <f>'Avg Week Kinawataka-Kireka'!C92+'Avg Week Kireka-Kinwataka'!C92</f>
        <v>13</v>
      </c>
      <c r="D92" s="49">
        <f>'Avg Week Kinawataka-Kireka'!D92+'Avg Week Kireka-Kinwataka'!D92</f>
        <v>0.5</v>
      </c>
      <c r="E92" s="49">
        <f>'Avg Week Kinawataka-Kireka'!E92+'Avg Week Kireka-Kinwataka'!E92</f>
        <v>1</v>
      </c>
      <c r="F92" s="49">
        <f>'Avg Week Kinawataka-Kireka'!F92+'Avg Week Kireka-Kinwataka'!F92</f>
        <v>1</v>
      </c>
      <c r="G92" s="49">
        <f>'Avg Week Kinawataka-Kireka'!G92+'Avg Week Kireka-Kinwataka'!G92</f>
        <v>0</v>
      </c>
      <c r="H92" s="49">
        <f>'Avg Week Kinawataka-Kireka'!H92+'Avg Week Kireka-Kinwataka'!H92</f>
        <v>0</v>
      </c>
      <c r="I92" s="49">
        <f>'Avg Week Kinawataka-Kireka'!I92+'Avg Week Kireka-Kinwataka'!I92</f>
        <v>1</v>
      </c>
      <c r="J92" s="49">
        <f>'Avg Week Kinawataka-Kireka'!J92+'Avg Week Kireka-Kinwataka'!J92</f>
        <v>1</v>
      </c>
      <c r="K92" s="49">
        <f>'Avg Week Kinawataka-Kireka'!K92+'Avg Week Kireka-Kinwataka'!K92</f>
        <v>0</v>
      </c>
      <c r="L92" s="49">
        <f>'Avg Week Kinawataka-Kireka'!L92+'Avg Week Kireka-Kinwataka'!L92</f>
        <v>0</v>
      </c>
      <c r="M92" s="49">
        <f>'Avg Week Kinawataka-Kireka'!M92+'Avg Week Kireka-Kinwataka'!M92</f>
        <v>24.5</v>
      </c>
      <c r="N92" s="49">
        <f>'Avg Week Kinawataka-Kireka'!N92+'Avg Week Kireka-Kinwataka'!N92</f>
        <v>0</v>
      </c>
      <c r="O92" s="49">
        <f>'Avg Week Kinawataka-Kireka'!O92+'Avg Week Kireka-Kinwataka'!O92</f>
        <v>17.5</v>
      </c>
      <c r="P92" s="49">
        <f>'Avg Week Kinawataka-Kireka'!P92+'Avg Week Kireka-Kinwataka'!P92</f>
        <v>42</v>
      </c>
      <c r="R92" s="8"/>
      <c r="T92"/>
    </row>
    <row r="93" spans="2:20" ht="23.1" customHeight="1" x14ac:dyDescent="0.25">
      <c r="B93" s="23" t="s">
        <v>133</v>
      </c>
      <c r="C93" s="49">
        <f>'Avg Week Kinawataka-Kireka'!C93+'Avg Week Kireka-Kinwataka'!C93</f>
        <v>9.5</v>
      </c>
      <c r="D93" s="49">
        <f>'Avg Week Kinawataka-Kireka'!D93+'Avg Week Kireka-Kinwataka'!D93</f>
        <v>0.5</v>
      </c>
      <c r="E93" s="49">
        <f>'Avg Week Kinawataka-Kireka'!E93+'Avg Week Kireka-Kinwataka'!E93</f>
        <v>0</v>
      </c>
      <c r="F93" s="49">
        <f>'Avg Week Kinawataka-Kireka'!F93+'Avg Week Kireka-Kinwataka'!F93</f>
        <v>1.5</v>
      </c>
      <c r="G93" s="49">
        <f>'Avg Week Kinawataka-Kireka'!G93+'Avg Week Kireka-Kinwataka'!G93</f>
        <v>0</v>
      </c>
      <c r="H93" s="49">
        <f>'Avg Week Kinawataka-Kireka'!H93+'Avg Week Kireka-Kinwataka'!H93</f>
        <v>0</v>
      </c>
      <c r="I93" s="49">
        <f>'Avg Week Kinawataka-Kireka'!I93+'Avg Week Kireka-Kinwataka'!I93</f>
        <v>0.5</v>
      </c>
      <c r="J93" s="49">
        <f>'Avg Week Kinawataka-Kireka'!J93+'Avg Week Kireka-Kinwataka'!J93</f>
        <v>0</v>
      </c>
      <c r="K93" s="49">
        <f>'Avg Week Kinawataka-Kireka'!K93+'Avg Week Kireka-Kinwataka'!K93</f>
        <v>0</v>
      </c>
      <c r="L93" s="49">
        <f>'Avg Week Kinawataka-Kireka'!L93+'Avg Week Kireka-Kinwataka'!L93</f>
        <v>0</v>
      </c>
      <c r="M93" s="49">
        <f>'Avg Week Kinawataka-Kireka'!M93+'Avg Week Kireka-Kinwataka'!M93</f>
        <v>29</v>
      </c>
      <c r="N93" s="49">
        <f>'Avg Week Kinawataka-Kireka'!N93+'Avg Week Kireka-Kinwataka'!N93</f>
        <v>0</v>
      </c>
      <c r="O93" s="49">
        <f>'Avg Week Kinawataka-Kireka'!O93+'Avg Week Kireka-Kinwataka'!O93</f>
        <v>12</v>
      </c>
      <c r="P93" s="49">
        <f>'Avg Week Kinawataka-Kireka'!P93+'Avg Week Kireka-Kinwataka'!P93</f>
        <v>41</v>
      </c>
      <c r="R93" s="8"/>
      <c r="T93"/>
    </row>
    <row r="94" spans="2:20" ht="23.1" customHeight="1" x14ac:dyDescent="0.25">
      <c r="B94" s="24" t="s">
        <v>134</v>
      </c>
      <c r="C94" s="49">
        <f>'Avg Week Kinawataka-Kireka'!C94+'Avg Week Kireka-Kinwataka'!C94</f>
        <v>10</v>
      </c>
      <c r="D94" s="49">
        <f>'Avg Week Kinawataka-Kireka'!D94+'Avg Week Kireka-Kinwataka'!D94</f>
        <v>0.5</v>
      </c>
      <c r="E94" s="49">
        <f>'Avg Week Kinawataka-Kireka'!E94+'Avg Week Kireka-Kinwataka'!E94</f>
        <v>0</v>
      </c>
      <c r="F94" s="49">
        <f>'Avg Week Kinawataka-Kireka'!F94+'Avg Week Kireka-Kinwataka'!F94</f>
        <v>3</v>
      </c>
      <c r="G94" s="49">
        <f>'Avg Week Kinawataka-Kireka'!G94+'Avg Week Kireka-Kinwataka'!G94</f>
        <v>0</v>
      </c>
      <c r="H94" s="49">
        <f>'Avg Week Kinawataka-Kireka'!H94+'Avg Week Kireka-Kinwataka'!H94</f>
        <v>0</v>
      </c>
      <c r="I94" s="49">
        <f>'Avg Week Kinawataka-Kireka'!I94+'Avg Week Kireka-Kinwataka'!I94</f>
        <v>0</v>
      </c>
      <c r="J94" s="49">
        <f>'Avg Week Kinawataka-Kireka'!J94+'Avg Week Kireka-Kinwataka'!J94</f>
        <v>0.5</v>
      </c>
      <c r="K94" s="49">
        <f>'Avg Week Kinawataka-Kireka'!K94+'Avg Week Kireka-Kinwataka'!K94</f>
        <v>0</v>
      </c>
      <c r="L94" s="49">
        <f>'Avg Week Kinawataka-Kireka'!L94+'Avg Week Kireka-Kinwataka'!L94</f>
        <v>0</v>
      </c>
      <c r="M94" s="49">
        <f>'Avg Week Kinawataka-Kireka'!M94+'Avg Week Kireka-Kinwataka'!M94</f>
        <v>27.5</v>
      </c>
      <c r="N94" s="49">
        <f>'Avg Week Kinawataka-Kireka'!N94+'Avg Week Kireka-Kinwataka'!N94</f>
        <v>0</v>
      </c>
      <c r="O94" s="49">
        <f>'Avg Week Kinawataka-Kireka'!O94+'Avg Week Kireka-Kinwataka'!O94</f>
        <v>14</v>
      </c>
      <c r="P94" s="49">
        <f>'Avg Week Kinawataka-Kireka'!P94+'Avg Week Kireka-Kinwataka'!P94</f>
        <v>41.5</v>
      </c>
      <c r="R94" s="8"/>
      <c r="T94"/>
    </row>
    <row r="95" spans="2:20" ht="23.1" customHeight="1" x14ac:dyDescent="0.25">
      <c r="B95" s="23" t="s">
        <v>135</v>
      </c>
      <c r="C95" s="49">
        <f>'Avg Week Kinawataka-Kireka'!C95+'Avg Week Kireka-Kinwataka'!C95</f>
        <v>12</v>
      </c>
      <c r="D95" s="49">
        <f>'Avg Week Kinawataka-Kireka'!D95+'Avg Week Kireka-Kinwataka'!D95</f>
        <v>0.5</v>
      </c>
      <c r="E95" s="49">
        <f>'Avg Week Kinawataka-Kireka'!E95+'Avg Week Kireka-Kinwataka'!E95</f>
        <v>0</v>
      </c>
      <c r="F95" s="49">
        <f>'Avg Week Kinawataka-Kireka'!F95+'Avg Week Kireka-Kinwataka'!F95</f>
        <v>2.5</v>
      </c>
      <c r="G95" s="49">
        <f>'Avg Week Kinawataka-Kireka'!G95+'Avg Week Kireka-Kinwataka'!G95</f>
        <v>0</v>
      </c>
      <c r="H95" s="49">
        <f>'Avg Week Kinawataka-Kireka'!H95+'Avg Week Kireka-Kinwataka'!H95</f>
        <v>0</v>
      </c>
      <c r="I95" s="49">
        <f>'Avg Week Kinawataka-Kireka'!I95+'Avg Week Kireka-Kinwataka'!I95</f>
        <v>0</v>
      </c>
      <c r="J95" s="49">
        <f>'Avg Week Kinawataka-Kireka'!J95+'Avg Week Kireka-Kinwataka'!J95</f>
        <v>0</v>
      </c>
      <c r="K95" s="49">
        <f>'Avg Week Kinawataka-Kireka'!K95+'Avg Week Kireka-Kinwataka'!K95</f>
        <v>0</v>
      </c>
      <c r="L95" s="49">
        <f>'Avg Week Kinawataka-Kireka'!L95+'Avg Week Kireka-Kinwataka'!L95</f>
        <v>0</v>
      </c>
      <c r="M95" s="49">
        <f>'Avg Week Kinawataka-Kireka'!M95+'Avg Week Kireka-Kinwataka'!M95</f>
        <v>26</v>
      </c>
      <c r="N95" s="49">
        <f>'Avg Week Kinawataka-Kireka'!N95+'Avg Week Kireka-Kinwataka'!N95</f>
        <v>0</v>
      </c>
      <c r="O95" s="49">
        <f>'Avg Week Kinawataka-Kireka'!O95+'Avg Week Kireka-Kinwataka'!O95</f>
        <v>15</v>
      </c>
      <c r="P95" s="49">
        <f>'Avg Week Kinawataka-Kireka'!P95+'Avg Week Kireka-Kinwataka'!P95</f>
        <v>41</v>
      </c>
      <c r="R95" s="8"/>
      <c r="T95"/>
    </row>
    <row r="96" spans="2:20" ht="23.1" customHeight="1" x14ac:dyDescent="0.25">
      <c r="B96" s="25" t="s">
        <v>136</v>
      </c>
      <c r="C96" s="49">
        <f>'Avg Week Kinawataka-Kireka'!C96+'Avg Week Kireka-Kinwataka'!C96</f>
        <v>14.5</v>
      </c>
      <c r="D96" s="49">
        <f>'Avg Week Kinawataka-Kireka'!D96+'Avg Week Kireka-Kinwataka'!D96</f>
        <v>1</v>
      </c>
      <c r="E96" s="49">
        <f>'Avg Week Kinawataka-Kireka'!E96+'Avg Week Kireka-Kinwataka'!E96</f>
        <v>0.5</v>
      </c>
      <c r="F96" s="49">
        <f>'Avg Week Kinawataka-Kireka'!F96+'Avg Week Kireka-Kinwataka'!F96</f>
        <v>2.5</v>
      </c>
      <c r="G96" s="49">
        <f>'Avg Week Kinawataka-Kireka'!G96+'Avg Week Kireka-Kinwataka'!G96</f>
        <v>0</v>
      </c>
      <c r="H96" s="49">
        <f>'Avg Week Kinawataka-Kireka'!H96+'Avg Week Kireka-Kinwataka'!H96</f>
        <v>0</v>
      </c>
      <c r="I96" s="49">
        <f>'Avg Week Kinawataka-Kireka'!I96+'Avg Week Kireka-Kinwataka'!I96</f>
        <v>0.5</v>
      </c>
      <c r="J96" s="49">
        <f>'Avg Week Kinawataka-Kireka'!J96+'Avg Week Kireka-Kinwataka'!J96</f>
        <v>1</v>
      </c>
      <c r="K96" s="49">
        <f>'Avg Week Kinawataka-Kireka'!K96+'Avg Week Kireka-Kinwataka'!K96</f>
        <v>0</v>
      </c>
      <c r="L96" s="49">
        <f>'Avg Week Kinawataka-Kireka'!L96+'Avg Week Kireka-Kinwataka'!L96</f>
        <v>0</v>
      </c>
      <c r="M96" s="49">
        <f>'Avg Week Kinawataka-Kireka'!M96+'Avg Week Kireka-Kinwataka'!M96</f>
        <v>30.5</v>
      </c>
      <c r="N96" s="49">
        <f>'Avg Week Kinawataka-Kireka'!N96+'Avg Week Kireka-Kinwataka'!N96</f>
        <v>0</v>
      </c>
      <c r="O96" s="49">
        <f>'Avg Week Kinawataka-Kireka'!O96+'Avg Week Kireka-Kinwataka'!O96</f>
        <v>20</v>
      </c>
      <c r="P96" s="49">
        <f>'Avg Week Kinawataka-Kireka'!P96+'Avg Week Kireka-Kinwataka'!P96</f>
        <v>50.5</v>
      </c>
      <c r="R96" s="8"/>
      <c r="T96"/>
    </row>
    <row r="97" spans="2:20" ht="23.1" customHeight="1" x14ac:dyDescent="0.25">
      <c r="B97" s="23" t="s">
        <v>137</v>
      </c>
      <c r="C97" s="49">
        <f>'Avg Week Kinawataka-Kireka'!C97+'Avg Week Kireka-Kinwataka'!C97</f>
        <v>9.5</v>
      </c>
      <c r="D97" s="49">
        <f>'Avg Week Kinawataka-Kireka'!D97+'Avg Week Kireka-Kinwataka'!D97</f>
        <v>0</v>
      </c>
      <c r="E97" s="49">
        <f>'Avg Week Kinawataka-Kireka'!E97+'Avg Week Kireka-Kinwataka'!E97</f>
        <v>2.5</v>
      </c>
      <c r="F97" s="49">
        <f>'Avg Week Kinawataka-Kireka'!F97+'Avg Week Kireka-Kinwataka'!F97</f>
        <v>5</v>
      </c>
      <c r="G97" s="49">
        <f>'Avg Week Kinawataka-Kireka'!G97+'Avg Week Kireka-Kinwataka'!G97</f>
        <v>0</v>
      </c>
      <c r="H97" s="49">
        <f>'Avg Week Kinawataka-Kireka'!H97+'Avg Week Kireka-Kinwataka'!H97</f>
        <v>0</v>
      </c>
      <c r="I97" s="49">
        <f>'Avg Week Kinawataka-Kireka'!I97+'Avg Week Kireka-Kinwataka'!I97</f>
        <v>0</v>
      </c>
      <c r="J97" s="49">
        <f>'Avg Week Kinawataka-Kireka'!J97+'Avg Week Kireka-Kinwataka'!J97</f>
        <v>1.5</v>
      </c>
      <c r="K97" s="49">
        <f>'Avg Week Kinawataka-Kireka'!K97+'Avg Week Kireka-Kinwataka'!K97</f>
        <v>0.5</v>
      </c>
      <c r="L97" s="49">
        <f>'Avg Week Kinawataka-Kireka'!L97+'Avg Week Kireka-Kinwataka'!L97</f>
        <v>0.5</v>
      </c>
      <c r="M97" s="49">
        <f>'Avg Week Kinawataka-Kireka'!M97+'Avg Week Kireka-Kinwataka'!M97</f>
        <v>40.5</v>
      </c>
      <c r="N97" s="49">
        <f>'Avg Week Kinawataka-Kireka'!N97+'Avg Week Kireka-Kinwataka'!N97</f>
        <v>0</v>
      </c>
      <c r="O97" s="49">
        <f>'Avg Week Kinawataka-Kireka'!O97+'Avg Week Kireka-Kinwataka'!O97</f>
        <v>19.5</v>
      </c>
      <c r="P97" s="49">
        <f>'Avg Week Kinawataka-Kireka'!P97+'Avg Week Kireka-Kinwataka'!P97</f>
        <v>60</v>
      </c>
      <c r="R97" s="8"/>
      <c r="T97"/>
    </row>
    <row r="98" spans="2:20" ht="23.1" customHeight="1" x14ac:dyDescent="0.25">
      <c r="B98" s="24" t="s">
        <v>138</v>
      </c>
      <c r="C98" s="49">
        <f>'Avg Week Kinawataka-Kireka'!C98+'Avg Week Kireka-Kinwataka'!C98</f>
        <v>12.5</v>
      </c>
      <c r="D98" s="49">
        <f>'Avg Week Kinawataka-Kireka'!D98+'Avg Week Kireka-Kinwataka'!D98</f>
        <v>0.5</v>
      </c>
      <c r="E98" s="49">
        <f>'Avg Week Kinawataka-Kireka'!E98+'Avg Week Kireka-Kinwataka'!E98</f>
        <v>1.5</v>
      </c>
      <c r="F98" s="49">
        <f>'Avg Week Kinawataka-Kireka'!F98+'Avg Week Kireka-Kinwataka'!F98</f>
        <v>6</v>
      </c>
      <c r="G98" s="49">
        <f>'Avg Week Kinawataka-Kireka'!G98+'Avg Week Kireka-Kinwataka'!G98</f>
        <v>2</v>
      </c>
      <c r="H98" s="49">
        <f>'Avg Week Kinawataka-Kireka'!H98+'Avg Week Kireka-Kinwataka'!H98</f>
        <v>0</v>
      </c>
      <c r="I98" s="49">
        <f>'Avg Week Kinawataka-Kireka'!I98+'Avg Week Kireka-Kinwataka'!I98</f>
        <v>2</v>
      </c>
      <c r="J98" s="49">
        <f>'Avg Week Kinawataka-Kireka'!J98+'Avg Week Kireka-Kinwataka'!J98</f>
        <v>1</v>
      </c>
      <c r="K98" s="49">
        <f>'Avg Week Kinawataka-Kireka'!K98+'Avg Week Kireka-Kinwataka'!K98</f>
        <v>0</v>
      </c>
      <c r="L98" s="49">
        <f>'Avg Week Kinawataka-Kireka'!L98+'Avg Week Kireka-Kinwataka'!L98</f>
        <v>0</v>
      </c>
      <c r="M98" s="49">
        <f>'Avg Week Kinawataka-Kireka'!M98+'Avg Week Kireka-Kinwataka'!M98</f>
        <v>44</v>
      </c>
      <c r="N98" s="49">
        <f>'Avg Week Kinawataka-Kireka'!N98+'Avg Week Kireka-Kinwataka'!N98</f>
        <v>0</v>
      </c>
      <c r="O98" s="49">
        <f>'Avg Week Kinawataka-Kireka'!O98+'Avg Week Kireka-Kinwataka'!O98</f>
        <v>25.5</v>
      </c>
      <c r="P98" s="49">
        <f>'Avg Week Kinawataka-Kireka'!P98+'Avg Week Kireka-Kinwataka'!P98</f>
        <v>69.5</v>
      </c>
      <c r="R98" s="8"/>
      <c r="T98"/>
    </row>
    <row r="99" spans="2:20" ht="23.1" customHeight="1" x14ac:dyDescent="0.25">
      <c r="B99" s="23" t="s">
        <v>139</v>
      </c>
      <c r="C99" s="49">
        <f>'Avg Week Kinawataka-Kireka'!C99+'Avg Week Kireka-Kinwataka'!C99</f>
        <v>11</v>
      </c>
      <c r="D99" s="49">
        <f>'Avg Week Kinawataka-Kireka'!D99+'Avg Week Kireka-Kinwataka'!D99</f>
        <v>3.5</v>
      </c>
      <c r="E99" s="49">
        <f>'Avg Week Kinawataka-Kireka'!E99+'Avg Week Kireka-Kinwataka'!E99</f>
        <v>1.5</v>
      </c>
      <c r="F99" s="49">
        <f>'Avg Week Kinawataka-Kireka'!F99+'Avg Week Kireka-Kinwataka'!F99</f>
        <v>14</v>
      </c>
      <c r="G99" s="49">
        <f>'Avg Week Kinawataka-Kireka'!G99+'Avg Week Kireka-Kinwataka'!G99</f>
        <v>0</v>
      </c>
      <c r="H99" s="49">
        <f>'Avg Week Kinawataka-Kireka'!H99+'Avg Week Kireka-Kinwataka'!H99</f>
        <v>0</v>
      </c>
      <c r="I99" s="49">
        <f>'Avg Week Kinawataka-Kireka'!I99+'Avg Week Kireka-Kinwataka'!I99</f>
        <v>0.5</v>
      </c>
      <c r="J99" s="49">
        <f>'Avg Week Kinawataka-Kireka'!J99+'Avg Week Kireka-Kinwataka'!J99</f>
        <v>1</v>
      </c>
      <c r="K99" s="49">
        <f>'Avg Week Kinawataka-Kireka'!K99+'Avg Week Kireka-Kinwataka'!K99</f>
        <v>0</v>
      </c>
      <c r="L99" s="49">
        <f>'Avg Week Kinawataka-Kireka'!L99+'Avg Week Kireka-Kinwataka'!L99</f>
        <v>0</v>
      </c>
      <c r="M99" s="49">
        <f>'Avg Week Kinawataka-Kireka'!M99+'Avg Week Kireka-Kinwataka'!M99</f>
        <v>47.5</v>
      </c>
      <c r="N99" s="49">
        <f>'Avg Week Kinawataka-Kireka'!N99+'Avg Week Kireka-Kinwataka'!N99</f>
        <v>0</v>
      </c>
      <c r="O99" s="49">
        <f>'Avg Week Kinawataka-Kireka'!O99+'Avg Week Kireka-Kinwataka'!O99</f>
        <v>31.5</v>
      </c>
      <c r="P99" s="49">
        <f>'Avg Week Kinawataka-Kireka'!P99+'Avg Week Kireka-Kinwataka'!P99</f>
        <v>79</v>
      </c>
      <c r="R99" s="8"/>
      <c r="T99"/>
    </row>
    <row r="100" spans="2:20" ht="23.1" customHeight="1" x14ac:dyDescent="0.25">
      <c r="B100" s="25" t="s">
        <v>140</v>
      </c>
      <c r="C100" s="49">
        <f>'Avg Week Kinawataka-Kireka'!C100+'Avg Week Kireka-Kinwataka'!C100</f>
        <v>12</v>
      </c>
      <c r="D100" s="49">
        <f>'Avg Week Kinawataka-Kireka'!D100+'Avg Week Kireka-Kinwataka'!D100</f>
        <v>2</v>
      </c>
      <c r="E100" s="49">
        <f>'Avg Week Kinawataka-Kireka'!E100+'Avg Week Kireka-Kinwataka'!E100</f>
        <v>4.5</v>
      </c>
      <c r="F100" s="49">
        <f>'Avg Week Kinawataka-Kireka'!F100+'Avg Week Kireka-Kinwataka'!F100</f>
        <v>17</v>
      </c>
      <c r="G100" s="49">
        <f>'Avg Week Kinawataka-Kireka'!G100+'Avg Week Kireka-Kinwataka'!G100</f>
        <v>2.5</v>
      </c>
      <c r="H100" s="49">
        <f>'Avg Week Kinawataka-Kireka'!H100+'Avg Week Kireka-Kinwataka'!H100</f>
        <v>0</v>
      </c>
      <c r="I100" s="49">
        <f>'Avg Week Kinawataka-Kireka'!I100+'Avg Week Kireka-Kinwataka'!I100</f>
        <v>1.5</v>
      </c>
      <c r="J100" s="49">
        <f>'Avg Week Kinawataka-Kireka'!J100+'Avg Week Kireka-Kinwataka'!J100</f>
        <v>1</v>
      </c>
      <c r="K100" s="49">
        <f>'Avg Week Kinawataka-Kireka'!K100+'Avg Week Kireka-Kinwataka'!K100</f>
        <v>0.5</v>
      </c>
      <c r="L100" s="49">
        <f>'Avg Week Kinawataka-Kireka'!L100+'Avg Week Kireka-Kinwataka'!L100</f>
        <v>2.5</v>
      </c>
      <c r="M100" s="49">
        <f>'Avg Week Kinawataka-Kireka'!M100+'Avg Week Kireka-Kinwataka'!M100</f>
        <v>72</v>
      </c>
      <c r="N100" s="49">
        <f>'Avg Week Kinawataka-Kireka'!N100+'Avg Week Kireka-Kinwataka'!N100</f>
        <v>0</v>
      </c>
      <c r="O100" s="49">
        <f>'Avg Week Kinawataka-Kireka'!O100+'Avg Week Kireka-Kinwataka'!O100</f>
        <v>43.5</v>
      </c>
      <c r="P100" s="49">
        <f>'Avg Week Kinawataka-Kireka'!P100+'Avg Week Kireka-Kinwataka'!P100</f>
        <v>115.5</v>
      </c>
      <c r="R100" s="8"/>
      <c r="T100"/>
    </row>
    <row r="101" spans="2:20" ht="23.1" customHeight="1" x14ac:dyDescent="0.25">
      <c r="B101" s="23" t="s">
        <v>141</v>
      </c>
      <c r="C101" s="49">
        <f>'Avg Week Kinawataka-Kireka'!C101+'Avg Week Kireka-Kinwataka'!C101</f>
        <v>22</v>
      </c>
      <c r="D101" s="49">
        <f>'Avg Week Kinawataka-Kireka'!D101+'Avg Week Kireka-Kinwataka'!D101</f>
        <v>3.5</v>
      </c>
      <c r="E101" s="49">
        <f>'Avg Week Kinawataka-Kireka'!E101+'Avg Week Kireka-Kinwataka'!E101</f>
        <v>2</v>
      </c>
      <c r="F101" s="49">
        <f>'Avg Week Kinawataka-Kireka'!F101+'Avg Week Kireka-Kinwataka'!F101</f>
        <v>23.5</v>
      </c>
      <c r="G101" s="49">
        <f>'Avg Week Kinawataka-Kireka'!G101+'Avg Week Kireka-Kinwataka'!G101</f>
        <v>2.5</v>
      </c>
      <c r="H101" s="49">
        <f>'Avg Week Kinawataka-Kireka'!H101+'Avg Week Kireka-Kinwataka'!H101</f>
        <v>0</v>
      </c>
      <c r="I101" s="49">
        <f>'Avg Week Kinawataka-Kireka'!I101+'Avg Week Kireka-Kinwataka'!I101</f>
        <v>3.5</v>
      </c>
      <c r="J101" s="49">
        <f>'Avg Week Kinawataka-Kireka'!J101+'Avg Week Kireka-Kinwataka'!J101</f>
        <v>1</v>
      </c>
      <c r="K101" s="49">
        <f>'Avg Week Kinawataka-Kireka'!K101+'Avg Week Kireka-Kinwataka'!K101</f>
        <v>0</v>
      </c>
      <c r="L101" s="49">
        <f>'Avg Week Kinawataka-Kireka'!L101+'Avg Week Kireka-Kinwataka'!L101</f>
        <v>2</v>
      </c>
      <c r="M101" s="49">
        <f>'Avg Week Kinawataka-Kireka'!M101+'Avg Week Kireka-Kinwataka'!M101</f>
        <v>71</v>
      </c>
      <c r="N101" s="49">
        <f>'Avg Week Kinawataka-Kireka'!N101+'Avg Week Kireka-Kinwataka'!N101</f>
        <v>0</v>
      </c>
      <c r="O101" s="49">
        <f>'Avg Week Kinawataka-Kireka'!O101+'Avg Week Kireka-Kinwataka'!O101</f>
        <v>60</v>
      </c>
      <c r="P101" s="49">
        <f>'Avg Week Kinawataka-Kireka'!P101+'Avg Week Kireka-Kinwataka'!P101</f>
        <v>131</v>
      </c>
      <c r="R101" s="8"/>
      <c r="T101"/>
    </row>
    <row r="102" spans="2:20" ht="23.1" customHeight="1" x14ac:dyDescent="0.25">
      <c r="B102" s="24" t="s">
        <v>142</v>
      </c>
      <c r="C102" s="49">
        <f>'Avg Week Kinawataka-Kireka'!C102+'Avg Week Kireka-Kinwataka'!C102</f>
        <v>38.5</v>
      </c>
      <c r="D102" s="49">
        <f>'Avg Week Kinawataka-Kireka'!D102+'Avg Week Kireka-Kinwataka'!D102</f>
        <v>9.5</v>
      </c>
      <c r="E102" s="49">
        <f>'Avg Week Kinawataka-Kireka'!E102+'Avg Week Kireka-Kinwataka'!E102</f>
        <v>9.5</v>
      </c>
      <c r="F102" s="49">
        <f>'Avg Week Kinawataka-Kireka'!F102+'Avg Week Kireka-Kinwataka'!F102</f>
        <v>24.5</v>
      </c>
      <c r="G102" s="49">
        <f>'Avg Week Kinawataka-Kireka'!G102+'Avg Week Kireka-Kinwataka'!G102</f>
        <v>3.5</v>
      </c>
      <c r="H102" s="49">
        <f>'Avg Week Kinawataka-Kireka'!H102+'Avg Week Kireka-Kinwataka'!H102</f>
        <v>0</v>
      </c>
      <c r="I102" s="49">
        <f>'Avg Week Kinawataka-Kireka'!I102+'Avg Week Kireka-Kinwataka'!I102</f>
        <v>5.5</v>
      </c>
      <c r="J102" s="49">
        <f>'Avg Week Kinawataka-Kireka'!J102+'Avg Week Kireka-Kinwataka'!J102</f>
        <v>2.5</v>
      </c>
      <c r="K102" s="49">
        <f>'Avg Week Kinawataka-Kireka'!K102+'Avg Week Kireka-Kinwataka'!K102</f>
        <v>0</v>
      </c>
      <c r="L102" s="49">
        <f>'Avg Week Kinawataka-Kireka'!L102+'Avg Week Kireka-Kinwataka'!L102</f>
        <v>1.5</v>
      </c>
      <c r="M102" s="49">
        <f>'Avg Week Kinawataka-Kireka'!M102+'Avg Week Kireka-Kinwataka'!M102</f>
        <v>93</v>
      </c>
      <c r="N102" s="49">
        <f>'Avg Week Kinawataka-Kireka'!N102+'Avg Week Kireka-Kinwataka'!N102</f>
        <v>0</v>
      </c>
      <c r="O102" s="49">
        <f>'Avg Week Kinawataka-Kireka'!O102+'Avg Week Kireka-Kinwataka'!O102</f>
        <v>95</v>
      </c>
      <c r="P102" s="49">
        <f>'Avg Week Kinawataka-Kireka'!P102+'Avg Week Kireka-Kinwataka'!P102</f>
        <v>188</v>
      </c>
      <c r="R102" s="8"/>
      <c r="T102"/>
    </row>
    <row r="103" spans="2:20" ht="23.1" customHeight="1" x14ac:dyDescent="0.25">
      <c r="B103" s="23" t="s">
        <v>143</v>
      </c>
      <c r="C103" s="49">
        <f>'Avg Week Kinawataka-Kireka'!C103+'Avg Week Kireka-Kinwataka'!C103</f>
        <v>81.5</v>
      </c>
      <c r="D103" s="49">
        <f>'Avg Week Kinawataka-Kireka'!D103+'Avg Week Kireka-Kinwataka'!D103</f>
        <v>12</v>
      </c>
      <c r="E103" s="49">
        <f>'Avg Week Kinawataka-Kireka'!E103+'Avg Week Kireka-Kinwataka'!E103</f>
        <v>17</v>
      </c>
      <c r="F103" s="49">
        <f>'Avg Week Kinawataka-Kireka'!F103+'Avg Week Kireka-Kinwataka'!F103</f>
        <v>27.5</v>
      </c>
      <c r="G103" s="49">
        <f>'Avg Week Kinawataka-Kireka'!G103+'Avg Week Kireka-Kinwataka'!G103</f>
        <v>4.5</v>
      </c>
      <c r="H103" s="49">
        <f>'Avg Week Kinawataka-Kireka'!H103+'Avg Week Kireka-Kinwataka'!H103</f>
        <v>1</v>
      </c>
      <c r="I103" s="49">
        <f>'Avg Week Kinawataka-Kireka'!I103+'Avg Week Kireka-Kinwataka'!I103</f>
        <v>7</v>
      </c>
      <c r="J103" s="49">
        <f>'Avg Week Kinawataka-Kireka'!J103+'Avg Week Kireka-Kinwataka'!J103</f>
        <v>1.5</v>
      </c>
      <c r="K103" s="49">
        <f>'Avg Week Kinawataka-Kireka'!K103+'Avg Week Kireka-Kinwataka'!K103</f>
        <v>2</v>
      </c>
      <c r="L103" s="49">
        <f>'Avg Week Kinawataka-Kireka'!L103+'Avg Week Kireka-Kinwataka'!L103</f>
        <v>1.5</v>
      </c>
      <c r="M103" s="49">
        <f>'Avg Week Kinawataka-Kireka'!M103+'Avg Week Kireka-Kinwataka'!M103</f>
        <v>126</v>
      </c>
      <c r="N103" s="49">
        <f>'Avg Week Kinawataka-Kireka'!N103+'Avg Week Kireka-Kinwataka'!N103</f>
        <v>0</v>
      </c>
      <c r="O103" s="49">
        <f>'Avg Week Kinawataka-Kireka'!O103+'Avg Week Kireka-Kinwataka'!O103</f>
        <v>155.5</v>
      </c>
      <c r="P103" s="49">
        <f>'Avg Week Kinawataka-Kireka'!P103+'Avg Week Kireka-Kinwataka'!P103</f>
        <v>281.5</v>
      </c>
      <c r="R103" s="8"/>
      <c r="T103"/>
    </row>
    <row r="104" spans="2:20" ht="23.1" customHeight="1" x14ac:dyDescent="0.25">
      <c r="B104" s="25" t="s">
        <v>144</v>
      </c>
      <c r="C104" s="49">
        <f>'Avg Week Kinawataka-Kireka'!C104+'Avg Week Kireka-Kinwataka'!C104</f>
        <v>74</v>
      </c>
      <c r="D104" s="49">
        <f>'Avg Week Kinawataka-Kireka'!D104+'Avg Week Kireka-Kinwataka'!D104</f>
        <v>14.5</v>
      </c>
      <c r="E104" s="49">
        <f>'Avg Week Kinawataka-Kireka'!E104+'Avg Week Kireka-Kinwataka'!E104</f>
        <v>11.5</v>
      </c>
      <c r="F104" s="49">
        <f>'Avg Week Kinawataka-Kireka'!F104+'Avg Week Kireka-Kinwataka'!F104</f>
        <v>35.5</v>
      </c>
      <c r="G104" s="49">
        <f>'Avg Week Kinawataka-Kireka'!G104+'Avg Week Kireka-Kinwataka'!G104</f>
        <v>2.5</v>
      </c>
      <c r="H104" s="49">
        <f>'Avg Week Kinawataka-Kireka'!H104+'Avg Week Kireka-Kinwataka'!H104</f>
        <v>0</v>
      </c>
      <c r="I104" s="49">
        <f>'Avg Week Kinawataka-Kireka'!I104+'Avg Week Kireka-Kinwataka'!I104</f>
        <v>4.5</v>
      </c>
      <c r="J104" s="49">
        <f>'Avg Week Kinawataka-Kireka'!J104+'Avg Week Kireka-Kinwataka'!J104</f>
        <v>5.5</v>
      </c>
      <c r="K104" s="49">
        <f>'Avg Week Kinawataka-Kireka'!K104+'Avg Week Kireka-Kinwataka'!K104</f>
        <v>1</v>
      </c>
      <c r="L104" s="49">
        <f>'Avg Week Kinawataka-Kireka'!L104+'Avg Week Kireka-Kinwataka'!L104</f>
        <v>2</v>
      </c>
      <c r="M104" s="49">
        <f>'Avg Week Kinawataka-Kireka'!M104+'Avg Week Kireka-Kinwataka'!M104</f>
        <v>141</v>
      </c>
      <c r="N104" s="49">
        <f>'Avg Week Kinawataka-Kireka'!N104+'Avg Week Kireka-Kinwataka'!N104</f>
        <v>0</v>
      </c>
      <c r="O104" s="49">
        <f>'Avg Week Kinawataka-Kireka'!O104+'Avg Week Kireka-Kinwataka'!O104</f>
        <v>151</v>
      </c>
      <c r="P104" s="49">
        <f>'Avg Week Kinawataka-Kireka'!P104+'Avg Week Kireka-Kinwataka'!P104</f>
        <v>292</v>
      </c>
      <c r="R104" s="8"/>
      <c r="T104"/>
    </row>
    <row r="105" spans="2:20" ht="23.1" customHeight="1" x14ac:dyDescent="0.25">
      <c r="B105" s="23" t="s">
        <v>145</v>
      </c>
      <c r="C105" s="49">
        <f>'Avg Week Kinawataka-Kireka'!C105+'Avg Week Kireka-Kinwataka'!C105</f>
        <v>86</v>
      </c>
      <c r="D105" s="49">
        <f>'Avg Week Kinawataka-Kireka'!D105+'Avg Week Kireka-Kinwataka'!D105</f>
        <v>16</v>
      </c>
      <c r="E105" s="49">
        <f>'Avg Week Kinawataka-Kireka'!E105+'Avg Week Kireka-Kinwataka'!E105</f>
        <v>7.5</v>
      </c>
      <c r="F105" s="49">
        <f>'Avg Week Kinawataka-Kireka'!F105+'Avg Week Kireka-Kinwataka'!F105</f>
        <v>36</v>
      </c>
      <c r="G105" s="49">
        <f>'Avg Week Kinawataka-Kireka'!G105+'Avg Week Kireka-Kinwataka'!G105</f>
        <v>3</v>
      </c>
      <c r="H105" s="49">
        <f>'Avg Week Kinawataka-Kireka'!H105+'Avg Week Kireka-Kinwataka'!H105</f>
        <v>0</v>
      </c>
      <c r="I105" s="49">
        <f>'Avg Week Kinawataka-Kireka'!I105+'Avg Week Kireka-Kinwataka'!I105</f>
        <v>6</v>
      </c>
      <c r="J105" s="49">
        <f>'Avg Week Kinawataka-Kireka'!J105+'Avg Week Kireka-Kinwataka'!J105</f>
        <v>6</v>
      </c>
      <c r="K105" s="49">
        <f>'Avg Week Kinawataka-Kireka'!K105+'Avg Week Kireka-Kinwataka'!K105</f>
        <v>1</v>
      </c>
      <c r="L105" s="49">
        <f>'Avg Week Kinawataka-Kireka'!L105+'Avg Week Kireka-Kinwataka'!L105</f>
        <v>2</v>
      </c>
      <c r="M105" s="49">
        <f>'Avg Week Kinawataka-Kireka'!M105+'Avg Week Kireka-Kinwataka'!M105</f>
        <v>189.5</v>
      </c>
      <c r="N105" s="49">
        <f>'Avg Week Kinawataka-Kireka'!N105+'Avg Week Kireka-Kinwataka'!N105</f>
        <v>0</v>
      </c>
      <c r="O105" s="49">
        <f>'Avg Week Kinawataka-Kireka'!O105+'Avg Week Kireka-Kinwataka'!O105</f>
        <v>163.5</v>
      </c>
      <c r="P105" s="49">
        <f>'Avg Week Kinawataka-Kireka'!P105+'Avg Week Kireka-Kinwataka'!P105</f>
        <v>353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6834.9285714285706</v>
      </c>
      <c r="D106" s="16">
        <f t="shared" ref="D106:P106" si="35">SUM(D10:D105)</f>
        <v>1782.1428571428569</v>
      </c>
      <c r="E106" s="16">
        <f t="shared" si="35"/>
        <v>1015.2857142857141</v>
      </c>
      <c r="F106" s="16">
        <f t="shared" si="35"/>
        <v>2360.5714285714289</v>
      </c>
      <c r="G106" s="16">
        <f t="shared" si="35"/>
        <v>229.57142857142861</v>
      </c>
      <c r="H106" s="16">
        <f t="shared" si="35"/>
        <v>24.857142857142851</v>
      </c>
      <c r="I106" s="16">
        <f t="shared" si="35"/>
        <v>798.42857142857144</v>
      </c>
      <c r="J106" s="16">
        <f t="shared" si="35"/>
        <v>638.07142857142856</v>
      </c>
      <c r="K106" s="16">
        <f t="shared" si="35"/>
        <v>281.92857142857144</v>
      </c>
      <c r="L106" s="16">
        <f t="shared" si="35"/>
        <v>353.14285714285717</v>
      </c>
      <c r="M106" s="16">
        <f t="shared" si="35"/>
        <v>18023.785714285714</v>
      </c>
      <c r="N106" s="16">
        <f t="shared" si="35"/>
        <v>3.0714285714285707</v>
      </c>
      <c r="O106" s="16">
        <f t="shared" si="35"/>
        <v>14321.999999999998</v>
      </c>
      <c r="P106" s="16">
        <f t="shared" si="35"/>
        <v>32345.785714285721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6">C106/$P$106</f>
        <v>0.21130816335093325</v>
      </c>
      <c r="D107" s="43">
        <f t="shared" si="36"/>
        <v>5.5096601235312154E-2</v>
      </c>
      <c r="E107" s="43">
        <f t="shared" si="36"/>
        <v>3.1388500599548175E-2</v>
      </c>
      <c r="F107" s="43">
        <f t="shared" si="36"/>
        <v>7.2979257620224308E-2</v>
      </c>
      <c r="G107" s="43">
        <f t="shared" si="36"/>
        <v>7.0974138825768869E-3</v>
      </c>
      <c r="H107" s="43">
        <f t="shared" si="36"/>
        <v>7.6848165250054622E-4</v>
      </c>
      <c r="I107" s="43">
        <f t="shared" si="36"/>
        <v>2.4684160665664104E-2</v>
      </c>
      <c r="J107" s="43">
        <f t="shared" si="36"/>
        <v>1.9726570694791324E-2</v>
      </c>
      <c r="K107" s="43">
        <f t="shared" si="36"/>
        <v>8.7160835701714269E-3</v>
      </c>
      <c r="L107" s="43">
        <f t="shared" si="36"/>
        <v>1.0917739338973281E-2</v>
      </c>
      <c r="M107" s="43">
        <f t="shared" si="36"/>
        <v>0.55722207132304702</v>
      </c>
      <c r="N107" s="43">
        <f t="shared" si="36"/>
        <v>9.4956066257251398E-5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0.47723282861531713</v>
      </c>
      <c r="D108" s="44">
        <f t="shared" ref="D108:N108" si="37">D106/$O$106</f>
        <v>0.1244339377979931</v>
      </c>
      <c r="E108" s="44">
        <f t="shared" si="37"/>
        <v>7.0889939553534023E-2</v>
      </c>
      <c r="F108" s="44">
        <f t="shared" si="37"/>
        <v>0.16482135376144597</v>
      </c>
      <c r="G108" s="44">
        <f t="shared" si="37"/>
        <v>1.6029285614539077E-2</v>
      </c>
      <c r="H108" s="44">
        <f t="shared" si="37"/>
        <v>1.7355915973427491E-3</v>
      </c>
      <c r="I108" s="44">
        <f t="shared" si="37"/>
        <v>5.5748399066371426E-2</v>
      </c>
      <c r="J108" s="44">
        <f t="shared" si="37"/>
        <v>4.4551838330640178E-2</v>
      </c>
      <c r="K108" s="44">
        <f t="shared" si="37"/>
        <v>1.9685000099746646E-2</v>
      </c>
      <c r="L108" s="44">
        <f t="shared" si="37"/>
        <v>2.4657370279490099E-2</v>
      </c>
      <c r="M108" s="44"/>
      <c r="N108" s="44">
        <f t="shared" si="37"/>
        <v>2.1445528357970752E-4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29.07 Kinawataka-Kireka</vt:lpstr>
      <vt:lpstr>29.07 Kireka-Kinawataka</vt:lpstr>
      <vt:lpstr>30.07 Kinawataka-Kireka</vt:lpstr>
      <vt:lpstr>30.07 Kireka-Kinawataka</vt:lpstr>
      <vt:lpstr>31.07 Kinawataka-Kireka</vt:lpstr>
      <vt:lpstr>31.07 Kireka-Kinawataka</vt:lpstr>
      <vt:lpstr>01.08 Kinawataka-Kireka-24h</vt:lpstr>
      <vt:lpstr>01.08 Kireka-Kinawataka-24h</vt:lpstr>
      <vt:lpstr>02.08 Kinawataka-Kireka</vt:lpstr>
      <vt:lpstr>02.08 Kireka-Kinawataka</vt:lpstr>
      <vt:lpstr>03.08 Kinawataka-Kireka-24h</vt:lpstr>
      <vt:lpstr>03.08 Kireka-Kinawataka-24h</vt:lpstr>
      <vt:lpstr>04.08 Kinawataka-Kireka</vt:lpstr>
      <vt:lpstr>04.08 Kireka-Kinawataka</vt:lpstr>
      <vt:lpstr>Avg Week Kinawataka-Kireka</vt:lpstr>
      <vt:lpstr>Avg Week Kireka-Kinwataka</vt:lpstr>
      <vt:lpstr>Avg Week Kinawataka-Kireka-2Dir</vt:lpstr>
      <vt:lpstr>'01.08 Kinawataka-Kireka-24h'!Print_Area</vt:lpstr>
      <vt:lpstr>'01.08 Kireka-Kinawataka-24h'!Print_Area</vt:lpstr>
      <vt:lpstr>'02.08 Kinawataka-Kireka'!Print_Area</vt:lpstr>
      <vt:lpstr>'02.08 Kireka-Kinawataka'!Print_Area</vt:lpstr>
      <vt:lpstr>'03.08 Kinawataka-Kireka-24h'!Print_Area</vt:lpstr>
      <vt:lpstr>'03.08 Kireka-Kinawataka-24h'!Print_Area</vt:lpstr>
      <vt:lpstr>'04.08 Kinawataka-Kireka'!Print_Area</vt:lpstr>
      <vt:lpstr>'04.08 Kireka-Kinawataka'!Print_Area</vt:lpstr>
      <vt:lpstr>'29.07 Kinawataka-Kireka'!Print_Area</vt:lpstr>
      <vt:lpstr>'29.07 Kireka-Kinawataka'!Print_Area</vt:lpstr>
      <vt:lpstr>'30.07 Kinawataka-Kireka'!Print_Area</vt:lpstr>
      <vt:lpstr>'30.07 Kireka-Kinawataka'!Print_Area</vt:lpstr>
      <vt:lpstr>'31.07 Kinawataka-Kireka'!Print_Area</vt:lpstr>
      <vt:lpstr>'31.07 Kireka-Kinawataka'!Print_Area</vt:lpstr>
      <vt:lpstr>'Avg Week Kinawataka-Kireka'!Print_Area</vt:lpstr>
      <vt:lpstr>'Avg Week Kinawataka-Kireka-2Dir'!Print_Area</vt:lpstr>
      <vt:lpstr>'Avg Week Kireka-Kinwataka'!Print_Area</vt:lpstr>
      <vt:lpstr>'01.08 Kinawataka-Kireka-24h'!Print_Titles</vt:lpstr>
      <vt:lpstr>'01.08 Kireka-Kinawataka-24h'!Print_Titles</vt:lpstr>
      <vt:lpstr>'02.08 Kinawataka-Kireka'!Print_Titles</vt:lpstr>
      <vt:lpstr>'02.08 Kireka-Kinawataka'!Print_Titles</vt:lpstr>
      <vt:lpstr>'03.08 Kinawataka-Kireka-24h'!Print_Titles</vt:lpstr>
      <vt:lpstr>'03.08 Kireka-Kinawataka-24h'!Print_Titles</vt:lpstr>
      <vt:lpstr>'04.08 Kinawataka-Kireka'!Print_Titles</vt:lpstr>
      <vt:lpstr>'04.08 Kireka-Kinawataka'!Print_Titles</vt:lpstr>
      <vt:lpstr>'29.07 Kinawataka-Kireka'!Print_Titles</vt:lpstr>
      <vt:lpstr>'29.07 Kireka-Kinawataka'!Print_Titles</vt:lpstr>
      <vt:lpstr>'30.07 Kinawataka-Kireka'!Print_Titles</vt:lpstr>
      <vt:lpstr>'30.07 Kireka-Kinawataka'!Print_Titles</vt:lpstr>
      <vt:lpstr>'31.07 Kinawataka-Kireka'!Print_Titles</vt:lpstr>
      <vt:lpstr>'31.07 Kireka-Kinawataka'!Print_Titles</vt:lpstr>
      <vt:lpstr>'Avg Week Kinawataka-Kireka'!Print_Titles</vt:lpstr>
      <vt:lpstr>'Avg Week Kinawataka-Kireka-2Dir'!Print_Titles</vt:lpstr>
      <vt:lpstr>'Avg Week Kireka-Kinwataka'!Print_Titles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2020-01-15T17:52:29Z</dcterms:modified>
</cp:coreProperties>
</file>