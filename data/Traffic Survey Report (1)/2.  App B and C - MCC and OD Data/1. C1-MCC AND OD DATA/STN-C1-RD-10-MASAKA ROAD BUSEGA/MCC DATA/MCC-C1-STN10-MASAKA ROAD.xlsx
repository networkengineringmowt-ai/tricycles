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drawings/drawing8.xml" ContentType="application/vnd.openxmlformats-officedocument.drawing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9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drawings/drawing10.xml" ContentType="application/vnd.openxmlformats-officedocument.drawing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1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drawings/drawing12.xml" ContentType="application/vnd.openxmlformats-officedocument.drawing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ing Folder\EDMP\Analysed Data\MCC-OD\C-1 Analysis Complete\STN-C1-RD-10-MASAKA ROAD BUSEGA\MCC DATA\"/>
    </mc:Choice>
  </mc:AlternateContent>
  <xr:revisionPtr revIDLastSave="0" documentId="13_ncr:1_{CAD2C4DC-8EA6-4ABC-8B79-4F2EE7E49C87}" xr6:coauthVersionLast="45" xr6:coauthVersionMax="45" xr10:uidLastSave="{00000000-0000-0000-0000-000000000000}"/>
  <bookViews>
    <workbookView xWindow="-120" yWindow="-120" windowWidth="20730" windowHeight="11160" tabRatio="940" firstSheet="14" activeTab="16" xr2:uid="{00000000-000D-0000-FFFF-FFFF00000000}"/>
  </bookViews>
  <sheets>
    <sheet name="22.07 NATEETE-BUSEGA" sheetId="93" r:id="rId1"/>
    <sheet name="22.07 BUSEGA-NATEETE" sheetId="94" r:id="rId2"/>
    <sheet name="23.07 NATEETE-BUSEGA" sheetId="95" r:id="rId3"/>
    <sheet name="23.07 BUSEGA-NATEETE" sheetId="96" r:id="rId4"/>
    <sheet name="24.07 NATEETE-BUSEGA" sheetId="97" r:id="rId5"/>
    <sheet name="24.07 BUSEGA-NATEETE" sheetId="98" r:id="rId6"/>
    <sheet name="25.07 NATEETE-BUSEGA" sheetId="99" r:id="rId7"/>
    <sheet name="25.07 BUSEGA-NATEETE" sheetId="100" r:id="rId8"/>
    <sheet name="26.07 NATEETE-BUSEGA" sheetId="101" r:id="rId9"/>
    <sheet name="26.07 BUSEGA-NATEETE" sheetId="109" r:id="rId10"/>
    <sheet name="27.07 NATEETE-BUSEGA" sheetId="105" r:id="rId11"/>
    <sheet name="27.07 52BUSEGA-NATEETEh" sheetId="110" r:id="rId12"/>
    <sheet name="28.07 BUSEGA-NATEETE" sheetId="103" r:id="rId13"/>
    <sheet name="28.07 NATEETE-BUSEGA" sheetId="104" r:id="rId14"/>
    <sheet name="Avg Week BUSEGA-NATEETE" sheetId="107" r:id="rId15"/>
    <sheet name="Avg Week NATEETE-BUSEGA" sheetId="108" r:id="rId16"/>
    <sheet name="Avg Week BUSEGA-NATEETE-2Dir" sheetId="111" r:id="rId17"/>
  </sheets>
  <definedNames>
    <definedName name="_xlnm.Print_Area" localSheetId="1">'22.07 BUSEGA-NATEETE'!$A$1:$AF$60</definedName>
    <definedName name="_xlnm.Print_Area" localSheetId="0">'22.07 NATEETE-BUSEGA'!$A$1:$AF$60</definedName>
    <definedName name="_xlnm.Print_Area" localSheetId="3">'23.07 BUSEGA-NATEETE'!$A$1:$AF$60</definedName>
    <definedName name="_xlnm.Print_Area" localSheetId="2">'23.07 NATEETE-BUSEGA'!$A$1:$AF$60</definedName>
    <definedName name="_xlnm.Print_Area" localSheetId="5">'24.07 BUSEGA-NATEETE'!$A$1:$AF$60</definedName>
    <definedName name="_xlnm.Print_Area" localSheetId="4">'24.07 NATEETE-BUSEGA'!$A$1:$AF$60</definedName>
    <definedName name="_xlnm.Print_Area" localSheetId="7">'25.07 BUSEGA-NATEETE'!$A$1:$AF$60</definedName>
    <definedName name="_xlnm.Print_Area" localSheetId="6">'25.07 NATEETE-BUSEGA'!$A$1:$AF$60</definedName>
    <definedName name="_xlnm.Print_Area" localSheetId="9">'26.07 BUSEGA-NATEETE'!$A$1:$AF$108</definedName>
    <definedName name="_xlnm.Print_Area" localSheetId="8">'26.07 NATEETE-BUSEGA'!$A$1:$AF$108</definedName>
    <definedName name="_xlnm.Print_Area" localSheetId="11">'27.07 52BUSEGA-NATEETEh'!$A$1:$AF$108</definedName>
    <definedName name="_xlnm.Print_Area" localSheetId="10">'27.07 NATEETE-BUSEGA'!$A$1:$AF$108</definedName>
    <definedName name="_xlnm.Print_Area" localSheetId="12">'28.07 BUSEGA-NATEETE'!$A$1:$AF$60</definedName>
    <definedName name="_xlnm.Print_Area" localSheetId="13">'28.07 NATEETE-BUSEGA'!$A$1:$AF$60</definedName>
    <definedName name="_xlnm.Print_Area" localSheetId="14">'Avg Week BUSEGA-NATEETE'!$A$1:$AF$108</definedName>
    <definedName name="_xlnm.Print_Area" localSheetId="16">'Avg Week BUSEGA-NATEETE-2Dir'!$A$1:$AF$108</definedName>
    <definedName name="_xlnm.Print_Area" localSheetId="15">'Avg Week NATEETE-BUSEGA'!$A$1:$AF$108</definedName>
    <definedName name="_xlnm.Print_Titles" localSheetId="1">'22.07 BUSEGA-NATEETE'!$1:$8</definedName>
    <definedName name="_xlnm.Print_Titles" localSheetId="0">'22.07 NATEETE-BUSEGA'!$1:$8</definedName>
    <definedName name="_xlnm.Print_Titles" localSheetId="3">'23.07 BUSEGA-NATEETE'!$1:$8</definedName>
    <definedName name="_xlnm.Print_Titles" localSheetId="2">'23.07 NATEETE-BUSEGA'!$1:$8</definedName>
    <definedName name="_xlnm.Print_Titles" localSheetId="5">'24.07 BUSEGA-NATEETE'!$1:$8</definedName>
    <definedName name="_xlnm.Print_Titles" localSheetId="4">'24.07 NATEETE-BUSEGA'!$1:$8</definedName>
    <definedName name="_xlnm.Print_Titles" localSheetId="7">'25.07 BUSEGA-NATEETE'!$1:$8</definedName>
    <definedName name="_xlnm.Print_Titles" localSheetId="6">'25.07 NATEETE-BUSEGA'!$1:$8</definedName>
    <definedName name="_xlnm.Print_Titles" localSheetId="9">'26.07 BUSEGA-NATEETE'!$1:$8</definedName>
    <definedName name="_xlnm.Print_Titles" localSheetId="8">'26.07 NATEETE-BUSEGA'!$1:$8</definedName>
    <definedName name="_xlnm.Print_Titles" localSheetId="11">'27.07 52BUSEGA-NATEETEh'!$1:$8</definedName>
    <definedName name="_xlnm.Print_Titles" localSheetId="10">'27.07 NATEETE-BUSEGA'!$1:$8</definedName>
    <definedName name="_xlnm.Print_Titles" localSheetId="12">'28.07 BUSEGA-NATEETE'!$1:$8</definedName>
    <definedName name="_xlnm.Print_Titles" localSheetId="13">'28.07 NATEETE-BUSEGA'!$1:$8</definedName>
    <definedName name="_xlnm.Print_Titles" localSheetId="14">'Avg Week BUSEGA-NATEETE'!$1:$8</definedName>
    <definedName name="_xlnm.Print_Titles" localSheetId="16">'Avg Week BUSEGA-NATEETE-2Dir'!$1:$8</definedName>
    <definedName name="_xlnm.Print_Titles" localSheetId="15">'Avg Week NATEETE-BUSEGA'!$1:$8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110" i="111" l="1"/>
  <c r="E110" i="111"/>
  <c r="F110" i="111"/>
  <c r="G110" i="111"/>
  <c r="H110" i="111"/>
  <c r="I110" i="111"/>
  <c r="J110" i="111"/>
  <c r="K110" i="111"/>
  <c r="L110" i="111"/>
  <c r="M110" i="111"/>
  <c r="N110" i="111"/>
  <c r="O110" i="111"/>
  <c r="C110" i="111"/>
  <c r="O109" i="111"/>
  <c r="H109" i="111"/>
  <c r="G109" i="111"/>
  <c r="M109" i="111"/>
  <c r="F109" i="111"/>
  <c r="D109" i="111"/>
  <c r="E109" i="111"/>
  <c r="C109" i="111"/>
  <c r="C83" i="111" l="1"/>
  <c r="G88" i="111"/>
  <c r="M99" i="111"/>
  <c r="J100" i="111"/>
  <c r="C59" i="108"/>
  <c r="D59" i="108"/>
  <c r="E59" i="108"/>
  <c r="F59" i="108"/>
  <c r="G59" i="108"/>
  <c r="H59" i="108"/>
  <c r="I59" i="108"/>
  <c r="J59" i="108"/>
  <c r="K59" i="108"/>
  <c r="L59" i="108"/>
  <c r="M59" i="108"/>
  <c r="N59" i="108"/>
  <c r="C60" i="108"/>
  <c r="D60" i="108"/>
  <c r="E60" i="108"/>
  <c r="P60" i="108" s="1"/>
  <c r="F60" i="108"/>
  <c r="G60" i="108"/>
  <c r="H60" i="108"/>
  <c r="I60" i="108"/>
  <c r="J60" i="108"/>
  <c r="K60" i="108"/>
  <c r="L60" i="108"/>
  <c r="M60" i="108"/>
  <c r="N60" i="108"/>
  <c r="C61" i="108"/>
  <c r="D61" i="108"/>
  <c r="E61" i="108"/>
  <c r="F61" i="108"/>
  <c r="G61" i="108"/>
  <c r="H61" i="108"/>
  <c r="I61" i="108"/>
  <c r="J61" i="108"/>
  <c r="K61" i="108"/>
  <c r="L61" i="108"/>
  <c r="M61" i="108"/>
  <c r="N61" i="108"/>
  <c r="C62" i="108"/>
  <c r="D62" i="108"/>
  <c r="E62" i="108"/>
  <c r="F62" i="108"/>
  <c r="G62" i="108"/>
  <c r="H62" i="108"/>
  <c r="I62" i="108"/>
  <c r="J62" i="108"/>
  <c r="K62" i="108"/>
  <c r="L62" i="108"/>
  <c r="M62" i="108"/>
  <c r="N62" i="108"/>
  <c r="C63" i="108"/>
  <c r="D63" i="108"/>
  <c r="E63" i="108"/>
  <c r="F63" i="108"/>
  <c r="G63" i="108"/>
  <c r="H63" i="108"/>
  <c r="I63" i="108"/>
  <c r="J63" i="108"/>
  <c r="K63" i="108"/>
  <c r="L63" i="108"/>
  <c r="M63" i="108"/>
  <c r="N63" i="108"/>
  <c r="C64" i="108"/>
  <c r="D64" i="108"/>
  <c r="O64" i="108" s="1"/>
  <c r="E64" i="108"/>
  <c r="F64" i="108"/>
  <c r="G64" i="108"/>
  <c r="H64" i="108"/>
  <c r="I64" i="108"/>
  <c r="J64" i="108"/>
  <c r="K64" i="108"/>
  <c r="L64" i="108"/>
  <c r="M64" i="108"/>
  <c r="N64" i="108"/>
  <c r="C65" i="108"/>
  <c r="D65" i="108"/>
  <c r="E65" i="108"/>
  <c r="F65" i="108"/>
  <c r="G65" i="108"/>
  <c r="H65" i="108"/>
  <c r="I65" i="108"/>
  <c r="J65" i="108"/>
  <c r="K65" i="108"/>
  <c r="L65" i="108"/>
  <c r="M65" i="108"/>
  <c r="N65" i="108"/>
  <c r="C66" i="108"/>
  <c r="D66" i="108"/>
  <c r="E66" i="108"/>
  <c r="F66" i="108"/>
  <c r="G66" i="108"/>
  <c r="H66" i="108"/>
  <c r="I66" i="108"/>
  <c r="J66" i="108"/>
  <c r="K66" i="108"/>
  <c r="L66" i="108"/>
  <c r="M66" i="108"/>
  <c r="N66" i="108"/>
  <c r="C67" i="108"/>
  <c r="D67" i="108"/>
  <c r="E67" i="108"/>
  <c r="F67" i="108"/>
  <c r="G67" i="108"/>
  <c r="H67" i="108"/>
  <c r="I67" i="108"/>
  <c r="J67" i="108"/>
  <c r="K67" i="108"/>
  <c r="L67" i="108"/>
  <c r="M67" i="108"/>
  <c r="N67" i="108"/>
  <c r="C68" i="108"/>
  <c r="D68" i="108"/>
  <c r="E68" i="108"/>
  <c r="P68" i="108" s="1"/>
  <c r="F68" i="108"/>
  <c r="G68" i="108"/>
  <c r="H68" i="108"/>
  <c r="I68" i="108"/>
  <c r="J68" i="108"/>
  <c r="K68" i="108"/>
  <c r="L68" i="108"/>
  <c r="M68" i="108"/>
  <c r="N68" i="108"/>
  <c r="C69" i="108"/>
  <c r="D69" i="108"/>
  <c r="E69" i="108"/>
  <c r="F69" i="108"/>
  <c r="G69" i="108"/>
  <c r="H69" i="108"/>
  <c r="I69" i="108"/>
  <c r="J69" i="108"/>
  <c r="K69" i="108"/>
  <c r="L69" i="108"/>
  <c r="M69" i="108"/>
  <c r="N69" i="108"/>
  <c r="C70" i="108"/>
  <c r="D70" i="108"/>
  <c r="E70" i="108"/>
  <c r="F70" i="108"/>
  <c r="G70" i="108"/>
  <c r="H70" i="108"/>
  <c r="I70" i="108"/>
  <c r="J70" i="108"/>
  <c r="K70" i="108"/>
  <c r="L70" i="108"/>
  <c r="M70" i="108"/>
  <c r="N70" i="108"/>
  <c r="C71" i="108"/>
  <c r="D71" i="108"/>
  <c r="E71" i="108"/>
  <c r="F71" i="108"/>
  <c r="G71" i="108"/>
  <c r="H71" i="108"/>
  <c r="I71" i="108"/>
  <c r="J71" i="108"/>
  <c r="K71" i="108"/>
  <c r="L71" i="108"/>
  <c r="M71" i="108"/>
  <c r="N71" i="108"/>
  <c r="C72" i="108"/>
  <c r="D72" i="108"/>
  <c r="E72" i="108"/>
  <c r="P72" i="108" s="1"/>
  <c r="F72" i="108"/>
  <c r="G72" i="108"/>
  <c r="H72" i="108"/>
  <c r="I72" i="108"/>
  <c r="J72" i="108"/>
  <c r="K72" i="108"/>
  <c r="L72" i="108"/>
  <c r="M72" i="108"/>
  <c r="N72" i="108"/>
  <c r="C73" i="108"/>
  <c r="D73" i="108"/>
  <c r="E73" i="108"/>
  <c r="F73" i="108"/>
  <c r="G73" i="108"/>
  <c r="H73" i="108"/>
  <c r="I73" i="108"/>
  <c r="J73" i="108"/>
  <c r="K73" i="108"/>
  <c r="L73" i="108"/>
  <c r="M73" i="108"/>
  <c r="N73" i="108"/>
  <c r="C74" i="108"/>
  <c r="D74" i="108"/>
  <c r="E74" i="108"/>
  <c r="P74" i="108" s="1"/>
  <c r="F74" i="108"/>
  <c r="G74" i="108"/>
  <c r="H74" i="108"/>
  <c r="I74" i="108"/>
  <c r="J74" i="108"/>
  <c r="K74" i="108"/>
  <c r="L74" i="108"/>
  <c r="M74" i="108"/>
  <c r="N74" i="108"/>
  <c r="AD26" i="108" s="1"/>
  <c r="C75" i="108"/>
  <c r="D75" i="108"/>
  <c r="E75" i="108"/>
  <c r="F75" i="108"/>
  <c r="G75" i="108"/>
  <c r="H75" i="108"/>
  <c r="I75" i="108"/>
  <c r="J75" i="108"/>
  <c r="K75" i="108"/>
  <c r="L75" i="108"/>
  <c r="M75" i="108"/>
  <c r="N75" i="108"/>
  <c r="C76" i="108"/>
  <c r="D76" i="108"/>
  <c r="E76" i="108"/>
  <c r="P76" i="108" s="1"/>
  <c r="F76" i="108"/>
  <c r="G76" i="108"/>
  <c r="H76" i="108"/>
  <c r="I76" i="108"/>
  <c r="J76" i="108"/>
  <c r="K76" i="108"/>
  <c r="L76" i="108"/>
  <c r="M76" i="108"/>
  <c r="N76" i="108"/>
  <c r="C77" i="108"/>
  <c r="D77" i="108"/>
  <c r="E77" i="108"/>
  <c r="F77" i="108"/>
  <c r="G77" i="108"/>
  <c r="H77" i="108"/>
  <c r="I77" i="108"/>
  <c r="J77" i="108"/>
  <c r="K77" i="108"/>
  <c r="L77" i="108"/>
  <c r="M77" i="108"/>
  <c r="N77" i="108"/>
  <c r="C78" i="108"/>
  <c r="D78" i="108"/>
  <c r="E78" i="108"/>
  <c r="P78" i="108" s="1"/>
  <c r="F78" i="108"/>
  <c r="G78" i="108"/>
  <c r="H78" i="108"/>
  <c r="I78" i="108"/>
  <c r="J78" i="108"/>
  <c r="K78" i="108"/>
  <c r="L78" i="108"/>
  <c r="M78" i="108"/>
  <c r="N78" i="108"/>
  <c r="C79" i="108"/>
  <c r="D79" i="108"/>
  <c r="E79" i="108"/>
  <c r="F79" i="108"/>
  <c r="G79" i="108"/>
  <c r="H79" i="108"/>
  <c r="I79" i="108"/>
  <c r="J79" i="108"/>
  <c r="K79" i="108"/>
  <c r="L79" i="108"/>
  <c r="M79" i="108"/>
  <c r="N79" i="108"/>
  <c r="C80" i="108"/>
  <c r="D80" i="108"/>
  <c r="P80" i="108" s="1"/>
  <c r="E80" i="108"/>
  <c r="F80" i="108"/>
  <c r="G80" i="108"/>
  <c r="H80" i="108"/>
  <c r="I80" i="108"/>
  <c r="J80" i="108"/>
  <c r="K80" i="108"/>
  <c r="L80" i="108"/>
  <c r="M80" i="108"/>
  <c r="N80" i="108"/>
  <c r="C81" i="108"/>
  <c r="D81" i="108"/>
  <c r="E81" i="108"/>
  <c r="F81" i="108"/>
  <c r="G81" i="108"/>
  <c r="H81" i="108"/>
  <c r="I81" i="108"/>
  <c r="J81" i="108"/>
  <c r="K81" i="108"/>
  <c r="L81" i="108"/>
  <c r="M81" i="108"/>
  <c r="N81" i="108"/>
  <c r="C82" i="108"/>
  <c r="D82" i="108"/>
  <c r="E82" i="108"/>
  <c r="F82" i="108"/>
  <c r="G82" i="108"/>
  <c r="H82" i="108"/>
  <c r="I82" i="108"/>
  <c r="J82" i="108"/>
  <c r="K82" i="108"/>
  <c r="L82" i="108"/>
  <c r="M82" i="108"/>
  <c r="AC28" i="108" s="1"/>
  <c r="N82" i="108"/>
  <c r="C83" i="108"/>
  <c r="D83" i="108"/>
  <c r="E83" i="108"/>
  <c r="F83" i="108"/>
  <c r="G83" i="108"/>
  <c r="H83" i="108"/>
  <c r="I83" i="108"/>
  <c r="J83" i="108"/>
  <c r="K83" i="108"/>
  <c r="L83" i="108"/>
  <c r="M83" i="108"/>
  <c r="N83" i="108"/>
  <c r="C84" i="108"/>
  <c r="D84" i="108"/>
  <c r="E84" i="108"/>
  <c r="P84" i="108" s="1"/>
  <c r="F84" i="108"/>
  <c r="G84" i="108"/>
  <c r="H84" i="108"/>
  <c r="I84" i="108"/>
  <c r="J84" i="108"/>
  <c r="K84" i="108"/>
  <c r="L84" i="108"/>
  <c r="M84" i="108"/>
  <c r="N84" i="108"/>
  <c r="C85" i="108"/>
  <c r="D85" i="108"/>
  <c r="E85" i="108"/>
  <c r="F85" i="108"/>
  <c r="G85" i="108"/>
  <c r="H85" i="108"/>
  <c r="I85" i="108"/>
  <c r="J85" i="108"/>
  <c r="K85" i="108"/>
  <c r="L85" i="108"/>
  <c r="M85" i="108"/>
  <c r="N85" i="108"/>
  <c r="C86" i="108"/>
  <c r="D86" i="108"/>
  <c r="E86" i="108"/>
  <c r="F86" i="108"/>
  <c r="G86" i="108"/>
  <c r="H86" i="108"/>
  <c r="I86" i="108"/>
  <c r="J86" i="108"/>
  <c r="K86" i="108"/>
  <c r="L86" i="108"/>
  <c r="M86" i="108"/>
  <c r="N86" i="108"/>
  <c r="C87" i="108"/>
  <c r="D87" i="108"/>
  <c r="E87" i="108"/>
  <c r="F87" i="108"/>
  <c r="G87" i="108"/>
  <c r="H87" i="108"/>
  <c r="I87" i="108"/>
  <c r="J87" i="108"/>
  <c r="K87" i="108"/>
  <c r="L87" i="108"/>
  <c r="M87" i="108"/>
  <c r="N87" i="108"/>
  <c r="C88" i="108"/>
  <c r="D88" i="108"/>
  <c r="E88" i="108"/>
  <c r="P88" i="108" s="1"/>
  <c r="F88" i="108"/>
  <c r="G88" i="108"/>
  <c r="H88" i="108"/>
  <c r="I88" i="108"/>
  <c r="J88" i="108"/>
  <c r="K88" i="108"/>
  <c r="L88" i="108"/>
  <c r="M88" i="108"/>
  <c r="N88" i="108"/>
  <c r="C89" i="108"/>
  <c r="D89" i="108"/>
  <c r="E89" i="108"/>
  <c r="F89" i="108"/>
  <c r="G89" i="108"/>
  <c r="H89" i="108"/>
  <c r="I89" i="108"/>
  <c r="J89" i="108"/>
  <c r="K89" i="108"/>
  <c r="L89" i="108"/>
  <c r="M89" i="108"/>
  <c r="N89" i="108"/>
  <c r="C90" i="108"/>
  <c r="D90" i="108"/>
  <c r="E90" i="108"/>
  <c r="F90" i="108"/>
  <c r="G90" i="108"/>
  <c r="H90" i="108"/>
  <c r="I90" i="108"/>
  <c r="J90" i="108"/>
  <c r="K90" i="108"/>
  <c r="L90" i="108"/>
  <c r="M90" i="108"/>
  <c r="N90" i="108"/>
  <c r="C91" i="108"/>
  <c r="D91" i="108"/>
  <c r="E91" i="108"/>
  <c r="F91" i="108"/>
  <c r="G91" i="108"/>
  <c r="H91" i="108"/>
  <c r="I91" i="108"/>
  <c r="J91" i="108"/>
  <c r="K91" i="108"/>
  <c r="L91" i="108"/>
  <c r="M91" i="108"/>
  <c r="N91" i="108"/>
  <c r="C92" i="108"/>
  <c r="D92" i="108"/>
  <c r="E92" i="108"/>
  <c r="P92" i="108" s="1"/>
  <c r="F92" i="108"/>
  <c r="G92" i="108"/>
  <c r="H92" i="108"/>
  <c r="I92" i="108"/>
  <c r="J92" i="108"/>
  <c r="K92" i="108"/>
  <c r="L92" i="108"/>
  <c r="M92" i="108"/>
  <c r="N92" i="108"/>
  <c r="C93" i="108"/>
  <c r="D93" i="108"/>
  <c r="E93" i="108"/>
  <c r="F93" i="108"/>
  <c r="G93" i="108"/>
  <c r="H93" i="108"/>
  <c r="I93" i="108"/>
  <c r="J93" i="108"/>
  <c r="K93" i="108"/>
  <c r="L93" i="108"/>
  <c r="M93" i="108"/>
  <c r="N93" i="108"/>
  <c r="C94" i="108"/>
  <c r="D94" i="108"/>
  <c r="E94" i="108"/>
  <c r="P94" i="108" s="1"/>
  <c r="F94" i="108"/>
  <c r="G94" i="108"/>
  <c r="H94" i="108"/>
  <c r="I94" i="108"/>
  <c r="J94" i="108"/>
  <c r="K94" i="108"/>
  <c r="L94" i="108"/>
  <c r="M94" i="108"/>
  <c r="N94" i="108"/>
  <c r="C95" i="108"/>
  <c r="D95" i="108"/>
  <c r="E95" i="108"/>
  <c r="F95" i="108"/>
  <c r="G95" i="108"/>
  <c r="H95" i="108"/>
  <c r="I95" i="108"/>
  <c r="J95" i="108"/>
  <c r="K95" i="108"/>
  <c r="L95" i="108"/>
  <c r="M95" i="108"/>
  <c r="N95" i="108"/>
  <c r="C96" i="108"/>
  <c r="D96" i="108"/>
  <c r="P96" i="108" s="1"/>
  <c r="E96" i="108"/>
  <c r="O96" i="108" s="1"/>
  <c r="F96" i="108"/>
  <c r="G96" i="108"/>
  <c r="H96" i="108"/>
  <c r="I96" i="108"/>
  <c r="J96" i="108"/>
  <c r="K96" i="108"/>
  <c r="L96" i="108"/>
  <c r="M96" i="108"/>
  <c r="N96" i="108"/>
  <c r="C97" i="108"/>
  <c r="D97" i="108"/>
  <c r="E97" i="108"/>
  <c r="F97" i="108"/>
  <c r="G97" i="108"/>
  <c r="H97" i="108"/>
  <c r="I97" i="108"/>
  <c r="J97" i="108"/>
  <c r="K97" i="108"/>
  <c r="L97" i="108"/>
  <c r="M97" i="108"/>
  <c r="N97" i="108"/>
  <c r="C98" i="108"/>
  <c r="D98" i="108"/>
  <c r="E98" i="108"/>
  <c r="F98" i="108"/>
  <c r="G98" i="108"/>
  <c r="H98" i="108"/>
  <c r="I98" i="108"/>
  <c r="J98" i="108"/>
  <c r="K98" i="108"/>
  <c r="L98" i="108"/>
  <c r="M98" i="108"/>
  <c r="N98" i="108"/>
  <c r="C99" i="108"/>
  <c r="D99" i="108"/>
  <c r="E99" i="108"/>
  <c r="F99" i="108"/>
  <c r="G99" i="108"/>
  <c r="H99" i="108"/>
  <c r="I99" i="108"/>
  <c r="J99" i="108"/>
  <c r="K99" i="108"/>
  <c r="L99" i="108"/>
  <c r="M99" i="108"/>
  <c r="N99" i="108"/>
  <c r="C100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C101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C102" i="108"/>
  <c r="D102" i="108"/>
  <c r="E102" i="108"/>
  <c r="F102" i="108"/>
  <c r="G102" i="108"/>
  <c r="H102" i="108"/>
  <c r="I102" i="108"/>
  <c r="J102" i="108"/>
  <c r="K102" i="108"/>
  <c r="L102" i="108"/>
  <c r="M102" i="108"/>
  <c r="N102" i="108"/>
  <c r="C103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C104" i="108"/>
  <c r="D104" i="108"/>
  <c r="E104" i="108"/>
  <c r="P104" i="108" s="1"/>
  <c r="F104" i="108"/>
  <c r="G104" i="108"/>
  <c r="H104" i="108"/>
  <c r="I104" i="108"/>
  <c r="J104" i="108"/>
  <c r="K104" i="108"/>
  <c r="L104" i="108"/>
  <c r="M104" i="108"/>
  <c r="N104" i="108"/>
  <c r="C105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D58" i="108"/>
  <c r="E58" i="108"/>
  <c r="F58" i="108"/>
  <c r="V22" i="108" s="1"/>
  <c r="G58" i="108"/>
  <c r="W22" i="108" s="1"/>
  <c r="H58" i="108"/>
  <c r="I58" i="108"/>
  <c r="J58" i="108"/>
  <c r="Z22" i="108" s="1"/>
  <c r="K58" i="108"/>
  <c r="AA22" i="108" s="1"/>
  <c r="L58" i="108"/>
  <c r="M58" i="108"/>
  <c r="N58" i="108"/>
  <c r="AD22" i="108" s="1"/>
  <c r="C58" i="108"/>
  <c r="S22" i="108" s="1"/>
  <c r="C59" i="107"/>
  <c r="C59" i="111" s="1"/>
  <c r="D59" i="107"/>
  <c r="E59" i="107"/>
  <c r="E59" i="111" s="1"/>
  <c r="F59" i="107"/>
  <c r="F59" i="111" s="1"/>
  <c r="G59" i="107"/>
  <c r="G59" i="111" s="1"/>
  <c r="H59" i="107"/>
  <c r="H59" i="111" s="1"/>
  <c r="I59" i="107"/>
  <c r="I59" i="111" s="1"/>
  <c r="J59" i="107"/>
  <c r="J59" i="111" s="1"/>
  <c r="K59" i="107"/>
  <c r="K59" i="111" s="1"/>
  <c r="L59" i="107"/>
  <c r="L59" i="111" s="1"/>
  <c r="M59" i="107"/>
  <c r="M59" i="111" s="1"/>
  <c r="N59" i="107"/>
  <c r="N59" i="111" s="1"/>
  <c r="C60" i="107"/>
  <c r="C60" i="111" s="1"/>
  <c r="D60" i="107"/>
  <c r="D60" i="111" s="1"/>
  <c r="E60" i="107"/>
  <c r="E60" i="111" s="1"/>
  <c r="F60" i="107"/>
  <c r="F60" i="111" s="1"/>
  <c r="G60" i="107"/>
  <c r="G60" i="111" s="1"/>
  <c r="H60" i="107"/>
  <c r="H60" i="111" s="1"/>
  <c r="I60" i="107"/>
  <c r="I60" i="111" s="1"/>
  <c r="J60" i="107"/>
  <c r="J60" i="111" s="1"/>
  <c r="K60" i="107"/>
  <c r="K60" i="111" s="1"/>
  <c r="L60" i="107"/>
  <c r="L60" i="111" s="1"/>
  <c r="M60" i="107"/>
  <c r="M60" i="111" s="1"/>
  <c r="N60" i="107"/>
  <c r="N60" i="111" s="1"/>
  <c r="C61" i="107"/>
  <c r="C61" i="111" s="1"/>
  <c r="D61" i="107"/>
  <c r="E61" i="107"/>
  <c r="E61" i="111" s="1"/>
  <c r="F61" i="107"/>
  <c r="F61" i="111" s="1"/>
  <c r="G61" i="107"/>
  <c r="G61" i="111" s="1"/>
  <c r="H61" i="107"/>
  <c r="H61" i="111" s="1"/>
  <c r="I61" i="107"/>
  <c r="I61" i="111" s="1"/>
  <c r="J61" i="107"/>
  <c r="J61" i="111" s="1"/>
  <c r="K61" i="107"/>
  <c r="K61" i="111" s="1"/>
  <c r="L61" i="107"/>
  <c r="L61" i="111" s="1"/>
  <c r="M61" i="107"/>
  <c r="M61" i="111" s="1"/>
  <c r="N61" i="107"/>
  <c r="N61" i="111" s="1"/>
  <c r="C62" i="107"/>
  <c r="D62" i="107"/>
  <c r="E62" i="107"/>
  <c r="F62" i="107"/>
  <c r="G62" i="107"/>
  <c r="H62" i="107"/>
  <c r="I62" i="107"/>
  <c r="I62" i="111" s="1"/>
  <c r="J62" i="107"/>
  <c r="K62" i="107"/>
  <c r="L62" i="107"/>
  <c r="M62" i="107"/>
  <c r="N62" i="107"/>
  <c r="C63" i="107"/>
  <c r="C63" i="111" s="1"/>
  <c r="D63" i="107"/>
  <c r="E63" i="107"/>
  <c r="E63" i="111" s="1"/>
  <c r="F63" i="107"/>
  <c r="F63" i="111" s="1"/>
  <c r="G63" i="107"/>
  <c r="G63" i="111" s="1"/>
  <c r="H63" i="107"/>
  <c r="H63" i="111" s="1"/>
  <c r="I63" i="107"/>
  <c r="I63" i="111" s="1"/>
  <c r="J63" i="107"/>
  <c r="J63" i="111" s="1"/>
  <c r="K63" i="107"/>
  <c r="K63" i="111" s="1"/>
  <c r="L63" i="107"/>
  <c r="L63" i="111" s="1"/>
  <c r="M63" i="107"/>
  <c r="M63" i="111" s="1"/>
  <c r="N63" i="107"/>
  <c r="N63" i="111" s="1"/>
  <c r="C64" i="107"/>
  <c r="C64" i="111" s="1"/>
  <c r="D64" i="107"/>
  <c r="D64" i="111" s="1"/>
  <c r="E64" i="107"/>
  <c r="E64" i="111" s="1"/>
  <c r="F64" i="107"/>
  <c r="F64" i="111" s="1"/>
  <c r="G64" i="107"/>
  <c r="G64" i="111" s="1"/>
  <c r="H64" i="107"/>
  <c r="H64" i="111" s="1"/>
  <c r="I64" i="107"/>
  <c r="I64" i="111" s="1"/>
  <c r="J64" i="107"/>
  <c r="J64" i="111" s="1"/>
  <c r="K64" i="107"/>
  <c r="K64" i="111" s="1"/>
  <c r="L64" i="107"/>
  <c r="L64" i="111" s="1"/>
  <c r="M64" i="107"/>
  <c r="M64" i="111" s="1"/>
  <c r="N64" i="107"/>
  <c r="N64" i="111" s="1"/>
  <c r="C65" i="107"/>
  <c r="C65" i="111" s="1"/>
  <c r="D65" i="107"/>
  <c r="E65" i="107"/>
  <c r="E65" i="111" s="1"/>
  <c r="F65" i="107"/>
  <c r="F65" i="111" s="1"/>
  <c r="G65" i="107"/>
  <c r="G65" i="111" s="1"/>
  <c r="H65" i="107"/>
  <c r="H65" i="111" s="1"/>
  <c r="I65" i="107"/>
  <c r="I65" i="111" s="1"/>
  <c r="J65" i="107"/>
  <c r="J65" i="111" s="1"/>
  <c r="K65" i="107"/>
  <c r="K65" i="111" s="1"/>
  <c r="L65" i="107"/>
  <c r="L65" i="111" s="1"/>
  <c r="M65" i="107"/>
  <c r="M65" i="111" s="1"/>
  <c r="N65" i="107"/>
  <c r="N65" i="111" s="1"/>
  <c r="C66" i="107"/>
  <c r="D66" i="107"/>
  <c r="E66" i="107"/>
  <c r="F66" i="107"/>
  <c r="G66" i="107"/>
  <c r="H66" i="107"/>
  <c r="I66" i="107"/>
  <c r="I66" i="111" s="1"/>
  <c r="J66" i="107"/>
  <c r="K66" i="107"/>
  <c r="L66" i="107"/>
  <c r="M66" i="107"/>
  <c r="M66" i="111" s="1"/>
  <c r="N66" i="107"/>
  <c r="C67" i="107"/>
  <c r="C67" i="111" s="1"/>
  <c r="D67" i="107"/>
  <c r="E67" i="107"/>
  <c r="E67" i="111" s="1"/>
  <c r="F67" i="107"/>
  <c r="F67" i="111" s="1"/>
  <c r="G67" i="107"/>
  <c r="G67" i="111" s="1"/>
  <c r="H67" i="107"/>
  <c r="H67" i="111" s="1"/>
  <c r="I67" i="107"/>
  <c r="I67" i="111" s="1"/>
  <c r="J67" i="107"/>
  <c r="J67" i="111" s="1"/>
  <c r="K67" i="107"/>
  <c r="K67" i="111" s="1"/>
  <c r="L67" i="107"/>
  <c r="L67" i="111" s="1"/>
  <c r="M67" i="107"/>
  <c r="M67" i="111" s="1"/>
  <c r="N67" i="107"/>
  <c r="N67" i="111" s="1"/>
  <c r="C68" i="107"/>
  <c r="C68" i="111" s="1"/>
  <c r="D68" i="107"/>
  <c r="D68" i="111" s="1"/>
  <c r="E68" i="107"/>
  <c r="E68" i="111" s="1"/>
  <c r="F68" i="107"/>
  <c r="F68" i="111" s="1"/>
  <c r="G68" i="107"/>
  <c r="G68" i="111" s="1"/>
  <c r="H68" i="107"/>
  <c r="H68" i="111" s="1"/>
  <c r="I68" i="107"/>
  <c r="I68" i="111" s="1"/>
  <c r="J68" i="107"/>
  <c r="J68" i="111" s="1"/>
  <c r="K68" i="107"/>
  <c r="K68" i="111" s="1"/>
  <c r="L68" i="107"/>
  <c r="L68" i="111" s="1"/>
  <c r="M68" i="107"/>
  <c r="M68" i="111" s="1"/>
  <c r="N68" i="107"/>
  <c r="N68" i="111" s="1"/>
  <c r="C69" i="107"/>
  <c r="C69" i="111" s="1"/>
  <c r="D69" i="107"/>
  <c r="E69" i="107"/>
  <c r="E69" i="111" s="1"/>
  <c r="F69" i="107"/>
  <c r="F69" i="111" s="1"/>
  <c r="G69" i="107"/>
  <c r="G69" i="111" s="1"/>
  <c r="H69" i="107"/>
  <c r="H69" i="111" s="1"/>
  <c r="I69" i="107"/>
  <c r="I69" i="111" s="1"/>
  <c r="J69" i="107"/>
  <c r="J69" i="111" s="1"/>
  <c r="K69" i="107"/>
  <c r="K69" i="111" s="1"/>
  <c r="L69" i="107"/>
  <c r="L69" i="111" s="1"/>
  <c r="M69" i="107"/>
  <c r="M69" i="111" s="1"/>
  <c r="N69" i="107"/>
  <c r="N69" i="111" s="1"/>
  <c r="C70" i="107"/>
  <c r="D70" i="107"/>
  <c r="E70" i="107"/>
  <c r="F70" i="107"/>
  <c r="G70" i="107"/>
  <c r="G70" i="111" s="1"/>
  <c r="H70" i="107"/>
  <c r="I70" i="107"/>
  <c r="J70" i="107"/>
  <c r="K70" i="107"/>
  <c r="L70" i="107"/>
  <c r="M70" i="107"/>
  <c r="N70" i="107"/>
  <c r="C71" i="107"/>
  <c r="C71" i="111" s="1"/>
  <c r="D71" i="107"/>
  <c r="E71" i="107"/>
  <c r="E71" i="111" s="1"/>
  <c r="F71" i="107"/>
  <c r="F71" i="111" s="1"/>
  <c r="G71" i="107"/>
  <c r="G71" i="111" s="1"/>
  <c r="H71" i="107"/>
  <c r="H71" i="111" s="1"/>
  <c r="I71" i="107"/>
  <c r="I71" i="111" s="1"/>
  <c r="J71" i="107"/>
  <c r="J71" i="111" s="1"/>
  <c r="K71" i="107"/>
  <c r="K71" i="111" s="1"/>
  <c r="L71" i="107"/>
  <c r="L71" i="111" s="1"/>
  <c r="M71" i="107"/>
  <c r="M71" i="111" s="1"/>
  <c r="N71" i="107"/>
  <c r="N71" i="111" s="1"/>
  <c r="C72" i="107"/>
  <c r="C72" i="111" s="1"/>
  <c r="D72" i="107"/>
  <c r="D72" i="111" s="1"/>
  <c r="E72" i="107"/>
  <c r="E72" i="111" s="1"/>
  <c r="F72" i="107"/>
  <c r="F72" i="111" s="1"/>
  <c r="G72" i="107"/>
  <c r="G72" i="111" s="1"/>
  <c r="H72" i="107"/>
  <c r="H72" i="111" s="1"/>
  <c r="I72" i="107"/>
  <c r="I72" i="111" s="1"/>
  <c r="J72" i="107"/>
  <c r="J72" i="111" s="1"/>
  <c r="K72" i="107"/>
  <c r="K72" i="111" s="1"/>
  <c r="L72" i="107"/>
  <c r="L72" i="111" s="1"/>
  <c r="M72" i="107"/>
  <c r="M72" i="111" s="1"/>
  <c r="N72" i="107"/>
  <c r="N72" i="111" s="1"/>
  <c r="C73" i="107"/>
  <c r="C73" i="111" s="1"/>
  <c r="D73" i="107"/>
  <c r="E73" i="107"/>
  <c r="E73" i="111" s="1"/>
  <c r="F73" i="107"/>
  <c r="F73" i="111" s="1"/>
  <c r="G73" i="107"/>
  <c r="G73" i="111" s="1"/>
  <c r="H73" i="107"/>
  <c r="H73" i="111" s="1"/>
  <c r="I73" i="107"/>
  <c r="I73" i="111" s="1"/>
  <c r="J73" i="107"/>
  <c r="J73" i="111" s="1"/>
  <c r="K73" i="107"/>
  <c r="K73" i="111" s="1"/>
  <c r="L73" i="107"/>
  <c r="L73" i="111" s="1"/>
  <c r="M73" i="107"/>
  <c r="M73" i="111" s="1"/>
  <c r="N73" i="107"/>
  <c r="N73" i="111" s="1"/>
  <c r="C74" i="107"/>
  <c r="D74" i="107"/>
  <c r="E74" i="107"/>
  <c r="F74" i="107"/>
  <c r="G74" i="107"/>
  <c r="G74" i="111" s="1"/>
  <c r="H74" i="107"/>
  <c r="I74" i="107"/>
  <c r="I74" i="111" s="1"/>
  <c r="J74" i="107"/>
  <c r="K74" i="107"/>
  <c r="L74" i="107"/>
  <c r="M74" i="107"/>
  <c r="N74" i="107"/>
  <c r="C75" i="107"/>
  <c r="C75" i="111" s="1"/>
  <c r="D75" i="107"/>
  <c r="E75" i="107"/>
  <c r="E75" i="111" s="1"/>
  <c r="F75" i="107"/>
  <c r="F75" i="111" s="1"/>
  <c r="G75" i="107"/>
  <c r="G75" i="111" s="1"/>
  <c r="H75" i="107"/>
  <c r="H75" i="111" s="1"/>
  <c r="I75" i="107"/>
  <c r="I75" i="111" s="1"/>
  <c r="J75" i="107"/>
  <c r="J75" i="111" s="1"/>
  <c r="K75" i="107"/>
  <c r="K75" i="111" s="1"/>
  <c r="L75" i="107"/>
  <c r="L75" i="111" s="1"/>
  <c r="M75" i="107"/>
  <c r="M75" i="111" s="1"/>
  <c r="N75" i="107"/>
  <c r="N75" i="111" s="1"/>
  <c r="C76" i="107"/>
  <c r="C76" i="111" s="1"/>
  <c r="D76" i="107"/>
  <c r="D76" i="111" s="1"/>
  <c r="E76" i="107"/>
  <c r="E76" i="111" s="1"/>
  <c r="F76" i="107"/>
  <c r="F76" i="111" s="1"/>
  <c r="G76" i="107"/>
  <c r="G76" i="111" s="1"/>
  <c r="H76" i="107"/>
  <c r="H76" i="111" s="1"/>
  <c r="I76" i="107"/>
  <c r="I76" i="111" s="1"/>
  <c r="J76" i="107"/>
  <c r="J76" i="111" s="1"/>
  <c r="K76" i="107"/>
  <c r="K76" i="111" s="1"/>
  <c r="L76" i="107"/>
  <c r="L76" i="111" s="1"/>
  <c r="M76" i="107"/>
  <c r="M76" i="111" s="1"/>
  <c r="N76" i="107"/>
  <c r="N76" i="111" s="1"/>
  <c r="C77" i="107"/>
  <c r="C77" i="111" s="1"/>
  <c r="D77" i="107"/>
  <c r="E77" i="107"/>
  <c r="E77" i="111" s="1"/>
  <c r="F77" i="107"/>
  <c r="F77" i="111" s="1"/>
  <c r="G77" i="107"/>
  <c r="G77" i="111" s="1"/>
  <c r="H77" i="107"/>
  <c r="H77" i="111" s="1"/>
  <c r="I77" i="107"/>
  <c r="I77" i="111" s="1"/>
  <c r="J77" i="107"/>
  <c r="J77" i="111" s="1"/>
  <c r="K77" i="107"/>
  <c r="K77" i="111" s="1"/>
  <c r="L77" i="107"/>
  <c r="L77" i="111" s="1"/>
  <c r="M77" i="107"/>
  <c r="M77" i="111" s="1"/>
  <c r="N77" i="107"/>
  <c r="N77" i="111" s="1"/>
  <c r="C78" i="107"/>
  <c r="D78" i="107"/>
  <c r="E78" i="107"/>
  <c r="O78" i="107" s="1"/>
  <c r="F78" i="107"/>
  <c r="G78" i="107"/>
  <c r="H78" i="107"/>
  <c r="I78" i="107"/>
  <c r="J78" i="107"/>
  <c r="K78" i="107"/>
  <c r="L78" i="107"/>
  <c r="M78" i="107"/>
  <c r="N78" i="107"/>
  <c r="C79" i="107"/>
  <c r="C79" i="111" s="1"/>
  <c r="D79" i="107"/>
  <c r="E79" i="107"/>
  <c r="E79" i="111" s="1"/>
  <c r="F79" i="107"/>
  <c r="F79" i="111" s="1"/>
  <c r="G79" i="107"/>
  <c r="G79" i="111" s="1"/>
  <c r="H79" i="107"/>
  <c r="H79" i="111" s="1"/>
  <c r="I79" i="107"/>
  <c r="I79" i="111" s="1"/>
  <c r="J79" i="107"/>
  <c r="J79" i="111" s="1"/>
  <c r="K79" i="107"/>
  <c r="K79" i="111" s="1"/>
  <c r="L79" i="107"/>
  <c r="L79" i="111" s="1"/>
  <c r="M79" i="107"/>
  <c r="M79" i="111" s="1"/>
  <c r="N79" i="107"/>
  <c r="N79" i="111" s="1"/>
  <c r="C80" i="107"/>
  <c r="C80" i="111" s="1"/>
  <c r="D80" i="107"/>
  <c r="D80" i="111" s="1"/>
  <c r="E80" i="107"/>
  <c r="E80" i="111" s="1"/>
  <c r="F80" i="107"/>
  <c r="F80" i="111" s="1"/>
  <c r="G80" i="107"/>
  <c r="G80" i="111" s="1"/>
  <c r="H80" i="107"/>
  <c r="H80" i="111" s="1"/>
  <c r="I80" i="107"/>
  <c r="I80" i="111" s="1"/>
  <c r="J80" i="107"/>
  <c r="J80" i="111" s="1"/>
  <c r="K80" i="107"/>
  <c r="K80" i="111" s="1"/>
  <c r="L80" i="107"/>
  <c r="L80" i="111" s="1"/>
  <c r="M80" i="107"/>
  <c r="M80" i="111" s="1"/>
  <c r="N80" i="107"/>
  <c r="N80" i="111" s="1"/>
  <c r="C81" i="107"/>
  <c r="C81" i="111" s="1"/>
  <c r="D81" i="107"/>
  <c r="E81" i="107"/>
  <c r="E81" i="111" s="1"/>
  <c r="F81" i="107"/>
  <c r="F81" i="111" s="1"/>
  <c r="G81" i="107"/>
  <c r="G81" i="111" s="1"/>
  <c r="H81" i="107"/>
  <c r="H81" i="111" s="1"/>
  <c r="I81" i="107"/>
  <c r="I81" i="111" s="1"/>
  <c r="J81" i="107"/>
  <c r="J81" i="111" s="1"/>
  <c r="K81" i="107"/>
  <c r="K81" i="111" s="1"/>
  <c r="L81" i="107"/>
  <c r="L81" i="111" s="1"/>
  <c r="M81" i="107"/>
  <c r="M81" i="111" s="1"/>
  <c r="N81" i="107"/>
  <c r="N81" i="111" s="1"/>
  <c r="C82" i="107"/>
  <c r="D82" i="107"/>
  <c r="E82" i="107"/>
  <c r="F82" i="107"/>
  <c r="F82" i="111" s="1"/>
  <c r="G82" i="107"/>
  <c r="G82" i="111" s="1"/>
  <c r="H82" i="107"/>
  <c r="I82" i="107"/>
  <c r="J82" i="107"/>
  <c r="K82" i="107"/>
  <c r="L82" i="107"/>
  <c r="M82" i="107"/>
  <c r="N82" i="107"/>
  <c r="C83" i="107"/>
  <c r="D83" i="107"/>
  <c r="E83" i="107"/>
  <c r="E83" i="111" s="1"/>
  <c r="F83" i="107"/>
  <c r="F83" i="111" s="1"/>
  <c r="G83" i="107"/>
  <c r="G83" i="111" s="1"/>
  <c r="H83" i="107"/>
  <c r="H83" i="111" s="1"/>
  <c r="I83" i="107"/>
  <c r="I83" i="111" s="1"/>
  <c r="J83" i="107"/>
  <c r="J83" i="111" s="1"/>
  <c r="K83" i="107"/>
  <c r="K83" i="111" s="1"/>
  <c r="L83" i="107"/>
  <c r="L83" i="111" s="1"/>
  <c r="M83" i="107"/>
  <c r="M83" i="111" s="1"/>
  <c r="N83" i="107"/>
  <c r="N83" i="111" s="1"/>
  <c r="C84" i="107"/>
  <c r="C84" i="111" s="1"/>
  <c r="D84" i="107"/>
  <c r="D84" i="111" s="1"/>
  <c r="E84" i="107"/>
  <c r="E84" i="111" s="1"/>
  <c r="F84" i="107"/>
  <c r="F84" i="111" s="1"/>
  <c r="G84" i="107"/>
  <c r="G84" i="111" s="1"/>
  <c r="H84" i="107"/>
  <c r="H84" i="111" s="1"/>
  <c r="I84" i="107"/>
  <c r="I84" i="111" s="1"/>
  <c r="J84" i="107"/>
  <c r="J84" i="111" s="1"/>
  <c r="K84" i="107"/>
  <c r="K84" i="111" s="1"/>
  <c r="L84" i="107"/>
  <c r="L84" i="111" s="1"/>
  <c r="M84" i="107"/>
  <c r="M84" i="111" s="1"/>
  <c r="N84" i="107"/>
  <c r="N84" i="111" s="1"/>
  <c r="C85" i="107"/>
  <c r="C85" i="111" s="1"/>
  <c r="D85" i="107"/>
  <c r="E85" i="107"/>
  <c r="E85" i="111" s="1"/>
  <c r="F85" i="107"/>
  <c r="F85" i="111" s="1"/>
  <c r="G85" i="107"/>
  <c r="G85" i="111" s="1"/>
  <c r="H85" i="107"/>
  <c r="H85" i="111" s="1"/>
  <c r="I85" i="107"/>
  <c r="I85" i="111" s="1"/>
  <c r="J85" i="107"/>
  <c r="J85" i="111" s="1"/>
  <c r="K85" i="107"/>
  <c r="K85" i="111" s="1"/>
  <c r="L85" i="107"/>
  <c r="L85" i="111" s="1"/>
  <c r="M85" i="107"/>
  <c r="M85" i="111" s="1"/>
  <c r="N85" i="107"/>
  <c r="N85" i="111" s="1"/>
  <c r="C86" i="107"/>
  <c r="D86" i="107"/>
  <c r="E86" i="107"/>
  <c r="P86" i="107" s="1"/>
  <c r="F86" i="107"/>
  <c r="G86" i="107"/>
  <c r="G86" i="111" s="1"/>
  <c r="H86" i="107"/>
  <c r="I86" i="107"/>
  <c r="J86" i="107"/>
  <c r="K86" i="107"/>
  <c r="L86" i="107"/>
  <c r="M86" i="107"/>
  <c r="N86" i="107"/>
  <c r="C87" i="107"/>
  <c r="C87" i="111" s="1"/>
  <c r="D87" i="107"/>
  <c r="E87" i="107"/>
  <c r="E87" i="111" s="1"/>
  <c r="F87" i="107"/>
  <c r="F87" i="111" s="1"/>
  <c r="G87" i="107"/>
  <c r="G87" i="111" s="1"/>
  <c r="H87" i="107"/>
  <c r="H87" i="111" s="1"/>
  <c r="I87" i="107"/>
  <c r="I87" i="111" s="1"/>
  <c r="J87" i="107"/>
  <c r="J87" i="111" s="1"/>
  <c r="K87" i="107"/>
  <c r="K87" i="111" s="1"/>
  <c r="L87" i="107"/>
  <c r="L87" i="111" s="1"/>
  <c r="M87" i="107"/>
  <c r="M87" i="111" s="1"/>
  <c r="N87" i="107"/>
  <c r="N87" i="111" s="1"/>
  <c r="C88" i="107"/>
  <c r="C88" i="111" s="1"/>
  <c r="D88" i="107"/>
  <c r="D88" i="111" s="1"/>
  <c r="E88" i="107"/>
  <c r="E88" i="111" s="1"/>
  <c r="F88" i="107"/>
  <c r="F88" i="111" s="1"/>
  <c r="G88" i="107"/>
  <c r="H88" i="107"/>
  <c r="H88" i="111" s="1"/>
  <c r="I88" i="107"/>
  <c r="I88" i="111" s="1"/>
  <c r="J88" i="107"/>
  <c r="J88" i="111" s="1"/>
  <c r="K88" i="107"/>
  <c r="K88" i="111" s="1"/>
  <c r="L88" i="107"/>
  <c r="L88" i="111" s="1"/>
  <c r="M88" i="107"/>
  <c r="M88" i="111" s="1"/>
  <c r="N88" i="107"/>
  <c r="N88" i="111" s="1"/>
  <c r="C89" i="107"/>
  <c r="C89" i="111" s="1"/>
  <c r="D89" i="107"/>
  <c r="E89" i="107"/>
  <c r="E89" i="111" s="1"/>
  <c r="F89" i="107"/>
  <c r="F89" i="111" s="1"/>
  <c r="G89" i="107"/>
  <c r="G89" i="111" s="1"/>
  <c r="H89" i="107"/>
  <c r="H89" i="111" s="1"/>
  <c r="I89" i="107"/>
  <c r="I89" i="111" s="1"/>
  <c r="J89" i="107"/>
  <c r="J89" i="111" s="1"/>
  <c r="K89" i="107"/>
  <c r="K89" i="111" s="1"/>
  <c r="L89" i="107"/>
  <c r="L89" i="111" s="1"/>
  <c r="M89" i="107"/>
  <c r="M89" i="111" s="1"/>
  <c r="N89" i="107"/>
  <c r="N89" i="111" s="1"/>
  <c r="C90" i="107"/>
  <c r="D90" i="107"/>
  <c r="E90" i="107"/>
  <c r="E90" i="111" s="1"/>
  <c r="F90" i="107"/>
  <c r="G90" i="107"/>
  <c r="G90" i="111" s="1"/>
  <c r="H90" i="107"/>
  <c r="I90" i="107"/>
  <c r="J90" i="107"/>
  <c r="K90" i="107"/>
  <c r="L90" i="107"/>
  <c r="M90" i="107"/>
  <c r="N90" i="107"/>
  <c r="N90" i="111" s="1"/>
  <c r="C91" i="107"/>
  <c r="C91" i="111" s="1"/>
  <c r="D91" i="107"/>
  <c r="E91" i="107"/>
  <c r="E91" i="111" s="1"/>
  <c r="F91" i="107"/>
  <c r="F91" i="111" s="1"/>
  <c r="G91" i="107"/>
  <c r="G91" i="111" s="1"/>
  <c r="H91" i="107"/>
  <c r="H91" i="111" s="1"/>
  <c r="I91" i="107"/>
  <c r="I91" i="111" s="1"/>
  <c r="J91" i="107"/>
  <c r="J91" i="111" s="1"/>
  <c r="K91" i="107"/>
  <c r="K91" i="111" s="1"/>
  <c r="L91" i="107"/>
  <c r="L91" i="111" s="1"/>
  <c r="M91" i="107"/>
  <c r="M91" i="111" s="1"/>
  <c r="N91" i="107"/>
  <c r="N91" i="111" s="1"/>
  <c r="C92" i="107"/>
  <c r="C92" i="111" s="1"/>
  <c r="D92" i="107"/>
  <c r="D92" i="111" s="1"/>
  <c r="E92" i="107"/>
  <c r="E92" i="111" s="1"/>
  <c r="F92" i="107"/>
  <c r="F92" i="111" s="1"/>
  <c r="G92" i="107"/>
  <c r="G92" i="111" s="1"/>
  <c r="H92" i="107"/>
  <c r="H92" i="111" s="1"/>
  <c r="I92" i="107"/>
  <c r="I92" i="111" s="1"/>
  <c r="J92" i="107"/>
  <c r="J92" i="111" s="1"/>
  <c r="K92" i="107"/>
  <c r="K92" i="111" s="1"/>
  <c r="L92" i="107"/>
  <c r="L92" i="111" s="1"/>
  <c r="M92" i="107"/>
  <c r="M92" i="111" s="1"/>
  <c r="N92" i="107"/>
  <c r="N92" i="111" s="1"/>
  <c r="C93" i="107"/>
  <c r="C93" i="111" s="1"/>
  <c r="D93" i="107"/>
  <c r="E93" i="107"/>
  <c r="E93" i="111" s="1"/>
  <c r="F93" i="107"/>
  <c r="F93" i="111" s="1"/>
  <c r="G93" i="107"/>
  <c r="G93" i="111" s="1"/>
  <c r="H93" i="107"/>
  <c r="H93" i="111" s="1"/>
  <c r="I93" i="107"/>
  <c r="I93" i="111" s="1"/>
  <c r="J93" i="107"/>
  <c r="J93" i="111" s="1"/>
  <c r="K93" i="107"/>
  <c r="K93" i="111" s="1"/>
  <c r="L93" i="107"/>
  <c r="L93" i="111" s="1"/>
  <c r="M93" i="107"/>
  <c r="M93" i="111" s="1"/>
  <c r="N93" i="107"/>
  <c r="N93" i="111" s="1"/>
  <c r="C94" i="107"/>
  <c r="D94" i="107"/>
  <c r="E94" i="107"/>
  <c r="F94" i="107"/>
  <c r="F94" i="111" s="1"/>
  <c r="G94" i="107"/>
  <c r="G94" i="111" s="1"/>
  <c r="H94" i="107"/>
  <c r="I94" i="107"/>
  <c r="J94" i="107"/>
  <c r="K94" i="107"/>
  <c r="L94" i="107"/>
  <c r="M94" i="107"/>
  <c r="M94" i="111" s="1"/>
  <c r="N94" i="107"/>
  <c r="N94" i="111" s="1"/>
  <c r="C95" i="107"/>
  <c r="C95" i="111" s="1"/>
  <c r="D95" i="107"/>
  <c r="E95" i="107"/>
  <c r="E95" i="111" s="1"/>
  <c r="F95" i="107"/>
  <c r="F95" i="111" s="1"/>
  <c r="G95" i="107"/>
  <c r="G95" i="111" s="1"/>
  <c r="H95" i="107"/>
  <c r="H95" i="111" s="1"/>
  <c r="I95" i="107"/>
  <c r="I95" i="111" s="1"/>
  <c r="J95" i="107"/>
  <c r="J95" i="111" s="1"/>
  <c r="K95" i="107"/>
  <c r="K95" i="111" s="1"/>
  <c r="L95" i="107"/>
  <c r="L95" i="111" s="1"/>
  <c r="M95" i="107"/>
  <c r="M95" i="111" s="1"/>
  <c r="N95" i="107"/>
  <c r="N95" i="111" s="1"/>
  <c r="C96" i="107"/>
  <c r="C96" i="111" s="1"/>
  <c r="D96" i="107"/>
  <c r="D96" i="111" s="1"/>
  <c r="E96" i="107"/>
  <c r="E96" i="111" s="1"/>
  <c r="F96" i="107"/>
  <c r="F96" i="111" s="1"/>
  <c r="G96" i="107"/>
  <c r="G96" i="111" s="1"/>
  <c r="H96" i="107"/>
  <c r="H96" i="111" s="1"/>
  <c r="I96" i="107"/>
  <c r="I96" i="111" s="1"/>
  <c r="J96" i="107"/>
  <c r="J96" i="111" s="1"/>
  <c r="K96" i="107"/>
  <c r="K96" i="111" s="1"/>
  <c r="L96" i="107"/>
  <c r="L96" i="111" s="1"/>
  <c r="M96" i="107"/>
  <c r="M96" i="111" s="1"/>
  <c r="N96" i="107"/>
  <c r="N96" i="111" s="1"/>
  <c r="C97" i="107"/>
  <c r="C97" i="111" s="1"/>
  <c r="D97" i="107"/>
  <c r="E97" i="107"/>
  <c r="E97" i="111" s="1"/>
  <c r="F97" i="107"/>
  <c r="F97" i="111" s="1"/>
  <c r="G97" i="107"/>
  <c r="G97" i="111" s="1"/>
  <c r="H97" i="107"/>
  <c r="H97" i="111" s="1"/>
  <c r="I97" i="107"/>
  <c r="I97" i="111" s="1"/>
  <c r="J97" i="107"/>
  <c r="J97" i="111" s="1"/>
  <c r="K97" i="107"/>
  <c r="K97" i="111" s="1"/>
  <c r="L97" i="107"/>
  <c r="L97" i="111" s="1"/>
  <c r="M97" i="107"/>
  <c r="M97" i="111" s="1"/>
  <c r="N97" i="107"/>
  <c r="N97" i="111" s="1"/>
  <c r="C98" i="107"/>
  <c r="D98" i="107"/>
  <c r="E98" i="107"/>
  <c r="F98" i="107"/>
  <c r="F98" i="111" s="1"/>
  <c r="G98" i="107"/>
  <c r="G98" i="111" s="1"/>
  <c r="H98" i="107"/>
  <c r="I98" i="107"/>
  <c r="I98" i="111" s="1"/>
  <c r="J98" i="107"/>
  <c r="J98" i="111" s="1"/>
  <c r="K98" i="107"/>
  <c r="L98" i="107"/>
  <c r="M98" i="107"/>
  <c r="N98" i="107"/>
  <c r="N98" i="111" s="1"/>
  <c r="C99" i="107"/>
  <c r="C99" i="111" s="1"/>
  <c r="D99" i="107"/>
  <c r="E99" i="107"/>
  <c r="E99" i="111" s="1"/>
  <c r="F99" i="107"/>
  <c r="F99" i="111" s="1"/>
  <c r="G99" i="107"/>
  <c r="G99" i="111" s="1"/>
  <c r="H99" i="107"/>
  <c r="H99" i="111" s="1"/>
  <c r="I99" i="107"/>
  <c r="I99" i="111" s="1"/>
  <c r="J99" i="107"/>
  <c r="J99" i="111" s="1"/>
  <c r="K99" i="107"/>
  <c r="K99" i="111" s="1"/>
  <c r="L99" i="107"/>
  <c r="L99" i="111" s="1"/>
  <c r="M99" i="107"/>
  <c r="N99" i="107"/>
  <c r="N99" i="111" s="1"/>
  <c r="C100" i="107"/>
  <c r="C100" i="111" s="1"/>
  <c r="D100" i="107"/>
  <c r="D100" i="111" s="1"/>
  <c r="E100" i="107"/>
  <c r="O100" i="107" s="1"/>
  <c r="F100" i="107"/>
  <c r="F100" i="111" s="1"/>
  <c r="G100" i="107"/>
  <c r="G100" i="111" s="1"/>
  <c r="H100" i="107"/>
  <c r="H100" i="111" s="1"/>
  <c r="I100" i="107"/>
  <c r="I100" i="111" s="1"/>
  <c r="J100" i="107"/>
  <c r="K100" i="107"/>
  <c r="K100" i="111" s="1"/>
  <c r="L100" i="107"/>
  <c r="L100" i="111" s="1"/>
  <c r="M100" i="107"/>
  <c r="M100" i="111" s="1"/>
  <c r="N100" i="107"/>
  <c r="N100" i="111" s="1"/>
  <c r="C101" i="107"/>
  <c r="C101" i="111" s="1"/>
  <c r="D101" i="107"/>
  <c r="D101" i="111" s="1"/>
  <c r="E101" i="107"/>
  <c r="E101" i="111" s="1"/>
  <c r="F101" i="107"/>
  <c r="F101" i="111" s="1"/>
  <c r="G101" i="107"/>
  <c r="G101" i="111" s="1"/>
  <c r="H101" i="107"/>
  <c r="H101" i="111" s="1"/>
  <c r="I101" i="107"/>
  <c r="I101" i="111" s="1"/>
  <c r="J101" i="107"/>
  <c r="J101" i="111" s="1"/>
  <c r="K101" i="107"/>
  <c r="K101" i="111" s="1"/>
  <c r="L101" i="107"/>
  <c r="L101" i="111" s="1"/>
  <c r="M101" i="107"/>
  <c r="M101" i="111" s="1"/>
  <c r="N101" i="107"/>
  <c r="N101" i="111" s="1"/>
  <c r="C102" i="107"/>
  <c r="D102" i="107"/>
  <c r="E102" i="107"/>
  <c r="E102" i="111" s="1"/>
  <c r="F102" i="107"/>
  <c r="G102" i="107"/>
  <c r="H102" i="107"/>
  <c r="H102" i="111" s="1"/>
  <c r="I102" i="107"/>
  <c r="J102" i="107"/>
  <c r="K102" i="107"/>
  <c r="L102" i="107"/>
  <c r="M102" i="107"/>
  <c r="N102" i="107"/>
  <c r="C103" i="107"/>
  <c r="C103" i="111" s="1"/>
  <c r="D103" i="107"/>
  <c r="E103" i="107"/>
  <c r="E103" i="111" s="1"/>
  <c r="F103" i="107"/>
  <c r="F103" i="111" s="1"/>
  <c r="G103" i="107"/>
  <c r="G103" i="111" s="1"/>
  <c r="H103" i="107"/>
  <c r="H103" i="111" s="1"/>
  <c r="I103" i="107"/>
  <c r="I103" i="111" s="1"/>
  <c r="J103" i="107"/>
  <c r="J103" i="111" s="1"/>
  <c r="K103" i="107"/>
  <c r="K103" i="111" s="1"/>
  <c r="L103" i="107"/>
  <c r="L103" i="111" s="1"/>
  <c r="M103" i="107"/>
  <c r="M103" i="111" s="1"/>
  <c r="N103" i="107"/>
  <c r="N103" i="111" s="1"/>
  <c r="C104" i="107"/>
  <c r="C104" i="111" s="1"/>
  <c r="D104" i="107"/>
  <c r="D104" i="111" s="1"/>
  <c r="E104" i="107"/>
  <c r="O104" i="107" s="1"/>
  <c r="F104" i="107"/>
  <c r="F104" i="111" s="1"/>
  <c r="G104" i="107"/>
  <c r="G104" i="111" s="1"/>
  <c r="H104" i="107"/>
  <c r="H104" i="111" s="1"/>
  <c r="I104" i="107"/>
  <c r="I104" i="111" s="1"/>
  <c r="J104" i="107"/>
  <c r="J104" i="111" s="1"/>
  <c r="K104" i="107"/>
  <c r="K104" i="111" s="1"/>
  <c r="L104" i="107"/>
  <c r="L104" i="111" s="1"/>
  <c r="M104" i="107"/>
  <c r="M104" i="111" s="1"/>
  <c r="N104" i="107"/>
  <c r="N104" i="111" s="1"/>
  <c r="C105" i="107"/>
  <c r="C105" i="111" s="1"/>
  <c r="D105" i="107"/>
  <c r="E105" i="107"/>
  <c r="E105" i="111" s="1"/>
  <c r="F105" i="107"/>
  <c r="F105" i="111" s="1"/>
  <c r="G105" i="107"/>
  <c r="G105" i="111" s="1"/>
  <c r="H105" i="107"/>
  <c r="H105" i="111" s="1"/>
  <c r="I105" i="107"/>
  <c r="I105" i="111" s="1"/>
  <c r="J105" i="107"/>
  <c r="J105" i="111" s="1"/>
  <c r="K105" i="107"/>
  <c r="K105" i="111" s="1"/>
  <c r="L105" i="107"/>
  <c r="L105" i="111" s="1"/>
  <c r="M105" i="107"/>
  <c r="M105" i="111" s="1"/>
  <c r="N105" i="107"/>
  <c r="N105" i="111" s="1"/>
  <c r="D58" i="107"/>
  <c r="E58" i="107"/>
  <c r="F58" i="107"/>
  <c r="V22" i="107" s="1"/>
  <c r="G58" i="107"/>
  <c r="W22" i="107" s="1"/>
  <c r="H58" i="107"/>
  <c r="I58" i="107"/>
  <c r="I58" i="111" s="1"/>
  <c r="J58" i="107"/>
  <c r="Z22" i="107" s="1"/>
  <c r="K58" i="107"/>
  <c r="AA22" i="107" s="1"/>
  <c r="L58" i="107"/>
  <c r="M58" i="107"/>
  <c r="N58" i="107"/>
  <c r="AD22" i="107" s="1"/>
  <c r="C58" i="107"/>
  <c r="S22" i="107" s="1"/>
  <c r="P64" i="107"/>
  <c r="P74" i="107" l="1"/>
  <c r="AC29" i="108"/>
  <c r="AC27" i="108"/>
  <c r="P96" i="107"/>
  <c r="P64" i="108"/>
  <c r="X22" i="107"/>
  <c r="W32" i="111"/>
  <c r="W29" i="111"/>
  <c r="W25" i="111"/>
  <c r="X22" i="108"/>
  <c r="P100" i="108"/>
  <c r="AC25" i="108"/>
  <c r="P80" i="107"/>
  <c r="V32" i="108"/>
  <c r="U25" i="108"/>
  <c r="O80" i="108"/>
  <c r="AB22" i="107"/>
  <c r="T22" i="107"/>
  <c r="AB22" i="108"/>
  <c r="T22" i="108"/>
  <c r="U23" i="108"/>
  <c r="O96" i="107"/>
  <c r="Z33" i="107"/>
  <c r="Y23" i="111"/>
  <c r="Y30" i="108"/>
  <c r="Y23" i="108"/>
  <c r="O80" i="107"/>
  <c r="O64" i="107"/>
  <c r="Y22" i="111"/>
  <c r="W30" i="111"/>
  <c r="W26" i="111"/>
  <c r="V32" i="111"/>
  <c r="AD31" i="111"/>
  <c r="V31" i="111"/>
  <c r="AD30" i="111"/>
  <c r="W31" i="111"/>
  <c r="Z32" i="111"/>
  <c r="W28" i="111"/>
  <c r="Y32" i="111"/>
  <c r="X33" i="111"/>
  <c r="AC33" i="107"/>
  <c r="AC28" i="107"/>
  <c r="M82" i="111"/>
  <c r="AC28" i="111" s="1"/>
  <c r="U25" i="107"/>
  <c r="E70" i="111"/>
  <c r="U25" i="111" s="1"/>
  <c r="E62" i="111"/>
  <c r="U23" i="111" s="1"/>
  <c r="U23" i="107"/>
  <c r="AC31" i="108"/>
  <c r="U30" i="108"/>
  <c r="O62" i="107"/>
  <c r="P78" i="107"/>
  <c r="P62" i="107"/>
  <c r="O94" i="108"/>
  <c r="O78" i="108"/>
  <c r="O62" i="108"/>
  <c r="P62" i="108"/>
  <c r="AC22" i="107"/>
  <c r="U22" i="107"/>
  <c r="AB33" i="107"/>
  <c r="T33" i="107"/>
  <c r="AB32" i="107"/>
  <c r="T32" i="107"/>
  <c r="AB31" i="107"/>
  <c r="L94" i="111"/>
  <c r="AB31" i="111" s="1"/>
  <c r="T31" i="107"/>
  <c r="D94" i="111"/>
  <c r="AB30" i="107"/>
  <c r="L90" i="111"/>
  <c r="AB30" i="111" s="1"/>
  <c r="T30" i="107"/>
  <c r="D90" i="111"/>
  <c r="AB29" i="107"/>
  <c r="L86" i="111"/>
  <c r="AB29" i="111" s="1"/>
  <c r="T29" i="107"/>
  <c r="D86" i="111"/>
  <c r="AB28" i="107"/>
  <c r="L82" i="111"/>
  <c r="AB28" i="111" s="1"/>
  <c r="T28" i="107"/>
  <c r="D82" i="111"/>
  <c r="AB27" i="107"/>
  <c r="L78" i="111"/>
  <c r="AB27" i="111" s="1"/>
  <c r="T27" i="107"/>
  <c r="D78" i="111"/>
  <c r="AB26" i="107"/>
  <c r="L74" i="111"/>
  <c r="AB26" i="111" s="1"/>
  <c r="T26" i="107"/>
  <c r="D74" i="111"/>
  <c r="AB25" i="107"/>
  <c r="L70" i="111"/>
  <c r="AB25" i="111" s="1"/>
  <c r="T25" i="107"/>
  <c r="D70" i="111"/>
  <c r="AB24" i="107"/>
  <c r="L66" i="111"/>
  <c r="AB24" i="111" s="1"/>
  <c r="T24" i="107"/>
  <c r="D66" i="111"/>
  <c r="AB23" i="107"/>
  <c r="L62" i="111"/>
  <c r="AB23" i="111" s="1"/>
  <c r="T23" i="107"/>
  <c r="D62" i="111"/>
  <c r="AC22" i="108"/>
  <c r="U22" i="108"/>
  <c r="AB33" i="108"/>
  <c r="T33" i="108"/>
  <c r="AB32" i="108"/>
  <c r="T32" i="108"/>
  <c r="AB31" i="108"/>
  <c r="T31" i="108"/>
  <c r="AB30" i="108"/>
  <c r="T30" i="108"/>
  <c r="AB29" i="108"/>
  <c r="T29" i="108"/>
  <c r="AB28" i="108"/>
  <c r="T28" i="108"/>
  <c r="AB27" i="108"/>
  <c r="T27" i="108"/>
  <c r="AB26" i="108"/>
  <c r="T26" i="108"/>
  <c r="AB25" i="108"/>
  <c r="T25" i="108"/>
  <c r="AB24" i="108"/>
  <c r="T24" i="108"/>
  <c r="AB23" i="108"/>
  <c r="T23" i="108"/>
  <c r="M58" i="111"/>
  <c r="AC22" i="111" s="1"/>
  <c r="E58" i="111"/>
  <c r="U22" i="111" s="1"/>
  <c r="L102" i="111"/>
  <c r="AB33" i="111" s="1"/>
  <c r="D102" i="111"/>
  <c r="L98" i="111"/>
  <c r="AB32" i="111" s="1"/>
  <c r="Y26" i="107"/>
  <c r="U31" i="107"/>
  <c r="E94" i="111"/>
  <c r="U31" i="111" s="1"/>
  <c r="AC29" i="107"/>
  <c r="M86" i="111"/>
  <c r="AC29" i="111" s="1"/>
  <c r="AC24" i="111"/>
  <c r="AC30" i="108"/>
  <c r="O94" i="107"/>
  <c r="P94" i="107"/>
  <c r="O92" i="107"/>
  <c r="O76" i="107"/>
  <c r="O60" i="107"/>
  <c r="P92" i="107"/>
  <c r="P76" i="107"/>
  <c r="P60" i="107"/>
  <c r="O92" i="108"/>
  <c r="O76" i="108"/>
  <c r="O60" i="108"/>
  <c r="AA33" i="107"/>
  <c r="S33" i="107"/>
  <c r="C102" i="111"/>
  <c r="S33" i="111" s="1"/>
  <c r="AA32" i="107"/>
  <c r="K98" i="111"/>
  <c r="AA32" i="111" s="1"/>
  <c r="S32" i="107"/>
  <c r="C98" i="111"/>
  <c r="AA31" i="107"/>
  <c r="K94" i="111"/>
  <c r="AA31" i="111" s="1"/>
  <c r="S31" i="107"/>
  <c r="C94" i="111"/>
  <c r="S31" i="111" s="1"/>
  <c r="AA30" i="107"/>
  <c r="K90" i="111"/>
  <c r="AA30" i="111" s="1"/>
  <c r="S30" i="107"/>
  <c r="C90" i="111"/>
  <c r="AA29" i="107"/>
  <c r="K86" i="111"/>
  <c r="AA29" i="111" s="1"/>
  <c r="S29" i="107"/>
  <c r="C86" i="111"/>
  <c r="S29" i="111" s="1"/>
  <c r="AA28" i="107"/>
  <c r="K82" i="111"/>
  <c r="AA28" i="111" s="1"/>
  <c r="S28" i="107"/>
  <c r="C82" i="111"/>
  <c r="AA27" i="107"/>
  <c r="K78" i="111"/>
  <c r="AA27" i="111" s="1"/>
  <c r="S27" i="107"/>
  <c r="C78" i="111"/>
  <c r="S27" i="111" s="1"/>
  <c r="AA26" i="107"/>
  <c r="K74" i="111"/>
  <c r="AA26" i="111" s="1"/>
  <c r="S26" i="107"/>
  <c r="C74" i="111"/>
  <c r="AA25" i="107"/>
  <c r="K70" i="111"/>
  <c r="AA25" i="111" s="1"/>
  <c r="S25" i="107"/>
  <c r="C70" i="111"/>
  <c r="S25" i="111" s="1"/>
  <c r="AA24" i="107"/>
  <c r="K66" i="111"/>
  <c r="AA24" i="111" s="1"/>
  <c r="S24" i="107"/>
  <c r="C66" i="111"/>
  <c r="K62" i="111"/>
  <c r="AA23" i="111" s="1"/>
  <c r="AA23" i="107"/>
  <c r="C62" i="111"/>
  <c r="S23" i="111" s="1"/>
  <c r="S23" i="107"/>
  <c r="AA33" i="108"/>
  <c r="S33" i="108"/>
  <c r="AA32" i="108"/>
  <c r="S32" i="108"/>
  <c r="AA31" i="108"/>
  <c r="S31" i="108"/>
  <c r="AA30" i="108"/>
  <c r="S30" i="108"/>
  <c r="AA29" i="108"/>
  <c r="S29" i="108"/>
  <c r="AA28" i="108"/>
  <c r="S28" i="108"/>
  <c r="AA27" i="108"/>
  <c r="S27" i="108"/>
  <c r="AA26" i="108"/>
  <c r="S26" i="108"/>
  <c r="AA25" i="108"/>
  <c r="S25" i="108"/>
  <c r="AA24" i="108"/>
  <c r="S24" i="108"/>
  <c r="AA23" i="108"/>
  <c r="S23" i="108"/>
  <c r="L58" i="111"/>
  <c r="AB22" i="111" s="1"/>
  <c r="D58" i="111"/>
  <c r="T22" i="111" s="1"/>
  <c r="K102" i="111"/>
  <c r="AA33" i="111" s="1"/>
  <c r="V28" i="107"/>
  <c r="U30" i="111"/>
  <c r="U33" i="108"/>
  <c r="U28" i="108"/>
  <c r="AC24" i="108"/>
  <c r="N58" i="111"/>
  <c r="AD22" i="111" s="1"/>
  <c r="AD32" i="111"/>
  <c r="Y24" i="111"/>
  <c r="O58" i="107"/>
  <c r="P90" i="107"/>
  <c r="P58" i="107"/>
  <c r="O90" i="108"/>
  <c r="O74" i="108"/>
  <c r="O58" i="108"/>
  <c r="P90" i="108"/>
  <c r="P58" i="108"/>
  <c r="Z32" i="107"/>
  <c r="Z31" i="107"/>
  <c r="Z30" i="107"/>
  <c r="J90" i="111"/>
  <c r="Z30" i="111" s="1"/>
  <c r="Z29" i="107"/>
  <c r="J86" i="111"/>
  <c r="Z29" i="111" s="1"/>
  <c r="Z28" i="107"/>
  <c r="J82" i="111"/>
  <c r="Z28" i="111" s="1"/>
  <c r="Z27" i="107"/>
  <c r="J78" i="111"/>
  <c r="Z27" i="111" s="1"/>
  <c r="Z26" i="107"/>
  <c r="J74" i="111"/>
  <c r="Z26" i="111" s="1"/>
  <c r="J70" i="111"/>
  <c r="Z25" i="111" s="1"/>
  <c r="Z25" i="107"/>
  <c r="J66" i="111"/>
  <c r="Z24" i="111" s="1"/>
  <c r="Z24" i="107"/>
  <c r="J62" i="111"/>
  <c r="Z23" i="111" s="1"/>
  <c r="Z23" i="107"/>
  <c r="Z33" i="108"/>
  <c r="Z32" i="108"/>
  <c r="Z31" i="108"/>
  <c r="Z30" i="108"/>
  <c r="Z29" i="108"/>
  <c r="Z28" i="108"/>
  <c r="Z27" i="108"/>
  <c r="Z26" i="108"/>
  <c r="Z25" i="108"/>
  <c r="Z24" i="108"/>
  <c r="Z23" i="108"/>
  <c r="K58" i="111"/>
  <c r="AA22" i="111" s="1"/>
  <c r="J102" i="111"/>
  <c r="Z33" i="111" s="1"/>
  <c r="U30" i="107"/>
  <c r="AC33" i="108"/>
  <c r="U32" i="108"/>
  <c r="U31" i="108"/>
  <c r="E104" i="111"/>
  <c r="U33" i="111" s="1"/>
  <c r="O90" i="107"/>
  <c r="O72" i="107"/>
  <c r="P104" i="107"/>
  <c r="P88" i="107"/>
  <c r="P72" i="107"/>
  <c r="O104" i="108"/>
  <c r="O88" i="108"/>
  <c r="O72" i="108"/>
  <c r="Y33" i="107"/>
  <c r="Y32" i="107"/>
  <c r="Y31" i="107"/>
  <c r="I94" i="111"/>
  <c r="Y31" i="111" s="1"/>
  <c r="I90" i="111"/>
  <c r="Y30" i="111" s="1"/>
  <c r="Y30" i="107"/>
  <c r="I86" i="111"/>
  <c r="Y29" i="111" s="1"/>
  <c r="Y29" i="107"/>
  <c r="I82" i="111"/>
  <c r="Y28" i="111" s="1"/>
  <c r="Y28" i="107"/>
  <c r="I78" i="111"/>
  <c r="Y27" i="111" s="1"/>
  <c r="Y27" i="107"/>
  <c r="Y26" i="111"/>
  <c r="I70" i="111"/>
  <c r="Y25" i="111" s="1"/>
  <c r="Y25" i="107"/>
  <c r="Y24" i="107"/>
  <c r="Y23" i="107"/>
  <c r="Y33" i="108"/>
  <c r="Y32" i="108"/>
  <c r="Y31" i="108"/>
  <c r="Y29" i="108"/>
  <c r="Y28" i="108"/>
  <c r="Y27" i="108"/>
  <c r="Y26" i="108"/>
  <c r="Y25" i="108"/>
  <c r="Y24" i="108"/>
  <c r="J58" i="111"/>
  <c r="Z22" i="111" s="1"/>
  <c r="I102" i="111"/>
  <c r="Y33" i="111" s="1"/>
  <c r="J94" i="111"/>
  <c r="Z31" i="111" s="1"/>
  <c r="AC31" i="107"/>
  <c r="AC32" i="107"/>
  <c r="M98" i="111"/>
  <c r="AC32" i="111" s="1"/>
  <c r="AC27" i="107"/>
  <c r="M78" i="111"/>
  <c r="AC27" i="111" s="1"/>
  <c r="M74" i="111"/>
  <c r="AC26" i="111" s="1"/>
  <c r="AC26" i="107"/>
  <c r="M62" i="111"/>
  <c r="AC23" i="111" s="1"/>
  <c r="AC23" i="107"/>
  <c r="AC32" i="108"/>
  <c r="U29" i="108"/>
  <c r="M102" i="111"/>
  <c r="AC33" i="111" s="1"/>
  <c r="O88" i="107"/>
  <c r="P102" i="108"/>
  <c r="P105" i="107"/>
  <c r="P103" i="107"/>
  <c r="P101" i="107"/>
  <c r="P97" i="107"/>
  <c r="D97" i="111"/>
  <c r="P95" i="107"/>
  <c r="D95" i="111"/>
  <c r="O95" i="111" s="1"/>
  <c r="X31" i="107"/>
  <c r="H94" i="111"/>
  <c r="X31" i="111" s="1"/>
  <c r="P93" i="107"/>
  <c r="D93" i="111"/>
  <c r="P91" i="107"/>
  <c r="D91" i="111"/>
  <c r="O91" i="111" s="1"/>
  <c r="X30" i="107"/>
  <c r="H90" i="111"/>
  <c r="X30" i="111" s="1"/>
  <c r="P89" i="107"/>
  <c r="D89" i="111"/>
  <c r="P89" i="111" s="1"/>
  <c r="P87" i="107"/>
  <c r="D87" i="111"/>
  <c r="O87" i="111" s="1"/>
  <c r="X29" i="107"/>
  <c r="H86" i="111"/>
  <c r="X29" i="111" s="1"/>
  <c r="P85" i="107"/>
  <c r="D85" i="111"/>
  <c r="O85" i="111" s="1"/>
  <c r="P83" i="107"/>
  <c r="D83" i="111"/>
  <c r="O83" i="111" s="1"/>
  <c r="X28" i="107"/>
  <c r="H82" i="111"/>
  <c r="X28" i="111" s="1"/>
  <c r="P81" i="107"/>
  <c r="D81" i="111"/>
  <c r="P79" i="107"/>
  <c r="D79" i="111"/>
  <c r="O79" i="111" s="1"/>
  <c r="X27" i="107"/>
  <c r="H78" i="111"/>
  <c r="X27" i="111" s="1"/>
  <c r="P77" i="107"/>
  <c r="D77" i="111"/>
  <c r="P75" i="107"/>
  <c r="D75" i="111"/>
  <c r="O75" i="111" s="1"/>
  <c r="X26" i="107"/>
  <c r="H74" i="111"/>
  <c r="X26" i="111" s="1"/>
  <c r="P73" i="107"/>
  <c r="D73" i="111"/>
  <c r="P73" i="111" s="1"/>
  <c r="P71" i="107"/>
  <c r="D71" i="111"/>
  <c r="O71" i="111" s="1"/>
  <c r="X25" i="107"/>
  <c r="H70" i="111"/>
  <c r="X25" i="111" s="1"/>
  <c r="P69" i="107"/>
  <c r="D69" i="111"/>
  <c r="P69" i="111" s="1"/>
  <c r="P67" i="107"/>
  <c r="D67" i="111"/>
  <c r="O67" i="111" s="1"/>
  <c r="X24" i="107"/>
  <c r="H66" i="111"/>
  <c r="X24" i="111" s="1"/>
  <c r="P65" i="107"/>
  <c r="D65" i="111"/>
  <c r="P63" i="107"/>
  <c r="D63" i="111"/>
  <c r="O63" i="111" s="1"/>
  <c r="X23" i="107"/>
  <c r="H62" i="111"/>
  <c r="X23" i="111" s="1"/>
  <c r="P61" i="107"/>
  <c r="D61" i="111"/>
  <c r="P59" i="107"/>
  <c r="Y22" i="108"/>
  <c r="P105" i="108"/>
  <c r="P103" i="108"/>
  <c r="X33" i="108"/>
  <c r="P101" i="108"/>
  <c r="P99" i="108"/>
  <c r="X32" i="108"/>
  <c r="P97" i="108"/>
  <c r="P95" i="108"/>
  <c r="X31" i="108"/>
  <c r="P93" i="108"/>
  <c r="P91" i="108"/>
  <c r="X30" i="108"/>
  <c r="P89" i="108"/>
  <c r="P87" i="108"/>
  <c r="X29" i="108"/>
  <c r="P85" i="108"/>
  <c r="P83" i="108"/>
  <c r="X28" i="108"/>
  <c r="P81" i="108"/>
  <c r="P79" i="108"/>
  <c r="X27" i="108"/>
  <c r="P77" i="108"/>
  <c r="P75" i="108"/>
  <c r="X26" i="108"/>
  <c r="P73" i="108"/>
  <c r="P71" i="108"/>
  <c r="X25" i="108"/>
  <c r="P69" i="108"/>
  <c r="P67" i="108"/>
  <c r="X24" i="108"/>
  <c r="P65" i="108"/>
  <c r="P63" i="108"/>
  <c r="X23" i="108"/>
  <c r="P61" i="108"/>
  <c r="AF28" i="108" s="1"/>
  <c r="P59" i="108"/>
  <c r="AF26" i="108" s="1"/>
  <c r="D105" i="111"/>
  <c r="P105" i="111" s="1"/>
  <c r="D103" i="111"/>
  <c r="O103" i="111" s="1"/>
  <c r="E100" i="111"/>
  <c r="D59" i="111"/>
  <c r="O59" i="111" s="1"/>
  <c r="U33" i="107"/>
  <c r="E98" i="111"/>
  <c r="U32" i="111" s="1"/>
  <c r="U32" i="107"/>
  <c r="U29" i="107"/>
  <c r="E86" i="111"/>
  <c r="U29" i="111" s="1"/>
  <c r="U28" i="107"/>
  <c r="E82" i="111"/>
  <c r="U28" i="111" s="1"/>
  <c r="U26" i="107"/>
  <c r="E74" i="111"/>
  <c r="U26" i="111" s="1"/>
  <c r="E66" i="111"/>
  <c r="U24" i="111" s="1"/>
  <c r="U24" i="107"/>
  <c r="U27" i="108"/>
  <c r="U26" i="108"/>
  <c r="AC23" i="108"/>
  <c r="F58" i="111"/>
  <c r="V22" i="111" s="1"/>
  <c r="AC24" i="107"/>
  <c r="O86" i="107"/>
  <c r="P102" i="107"/>
  <c r="P70" i="107"/>
  <c r="O86" i="108"/>
  <c r="P86" i="108"/>
  <c r="P70" i="108"/>
  <c r="Y22" i="107"/>
  <c r="X33" i="107"/>
  <c r="P99" i="107"/>
  <c r="D99" i="111"/>
  <c r="O99" i="111" s="1"/>
  <c r="X32" i="107"/>
  <c r="H98" i="111"/>
  <c r="X32" i="111" s="1"/>
  <c r="O84" i="107"/>
  <c r="O68" i="107"/>
  <c r="P100" i="107"/>
  <c r="P84" i="107"/>
  <c r="P68" i="107"/>
  <c r="O100" i="108"/>
  <c r="O84" i="108"/>
  <c r="O68" i="108"/>
  <c r="W33" i="107"/>
  <c r="W32" i="107"/>
  <c r="W31" i="107"/>
  <c r="W30" i="107"/>
  <c r="W29" i="107"/>
  <c r="W28" i="107"/>
  <c r="W27" i="107"/>
  <c r="W26" i="107"/>
  <c r="W25" i="107"/>
  <c r="W24" i="107"/>
  <c r="G66" i="111"/>
  <c r="W24" i="111" s="1"/>
  <c r="W23" i="107"/>
  <c r="G62" i="111"/>
  <c r="W23" i="111" s="1"/>
  <c r="W33" i="108"/>
  <c r="W32" i="108"/>
  <c r="W31" i="108"/>
  <c r="W30" i="108"/>
  <c r="W29" i="108"/>
  <c r="W28" i="108"/>
  <c r="W27" i="108"/>
  <c r="W26" i="108"/>
  <c r="W25" i="108"/>
  <c r="W24" i="108"/>
  <c r="W23" i="108"/>
  <c r="H58" i="111"/>
  <c r="X22" i="111" s="1"/>
  <c r="G102" i="111"/>
  <c r="W33" i="111" s="1"/>
  <c r="D98" i="111"/>
  <c r="AC31" i="111"/>
  <c r="AC30" i="107"/>
  <c r="M90" i="111"/>
  <c r="AC30" i="111" s="1"/>
  <c r="U27" i="107"/>
  <c r="E78" i="111"/>
  <c r="U27" i="111" s="1"/>
  <c r="AC25" i="107"/>
  <c r="M70" i="111"/>
  <c r="AC25" i="111" s="1"/>
  <c r="AC26" i="108"/>
  <c r="U24" i="108"/>
  <c r="O74" i="107"/>
  <c r="O102" i="107"/>
  <c r="O70" i="107"/>
  <c r="O102" i="108"/>
  <c r="O70" i="108"/>
  <c r="O98" i="107"/>
  <c r="O82" i="107"/>
  <c r="O66" i="107"/>
  <c r="P98" i="107"/>
  <c r="P82" i="107"/>
  <c r="P66" i="107"/>
  <c r="O98" i="108"/>
  <c r="O82" i="108"/>
  <c r="O66" i="108"/>
  <c r="P98" i="108"/>
  <c r="P82" i="108"/>
  <c r="P66" i="108"/>
  <c r="AD33" i="107"/>
  <c r="V33" i="107"/>
  <c r="AD32" i="107"/>
  <c r="V32" i="107"/>
  <c r="AD31" i="107"/>
  <c r="V31" i="107"/>
  <c r="AD30" i="107"/>
  <c r="V30" i="107"/>
  <c r="F90" i="111"/>
  <c r="V30" i="111" s="1"/>
  <c r="AD29" i="107"/>
  <c r="N86" i="111"/>
  <c r="AD29" i="111" s="1"/>
  <c r="V29" i="107"/>
  <c r="F86" i="111"/>
  <c r="V29" i="111" s="1"/>
  <c r="AD28" i="107"/>
  <c r="N82" i="111"/>
  <c r="AD28" i="111" s="1"/>
  <c r="V28" i="111"/>
  <c r="AD27" i="107"/>
  <c r="N78" i="111"/>
  <c r="AD27" i="111" s="1"/>
  <c r="V27" i="107"/>
  <c r="F78" i="111"/>
  <c r="V27" i="111" s="1"/>
  <c r="AD26" i="107"/>
  <c r="N74" i="111"/>
  <c r="AD26" i="111" s="1"/>
  <c r="V26" i="107"/>
  <c r="F74" i="111"/>
  <c r="V26" i="111" s="1"/>
  <c r="AD25" i="107"/>
  <c r="N70" i="111"/>
  <c r="AD25" i="111" s="1"/>
  <c r="V25" i="107"/>
  <c r="F70" i="111"/>
  <c r="V25" i="111" s="1"/>
  <c r="N66" i="111"/>
  <c r="AD24" i="111" s="1"/>
  <c r="AD24" i="107"/>
  <c r="F66" i="111"/>
  <c r="V24" i="111" s="1"/>
  <c r="V24" i="107"/>
  <c r="AD23" i="107"/>
  <c r="N62" i="111"/>
  <c r="AD23" i="111" s="1"/>
  <c r="V23" i="107"/>
  <c r="F62" i="111"/>
  <c r="V23" i="111" s="1"/>
  <c r="AD33" i="108"/>
  <c r="V33" i="108"/>
  <c r="AD32" i="108"/>
  <c r="AD31" i="108"/>
  <c r="V31" i="108"/>
  <c r="AD30" i="108"/>
  <c r="V30" i="108"/>
  <c r="AD29" i="108"/>
  <c r="V29" i="108"/>
  <c r="AD28" i="108"/>
  <c r="V28" i="108"/>
  <c r="AD27" i="108"/>
  <c r="V27" i="108"/>
  <c r="V26" i="108"/>
  <c r="AD25" i="108"/>
  <c r="V25" i="108"/>
  <c r="AD24" i="108"/>
  <c r="V24" i="108"/>
  <c r="AD23" i="108"/>
  <c r="V23" i="108"/>
  <c r="C58" i="111"/>
  <c r="G58" i="111"/>
  <c r="W22" i="111" s="1"/>
  <c r="N102" i="111"/>
  <c r="AD33" i="111" s="1"/>
  <c r="F102" i="111"/>
  <c r="V33" i="111" s="1"/>
  <c r="G78" i="111"/>
  <c r="W27" i="111" s="1"/>
  <c r="O104" i="111"/>
  <c r="P103" i="111"/>
  <c r="P101" i="111"/>
  <c r="O100" i="111"/>
  <c r="P99" i="111"/>
  <c r="P97" i="111"/>
  <c r="O96" i="111"/>
  <c r="P95" i="111"/>
  <c r="P93" i="111"/>
  <c r="O92" i="111"/>
  <c r="P91" i="111"/>
  <c r="O88" i="111"/>
  <c r="P87" i="111"/>
  <c r="O84" i="111"/>
  <c r="P81" i="111"/>
  <c r="O80" i="111"/>
  <c r="P79" i="111"/>
  <c r="P77" i="111"/>
  <c r="O76" i="111"/>
  <c r="P75" i="111"/>
  <c r="O72" i="111"/>
  <c r="P71" i="111"/>
  <c r="O68" i="111"/>
  <c r="P65" i="111"/>
  <c r="O64" i="111"/>
  <c r="P63" i="111"/>
  <c r="P61" i="111"/>
  <c r="O60" i="111"/>
  <c r="P59" i="111"/>
  <c r="O101" i="111"/>
  <c r="O97" i="111"/>
  <c r="O93" i="111"/>
  <c r="O89" i="111"/>
  <c r="O81" i="111"/>
  <c r="O77" i="111"/>
  <c r="O65" i="111"/>
  <c r="O61" i="111"/>
  <c r="P104" i="111"/>
  <c r="P100" i="111"/>
  <c r="P96" i="111"/>
  <c r="P92" i="111"/>
  <c r="P88" i="111"/>
  <c r="P84" i="111"/>
  <c r="P80" i="111"/>
  <c r="P76" i="111"/>
  <c r="P72" i="111"/>
  <c r="P68" i="111"/>
  <c r="P64" i="111"/>
  <c r="P60" i="111"/>
  <c r="O105" i="108"/>
  <c r="O103" i="108"/>
  <c r="O101" i="108"/>
  <c r="O99" i="108"/>
  <c r="O97" i="108"/>
  <c r="O95" i="108"/>
  <c r="O93" i="108"/>
  <c r="O91" i="108"/>
  <c r="O89" i="108"/>
  <c r="O87" i="108"/>
  <c r="O85" i="108"/>
  <c r="O83" i="108"/>
  <c r="O81" i="108"/>
  <c r="O79" i="108"/>
  <c r="O77" i="108"/>
  <c r="O75" i="108"/>
  <c r="O73" i="108"/>
  <c r="O71" i="108"/>
  <c r="O69" i="108"/>
  <c r="O67" i="108"/>
  <c r="O65" i="108"/>
  <c r="O63" i="108"/>
  <c r="O61" i="108"/>
  <c r="AE28" i="108" s="1"/>
  <c r="O59" i="108"/>
  <c r="O105" i="107"/>
  <c r="O103" i="107"/>
  <c r="O101" i="107"/>
  <c r="O99" i="107"/>
  <c r="O97" i="107"/>
  <c r="O95" i="107"/>
  <c r="O93" i="107"/>
  <c r="O91" i="107"/>
  <c r="O89" i="107"/>
  <c r="O87" i="107"/>
  <c r="O85" i="107"/>
  <c r="O83" i="107"/>
  <c r="O81" i="107"/>
  <c r="O79" i="107"/>
  <c r="O77" i="107"/>
  <c r="O75" i="107"/>
  <c r="O73" i="107"/>
  <c r="O71" i="107"/>
  <c r="O69" i="107"/>
  <c r="O67" i="107"/>
  <c r="O65" i="107"/>
  <c r="AE32" i="107" s="1"/>
  <c r="O63" i="107"/>
  <c r="O61" i="107"/>
  <c r="AE28" i="107" s="1"/>
  <c r="O59" i="107"/>
  <c r="O37" i="104"/>
  <c r="O37" i="103"/>
  <c r="AF33" i="107" l="1"/>
  <c r="AE32" i="108"/>
  <c r="P58" i="111"/>
  <c r="AF25" i="111" s="1"/>
  <c r="AF27" i="108"/>
  <c r="AF33" i="108"/>
  <c r="O73" i="111"/>
  <c r="P83" i="111"/>
  <c r="O105" i="111"/>
  <c r="P67" i="111"/>
  <c r="AF31" i="111" s="1"/>
  <c r="T32" i="111"/>
  <c r="AE26" i="107"/>
  <c r="AE26" i="108"/>
  <c r="T24" i="111"/>
  <c r="T26" i="111"/>
  <c r="T28" i="111"/>
  <c r="T30" i="111"/>
  <c r="AF30" i="107"/>
  <c r="AE25" i="108"/>
  <c r="AE27" i="107"/>
  <c r="AF29" i="107"/>
  <c r="O69" i="111"/>
  <c r="O66" i="111"/>
  <c r="AE33" i="111" s="1"/>
  <c r="O74" i="111"/>
  <c r="O82" i="111"/>
  <c r="O90" i="111"/>
  <c r="O98" i="111"/>
  <c r="AE33" i="107"/>
  <c r="AF30" i="108"/>
  <c r="AF25" i="108"/>
  <c r="AE31" i="108"/>
  <c r="AF32" i="108"/>
  <c r="AF26" i="107"/>
  <c r="AF32" i="107"/>
  <c r="AE27" i="108"/>
  <c r="P62" i="111"/>
  <c r="AF29" i="111" s="1"/>
  <c r="T23" i="111"/>
  <c r="P70" i="111"/>
  <c r="T25" i="111"/>
  <c r="P78" i="111"/>
  <c r="T27" i="111"/>
  <c r="P86" i="111"/>
  <c r="T29" i="111"/>
  <c r="P94" i="111"/>
  <c r="T31" i="111"/>
  <c r="AE29" i="107"/>
  <c r="P102" i="111"/>
  <c r="T33" i="111"/>
  <c r="AE33" i="108"/>
  <c r="AF25" i="107"/>
  <c r="S24" i="111"/>
  <c r="P66" i="111"/>
  <c r="AF30" i="111" s="1"/>
  <c r="S26" i="111"/>
  <c r="P74" i="111"/>
  <c r="S28" i="111"/>
  <c r="P82" i="111"/>
  <c r="S30" i="111"/>
  <c r="P90" i="111"/>
  <c r="S32" i="111"/>
  <c r="P98" i="111"/>
  <c r="AF31" i="108"/>
  <c r="AF27" i="111"/>
  <c r="AF28" i="111"/>
  <c r="P85" i="111"/>
  <c r="AF28" i="107"/>
  <c r="AF29" i="108"/>
  <c r="O58" i="111"/>
  <c r="AE25" i="111" s="1"/>
  <c r="S22" i="111"/>
  <c r="AE30" i="107"/>
  <c r="AE30" i="108"/>
  <c r="O62" i="111"/>
  <c r="AE29" i="111" s="1"/>
  <c r="O70" i="111"/>
  <c r="O78" i="111"/>
  <c r="O86" i="111"/>
  <c r="O94" i="111"/>
  <c r="O102" i="111"/>
  <c r="AF31" i="107"/>
  <c r="AE25" i="107"/>
  <c r="AF27" i="107"/>
  <c r="AE29" i="108"/>
  <c r="AE31" i="107"/>
  <c r="O18" i="110"/>
  <c r="O103" i="105"/>
  <c r="AF33" i="111" l="1"/>
  <c r="AE31" i="111"/>
  <c r="AE27" i="111"/>
  <c r="AE26" i="111"/>
  <c r="AF26" i="111"/>
  <c r="AF32" i="111"/>
  <c r="AE28" i="111"/>
  <c r="AE32" i="111"/>
  <c r="AE30" i="111"/>
  <c r="K6" i="98"/>
  <c r="K6" i="100" s="1"/>
  <c r="K6" i="101" s="1"/>
  <c r="K6" i="109" s="1"/>
  <c r="K6" i="105" s="1"/>
  <c r="K6" i="110" s="1"/>
  <c r="K6" i="103" s="1"/>
  <c r="K5" i="98"/>
  <c r="K5" i="99" s="1"/>
  <c r="K5" i="101" s="1"/>
  <c r="K5" i="103" s="1"/>
  <c r="G5" i="98"/>
  <c r="G5" i="99" s="1"/>
  <c r="G5" i="100" s="1"/>
  <c r="G5" i="101" s="1"/>
  <c r="G5" i="109" s="1"/>
  <c r="G5" i="105" s="1"/>
  <c r="G5" i="110" s="1"/>
  <c r="G5" i="103" s="1"/>
  <c r="K6" i="97"/>
  <c r="K5" i="97"/>
  <c r="G5" i="97"/>
  <c r="K6" i="96"/>
  <c r="G5" i="96"/>
  <c r="K6" i="95"/>
  <c r="G6" i="104"/>
  <c r="G6" i="108" s="1"/>
  <c r="G6" i="110"/>
  <c r="G6" i="100"/>
  <c r="G6" i="98"/>
  <c r="G6" i="96"/>
  <c r="G6" i="109" s="1"/>
  <c r="G6" i="103"/>
  <c r="G6" i="107" s="1"/>
  <c r="G6" i="105"/>
  <c r="G6" i="101"/>
  <c r="G6" i="99"/>
  <c r="G6" i="97"/>
  <c r="D6" i="104"/>
  <c r="D6" i="108" s="1"/>
  <c r="D6" i="110"/>
  <c r="D6" i="109"/>
  <c r="D6" i="100"/>
  <c r="D6" i="98"/>
  <c r="D6" i="96"/>
  <c r="D6" i="103"/>
  <c r="D6" i="107" s="1"/>
  <c r="D6" i="105"/>
  <c r="D6" i="101"/>
  <c r="D6" i="99"/>
  <c r="D6" i="97"/>
  <c r="D5" i="104"/>
  <c r="D5" i="110"/>
  <c r="D5" i="109"/>
  <c r="D5" i="100"/>
  <c r="D5" i="98"/>
  <c r="D5" i="96"/>
  <c r="D5" i="94"/>
  <c r="K6" i="107" l="1"/>
  <c r="K6" i="104"/>
  <c r="K6" i="108" s="1"/>
  <c r="K6" i="111" s="1"/>
  <c r="K5" i="104"/>
  <c r="K5" i="108" s="1"/>
  <c r="K5" i="111" s="1"/>
  <c r="K5" i="107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A19" i="109"/>
  <c r="Y19" i="109"/>
  <c r="W19" i="109"/>
  <c r="U19" i="109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C19" i="105"/>
  <c r="AB19" i="105"/>
  <c r="AA19" i="105"/>
  <c r="Z19" i="105"/>
  <c r="Y19" i="105"/>
  <c r="X19" i="105"/>
  <c r="W19" i="105"/>
  <c r="V19" i="105"/>
  <c r="V39" i="105" s="1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C19" i="103"/>
  <c r="AB19" i="103"/>
  <c r="AB27" i="103" s="1"/>
  <c r="AA19" i="103"/>
  <c r="Z19" i="103"/>
  <c r="Z27" i="103" s="1"/>
  <c r="Y19" i="103"/>
  <c r="X19" i="103"/>
  <c r="W19" i="103"/>
  <c r="V19" i="103"/>
  <c r="U19" i="103"/>
  <c r="U24" i="103" s="1"/>
  <c r="T19" i="103"/>
  <c r="T27" i="103" s="1"/>
  <c r="S19" i="103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V19" i="10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C19" i="99"/>
  <c r="AB19" i="99"/>
  <c r="AA19" i="99"/>
  <c r="Z19" i="99"/>
  <c r="Y19" i="99"/>
  <c r="X19" i="99"/>
  <c r="W19" i="99"/>
  <c r="V19" i="99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A19" i="97"/>
  <c r="Z19" i="97"/>
  <c r="Y19" i="97"/>
  <c r="X19" i="97"/>
  <c r="W19" i="97"/>
  <c r="V19" i="97"/>
  <c r="V27" i="97" s="1"/>
  <c r="U19" i="97"/>
  <c r="T19" i="97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AA26" i="95" s="1"/>
  <c r="W13" i="95"/>
  <c r="V13" i="95"/>
  <c r="U13" i="95"/>
  <c r="T13" i="95"/>
  <c r="AD21" i="95"/>
  <c r="AC20" i="95"/>
  <c r="T19" i="95"/>
  <c r="X27" i="97" l="1"/>
  <c r="V27" i="99"/>
  <c r="AD27" i="99"/>
  <c r="V39" i="101"/>
  <c r="W27" i="103"/>
  <c r="AA39" i="105"/>
  <c r="T27" i="97"/>
  <c r="AB27" i="97"/>
  <c r="S27" i="103"/>
  <c r="AA27" i="103"/>
  <c r="W39" i="105"/>
  <c r="AC39" i="109"/>
  <c r="V27" i="103"/>
  <c r="AD27" i="103"/>
  <c r="Z39" i="105"/>
  <c r="U39" i="109"/>
  <c r="W27" i="99"/>
  <c r="W39" i="101"/>
  <c r="X27" i="103"/>
  <c r="Z27" i="97"/>
  <c r="AD38" i="101"/>
  <c r="Y27" i="103"/>
  <c r="Y39" i="109"/>
  <c r="AA27" i="99"/>
  <c r="X39" i="105"/>
  <c r="X26" i="98"/>
  <c r="AA39" i="101"/>
  <c r="AD39" i="105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U38" i="110" s="1"/>
  <c r="W14" i="110"/>
  <c r="W38" i="110" s="1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P31" i="110"/>
  <c r="S15" i="110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X10" i="110"/>
  <c r="P13" i="110"/>
  <c r="P15" i="110"/>
  <c r="W11" i="110"/>
  <c r="AA14" i="94"/>
  <c r="K26" i="108"/>
  <c r="AA15" i="94"/>
  <c r="K30" i="108"/>
  <c r="AA16" i="94"/>
  <c r="K34" i="108"/>
  <c r="AA18" i="94"/>
  <c r="K42" i="108"/>
  <c r="M54" i="108"/>
  <c r="M50" i="108"/>
  <c r="M46" i="108"/>
  <c r="C42" i="108"/>
  <c r="C34" i="108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E54" i="108"/>
  <c r="E50" i="108"/>
  <c r="C46" i="108"/>
  <c r="C38" i="108"/>
  <c r="C30" i="108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J15" i="108"/>
  <c r="N16" i="108"/>
  <c r="F18" i="108"/>
  <c r="J19" i="108"/>
  <c r="N20" i="108"/>
  <c r="J23" i="108"/>
  <c r="N24" i="108"/>
  <c r="F24" i="108"/>
  <c r="Z13" i="109"/>
  <c r="P12" i="110"/>
  <c r="F16" i="108"/>
  <c r="J17" i="108"/>
  <c r="I54" i="108"/>
  <c r="I50" i="108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E22" i="108"/>
  <c r="G22" i="108"/>
  <c r="I22" i="108"/>
  <c r="K22" i="108"/>
  <c r="M22" i="108"/>
  <c r="C23" i="108"/>
  <c r="E23" i="108"/>
  <c r="G23" i="108"/>
  <c r="I23" i="108"/>
  <c r="K23" i="108"/>
  <c r="M23" i="108"/>
  <c r="D106" i="110"/>
  <c r="L106" i="110"/>
  <c r="P27" i="110"/>
  <c r="S14" i="110"/>
  <c r="G54" i="108"/>
  <c r="C54" i="108"/>
  <c r="K50" i="108"/>
  <c r="G50" i="108"/>
  <c r="C50" i="108"/>
  <c r="K46" i="108"/>
  <c r="G46" i="108"/>
  <c r="G38" i="108"/>
  <c r="G30" i="108"/>
  <c r="G26" i="108"/>
  <c r="F22" i="108"/>
  <c r="H12" i="108"/>
  <c r="L12" i="108"/>
  <c r="D13" i="108"/>
  <c r="H13" i="108"/>
  <c r="L13" i="108"/>
  <c r="D14" i="108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F46" i="108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H10" i="108"/>
  <c r="D10" i="108"/>
  <c r="V13" i="109"/>
  <c r="AD13" i="109"/>
  <c r="V15" i="109"/>
  <c r="AD15" i="109"/>
  <c r="C10" i="108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S35" i="110" s="1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AC15" i="105"/>
  <c r="P12" i="105"/>
  <c r="S12" i="105"/>
  <c r="P13" i="105"/>
  <c r="S13" i="105"/>
  <c r="S38" i="105" s="1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X13" i="103"/>
  <c r="AB13" i="103"/>
  <c r="AB26" i="103" s="1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X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X36" i="101" l="1"/>
  <c r="D106" i="108"/>
  <c r="V19" i="108"/>
  <c r="H106" i="107"/>
  <c r="AF32" i="101"/>
  <c r="AB26" i="98"/>
  <c r="K106" i="108"/>
  <c r="C106" i="107"/>
  <c r="G106" i="107"/>
  <c r="H106" i="108"/>
  <c r="I106" i="108"/>
  <c r="AD26" i="97"/>
  <c r="L106" i="108"/>
  <c r="G106" i="108"/>
  <c r="F106" i="107"/>
  <c r="M106" i="107"/>
  <c r="C106" i="108"/>
  <c r="E106" i="108"/>
  <c r="N106" i="107"/>
  <c r="E106" i="107"/>
  <c r="L106" i="107"/>
  <c r="D106" i="107"/>
  <c r="V39" i="109"/>
  <c r="N106" i="108"/>
  <c r="K106" i="107"/>
  <c r="J106" i="107"/>
  <c r="X23" i="103"/>
  <c r="AF33" i="101"/>
  <c r="J106" i="108"/>
  <c r="I106" i="107"/>
  <c r="T26" i="103"/>
  <c r="F106" i="108"/>
  <c r="S38" i="110"/>
  <c r="M106" i="108"/>
  <c r="Z26" i="95"/>
  <c r="Y38" i="105"/>
  <c r="U38" i="109"/>
  <c r="T19" i="108"/>
  <c r="AF25" i="101"/>
  <c r="AF28" i="101"/>
  <c r="X26" i="103"/>
  <c r="T36" i="105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AD21" i="108"/>
  <c r="Z20" i="108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V21" i="108"/>
  <c r="AD19" i="108"/>
  <c r="Z21" i="108"/>
  <c r="AD20" i="108"/>
  <c r="V20" i="108"/>
  <c r="V36" i="108" s="1"/>
  <c r="Z19" i="108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F22" i="111"/>
  <c r="D22" i="111"/>
  <c r="J21" i="111"/>
  <c r="H21" i="111"/>
  <c r="N20" i="111"/>
  <c r="L20" i="111"/>
  <c r="J20" i="111"/>
  <c r="D20" i="111"/>
  <c r="N19" i="111"/>
  <c r="H19" i="111"/>
  <c r="N18" i="111"/>
  <c r="L18" i="111"/>
  <c r="F18" i="111"/>
  <c r="D18" i="11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H10" i="111"/>
  <c r="F10" i="111"/>
  <c r="K57" i="111"/>
  <c r="E57" i="111"/>
  <c r="C57" i="111"/>
  <c r="G56" i="111"/>
  <c r="E56" i="111"/>
  <c r="M55" i="111"/>
  <c r="K55" i="111"/>
  <c r="I55" i="111"/>
  <c r="C55" i="111"/>
  <c r="M54" i="111"/>
  <c r="E54" i="11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G49" i="111"/>
  <c r="E49" i="111"/>
  <c r="K48" i="111"/>
  <c r="E48" i="111"/>
  <c r="C48" i="111"/>
  <c r="M47" i="111"/>
  <c r="I47" i="111"/>
  <c r="G47" i="111"/>
  <c r="M46" i="111"/>
  <c r="K46" i="111"/>
  <c r="I46" i="111"/>
  <c r="C46" i="11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G34" i="111"/>
  <c r="C34" i="11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M13" i="111"/>
  <c r="I13" i="111"/>
  <c r="E13" i="111"/>
  <c r="M12" i="111"/>
  <c r="I12" i="111"/>
  <c r="E12" i="111"/>
  <c r="M11" i="111"/>
  <c r="I11" i="111"/>
  <c r="E11" i="111"/>
  <c r="X22" i="100"/>
  <c r="AC26" i="96"/>
  <c r="V10" i="108"/>
  <c r="AB21" i="108"/>
  <c r="X21" i="108"/>
  <c r="T21" i="108"/>
  <c r="AB20" i="108"/>
  <c r="X20" i="108"/>
  <c r="T20" i="108"/>
  <c r="AB19" i="108"/>
  <c r="X19" i="108"/>
  <c r="AA35" i="110"/>
  <c r="W35" i="110"/>
  <c r="Z39" i="110"/>
  <c r="AD38" i="110"/>
  <c r="Z38" i="110"/>
  <c r="V38" i="110"/>
  <c r="X37" i="110"/>
  <c r="V12" i="108"/>
  <c r="V11" i="108"/>
  <c r="AD10" i="108"/>
  <c r="AD36" i="110"/>
  <c r="V36" i="110"/>
  <c r="AC35" i="109"/>
  <c r="AD11" i="108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Z11" i="108"/>
  <c r="AA35" i="109"/>
  <c r="U36" i="110"/>
  <c r="V35" i="109"/>
  <c r="X11" i="108"/>
  <c r="S41" i="110"/>
  <c r="Z10" i="108"/>
  <c r="W12" i="108"/>
  <c r="AF32" i="110"/>
  <c r="S35" i="109"/>
  <c r="T11" i="108"/>
  <c r="AA12" i="108"/>
  <c r="V24" i="98"/>
  <c r="X23" i="97"/>
  <c r="AD23" i="99"/>
  <c r="AB38" i="109"/>
  <c r="AD35" i="110"/>
  <c r="V35" i="110"/>
  <c r="AA40" i="110"/>
  <c r="Y36" i="110"/>
  <c r="S37" i="110"/>
  <c r="X10" i="108"/>
  <c r="W40" i="110"/>
  <c r="AD36" i="109"/>
  <c r="Z39" i="109"/>
  <c r="S26" i="97"/>
  <c r="AF33" i="110"/>
  <c r="AF31" i="110"/>
  <c r="AB35" i="110"/>
  <c r="X38" i="110"/>
  <c r="AA41" i="110"/>
  <c r="W41" i="110"/>
  <c r="T10" i="108"/>
  <c r="AB10" i="108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D13" i="108"/>
  <c r="AA24" i="94"/>
  <c r="AC23" i="96"/>
  <c r="AB36" i="105"/>
  <c r="P16" i="108"/>
  <c r="Z13" i="108"/>
  <c r="O56" i="108"/>
  <c r="AE23" i="108" s="1"/>
  <c r="S15" i="108"/>
  <c r="T17" i="108"/>
  <c r="O11" i="108"/>
  <c r="X18" i="108"/>
  <c r="AB15" i="108"/>
  <c r="O57" i="108"/>
  <c r="AE24" i="108" s="1"/>
  <c r="P40" i="108"/>
  <c r="AB17" i="108"/>
  <c r="O35" i="108"/>
  <c r="X16" i="108"/>
  <c r="T15" i="108"/>
  <c r="O10" i="108"/>
  <c r="AA26" i="94"/>
  <c r="AB18" i="108"/>
  <c r="T18" i="108"/>
  <c r="X17" i="108"/>
  <c r="AB16" i="108"/>
  <c r="T16" i="108"/>
  <c r="X15" i="108"/>
  <c r="P29" i="108"/>
  <c r="T13" i="108"/>
  <c r="AC11" i="108"/>
  <c r="Y12" i="108"/>
  <c r="O16" i="108"/>
  <c r="Y10" i="108"/>
  <c r="P49" i="108"/>
  <c r="P22" i="108"/>
  <c r="O49" i="108"/>
  <c r="P43" i="108"/>
  <c r="AD18" i="108"/>
  <c r="Z18" i="108"/>
  <c r="V18" i="108"/>
  <c r="AD16" i="108"/>
  <c r="Z16" i="108"/>
  <c r="V16" i="108"/>
  <c r="O28" i="108"/>
  <c r="W15" i="108"/>
  <c r="W19" i="108"/>
  <c r="S20" i="108"/>
  <c r="AA20" i="108"/>
  <c r="W21" i="108"/>
  <c r="O36" i="108"/>
  <c r="S13" i="108"/>
  <c r="O20" i="108"/>
  <c r="AA15" i="108"/>
  <c r="AA17" i="108"/>
  <c r="Y19" i="108"/>
  <c r="U20" i="108"/>
  <c r="AC20" i="108"/>
  <c r="Y21" i="108"/>
  <c r="P57" i="108"/>
  <c r="AF24" i="108" s="1"/>
  <c r="P55" i="108"/>
  <c r="AF22" i="108" s="1"/>
  <c r="P52" i="108"/>
  <c r="P35" i="108"/>
  <c r="P21" i="108"/>
  <c r="O13" i="108"/>
  <c r="P12" i="108"/>
  <c r="AA10" i="108"/>
  <c r="O53" i="108"/>
  <c r="O48" i="108"/>
  <c r="P46" i="108"/>
  <c r="O38" i="108"/>
  <c r="P45" i="108"/>
  <c r="P38" i="108"/>
  <c r="P32" i="108"/>
  <c r="O30" i="108"/>
  <c r="AB13" i="108"/>
  <c r="X13" i="108"/>
  <c r="O31" i="108"/>
  <c r="P24" i="108"/>
  <c r="P17" i="108"/>
  <c r="O14" i="108"/>
  <c r="O43" i="108"/>
  <c r="S11" i="108"/>
  <c r="P56" i="108"/>
  <c r="AF23" i="108" s="1"/>
  <c r="O55" i="108"/>
  <c r="AE22" i="108" s="1"/>
  <c r="P53" i="108"/>
  <c r="P51" i="108"/>
  <c r="P48" i="108"/>
  <c r="W18" i="108"/>
  <c r="O39" i="108"/>
  <c r="P37" i="108"/>
  <c r="W16" i="108"/>
  <c r="P27" i="108"/>
  <c r="AC12" i="108"/>
  <c r="U12" i="108"/>
  <c r="Y11" i="108"/>
  <c r="Y34" i="108" s="1"/>
  <c r="P13" i="108"/>
  <c r="O12" i="108"/>
  <c r="P11" i="108"/>
  <c r="AC10" i="108"/>
  <c r="P10" i="108"/>
  <c r="O52" i="108"/>
  <c r="P47" i="108"/>
  <c r="P26" i="108"/>
  <c r="U24" i="94"/>
  <c r="AC26" i="94"/>
  <c r="O51" i="108"/>
  <c r="O47" i="108"/>
  <c r="O26" i="108"/>
  <c r="O22" i="108"/>
  <c r="O18" i="108"/>
  <c r="U10" i="108"/>
  <c r="P54" i="108"/>
  <c r="O50" i="108"/>
  <c r="W14" i="108"/>
  <c r="W17" i="108"/>
  <c r="AA19" i="108"/>
  <c r="W20" i="108"/>
  <c r="S21" i="108"/>
  <c r="U19" i="108"/>
  <c r="AA14" i="108"/>
  <c r="AA16" i="108"/>
  <c r="AA18" i="108"/>
  <c r="AC19" i="108"/>
  <c r="Y20" i="108"/>
  <c r="U21" i="108"/>
  <c r="AC21" i="108"/>
  <c r="Z12" i="108"/>
  <c r="O44" i="108"/>
  <c r="AB14" i="108"/>
  <c r="X14" i="108"/>
  <c r="T14" i="108"/>
  <c r="V13" i="108"/>
  <c r="AA13" i="108"/>
  <c r="O46" i="108"/>
  <c r="S18" i="108"/>
  <c r="S16" i="108"/>
  <c r="S14" i="108"/>
  <c r="O45" i="108"/>
  <c r="P41" i="108"/>
  <c r="P39" i="108"/>
  <c r="AD17" i="108"/>
  <c r="Z17" i="108"/>
  <c r="V17" i="108"/>
  <c r="O37" i="108"/>
  <c r="O32" i="108"/>
  <c r="AD15" i="108"/>
  <c r="Z15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W13" i="108"/>
  <c r="P20" i="108"/>
  <c r="O17" i="108"/>
  <c r="P15" i="108"/>
  <c r="AA11" i="108"/>
  <c r="P14" i="108"/>
  <c r="AA21" i="108"/>
  <c r="W10" i="108"/>
  <c r="S10" i="108"/>
  <c r="S19" i="108"/>
  <c r="S17" i="108"/>
  <c r="AD12" i="108"/>
  <c r="AD14" i="108"/>
  <c r="Z14" i="108"/>
  <c r="V14" i="108"/>
  <c r="X12" i="108"/>
  <c r="AC18" i="108"/>
  <c r="Y18" i="108"/>
  <c r="U18" i="108"/>
  <c r="AC17" i="108"/>
  <c r="Y17" i="108"/>
  <c r="AC16" i="108"/>
  <c r="Y16" i="108"/>
  <c r="U16" i="108"/>
  <c r="Y14" i="108"/>
  <c r="AC13" i="108"/>
  <c r="Y13" i="108"/>
  <c r="U13" i="108"/>
  <c r="W11" i="108"/>
  <c r="AB11" i="108"/>
  <c r="O41" i="108"/>
  <c r="O33" i="108"/>
  <c r="O25" i="108"/>
  <c r="V15" i="108"/>
  <c r="O23" i="108"/>
  <c r="O19" i="108"/>
  <c r="O15" i="108"/>
  <c r="P50" i="108"/>
  <c r="P42" i="108"/>
  <c r="P34" i="108"/>
  <c r="S12" i="108"/>
  <c r="O54" i="108"/>
  <c r="O42" i="108"/>
  <c r="O34" i="108"/>
  <c r="P18" i="108"/>
  <c r="AB12" i="108"/>
  <c r="T12" i="108"/>
  <c r="U17" i="108"/>
  <c r="AC15" i="108"/>
  <c r="Y15" i="108"/>
  <c r="U15" i="108"/>
  <c r="AC14" i="108"/>
  <c r="U14" i="108"/>
  <c r="U11" i="108"/>
  <c r="Z38" i="105"/>
  <c r="V38" i="105"/>
  <c r="AC15" i="107"/>
  <c r="W15" i="107"/>
  <c r="U15" i="107"/>
  <c r="AC10" i="107"/>
  <c r="W10" i="107"/>
  <c r="U10" i="107"/>
  <c r="X38" i="105"/>
  <c r="O57" i="107"/>
  <c r="AE24" i="107" s="1"/>
  <c r="Y15" i="107"/>
  <c r="Z11" i="107"/>
  <c r="AC35" i="105"/>
  <c r="U38" i="105"/>
  <c r="AD21" i="107"/>
  <c r="AB21" i="107"/>
  <c r="Z21" i="107"/>
  <c r="X21" i="107"/>
  <c r="V21" i="107"/>
  <c r="T21" i="107"/>
  <c r="AD20" i="107"/>
  <c r="Z20" i="107"/>
  <c r="V20" i="107"/>
  <c r="AB19" i="107"/>
  <c r="X19" i="107"/>
  <c r="T19" i="107"/>
  <c r="AB18" i="107"/>
  <c r="X18" i="107"/>
  <c r="V18" i="107"/>
  <c r="AD17" i="107"/>
  <c r="Z17" i="107"/>
  <c r="V17" i="107"/>
  <c r="O37" i="107"/>
  <c r="P36" i="107"/>
  <c r="P35" i="107"/>
  <c r="AB16" i="107"/>
  <c r="X16" i="107"/>
  <c r="T16" i="107"/>
  <c r="O32" i="107"/>
  <c r="P31" i="107"/>
  <c r="AB15" i="107"/>
  <c r="X15" i="107"/>
  <c r="T15" i="107"/>
  <c r="P28" i="107"/>
  <c r="AD14" i="107"/>
  <c r="Z14" i="107"/>
  <c r="V14" i="107"/>
  <c r="O25" i="107"/>
  <c r="AD13" i="107"/>
  <c r="Z13" i="107"/>
  <c r="V13" i="107"/>
  <c r="O19" i="107"/>
  <c r="AB12" i="107"/>
  <c r="Z12" i="107"/>
  <c r="V12" i="107"/>
  <c r="T12" i="107"/>
  <c r="P18" i="107"/>
  <c r="O17" i="107"/>
  <c r="O15" i="107"/>
  <c r="AD11" i="107"/>
  <c r="AB11" i="107"/>
  <c r="T11" i="107"/>
  <c r="P14" i="107"/>
  <c r="AB20" i="107"/>
  <c r="X20" i="107"/>
  <c r="T20" i="107"/>
  <c r="AD19" i="107"/>
  <c r="Z19" i="107"/>
  <c r="V19" i="107"/>
  <c r="AD18" i="107"/>
  <c r="Z18" i="107"/>
  <c r="T18" i="107"/>
  <c r="AB17" i="107"/>
  <c r="X17" i="107"/>
  <c r="T17" i="107"/>
  <c r="AD16" i="107"/>
  <c r="Z16" i="107"/>
  <c r="V16" i="107"/>
  <c r="P33" i="107"/>
  <c r="O33" i="107"/>
  <c r="AD15" i="107"/>
  <c r="Z15" i="107"/>
  <c r="V15" i="107"/>
  <c r="O29" i="107"/>
  <c r="O27" i="107"/>
  <c r="AB14" i="107"/>
  <c r="X14" i="107"/>
  <c r="T14" i="107"/>
  <c r="P24" i="107"/>
  <c r="AB13" i="107"/>
  <c r="X13" i="107"/>
  <c r="P22" i="107"/>
  <c r="T13" i="107"/>
  <c r="O22" i="107"/>
  <c r="O20" i="107"/>
  <c r="AD12" i="107"/>
  <c r="X12" i="107"/>
  <c r="X11" i="107"/>
  <c r="V11" i="107"/>
  <c r="O13" i="107"/>
  <c r="O11" i="107"/>
  <c r="AB10" i="107"/>
  <c r="Z10" i="107"/>
  <c r="X10" i="107"/>
  <c r="T10" i="107"/>
  <c r="P57" i="107"/>
  <c r="AF24" i="107" s="1"/>
  <c r="P56" i="107"/>
  <c r="AF23" i="107" s="1"/>
  <c r="O56" i="107"/>
  <c r="P55" i="107"/>
  <c r="O55" i="107"/>
  <c r="AE22" i="107" s="1"/>
  <c r="AC21" i="107"/>
  <c r="AA21" i="107"/>
  <c r="Y21" i="107"/>
  <c r="W21" i="107"/>
  <c r="U21" i="107"/>
  <c r="S21" i="107"/>
  <c r="P54" i="107"/>
  <c r="O54" i="107"/>
  <c r="P53" i="107"/>
  <c r="O53" i="107"/>
  <c r="O52" i="107"/>
  <c r="P52" i="107"/>
  <c r="O51" i="107"/>
  <c r="P51" i="107"/>
  <c r="AC20" i="107"/>
  <c r="AA20" i="107"/>
  <c r="Y20" i="107"/>
  <c r="W20" i="107"/>
  <c r="U20" i="107"/>
  <c r="O50" i="107"/>
  <c r="P50" i="107"/>
  <c r="S20" i="107"/>
  <c r="P49" i="107"/>
  <c r="O49" i="107"/>
  <c r="P48" i="107"/>
  <c r="O48" i="107"/>
  <c r="P47" i="107"/>
  <c r="O47" i="107"/>
  <c r="AC19" i="107"/>
  <c r="AA19" i="107"/>
  <c r="Y19" i="107"/>
  <c r="W19" i="107"/>
  <c r="U19" i="107"/>
  <c r="S19" i="107"/>
  <c r="S36" i="107" s="1"/>
  <c r="O46" i="107"/>
  <c r="P46" i="107"/>
  <c r="P45" i="107"/>
  <c r="O45" i="107"/>
  <c r="O44" i="107"/>
  <c r="P44" i="107"/>
  <c r="O43" i="107"/>
  <c r="P43" i="107"/>
  <c r="AC18" i="107"/>
  <c r="AA18" i="107"/>
  <c r="Y18" i="107"/>
  <c r="W18" i="107"/>
  <c r="U18" i="107"/>
  <c r="O42" i="107"/>
  <c r="P42" i="107"/>
  <c r="S18" i="107"/>
  <c r="P41" i="107"/>
  <c r="O41" i="107"/>
  <c r="P40" i="107"/>
  <c r="P39" i="107"/>
  <c r="AC17" i="107"/>
  <c r="Y17" i="107"/>
  <c r="W17" i="107"/>
  <c r="U17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AA17" i="107"/>
  <c r="S17" i="107"/>
  <c r="AC16" i="107"/>
  <c r="AA16" i="107"/>
  <c r="Y16" i="107"/>
  <c r="W16" i="107"/>
  <c r="U16" i="107"/>
  <c r="AA15" i="107"/>
  <c r="S15" i="107"/>
  <c r="AC14" i="107"/>
  <c r="AA14" i="107"/>
  <c r="Y14" i="107"/>
  <c r="W14" i="107"/>
  <c r="U14" i="107"/>
  <c r="S14" i="107"/>
  <c r="AC13" i="107"/>
  <c r="AA13" i="107"/>
  <c r="Y13" i="107"/>
  <c r="W13" i="107"/>
  <c r="U13" i="107"/>
  <c r="S13" i="107"/>
  <c r="P20" i="107"/>
  <c r="P19" i="107"/>
  <c r="AC12" i="107"/>
  <c r="AA12" i="107"/>
  <c r="Y12" i="107"/>
  <c r="W12" i="107"/>
  <c r="U12" i="107"/>
  <c r="S12" i="107"/>
  <c r="P16" i="107"/>
  <c r="P15" i="107"/>
  <c r="AC11" i="107"/>
  <c r="AA11" i="107"/>
  <c r="Y11" i="107"/>
  <c r="W11" i="107"/>
  <c r="U11" i="107"/>
  <c r="S11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S16" i="107"/>
  <c r="P34" i="107"/>
  <c r="O30" i="107"/>
  <c r="Y10" i="107"/>
  <c r="AB38" i="105"/>
  <c r="T38" i="105"/>
  <c r="AD10" i="107"/>
  <c r="V10" i="107"/>
  <c r="AA10" i="107"/>
  <c r="P10" i="107"/>
  <c r="S10" i="107"/>
  <c r="O10" i="107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G106" i="111" l="1"/>
  <c r="V41" i="107"/>
  <c r="AD39" i="107"/>
  <c r="AD41" i="107"/>
  <c r="W41" i="108"/>
  <c r="Y41" i="108"/>
  <c r="V41" i="108"/>
  <c r="T41" i="107"/>
  <c r="AB41" i="108"/>
  <c r="P57" i="111"/>
  <c r="AF24" i="111" s="1"/>
  <c r="S41" i="108"/>
  <c r="AA41" i="108"/>
  <c r="X41" i="107"/>
  <c r="U41" i="107"/>
  <c r="U41" i="108"/>
  <c r="T41" i="108"/>
  <c r="O106" i="107"/>
  <c r="Y41" i="107"/>
  <c r="U36" i="107"/>
  <c r="Z41" i="107"/>
  <c r="W41" i="107"/>
  <c r="S41" i="107"/>
  <c r="AB41" i="107"/>
  <c r="AC41" i="107"/>
  <c r="AA42" i="110"/>
  <c r="Z41" i="108"/>
  <c r="AD12" i="111"/>
  <c r="P106" i="107"/>
  <c r="AF22" i="107"/>
  <c r="P106" i="108"/>
  <c r="H107" i="108" s="1"/>
  <c r="O106" i="108"/>
  <c r="H108" i="108" s="1"/>
  <c r="X41" i="108"/>
  <c r="H106" i="111"/>
  <c r="AA41" i="107"/>
  <c r="AE23" i="107"/>
  <c r="AC41" i="108"/>
  <c r="AD41" i="108"/>
  <c r="I106" i="111"/>
  <c r="C106" i="111"/>
  <c r="J106" i="111"/>
  <c r="K106" i="111"/>
  <c r="F106" i="111"/>
  <c r="N106" i="111"/>
  <c r="E106" i="111"/>
  <c r="M106" i="111"/>
  <c r="D106" i="111"/>
  <c r="L106" i="111"/>
  <c r="U39" i="107"/>
  <c r="X42" i="109"/>
  <c r="T12" i="111"/>
  <c r="T13" i="111"/>
  <c r="V22" i="93"/>
  <c r="AE24" i="98"/>
  <c r="V39" i="107"/>
  <c r="AF10" i="108"/>
  <c r="S42" i="110"/>
  <c r="T11" i="111"/>
  <c r="V17" i="111"/>
  <c r="AA12" i="111"/>
  <c r="X14" i="111"/>
  <c r="AD11" i="111"/>
  <c r="T17" i="111"/>
  <c r="AB19" i="111"/>
  <c r="AA15" i="111"/>
  <c r="O47" i="111"/>
  <c r="Z14" i="111"/>
  <c r="AD19" i="111"/>
  <c r="W11" i="111"/>
  <c r="U14" i="111"/>
  <c r="AB15" i="111"/>
  <c r="X18" i="111"/>
  <c r="T21" i="111"/>
  <c r="AA18" i="111"/>
  <c r="AD36" i="108"/>
  <c r="AB12" i="111"/>
  <c r="S18" i="111"/>
  <c r="Y14" i="111"/>
  <c r="S15" i="111"/>
  <c r="W17" i="111"/>
  <c r="W18" i="111"/>
  <c r="Y19" i="111"/>
  <c r="O52" i="111"/>
  <c r="AC20" i="111"/>
  <c r="AA21" i="111"/>
  <c r="X11" i="111"/>
  <c r="V13" i="111"/>
  <c r="AD13" i="111"/>
  <c r="V15" i="111"/>
  <c r="AD15" i="111"/>
  <c r="Z16" i="111"/>
  <c r="AD17" i="111"/>
  <c r="Z18" i="111"/>
  <c r="V19" i="111"/>
  <c r="Z20" i="111"/>
  <c r="V21" i="111"/>
  <c r="AD21" i="111"/>
  <c r="Z36" i="108"/>
  <c r="S11" i="111"/>
  <c r="AA11" i="111"/>
  <c r="S12" i="111"/>
  <c r="W12" i="111"/>
  <c r="S13" i="111"/>
  <c r="AA13" i="111"/>
  <c r="T14" i="111"/>
  <c r="AB14" i="111"/>
  <c r="X15" i="111"/>
  <c r="T15" i="111"/>
  <c r="X16" i="111"/>
  <c r="T16" i="111"/>
  <c r="AB16" i="111"/>
  <c r="X17" i="111"/>
  <c r="AB17" i="111"/>
  <c r="T18" i="111"/>
  <c r="AB18" i="111"/>
  <c r="T19" i="111"/>
  <c r="X20" i="111"/>
  <c r="T20" i="111"/>
  <c r="AB20" i="111"/>
  <c r="X21" i="111"/>
  <c r="S17" i="111"/>
  <c r="AA17" i="111"/>
  <c r="W13" i="111"/>
  <c r="AC14" i="111"/>
  <c r="X13" i="111"/>
  <c r="AB21" i="111"/>
  <c r="Z10" i="111"/>
  <c r="V39" i="108"/>
  <c r="U19" i="111"/>
  <c r="AC21" i="111"/>
  <c r="Y21" i="111"/>
  <c r="W15" i="111"/>
  <c r="AA16" i="111"/>
  <c r="O12" i="111"/>
  <c r="P26" i="111"/>
  <c r="V11" i="111"/>
  <c r="X12" i="111"/>
  <c r="Z12" i="111"/>
  <c r="P46" i="111"/>
  <c r="S10" i="111"/>
  <c r="AB36" i="108"/>
  <c r="AD37" i="108"/>
  <c r="P10" i="111"/>
  <c r="X19" i="111"/>
  <c r="W10" i="111"/>
  <c r="O22" i="111"/>
  <c r="P31" i="111"/>
  <c r="W16" i="111"/>
  <c r="V10" i="111"/>
  <c r="T10" i="111"/>
  <c r="AB10" i="111"/>
  <c r="Z11" i="111"/>
  <c r="AB11" i="111"/>
  <c r="V12" i="111"/>
  <c r="AB13" i="111"/>
  <c r="Z13" i="111"/>
  <c r="V14" i="111"/>
  <c r="AD14" i="111"/>
  <c r="Z15" i="111"/>
  <c r="V16" i="111"/>
  <c r="AD16" i="111"/>
  <c r="Z17" i="111"/>
  <c r="V18" i="111"/>
  <c r="AD18" i="111"/>
  <c r="Z19" i="111"/>
  <c r="V20" i="111"/>
  <c r="AD20" i="111"/>
  <c r="Z21" i="111"/>
  <c r="AD39" i="108"/>
  <c r="Z39" i="108"/>
  <c r="O34" i="111"/>
  <c r="P17" i="111"/>
  <c r="O21" i="111"/>
  <c r="O37" i="111"/>
  <c r="P41" i="111"/>
  <c r="O42" i="111"/>
  <c r="U20" i="111"/>
  <c r="P53" i="111"/>
  <c r="X10" i="111"/>
  <c r="T39" i="108"/>
  <c r="U10" i="111"/>
  <c r="AC10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U16" i="111"/>
  <c r="AC16" i="111"/>
  <c r="Y16" i="111"/>
  <c r="P38" i="111"/>
  <c r="P39" i="111"/>
  <c r="O40" i="111"/>
  <c r="P44" i="111"/>
  <c r="S19" i="111"/>
  <c r="AA19" i="111"/>
  <c r="P47" i="111"/>
  <c r="P50" i="111"/>
  <c r="P51" i="111"/>
  <c r="Y20" i="111"/>
  <c r="P54" i="111"/>
  <c r="O55" i="111"/>
  <c r="AE22" i="111" s="1"/>
  <c r="U21" i="111"/>
  <c r="P23" i="111"/>
  <c r="O23" i="111"/>
  <c r="Y18" i="111"/>
  <c r="O43" i="111"/>
  <c r="O49" i="111"/>
  <c r="P49" i="111"/>
  <c r="W21" i="111"/>
  <c r="P56" i="111"/>
  <c r="AF23" i="111" s="1"/>
  <c r="O10" i="111"/>
  <c r="C108" i="110"/>
  <c r="P15" i="111"/>
  <c r="O28" i="111"/>
  <c r="O35" i="111"/>
  <c r="O25" i="111"/>
  <c r="O44" i="111"/>
  <c r="O54" i="111"/>
  <c r="AD10" i="111"/>
  <c r="P36" i="111"/>
  <c r="O57" i="111"/>
  <c r="AE24" i="111" s="1"/>
  <c r="X36" i="108"/>
  <c r="V34" i="108"/>
  <c r="O11" i="111"/>
  <c r="Y10" i="111"/>
  <c r="Y41" i="111" s="1"/>
  <c r="O13" i="111"/>
  <c r="Y11" i="111"/>
  <c r="U11" i="111"/>
  <c r="AC11" i="111"/>
  <c r="O16" i="111"/>
  <c r="Y12" i="111"/>
  <c r="U12" i="111"/>
  <c r="AC12" i="111"/>
  <c r="O20" i="111"/>
  <c r="P21" i="111"/>
  <c r="Y13" i="111"/>
  <c r="U13" i="111"/>
  <c r="AC13" i="111"/>
  <c r="P24" i="111"/>
  <c r="W14" i="111"/>
  <c r="AA14" i="111"/>
  <c r="P29" i="111"/>
  <c r="O30" i="111"/>
  <c r="AC15" i="111"/>
  <c r="Y15" i="111"/>
  <c r="U15" i="111"/>
  <c r="O33" i="111"/>
  <c r="P34" i="111"/>
  <c r="P35" i="111"/>
  <c r="O36" i="111"/>
  <c r="P37" i="111"/>
  <c r="O38" i="111"/>
  <c r="AC17" i="111"/>
  <c r="Y17" i="111"/>
  <c r="U17" i="111"/>
  <c r="O41" i="111"/>
  <c r="P42" i="111"/>
  <c r="U18" i="111"/>
  <c r="AC18" i="111"/>
  <c r="P45" i="111"/>
  <c r="O46" i="111"/>
  <c r="AC19" i="111"/>
  <c r="O48" i="111"/>
  <c r="W19" i="111"/>
  <c r="O50" i="111"/>
  <c r="O51" i="111"/>
  <c r="AA20" i="111"/>
  <c r="W20" i="111"/>
  <c r="O53" i="111"/>
  <c r="P55" i="111"/>
  <c r="O56" i="111"/>
  <c r="AE23" i="111" s="1"/>
  <c r="P14" i="111"/>
  <c r="P16" i="111"/>
  <c r="O18" i="111"/>
  <c r="S14" i="111"/>
  <c r="O27" i="111"/>
  <c r="O29" i="111"/>
  <c r="S16" i="111"/>
  <c r="O39" i="111"/>
  <c r="P48" i="111"/>
  <c r="S20" i="111"/>
  <c r="P52" i="111"/>
  <c r="P12" i="111"/>
  <c r="P19" i="111"/>
  <c r="O24" i="111"/>
  <c r="O31" i="111"/>
  <c r="O45" i="111"/>
  <c r="S21" i="111"/>
  <c r="P11" i="111"/>
  <c r="P18" i="111"/>
  <c r="P22" i="111"/>
  <c r="P27" i="111"/>
  <c r="P32" i="111"/>
  <c r="P40" i="111"/>
  <c r="P43" i="111"/>
  <c r="X39" i="108"/>
  <c r="T36" i="108"/>
  <c r="AB39" i="108"/>
  <c r="V37" i="108"/>
  <c r="T34" i="108"/>
  <c r="F108" i="110"/>
  <c r="AA10" i="111"/>
  <c r="H108" i="110"/>
  <c r="N108" i="110"/>
  <c r="X34" i="108"/>
  <c r="AE39" i="110"/>
  <c r="W42" i="110"/>
  <c r="Z34" i="108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AE21" i="108"/>
  <c r="AD38" i="108"/>
  <c r="AE20" i="107"/>
  <c r="T39" i="107"/>
  <c r="AB39" i="107"/>
  <c r="Z37" i="108"/>
  <c r="Z38" i="108"/>
  <c r="AF11" i="108"/>
  <c r="AC36" i="108"/>
  <c r="Y39" i="108"/>
  <c r="AF21" i="108"/>
  <c r="AC34" i="108"/>
  <c r="AE10" i="108"/>
  <c r="AF19" i="108"/>
  <c r="U39" i="108"/>
  <c r="W36" i="108"/>
  <c r="T38" i="108"/>
  <c r="Y37" i="108"/>
  <c r="AD34" i="107"/>
  <c r="S38" i="107"/>
  <c r="AC34" i="107"/>
  <c r="V34" i="107"/>
  <c r="AD40" i="108"/>
  <c r="AA39" i="108"/>
  <c r="AA35" i="108"/>
  <c r="T35" i="108"/>
  <c r="AB35" i="108"/>
  <c r="AE12" i="108"/>
  <c r="X38" i="108"/>
  <c r="AC37" i="108"/>
  <c r="X40" i="108"/>
  <c r="AE18" i="108"/>
  <c r="S37" i="108"/>
  <c r="AE19" i="108"/>
  <c r="W39" i="108"/>
  <c r="AD38" i="107"/>
  <c r="X35" i="108"/>
  <c r="AF20" i="108"/>
  <c r="AE17" i="108"/>
  <c r="AC40" i="108"/>
  <c r="AA40" i="108"/>
  <c r="AE14" i="108"/>
  <c r="AF14" i="108"/>
  <c r="AE15" i="108"/>
  <c r="V38" i="108"/>
  <c r="AF17" i="108"/>
  <c r="S35" i="108"/>
  <c r="Y36" i="108"/>
  <c r="AC39" i="108"/>
  <c r="AE20" i="108"/>
  <c r="AE13" i="108"/>
  <c r="U36" i="108"/>
  <c r="V36" i="107"/>
  <c r="AD37" i="107"/>
  <c r="AD35" i="107"/>
  <c r="C107" i="107"/>
  <c r="V37" i="107"/>
  <c r="Y37" i="107"/>
  <c r="W34" i="107"/>
  <c r="U40" i="108"/>
  <c r="AF12" i="108"/>
  <c r="AF18" i="108"/>
  <c r="AA38" i="108"/>
  <c r="AE11" i="108"/>
  <c r="AD36" i="107"/>
  <c r="Y34" i="107"/>
  <c r="Z40" i="107"/>
  <c r="AB35" i="107"/>
  <c r="Z36" i="107"/>
  <c r="AD34" i="108"/>
  <c r="U37" i="108"/>
  <c r="AB38" i="108"/>
  <c r="AB40" i="108"/>
  <c r="S38" i="108"/>
  <c r="S40" i="108"/>
  <c r="AA34" i="108"/>
  <c r="Y40" i="108"/>
  <c r="V35" i="108"/>
  <c r="AD35" i="108"/>
  <c r="AF13" i="108"/>
  <c r="AF15" i="108"/>
  <c r="AE16" i="108"/>
  <c r="Z40" i="108"/>
  <c r="F107" i="105"/>
  <c r="AE12" i="107"/>
  <c r="AE16" i="107"/>
  <c r="AF18" i="107"/>
  <c r="S39" i="108"/>
  <c r="S36" i="108"/>
  <c r="W38" i="108"/>
  <c r="W35" i="108"/>
  <c r="V40" i="108"/>
  <c r="Z35" i="108"/>
  <c r="U34" i="108"/>
  <c r="T40" i="108"/>
  <c r="S34" i="108"/>
  <c r="AF16" i="108"/>
  <c r="AA37" i="108"/>
  <c r="AA36" i="108"/>
  <c r="AB34" i="108"/>
  <c r="AB37" i="108"/>
  <c r="W40" i="108"/>
  <c r="W37" i="108"/>
  <c r="W34" i="108"/>
  <c r="Y38" i="108"/>
  <c r="Y35" i="108"/>
  <c r="T37" i="108"/>
  <c r="X37" i="108"/>
  <c r="Y40" i="107"/>
  <c r="AE14" i="107"/>
  <c r="AE18" i="107"/>
  <c r="T38" i="107"/>
  <c r="V38" i="107"/>
  <c r="X36" i="107"/>
  <c r="U37" i="107"/>
  <c r="U38" i="108"/>
  <c r="U35" i="108"/>
  <c r="AC38" i="108"/>
  <c r="AC35" i="108"/>
  <c r="X35" i="107"/>
  <c r="T36" i="107"/>
  <c r="AB36" i="107"/>
  <c r="AC40" i="107"/>
  <c r="E107" i="105"/>
  <c r="V40" i="107"/>
  <c r="V42" i="107" s="1"/>
  <c r="Z37" i="107"/>
  <c r="AE10" i="107"/>
  <c r="AF10" i="107"/>
  <c r="AC38" i="107"/>
  <c r="D107" i="105"/>
  <c r="C107" i="105"/>
  <c r="Z34" i="107"/>
  <c r="AE15" i="107"/>
  <c r="S35" i="107"/>
  <c r="U40" i="107"/>
  <c r="AC37" i="107"/>
  <c r="U35" i="107"/>
  <c r="Y35" i="107"/>
  <c r="AC35" i="107"/>
  <c r="AE19" i="107"/>
  <c r="AE21" i="107"/>
  <c r="X40" i="107"/>
  <c r="AB40" i="107"/>
  <c r="X38" i="107"/>
  <c r="Z35" i="107"/>
  <c r="AF35" i="105"/>
  <c r="AE17" i="107"/>
  <c r="AE13" i="107"/>
  <c r="AF15" i="107"/>
  <c r="H108" i="107"/>
  <c r="T40" i="107"/>
  <c r="AE11" i="107"/>
  <c r="V35" i="107"/>
  <c r="AD40" i="107"/>
  <c r="AB38" i="107"/>
  <c r="X39" i="107"/>
  <c r="Z39" i="107"/>
  <c r="W40" i="107"/>
  <c r="D108" i="105"/>
  <c r="F108" i="105"/>
  <c r="C108" i="105"/>
  <c r="E108" i="105"/>
  <c r="U34" i="107"/>
  <c r="T35" i="107"/>
  <c r="Z38" i="107"/>
  <c r="U38" i="107"/>
  <c r="Y38" i="107"/>
  <c r="W37" i="107"/>
  <c r="AF16" i="107"/>
  <c r="AF14" i="107"/>
  <c r="W38" i="107"/>
  <c r="W35" i="107"/>
  <c r="AA35" i="107"/>
  <c r="AA38" i="107"/>
  <c r="Y39" i="107"/>
  <c r="Y36" i="107"/>
  <c r="AC39" i="107"/>
  <c r="AC36" i="107"/>
  <c r="AF19" i="107"/>
  <c r="AF21" i="107"/>
  <c r="T37" i="107"/>
  <c r="T34" i="107"/>
  <c r="AF13" i="107"/>
  <c r="AF17" i="107"/>
  <c r="W39" i="107"/>
  <c r="W36" i="107"/>
  <c r="AA36" i="107"/>
  <c r="AA39" i="107"/>
  <c r="S39" i="107"/>
  <c r="AF20" i="107"/>
  <c r="X37" i="107"/>
  <c r="X34" i="107"/>
  <c r="AB34" i="107"/>
  <c r="AB37" i="107"/>
  <c r="AF11" i="107"/>
  <c r="AF12" i="107"/>
  <c r="AA40" i="107"/>
  <c r="AA37" i="107"/>
  <c r="AA34" i="107"/>
  <c r="S37" i="107"/>
  <c r="S40" i="107"/>
  <c r="S34" i="107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AA41" i="111" l="1"/>
  <c r="AF22" i="111"/>
  <c r="AD41" i="111"/>
  <c r="AE41" i="108"/>
  <c r="X41" i="111"/>
  <c r="AA42" i="107"/>
  <c r="S42" i="108"/>
  <c r="Z42" i="108"/>
  <c r="Y42" i="107"/>
  <c r="W41" i="111"/>
  <c r="X42" i="108"/>
  <c r="AB42" i="108"/>
  <c r="AF41" i="107"/>
  <c r="AF41" i="108"/>
  <c r="AC42" i="107"/>
  <c r="T42" i="108"/>
  <c r="T42" i="107"/>
  <c r="AE41" i="107"/>
  <c r="AB41" i="111"/>
  <c r="Z41" i="111"/>
  <c r="AB42" i="107"/>
  <c r="U42" i="108"/>
  <c r="V42" i="108"/>
  <c r="AC41" i="111"/>
  <c r="T41" i="111"/>
  <c r="AD42" i="108"/>
  <c r="S42" i="107"/>
  <c r="U42" i="107"/>
  <c r="Y42" i="108"/>
  <c r="U41" i="111"/>
  <c r="V41" i="111"/>
  <c r="V42" i="111" s="1"/>
  <c r="AC42" i="108"/>
  <c r="W42" i="107"/>
  <c r="X42" i="107"/>
  <c r="W42" i="108"/>
  <c r="S41" i="111"/>
  <c r="Z42" i="107"/>
  <c r="AA42" i="108"/>
  <c r="AD42" i="107"/>
  <c r="O106" i="111"/>
  <c r="P106" i="111"/>
  <c r="AD37" i="111"/>
  <c r="X34" i="111"/>
  <c r="AD39" i="111"/>
  <c r="T34" i="111"/>
  <c r="W37" i="111"/>
  <c r="X36" i="111"/>
  <c r="Z39" i="111"/>
  <c r="AD38" i="111"/>
  <c r="V40" i="111"/>
  <c r="AA35" i="111"/>
  <c r="AF12" i="111"/>
  <c r="S34" i="111"/>
  <c r="T39" i="111"/>
  <c r="AC34" i="111"/>
  <c r="AD34" i="111"/>
  <c r="T37" i="111"/>
  <c r="AE15" i="111"/>
  <c r="AF19" i="111"/>
  <c r="AE12" i="111"/>
  <c r="AA36" i="111"/>
  <c r="AF14" i="111"/>
  <c r="AE14" i="111"/>
  <c r="AF11" i="111"/>
  <c r="AE18" i="111"/>
  <c r="Z37" i="111"/>
  <c r="T38" i="111"/>
  <c r="AF10" i="111"/>
  <c r="W36" i="111"/>
  <c r="Y40" i="111"/>
  <c r="Y42" i="111" s="1"/>
  <c r="U36" i="111"/>
  <c r="Z36" i="111"/>
  <c r="V35" i="111"/>
  <c r="AB40" i="111"/>
  <c r="X39" i="111"/>
  <c r="S37" i="111"/>
  <c r="AB36" i="111"/>
  <c r="AE20" i="111"/>
  <c r="AE10" i="111"/>
  <c r="X35" i="111"/>
  <c r="S40" i="111"/>
  <c r="Z38" i="111"/>
  <c r="AE13" i="111"/>
  <c r="V34" i="111"/>
  <c r="W35" i="111"/>
  <c r="AC35" i="111"/>
  <c r="AB38" i="111"/>
  <c r="W40" i="111"/>
  <c r="V39" i="111"/>
  <c r="AD40" i="111"/>
  <c r="AD42" i="111" s="1"/>
  <c r="X40" i="111"/>
  <c r="V38" i="111"/>
  <c r="AB39" i="111"/>
  <c r="AB37" i="111"/>
  <c r="W34" i="111"/>
  <c r="AF15" i="111"/>
  <c r="AF13" i="111"/>
  <c r="AE21" i="111"/>
  <c r="W38" i="111"/>
  <c r="X38" i="111"/>
  <c r="AF20" i="111"/>
  <c r="S36" i="111"/>
  <c r="AE11" i="111"/>
  <c r="U39" i="111"/>
  <c r="Z35" i="111"/>
  <c r="Z40" i="111"/>
  <c r="V37" i="111"/>
  <c r="T36" i="111"/>
  <c r="T40" i="111"/>
  <c r="AB35" i="111"/>
  <c r="AA38" i="111"/>
  <c r="V36" i="111"/>
  <c r="AD35" i="111"/>
  <c r="X37" i="111"/>
  <c r="AC39" i="111"/>
  <c r="Y39" i="111"/>
  <c r="U35" i="111"/>
  <c r="AD36" i="111"/>
  <c r="AE19" i="111"/>
  <c r="U40" i="111"/>
  <c r="Z34" i="111"/>
  <c r="T35" i="111"/>
  <c r="AB34" i="111"/>
  <c r="U34" i="111"/>
  <c r="AF17" i="111"/>
  <c r="AC36" i="111"/>
  <c r="Y36" i="111"/>
  <c r="U37" i="111"/>
  <c r="AA39" i="111"/>
  <c r="S39" i="111"/>
  <c r="S38" i="111"/>
  <c r="Y38" i="111"/>
  <c r="AF16" i="111"/>
  <c r="K108" i="111"/>
  <c r="N107" i="111"/>
  <c r="AF21" i="111"/>
  <c r="W39" i="111"/>
  <c r="AE17" i="111"/>
  <c r="AC38" i="111"/>
  <c r="U38" i="111"/>
  <c r="AC40" i="111"/>
  <c r="Y37" i="111"/>
  <c r="AE16" i="111"/>
  <c r="Y35" i="111"/>
  <c r="S35" i="111"/>
  <c r="AF18" i="111"/>
  <c r="Y34" i="111"/>
  <c r="AC37" i="111"/>
  <c r="AA37" i="111"/>
  <c r="AA40" i="111"/>
  <c r="AA42" i="111" s="1"/>
  <c r="AA34" i="111"/>
  <c r="M107" i="107"/>
  <c r="AF39" i="108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AE39" i="108"/>
  <c r="AE37" i="108"/>
  <c r="F108" i="108"/>
  <c r="AE36" i="108"/>
  <c r="AF36" i="108"/>
  <c r="AF34" i="108"/>
  <c r="C108" i="108"/>
  <c r="K108" i="108"/>
  <c r="N108" i="108"/>
  <c r="AF40" i="108"/>
  <c r="K108" i="107"/>
  <c r="L108" i="108"/>
  <c r="D108" i="108"/>
  <c r="I108" i="108"/>
  <c r="E108" i="108"/>
  <c r="J108" i="108"/>
  <c r="AF37" i="108"/>
  <c r="AE38" i="108"/>
  <c r="AE39" i="107"/>
  <c r="AF35" i="108"/>
  <c r="AE35" i="108"/>
  <c r="D107" i="107"/>
  <c r="G107" i="107"/>
  <c r="J107" i="107"/>
  <c r="N108" i="107"/>
  <c r="G108" i="107"/>
  <c r="D107" i="108"/>
  <c r="M107" i="108"/>
  <c r="K107" i="108"/>
  <c r="L108" i="107"/>
  <c r="AE40" i="108"/>
  <c r="AF40" i="107"/>
  <c r="F107" i="107"/>
  <c r="I107" i="107"/>
  <c r="E107" i="107"/>
  <c r="N107" i="107"/>
  <c r="C107" i="108"/>
  <c r="AE34" i="108"/>
  <c r="N107" i="108"/>
  <c r="F107" i="108"/>
  <c r="I107" i="108"/>
  <c r="E107" i="108"/>
  <c r="H107" i="107"/>
  <c r="AF38" i="108"/>
  <c r="AE37" i="107"/>
  <c r="AE35" i="107"/>
  <c r="AF34" i="107"/>
  <c r="AE40" i="107"/>
  <c r="AE38" i="107"/>
  <c r="AE36" i="107"/>
  <c r="AE34" i="107"/>
  <c r="D108" i="107"/>
  <c r="J108" i="107"/>
  <c r="I108" i="107"/>
  <c r="E108" i="107"/>
  <c r="AF37" i="107"/>
  <c r="AF35" i="107"/>
  <c r="AF38" i="107"/>
  <c r="AF36" i="107"/>
  <c r="AF39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S42" i="111" l="1"/>
  <c r="Z42" i="111"/>
  <c r="AC42" i="111"/>
  <c r="AE41" i="111"/>
  <c r="U42" i="111"/>
  <c r="AF42" i="108"/>
  <c r="AF34" i="111"/>
  <c r="AF41" i="111"/>
  <c r="AF42" i="111" s="1"/>
  <c r="AF42" i="107"/>
  <c r="X42" i="111"/>
  <c r="AB42" i="111"/>
  <c r="T42" i="111"/>
  <c r="AE42" i="107"/>
  <c r="W42" i="111"/>
  <c r="AE42" i="108"/>
  <c r="AF37" i="111"/>
  <c r="K107" i="111"/>
  <c r="E108" i="111"/>
  <c r="AE34" i="111"/>
  <c r="F108" i="111"/>
  <c r="AE39" i="111"/>
  <c r="AE37" i="111"/>
  <c r="H107" i="111"/>
  <c r="F107" i="111"/>
  <c r="E107" i="111"/>
  <c r="C107" i="111"/>
  <c r="I107" i="111"/>
  <c r="AE40" i="111"/>
  <c r="AF40" i="111"/>
  <c r="N108" i="111"/>
  <c r="H108" i="111"/>
  <c r="C108" i="111"/>
  <c r="AE35" i="111"/>
  <c r="AE36" i="111"/>
  <c r="AF36" i="111"/>
  <c r="M107" i="111"/>
  <c r="D107" i="111"/>
  <c r="L107" i="111"/>
  <c r="G107" i="111"/>
  <c r="J107" i="111"/>
  <c r="AF38" i="111"/>
  <c r="AF39" i="111"/>
  <c r="AE38" i="111"/>
  <c r="J108" i="111"/>
  <c r="I108" i="111"/>
  <c r="D108" i="111"/>
  <c r="L108" i="111"/>
  <c r="G108" i="111"/>
  <c r="AF35" i="111"/>
  <c r="AE42" i="111" l="1"/>
</calcChain>
</file>

<file path=xl/sharedStrings.xml><?xml version="1.0" encoding="utf-8"?>
<sst xmlns="http://schemas.openxmlformats.org/spreadsheetml/2006/main" count="2338" uniqueCount="184">
  <si>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</si>
  <si>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</si>
  <si>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</si>
  <si>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</si>
  <si>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</si>
  <si>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</si>
  <si>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</si>
  <si>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</si>
  <si>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</si>
  <si>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</si>
  <si>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</si>
  <si>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</si>
  <si>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</si>
  <si>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</si>
  <si>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</si>
  <si>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</si>
  <si>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</si>
  <si>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</si>
  <si>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</si>
  <si>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</si>
  <si>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</si>
  <si>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</si>
  <si>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</si>
  <si>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</si>
  <si>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</si>
  <si>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</si>
  <si>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</si>
  <si>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</si>
  <si>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</si>
  <si>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</si>
  <si>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</si>
  <si>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</si>
  <si>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</si>
  <si>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</si>
  <si>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</si>
  <si>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</si>
  <si>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</si>
  <si>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</si>
  <si>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</si>
  <si>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</si>
  <si>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</si>
  <si>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</si>
  <si>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</si>
  <si>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</si>
  <si>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</si>
  <si>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</si>
  <si>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</si>
  <si>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</si>
  <si>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</si>
  <si>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</si>
  <si>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</si>
  <si>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</si>
  <si>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</si>
  <si>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</si>
  <si>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</si>
  <si>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</si>
  <si>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</si>
  <si>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</si>
  <si>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</si>
  <si>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</si>
  <si>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</si>
  <si>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</si>
  <si>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</si>
  <si>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</si>
  <si>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</si>
  <si>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</si>
  <si>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</si>
  <si>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</si>
  <si>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</si>
  <si>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</si>
  <si>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</si>
  <si>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</si>
  <si>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</si>
  <si>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</si>
  <si>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</si>
  <si>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</si>
  <si>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</si>
  <si>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</si>
  <si>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</si>
  <si>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</si>
  <si>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</si>
  <si>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</si>
  <si>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</si>
  <si>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</si>
  <si>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</si>
  <si>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</si>
  <si>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</si>
  <si>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</si>
  <si>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</si>
  <si>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</si>
  <si>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</si>
  <si>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</si>
  <si>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</si>
  <si>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</si>
  <si>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</si>
  <si>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</si>
  <si>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</si>
  <si>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</si>
  <si>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</si>
  <si>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</si>
  <si>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</si>
  <si>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</si>
  <si>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</si>
  <si>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</si>
  <si>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</si>
  <si>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</si>
  <si>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</si>
  <si>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</si>
  <si>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</si>
  <si>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</si>
  <si>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</si>
  <si>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</si>
  <si>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</si>
  <si>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</si>
  <si>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</si>
  <si>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</si>
  <si>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</si>
  <si>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</si>
  <si>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</si>
  <si>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</si>
  <si>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</si>
  <si>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</si>
  <si>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</si>
  <si>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</si>
  <si>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</si>
  <si>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</si>
  <si>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</si>
  <si>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</si>
  <si>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</si>
  <si>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</si>
  <si>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</si>
  <si>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</si>
  <si>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</si>
  <si>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</si>
  <si>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</si>
  <si>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</si>
  <si>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</si>
  <si>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</si>
  <si>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</si>
  <si>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</si>
  <si>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</si>
  <si>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</si>
  <si>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</si>
  <si>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</si>
  <si>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</si>
  <si>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</si>
  <si>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</si>
  <si>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</si>
  <si>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</si>
  <si>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</si>
  <si>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</si>
  <si>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</si>
  <si>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</si>
  <si>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</si>
  <si>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</si>
  <si>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</si>
  <si>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</si>
  <si>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</si>
  <si>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</si>
  <si>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</si>
  <si>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</si>
  <si>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</si>
  <si>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22.07.19</t>
  </si>
  <si>
    <t>23.07.19</t>
  </si>
  <si>
    <t>24.07.19</t>
  </si>
  <si>
    <t>25.07.19</t>
  </si>
  <si>
    <t>26.07.19</t>
  </si>
  <si>
    <t>27.07.19</t>
  </si>
  <si>
    <t>28.07.19</t>
  </si>
  <si>
    <t>AVERAGE WEEK</t>
  </si>
  <si>
    <t>BUSEGA</t>
  </si>
  <si>
    <t>NATEETE</t>
  </si>
  <si>
    <t>GOD'S MERCY SUPERMARKET</t>
  </si>
  <si>
    <t>MCC - C1 - STN10 - MASAKA ROAD</t>
  </si>
  <si>
    <t>MCC - C1 - STN10- MASAKA ROAD</t>
  </si>
  <si>
    <t>MATHIAS/OPIO</t>
  </si>
  <si>
    <t>BONIFACE KASIITA</t>
  </si>
  <si>
    <t xml:space="preserve"> BONIFACE KASIITA</t>
  </si>
  <si>
    <t>MATHIAS NAKIBINGE</t>
  </si>
  <si>
    <t>NYOMBI IVAN</t>
  </si>
  <si>
    <t>BEATRACE</t>
  </si>
  <si>
    <t>IVAN/BONIFACE KASIITA</t>
  </si>
  <si>
    <t>BONIFACE/IVAN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</si>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</sst>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64" formatCode="0.0%"/>
    <numFmt numFmtId="165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1" fontId="3" fillId="0" borderId="0" applyFont="0" applyFill="0" applyBorder="0" applyAlignment="0" applyProtection="0"/>
  </cellStyleXfs>
  <cellXfs count="71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1" fontId="0" fillId="4" borderId="5" xfId="0" applyNumberFormat="1" applyFill="1" applyBorder="1" applyAlignment="1">
      <alignment horizontal="center" vertical="center"/>
    </xf>
    <xf numFmtId="1" fontId="0" fillId="4" borderId="5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  <xf numFmtId="41" fontId="0" fillId="0" borderId="0" xfId="2" applyFont="1" applyBorder="1"/>
    <xf numFmtId="41" fontId="0" fillId="0" borderId="0" xfId="0" applyNumberFormat="1"/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'22.07 NATEETE-BUSEGA'!$AE$9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'22.07 NATEETE-BUSEGA'!$R$10:$R$21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NATEETE-BUSEGA'!$AE$10:$AE$21</c:f>
              <c:numCache>
                <c:formatCode>0</c:formatCode>
                <c:ptCount val="12"/>
                <c:pt idx="0">
                  <c:v>87</c:v>
                </c:pt>
                <c:pt idx="1">
                  <c:v>426</c:v>
                </c:pt>
                <c:pt idx="2">
                  <c:v>525</c:v>
                </c:pt>
                <c:pt idx="3">
                  <c:v>554</c:v>
                </c:pt>
                <c:pt idx="4">
                  <c:v>564</c:v>
                </c:pt>
                <c:pt idx="5">
                  <c:v>426</c:v>
                </c:pt>
                <c:pt idx="6">
                  <c:v>472</c:v>
                </c:pt>
                <c:pt idx="7">
                  <c:v>499</c:v>
                </c:pt>
                <c:pt idx="8">
                  <c:v>475</c:v>
                </c:pt>
                <c:pt idx="9">
                  <c:v>512</c:v>
                </c:pt>
                <c:pt idx="10">
                  <c:v>551</c:v>
                </c:pt>
                <c:pt idx="11">
                  <c:v>692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'22.07 NATEETE-BUSEGA'!$AF$9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'22.07 NATEETE-BUSEGA'!$R$10:$R$21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NATEETE-BUSEGA'!$AF$10:$AF$21</c:f>
              <c:numCache>
                <c:formatCode>0</c:formatCode>
                <c:ptCount val="12"/>
                <c:pt idx="0">
                  <c:v>266</c:v>
                </c:pt>
                <c:pt idx="1">
                  <c:v>1269</c:v>
                </c:pt>
                <c:pt idx="2">
                  <c:v>1291</c:v>
                </c:pt>
                <c:pt idx="3">
                  <c:v>1247</c:v>
                </c:pt>
                <c:pt idx="4">
                  <c:v>1413</c:v>
                </c:pt>
                <c:pt idx="5">
                  <c:v>998</c:v>
                </c:pt>
                <c:pt idx="6">
                  <c:v>913</c:v>
                </c:pt>
                <c:pt idx="7">
                  <c:v>973</c:v>
                </c:pt>
                <c:pt idx="8">
                  <c:v>687</c:v>
                </c:pt>
                <c:pt idx="9">
                  <c:v>1282</c:v>
                </c:pt>
                <c:pt idx="10">
                  <c:v>1656</c:v>
                </c:pt>
                <c:pt idx="11">
                  <c:v>1266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5455408"/>
        <c:axId val="-145458128"/>
      </c:lineChart>
      <c:catAx>
        <c:axId val="-14545540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5458128"/>
        <c:crosses val="autoZero"/>
        <c:auto val="1"/>
        <c:lblAlgn val="ctr"/>
        <c:lblOffset val="100"/>
        <c:noMultiLvlLbl val="0"/>
      </c:catAx>
      <c:valAx>
        <c:axId val="-1454581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5455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NATEETE-BUSEGA'!$C$9:$N$9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NATEETE-BUSEGA'!$C$59:$N$59</c:f>
              <c:numCache>
                <c:formatCode>0.0%</c:formatCode>
                <c:ptCount val="12"/>
                <c:pt idx="0">
                  <c:v>0.13204132418369655</c:v>
                </c:pt>
                <c:pt idx="1">
                  <c:v>2.0511273659603348E-2</c:v>
                </c:pt>
                <c:pt idx="2">
                  <c:v>3.0616092300731469E-2</c:v>
                </c:pt>
                <c:pt idx="3">
                  <c:v>0.15624764346580197</c:v>
                </c:pt>
                <c:pt idx="4">
                  <c:v>3.2425910564814115E-3</c:v>
                </c:pt>
                <c:pt idx="5">
                  <c:v>5.4294547922479454E-3</c:v>
                </c:pt>
                <c:pt idx="6">
                  <c:v>3.5970137998642633E-2</c:v>
                </c:pt>
                <c:pt idx="7">
                  <c:v>1.9832591810572356E-2</c:v>
                </c:pt>
                <c:pt idx="8">
                  <c:v>7.0884548676570392E-3</c:v>
                </c:pt>
                <c:pt idx="9">
                  <c:v>2.4960410225473191E-2</c:v>
                </c:pt>
                <c:pt idx="10">
                  <c:v>0.5639092074504185</c:v>
                </c:pt>
                <c:pt idx="11">
                  <c:v>1.5081818867355404E-4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NATEETE-BUSEGA'!$C$9:$N$9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NATEETE-BUSEGA'!$C$60:$N$60</c:f>
              <c:numCache>
                <c:formatCode>0.00%</c:formatCode>
                <c:ptCount val="12"/>
                <c:pt idx="0">
                  <c:v>0.30278402213384059</c:v>
                </c:pt>
                <c:pt idx="1">
                  <c:v>4.7034411205256789E-2</c:v>
                </c:pt>
                <c:pt idx="2">
                  <c:v>7.0205775549022992E-2</c:v>
                </c:pt>
                <c:pt idx="3">
                  <c:v>0.35829154418122083</c:v>
                </c:pt>
                <c:pt idx="4">
                  <c:v>7.4355870655369184E-3</c:v>
                </c:pt>
                <c:pt idx="5">
                  <c:v>1.2450285319038561E-2</c:v>
                </c:pt>
                <c:pt idx="6">
                  <c:v>8.2483140238630473E-2</c:v>
                </c:pt>
                <c:pt idx="7">
                  <c:v>4.5478125540376967E-2</c:v>
                </c:pt>
                <c:pt idx="8">
                  <c:v>1.6254539166522565E-2</c:v>
                </c:pt>
                <c:pt idx="9">
                  <c:v>5.7236728341691162E-2</c:v>
                </c:pt>
                <c:pt idx="11">
                  <c:v>3.4584125886218228E-4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'22.07 BUSEGA-NATEETE'!$AE$9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'22.07 BUSEGA-NATEETE'!$R$10:$R$21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BUSEGA-NATEETE'!$AE$10:$AE$21</c:f>
              <c:numCache>
                <c:formatCode>0</c:formatCode>
                <c:ptCount val="12"/>
                <c:pt idx="0">
                  <c:v>324</c:v>
                </c:pt>
                <c:pt idx="1">
                  <c:v>576</c:v>
                </c:pt>
                <c:pt idx="2">
                  <c:v>732</c:v>
                </c:pt>
                <c:pt idx="3">
                  <c:v>745</c:v>
                </c:pt>
                <c:pt idx="4">
                  <c:v>687</c:v>
                </c:pt>
                <c:pt idx="5">
                  <c:v>674</c:v>
                </c:pt>
                <c:pt idx="6">
                  <c:v>648</c:v>
                </c:pt>
                <c:pt idx="7">
                  <c:v>558</c:v>
                </c:pt>
                <c:pt idx="8">
                  <c:v>569</c:v>
                </c:pt>
                <c:pt idx="9">
                  <c:v>516</c:v>
                </c:pt>
                <c:pt idx="10">
                  <c:v>493</c:v>
                </c:pt>
                <c:pt idx="11">
                  <c:v>520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'22.07 BUSEGA-NATEETE'!$AF$9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'22.07 BUSEGA-NATEETE'!$R$10:$R$21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BUSEGA-NATEETE'!$AF$10:$AF$21</c:f>
              <c:numCache>
                <c:formatCode>0</c:formatCode>
                <c:ptCount val="12"/>
                <c:pt idx="0">
                  <c:v>779</c:v>
                </c:pt>
                <c:pt idx="1">
                  <c:v>1806</c:v>
                </c:pt>
                <c:pt idx="2">
                  <c:v>1787</c:v>
                </c:pt>
                <c:pt idx="3">
                  <c:v>1820</c:v>
                </c:pt>
                <c:pt idx="4">
                  <c:v>1692</c:v>
                </c:pt>
                <c:pt idx="5">
                  <c:v>1484</c:v>
                </c:pt>
                <c:pt idx="6">
                  <c:v>1423</c:v>
                </c:pt>
                <c:pt idx="7">
                  <c:v>1183</c:v>
                </c:pt>
                <c:pt idx="8">
                  <c:v>1114</c:v>
                </c:pt>
                <c:pt idx="9">
                  <c:v>1211</c:v>
                </c:pt>
                <c:pt idx="10">
                  <c:v>1373</c:v>
                </c:pt>
                <c:pt idx="11">
                  <c:v>1705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5465200"/>
        <c:axId val="-145459216"/>
      </c:lineChart>
      <c:catAx>
        <c:axId val="-14546520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5459216"/>
        <c:crosses val="autoZero"/>
        <c:auto val="1"/>
        <c:lblAlgn val="ctr"/>
        <c:lblOffset val="100"/>
        <c:noMultiLvlLbl val="0"/>
      </c:catAx>
      <c:valAx>
        <c:axId val="-1454592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5465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BUSEGA-NATEETE'!$C$9:$N$9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BUSEGA-NATEETE'!$C$59:$N$59</c:f>
              <c:numCache>
                <c:formatCode>0.0%</c:formatCode>
                <c:ptCount val="12"/>
                <c:pt idx="0">
                  <c:v>0.16285895148759855</c:v>
                </c:pt>
                <c:pt idx="1">
                  <c:v>1.5537779823905163E-2</c:v>
                </c:pt>
                <c:pt idx="2">
                  <c:v>2.232836508027853E-2</c:v>
                </c:pt>
                <c:pt idx="3">
                  <c:v>0.14559475168325947</c:v>
                </c:pt>
                <c:pt idx="4">
                  <c:v>3.798123956954595E-3</c:v>
                </c:pt>
                <c:pt idx="5">
                  <c:v>4.1434079530413767E-3</c:v>
                </c:pt>
                <c:pt idx="6">
                  <c:v>2.6414225700638776E-2</c:v>
                </c:pt>
                <c:pt idx="7">
                  <c:v>1.507740116245612E-2</c:v>
                </c:pt>
                <c:pt idx="8">
                  <c:v>4.8339759452149392E-3</c:v>
                </c:pt>
                <c:pt idx="9">
                  <c:v>4.6613339471715488E-3</c:v>
                </c:pt>
                <c:pt idx="10">
                  <c:v>0.59475168325948091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'22.07 BUSEGA-NATEETE'!$S$9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'22.07 BUSEGA-NATEETE'!$R$10:$R$21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BUSEGA-NATEETE'!$S$10:$S$21</c:f>
              <c:numCache>
                <c:formatCode>0</c:formatCode>
                <c:ptCount val="12"/>
                <c:pt idx="0">
                  <c:v>150</c:v>
                </c:pt>
                <c:pt idx="1">
                  <c:v>259</c:v>
                </c:pt>
                <c:pt idx="2">
                  <c:v>335</c:v>
                </c:pt>
                <c:pt idx="3">
                  <c:v>350</c:v>
                </c:pt>
                <c:pt idx="4">
                  <c:v>293</c:v>
                </c:pt>
                <c:pt idx="5">
                  <c:v>273</c:v>
                </c:pt>
                <c:pt idx="6">
                  <c:v>236</c:v>
                </c:pt>
                <c:pt idx="7">
                  <c:v>209</c:v>
                </c:pt>
                <c:pt idx="8">
                  <c:v>207</c:v>
                </c:pt>
                <c:pt idx="9">
                  <c:v>172</c:v>
                </c:pt>
                <c:pt idx="10">
                  <c:v>170</c:v>
                </c:pt>
                <c:pt idx="11">
                  <c:v>176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'22.07 BUSEGA-NATEETE'!$T$9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'22.07 BUSEGA-NATEETE'!$R$10:$R$21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BUSEGA-NATEETE'!$T$10:$T$21</c:f>
              <c:numCache>
                <c:formatCode>0</c:formatCode>
                <c:ptCount val="12"/>
                <c:pt idx="0">
                  <c:v>11</c:v>
                </c:pt>
                <c:pt idx="1">
                  <c:v>34</c:v>
                </c:pt>
                <c:pt idx="2">
                  <c:v>28</c:v>
                </c:pt>
                <c:pt idx="3">
                  <c:v>24</c:v>
                </c:pt>
                <c:pt idx="4">
                  <c:v>33</c:v>
                </c:pt>
                <c:pt idx="5">
                  <c:v>27</c:v>
                </c:pt>
                <c:pt idx="6">
                  <c:v>21</c:v>
                </c:pt>
                <c:pt idx="7">
                  <c:v>21</c:v>
                </c:pt>
                <c:pt idx="8">
                  <c:v>23</c:v>
                </c:pt>
                <c:pt idx="9">
                  <c:v>14</c:v>
                </c:pt>
                <c:pt idx="10">
                  <c:v>14</c:v>
                </c:pt>
                <c:pt idx="11">
                  <c:v>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'22.07 BUSEGA-NATEETE'!$U$9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'22.07 BUSEGA-NATEETE'!$U$10:$U$21</c:f>
              <c:numCache>
                <c:formatCode>0</c:formatCode>
                <c:ptCount val="12"/>
                <c:pt idx="0">
                  <c:v>16</c:v>
                </c:pt>
                <c:pt idx="1">
                  <c:v>22</c:v>
                </c:pt>
                <c:pt idx="2">
                  <c:v>21</c:v>
                </c:pt>
                <c:pt idx="3">
                  <c:v>29</c:v>
                </c:pt>
                <c:pt idx="4">
                  <c:v>46</c:v>
                </c:pt>
                <c:pt idx="5">
                  <c:v>43</c:v>
                </c:pt>
                <c:pt idx="6">
                  <c:v>40</c:v>
                </c:pt>
                <c:pt idx="7">
                  <c:v>36</c:v>
                </c:pt>
                <c:pt idx="8">
                  <c:v>43</c:v>
                </c:pt>
                <c:pt idx="9">
                  <c:v>28</c:v>
                </c:pt>
                <c:pt idx="10">
                  <c:v>29</c:v>
                </c:pt>
                <c:pt idx="1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'22.07 BUSEGA-NATEETE'!$V$9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'22.07 BUSEGA-NATEETE'!$V$10:$V$21</c:f>
              <c:numCache>
                <c:formatCode>0</c:formatCode>
                <c:ptCount val="12"/>
                <c:pt idx="0">
                  <c:v>115</c:v>
                </c:pt>
                <c:pt idx="1">
                  <c:v>198</c:v>
                </c:pt>
                <c:pt idx="2">
                  <c:v>258</c:v>
                </c:pt>
                <c:pt idx="3">
                  <c:v>263</c:v>
                </c:pt>
                <c:pt idx="4">
                  <c:v>222</c:v>
                </c:pt>
                <c:pt idx="5">
                  <c:v>235</c:v>
                </c:pt>
                <c:pt idx="6">
                  <c:v>258</c:v>
                </c:pt>
                <c:pt idx="7">
                  <c:v>197</c:v>
                </c:pt>
                <c:pt idx="8">
                  <c:v>197</c:v>
                </c:pt>
                <c:pt idx="9">
                  <c:v>183</c:v>
                </c:pt>
                <c:pt idx="10">
                  <c:v>196</c:v>
                </c:pt>
                <c:pt idx="11">
                  <c:v>208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'22.07 BUSEGA-NATEETE'!$W$9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'22.07 BUSEGA-NATEETE'!$W$10:$W$21</c:f>
              <c:numCache>
                <c:formatCode>0</c:formatCode>
                <c:ptCount val="12"/>
                <c:pt idx="0">
                  <c:v>10</c:v>
                </c:pt>
                <c:pt idx="1">
                  <c:v>8</c:v>
                </c:pt>
                <c:pt idx="2">
                  <c:v>5</c:v>
                </c:pt>
                <c:pt idx="3">
                  <c:v>3</c:v>
                </c:pt>
                <c:pt idx="4">
                  <c:v>2</c:v>
                </c:pt>
                <c:pt idx="5">
                  <c:v>5</c:v>
                </c:pt>
                <c:pt idx="6">
                  <c:v>2</c:v>
                </c:pt>
                <c:pt idx="7">
                  <c:v>5</c:v>
                </c:pt>
                <c:pt idx="8">
                  <c:v>6</c:v>
                </c:pt>
                <c:pt idx="9">
                  <c:v>6</c:v>
                </c:pt>
                <c:pt idx="10">
                  <c:v>5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'22.07 BUSEGA-NATEETE'!$X$9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'22.07 BUSEGA-NATEETE'!$X$10:$X$21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3</c:v>
                </c:pt>
                <c:pt idx="5">
                  <c:v>6</c:v>
                </c:pt>
                <c:pt idx="6">
                  <c:v>8</c:v>
                </c:pt>
                <c:pt idx="7">
                  <c:v>12</c:v>
                </c:pt>
                <c:pt idx="8">
                  <c:v>8</c:v>
                </c:pt>
                <c:pt idx="9">
                  <c:v>7</c:v>
                </c:pt>
                <c:pt idx="10">
                  <c:v>9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'22.07 BUSEGA-NATEETE'!$Y$9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BUSEGA-NATEETE'!$Y$10:$Y$21</c:f>
              <c:numCache>
                <c:formatCode>0</c:formatCode>
                <c:ptCount val="12"/>
                <c:pt idx="0">
                  <c:v>13</c:v>
                </c:pt>
                <c:pt idx="1">
                  <c:v>33</c:v>
                </c:pt>
                <c:pt idx="2">
                  <c:v>47</c:v>
                </c:pt>
                <c:pt idx="3">
                  <c:v>31</c:v>
                </c:pt>
                <c:pt idx="4">
                  <c:v>43</c:v>
                </c:pt>
                <c:pt idx="5">
                  <c:v>46</c:v>
                </c:pt>
                <c:pt idx="6">
                  <c:v>36</c:v>
                </c:pt>
                <c:pt idx="7">
                  <c:v>39</c:v>
                </c:pt>
                <c:pt idx="8">
                  <c:v>40</c:v>
                </c:pt>
                <c:pt idx="9">
                  <c:v>57</c:v>
                </c:pt>
                <c:pt idx="10">
                  <c:v>41</c:v>
                </c:pt>
                <c:pt idx="11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'22.07 BUSEGA-NATEETE'!$Z$9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BUSEGA-NATEETE'!$Z$10:$Z$21</c:f>
              <c:numCache>
                <c:formatCode>0</c:formatCode>
                <c:ptCount val="12"/>
                <c:pt idx="0">
                  <c:v>3</c:v>
                </c:pt>
                <c:pt idx="1">
                  <c:v>16</c:v>
                </c:pt>
                <c:pt idx="2">
                  <c:v>28</c:v>
                </c:pt>
                <c:pt idx="3">
                  <c:v>26</c:v>
                </c:pt>
                <c:pt idx="4">
                  <c:v>22</c:v>
                </c:pt>
                <c:pt idx="5">
                  <c:v>21</c:v>
                </c:pt>
                <c:pt idx="6">
                  <c:v>22</c:v>
                </c:pt>
                <c:pt idx="7">
                  <c:v>29</c:v>
                </c:pt>
                <c:pt idx="8">
                  <c:v>27</c:v>
                </c:pt>
                <c:pt idx="9">
                  <c:v>29</c:v>
                </c:pt>
                <c:pt idx="10">
                  <c:v>18</c:v>
                </c:pt>
                <c:pt idx="11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'22.07 BUSEGA-NATEETE'!$AA$9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BUSEGA-NATEETE'!$AA$10:$AA$21</c:f>
              <c:numCache>
                <c:formatCode>0</c:formatCode>
                <c:ptCount val="12"/>
                <c:pt idx="0">
                  <c:v>3</c:v>
                </c:pt>
                <c:pt idx="1">
                  <c:v>5</c:v>
                </c:pt>
                <c:pt idx="2">
                  <c:v>6</c:v>
                </c:pt>
                <c:pt idx="3">
                  <c:v>3</c:v>
                </c:pt>
                <c:pt idx="4">
                  <c:v>10</c:v>
                </c:pt>
                <c:pt idx="5">
                  <c:v>6</c:v>
                </c:pt>
                <c:pt idx="6">
                  <c:v>14</c:v>
                </c:pt>
                <c:pt idx="7">
                  <c:v>6</c:v>
                </c:pt>
                <c:pt idx="8">
                  <c:v>9</c:v>
                </c:pt>
                <c:pt idx="9">
                  <c:v>12</c:v>
                </c:pt>
                <c:pt idx="10">
                  <c:v>6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'22.07 BUSEGA-NATEETE'!$AB$9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BUSEGA-NATEETE'!$AB$10:$AB$21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2</c:v>
                </c:pt>
                <c:pt idx="3">
                  <c:v>12</c:v>
                </c:pt>
                <c:pt idx="4">
                  <c:v>13</c:v>
                </c:pt>
                <c:pt idx="5">
                  <c:v>12</c:v>
                </c:pt>
                <c:pt idx="6">
                  <c:v>11</c:v>
                </c:pt>
                <c:pt idx="7">
                  <c:v>4</c:v>
                </c:pt>
                <c:pt idx="8">
                  <c:v>9</c:v>
                </c:pt>
                <c:pt idx="9">
                  <c:v>8</c:v>
                </c:pt>
                <c:pt idx="10">
                  <c:v>5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'22.07 BUSEGA-NATEETE'!$AC$9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BUSEGA-NATEETE'!$AC$10:$AC$21</c:f>
              <c:numCache>
                <c:formatCode>0</c:formatCode>
                <c:ptCount val="12"/>
                <c:pt idx="0">
                  <c:v>455</c:v>
                </c:pt>
                <c:pt idx="1">
                  <c:v>1230</c:v>
                </c:pt>
                <c:pt idx="2">
                  <c:v>1055</c:v>
                </c:pt>
                <c:pt idx="3">
                  <c:v>1075</c:v>
                </c:pt>
                <c:pt idx="4">
                  <c:v>1005</c:v>
                </c:pt>
                <c:pt idx="5">
                  <c:v>810</c:v>
                </c:pt>
                <c:pt idx="6">
                  <c:v>775</c:v>
                </c:pt>
                <c:pt idx="7">
                  <c:v>625</c:v>
                </c:pt>
                <c:pt idx="8">
                  <c:v>545</c:v>
                </c:pt>
                <c:pt idx="9">
                  <c:v>695</c:v>
                </c:pt>
                <c:pt idx="10">
                  <c:v>880</c:v>
                </c:pt>
                <c:pt idx="11">
                  <c:v>1185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'22.07 BUSEGA-NATEETE'!$AD$9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BUSEGA-NATEETE'!$AD$10:$AD$21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5464656"/>
        <c:axId val="-145458672"/>
      </c:lineChart>
      <c:catAx>
        <c:axId val="-1454646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5458672"/>
        <c:crosses val="autoZero"/>
        <c:auto val="1"/>
        <c:lblAlgn val="ctr"/>
        <c:lblOffset val="100"/>
        <c:noMultiLvlLbl val="0"/>
      </c:catAx>
      <c:valAx>
        <c:axId val="-14545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5464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BUSEGA-NATEETE'!$C$9:$N$9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BUSEGA-NATEETE'!$C$60:$N$60</c:f>
              <c:numCache>
                <c:formatCode>0.00%</c:formatCode>
                <c:ptCount val="12"/>
                <c:pt idx="0">
                  <c:v>0.40187446748082933</c:v>
                </c:pt>
                <c:pt idx="1">
                  <c:v>3.8341380289690426E-2</c:v>
                </c:pt>
                <c:pt idx="2">
                  <c:v>5.5097983527406989E-2</c:v>
                </c:pt>
                <c:pt idx="3">
                  <c:v>0.3592729338256177</c:v>
                </c:pt>
                <c:pt idx="4">
                  <c:v>9.3723374041465492E-3</c:v>
                </c:pt>
                <c:pt idx="5">
                  <c:v>1.0224368077250781E-2</c:v>
                </c:pt>
                <c:pt idx="6">
                  <c:v>6.5180346492473729E-2</c:v>
                </c:pt>
                <c:pt idx="7">
                  <c:v>3.7205339392218123E-2</c:v>
                </c:pt>
                <c:pt idx="8">
                  <c:v>1.1928429423459244E-2</c:v>
                </c:pt>
                <c:pt idx="9">
                  <c:v>1.1502414086907128E-2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NATEETE-BUSEGA'!$AE$9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'23.07 NATEETE-BUSEGA'!$R$10:$R$21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NATEETE-BUSEGA'!$AE$10:$AE$21</c:f>
              <c:numCache>
                <c:formatCode>0</c:formatCode>
                <c:ptCount val="12"/>
                <c:pt idx="0">
                  <c:v>687</c:v>
                </c:pt>
                <c:pt idx="1">
                  <c:v>697</c:v>
                </c:pt>
                <c:pt idx="2">
                  <c:v>1011</c:v>
                </c:pt>
                <c:pt idx="3">
                  <c:v>1054</c:v>
                </c:pt>
                <c:pt idx="4">
                  <c:v>953</c:v>
                </c:pt>
                <c:pt idx="5">
                  <c:v>542</c:v>
                </c:pt>
                <c:pt idx="6">
                  <c:v>586</c:v>
                </c:pt>
                <c:pt idx="7">
                  <c:v>762</c:v>
                </c:pt>
                <c:pt idx="8">
                  <c:v>756</c:v>
                </c:pt>
                <c:pt idx="9">
                  <c:v>702</c:v>
                </c:pt>
                <c:pt idx="10">
                  <c:v>591</c:v>
                </c:pt>
                <c:pt idx="11">
                  <c:v>575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'23.07 NATEETE-BUSEGA'!$AF$9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'23.07 NATEETE-BUSEGA'!$R$10:$R$21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NATEETE-BUSEGA'!$AF$10:$AF$21</c:f>
              <c:numCache>
                <c:formatCode>0</c:formatCode>
                <c:ptCount val="12"/>
                <c:pt idx="0">
                  <c:v>1484</c:v>
                </c:pt>
                <c:pt idx="1">
                  <c:v>1867</c:v>
                </c:pt>
                <c:pt idx="2">
                  <c:v>2103</c:v>
                </c:pt>
                <c:pt idx="3">
                  <c:v>1962</c:v>
                </c:pt>
                <c:pt idx="4">
                  <c:v>1942</c:v>
                </c:pt>
                <c:pt idx="5">
                  <c:v>1378</c:v>
                </c:pt>
                <c:pt idx="6">
                  <c:v>1655</c:v>
                </c:pt>
                <c:pt idx="7">
                  <c:v>1496</c:v>
                </c:pt>
                <c:pt idx="8">
                  <c:v>1429</c:v>
                </c:pt>
                <c:pt idx="9">
                  <c:v>1557</c:v>
                </c:pt>
                <c:pt idx="10">
                  <c:v>1596</c:v>
                </c:pt>
                <c:pt idx="11">
                  <c:v>1550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5461936"/>
        <c:axId val="-145460848"/>
      </c:lineChart>
      <c:catAx>
        <c:axId val="-1454619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5460848"/>
        <c:crosses val="autoZero"/>
        <c:auto val="1"/>
        <c:lblAlgn val="ctr"/>
        <c:lblOffset val="100"/>
        <c:noMultiLvlLbl val="0"/>
      </c:catAx>
      <c:valAx>
        <c:axId val="-1454608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5461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NATEETE-BUSEGA'!$C$9:$N$9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NATEETE-BUSEGA'!$C$59:$N$59</c:f>
              <c:numCache>
                <c:formatCode>0.0%</c:formatCode>
                <c:ptCount val="12"/>
                <c:pt idx="0">
                  <c:v>0.16304510714820919</c:v>
                </c:pt>
                <c:pt idx="1">
                  <c:v>1.9881112942704431E-2</c:v>
                </c:pt>
                <c:pt idx="2">
                  <c:v>2.2378740196813029E-2</c:v>
                </c:pt>
                <c:pt idx="3">
                  <c:v>0.18112792846795545</c:v>
                </c:pt>
                <c:pt idx="4">
                  <c:v>2.6474848893551129E-3</c:v>
                </c:pt>
                <c:pt idx="5">
                  <c:v>3.4467256106698635E-3</c:v>
                </c:pt>
                <c:pt idx="6">
                  <c:v>2.4426794545182078E-2</c:v>
                </c:pt>
                <c:pt idx="7">
                  <c:v>1.5635146610719818E-2</c:v>
                </c:pt>
                <c:pt idx="8">
                  <c:v>5.5946850492032572E-3</c:v>
                </c:pt>
                <c:pt idx="9">
                  <c:v>7.1432139467505866E-3</c:v>
                </c:pt>
                <c:pt idx="10">
                  <c:v>0.55462310804735504</c:v>
                </c:pt>
                <c:pt idx="11">
                  <c:v>4.9952545082171936E-5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NATEETE-BUSEGA'!$S$9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'23.07 NATEETE-BUSEGA'!$R$10:$R$21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NATEETE-BUSEGA'!$S$10:$S$21</c:f>
              <c:numCache>
                <c:formatCode>0</c:formatCode>
                <c:ptCount val="12"/>
                <c:pt idx="0">
                  <c:v>216</c:v>
                </c:pt>
                <c:pt idx="1">
                  <c:v>248</c:v>
                </c:pt>
                <c:pt idx="2">
                  <c:v>358</c:v>
                </c:pt>
                <c:pt idx="3">
                  <c:v>368</c:v>
                </c:pt>
                <c:pt idx="4">
                  <c:v>382</c:v>
                </c:pt>
                <c:pt idx="5">
                  <c:v>170</c:v>
                </c:pt>
                <c:pt idx="6">
                  <c:v>193</c:v>
                </c:pt>
                <c:pt idx="7">
                  <c:v>262</c:v>
                </c:pt>
                <c:pt idx="8">
                  <c:v>308</c:v>
                </c:pt>
                <c:pt idx="9">
                  <c:v>246</c:v>
                </c:pt>
                <c:pt idx="10">
                  <c:v>264</c:v>
                </c:pt>
                <c:pt idx="11">
                  <c:v>249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'23.07 NATEETE-BUSEGA'!$T$9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'23.07 NATEETE-BUSEGA'!$R$10:$R$21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NATEETE-BUSEGA'!$T$10:$T$21</c:f>
              <c:numCache>
                <c:formatCode>0</c:formatCode>
                <c:ptCount val="12"/>
                <c:pt idx="0">
                  <c:v>31</c:v>
                </c:pt>
                <c:pt idx="1">
                  <c:v>60</c:v>
                </c:pt>
                <c:pt idx="2">
                  <c:v>47</c:v>
                </c:pt>
                <c:pt idx="3">
                  <c:v>49</c:v>
                </c:pt>
                <c:pt idx="4">
                  <c:v>17</c:v>
                </c:pt>
                <c:pt idx="5">
                  <c:v>24</c:v>
                </c:pt>
                <c:pt idx="6">
                  <c:v>29</c:v>
                </c:pt>
                <c:pt idx="7">
                  <c:v>19</c:v>
                </c:pt>
                <c:pt idx="8">
                  <c:v>23</c:v>
                </c:pt>
                <c:pt idx="9">
                  <c:v>40</c:v>
                </c:pt>
                <c:pt idx="10">
                  <c:v>24</c:v>
                </c:pt>
                <c:pt idx="11">
                  <c:v>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'23.07 NATEETE-BUSEGA'!$U$9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'23.07 NATEETE-BUSEGA'!$U$10:$U$21</c:f>
              <c:numCache>
                <c:formatCode>0</c:formatCode>
                <c:ptCount val="12"/>
                <c:pt idx="0">
                  <c:v>26</c:v>
                </c:pt>
                <c:pt idx="1">
                  <c:v>50</c:v>
                </c:pt>
                <c:pt idx="2">
                  <c:v>20</c:v>
                </c:pt>
                <c:pt idx="3">
                  <c:v>70</c:v>
                </c:pt>
                <c:pt idx="4">
                  <c:v>29</c:v>
                </c:pt>
                <c:pt idx="5">
                  <c:v>20</c:v>
                </c:pt>
                <c:pt idx="6">
                  <c:v>39</c:v>
                </c:pt>
                <c:pt idx="7">
                  <c:v>42</c:v>
                </c:pt>
                <c:pt idx="8">
                  <c:v>36</c:v>
                </c:pt>
                <c:pt idx="9">
                  <c:v>51</c:v>
                </c:pt>
                <c:pt idx="10">
                  <c:v>31</c:v>
                </c:pt>
                <c:pt idx="1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'23.07 NATEETE-BUSEGA'!$V$9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'23.07 NATEETE-BUSEGA'!$V$10:$V$21</c:f>
              <c:numCache>
                <c:formatCode>0</c:formatCode>
                <c:ptCount val="12"/>
                <c:pt idx="0">
                  <c:v>337</c:v>
                </c:pt>
                <c:pt idx="1">
                  <c:v>287</c:v>
                </c:pt>
                <c:pt idx="2">
                  <c:v>527</c:v>
                </c:pt>
                <c:pt idx="3">
                  <c:v>460</c:v>
                </c:pt>
                <c:pt idx="4">
                  <c:v>403</c:v>
                </c:pt>
                <c:pt idx="5">
                  <c:v>216</c:v>
                </c:pt>
                <c:pt idx="6">
                  <c:v>226</c:v>
                </c:pt>
                <c:pt idx="7">
                  <c:v>298</c:v>
                </c:pt>
                <c:pt idx="8">
                  <c:v>267</c:v>
                </c:pt>
                <c:pt idx="9">
                  <c:v>247</c:v>
                </c:pt>
                <c:pt idx="10">
                  <c:v>178</c:v>
                </c:pt>
                <c:pt idx="11">
                  <c:v>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'23.07 NATEETE-BUSEGA'!$W$9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'23.07 NATEETE-BUSEGA'!$W$10:$W$21</c:f>
              <c:numCache>
                <c:formatCode>0</c:formatCode>
                <c:ptCount val="12"/>
                <c:pt idx="0">
                  <c:v>7</c:v>
                </c:pt>
                <c:pt idx="1">
                  <c:v>6</c:v>
                </c:pt>
                <c:pt idx="2">
                  <c:v>4</c:v>
                </c:pt>
                <c:pt idx="3">
                  <c:v>6</c:v>
                </c:pt>
                <c:pt idx="4">
                  <c:v>3</c:v>
                </c:pt>
                <c:pt idx="5">
                  <c:v>5</c:v>
                </c:pt>
                <c:pt idx="6">
                  <c:v>5</c:v>
                </c:pt>
                <c:pt idx="7">
                  <c:v>2</c:v>
                </c:pt>
                <c:pt idx="8">
                  <c:v>4</c:v>
                </c:pt>
                <c:pt idx="9">
                  <c:v>5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'23.07 NATEETE-BUSEGA'!$X$9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'23.07 NATEETE-BUSEGA'!$X$10:$X$21</c:f>
              <c:numCache>
                <c:formatCode>0</c:formatCode>
                <c:ptCount val="12"/>
                <c:pt idx="0">
                  <c:v>8</c:v>
                </c:pt>
                <c:pt idx="1">
                  <c:v>5</c:v>
                </c:pt>
                <c:pt idx="2">
                  <c:v>7</c:v>
                </c:pt>
                <c:pt idx="3">
                  <c:v>6</c:v>
                </c:pt>
                <c:pt idx="4">
                  <c:v>7</c:v>
                </c:pt>
                <c:pt idx="5">
                  <c:v>9</c:v>
                </c:pt>
                <c:pt idx="6">
                  <c:v>4</c:v>
                </c:pt>
                <c:pt idx="7">
                  <c:v>5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'23.07 NATEETE-BUSEGA'!$Y$9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NATEETE-BUSEGA'!$Y$10:$Y$21</c:f>
              <c:numCache>
                <c:formatCode>0</c:formatCode>
                <c:ptCount val="12"/>
                <c:pt idx="0">
                  <c:v>26</c:v>
                </c:pt>
                <c:pt idx="1">
                  <c:v>20</c:v>
                </c:pt>
                <c:pt idx="2">
                  <c:v>22</c:v>
                </c:pt>
                <c:pt idx="3">
                  <c:v>50</c:v>
                </c:pt>
                <c:pt idx="4">
                  <c:v>57</c:v>
                </c:pt>
                <c:pt idx="5">
                  <c:v>36</c:v>
                </c:pt>
                <c:pt idx="6">
                  <c:v>47</c:v>
                </c:pt>
                <c:pt idx="7">
                  <c:v>68</c:v>
                </c:pt>
                <c:pt idx="8">
                  <c:v>54</c:v>
                </c:pt>
                <c:pt idx="9">
                  <c:v>49</c:v>
                </c:pt>
                <c:pt idx="10">
                  <c:v>31</c:v>
                </c:pt>
                <c:pt idx="11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'23.07 NATEETE-BUSEGA'!$Z$9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NATEETE-BUSEGA'!$Z$10:$Z$21</c:f>
              <c:numCache>
                <c:formatCode>0</c:formatCode>
                <c:ptCount val="12"/>
                <c:pt idx="0">
                  <c:v>19</c:v>
                </c:pt>
                <c:pt idx="1">
                  <c:v>16</c:v>
                </c:pt>
                <c:pt idx="2">
                  <c:v>14</c:v>
                </c:pt>
                <c:pt idx="3">
                  <c:v>20</c:v>
                </c:pt>
                <c:pt idx="4">
                  <c:v>25</c:v>
                </c:pt>
                <c:pt idx="5">
                  <c:v>38</c:v>
                </c:pt>
                <c:pt idx="6">
                  <c:v>24</c:v>
                </c:pt>
                <c:pt idx="7">
                  <c:v>34</c:v>
                </c:pt>
                <c:pt idx="8">
                  <c:v>31</c:v>
                </c:pt>
                <c:pt idx="9">
                  <c:v>30</c:v>
                </c:pt>
                <c:pt idx="10">
                  <c:v>34</c:v>
                </c:pt>
                <c:pt idx="1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'23.07 NATEETE-BUSEGA'!$AA$9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NATEETE-BUSEGA'!$AA$10:$AA$21</c:f>
              <c:numCache>
                <c:formatCode>0</c:formatCode>
                <c:ptCount val="12"/>
                <c:pt idx="0">
                  <c:v>6</c:v>
                </c:pt>
                <c:pt idx="1">
                  <c:v>3</c:v>
                </c:pt>
                <c:pt idx="2">
                  <c:v>5</c:v>
                </c:pt>
                <c:pt idx="3">
                  <c:v>11</c:v>
                </c:pt>
                <c:pt idx="4">
                  <c:v>11</c:v>
                </c:pt>
                <c:pt idx="5">
                  <c:v>10</c:v>
                </c:pt>
                <c:pt idx="6">
                  <c:v>11</c:v>
                </c:pt>
                <c:pt idx="7">
                  <c:v>17</c:v>
                </c:pt>
                <c:pt idx="8">
                  <c:v>9</c:v>
                </c:pt>
                <c:pt idx="9">
                  <c:v>15</c:v>
                </c:pt>
                <c:pt idx="10">
                  <c:v>7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'23.07 NATEETE-BUSEGA'!$AB$9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NATEETE-BUSEGA'!$AB$10:$AB$21</c:f>
              <c:numCache>
                <c:formatCode>0</c:formatCode>
                <c:ptCount val="12"/>
                <c:pt idx="0">
                  <c:v>11</c:v>
                </c:pt>
                <c:pt idx="1">
                  <c:v>2</c:v>
                </c:pt>
                <c:pt idx="2">
                  <c:v>7</c:v>
                </c:pt>
                <c:pt idx="3">
                  <c:v>14</c:v>
                </c:pt>
                <c:pt idx="4">
                  <c:v>19</c:v>
                </c:pt>
                <c:pt idx="5">
                  <c:v>14</c:v>
                </c:pt>
                <c:pt idx="6">
                  <c:v>8</c:v>
                </c:pt>
                <c:pt idx="7">
                  <c:v>14</c:v>
                </c:pt>
                <c:pt idx="8">
                  <c:v>20</c:v>
                </c:pt>
                <c:pt idx="9">
                  <c:v>14</c:v>
                </c:pt>
                <c:pt idx="10">
                  <c:v>13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'23.07 NATEETE-BUSEGA'!$AC$9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NATEETE-BUSEGA'!$AC$10:$AC$21</c:f>
              <c:numCache>
                <c:formatCode>0</c:formatCode>
                <c:ptCount val="12"/>
                <c:pt idx="0">
                  <c:v>797</c:v>
                </c:pt>
                <c:pt idx="1">
                  <c:v>1170</c:v>
                </c:pt>
                <c:pt idx="2">
                  <c:v>1092</c:v>
                </c:pt>
                <c:pt idx="3">
                  <c:v>908</c:v>
                </c:pt>
                <c:pt idx="4">
                  <c:v>989</c:v>
                </c:pt>
                <c:pt idx="5">
                  <c:v>836</c:v>
                </c:pt>
                <c:pt idx="6">
                  <c:v>1069</c:v>
                </c:pt>
                <c:pt idx="7">
                  <c:v>734</c:v>
                </c:pt>
                <c:pt idx="8">
                  <c:v>673</c:v>
                </c:pt>
                <c:pt idx="9">
                  <c:v>855</c:v>
                </c:pt>
                <c:pt idx="10">
                  <c:v>1005</c:v>
                </c:pt>
                <c:pt idx="11">
                  <c:v>975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'23.07 NATEETE-BUSEGA'!$AD$9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NATEETE-BUSEGA'!$AD$10:$AD$21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7770144"/>
        <c:axId val="-147756000"/>
      </c:lineChart>
      <c:catAx>
        <c:axId val="-147770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7756000"/>
        <c:crosses val="autoZero"/>
        <c:auto val="1"/>
        <c:lblAlgn val="ctr"/>
        <c:lblOffset val="100"/>
        <c:noMultiLvlLbl val="0"/>
      </c:catAx>
      <c:valAx>
        <c:axId val="-147756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777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NATEETE-BUSEGA'!$C$9:$N$9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NATEETE-BUSEGA'!$C$60:$N$60</c:f>
              <c:numCache>
                <c:formatCode>0.00%</c:formatCode>
                <c:ptCount val="12"/>
                <c:pt idx="0">
                  <c:v>0.36608344549125166</c:v>
                </c:pt>
                <c:pt idx="1">
                  <c:v>4.4638851502916105E-2</c:v>
                </c:pt>
                <c:pt idx="2">
                  <c:v>5.0246747420367881E-2</c:v>
                </c:pt>
                <c:pt idx="3">
                  <c:v>0.4066846119336025</c:v>
                </c:pt>
                <c:pt idx="4">
                  <c:v>5.9443696724988783E-3</c:v>
                </c:pt>
                <c:pt idx="5">
                  <c:v>7.7388963660834451E-3</c:v>
                </c:pt>
                <c:pt idx="6">
                  <c:v>5.4845222072678328E-2</c:v>
                </c:pt>
                <c:pt idx="7">
                  <c:v>3.5105428443248092E-2</c:v>
                </c:pt>
                <c:pt idx="8">
                  <c:v>1.256168685509197E-2</c:v>
                </c:pt>
                <c:pt idx="9">
                  <c:v>1.603858232391207E-2</c:v>
                </c:pt>
                <c:pt idx="11">
                  <c:v>1.1215791834903544E-4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BUSEGA-NATEETE'!$AE$9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'23.07 BUSEGA-NATEETE'!$R$10:$R$21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BUSEGA-NATEETE'!$AE$10:$AE$21</c:f>
              <c:numCache>
                <c:formatCode>0</c:formatCode>
                <c:ptCount val="12"/>
                <c:pt idx="0">
                  <c:v>849</c:v>
                </c:pt>
                <c:pt idx="1">
                  <c:v>732</c:v>
                </c:pt>
                <c:pt idx="2">
                  <c:v>694</c:v>
                </c:pt>
                <c:pt idx="3">
                  <c:v>674</c:v>
                </c:pt>
                <c:pt idx="4">
                  <c:v>710</c:v>
                </c:pt>
                <c:pt idx="5">
                  <c:v>642</c:v>
                </c:pt>
                <c:pt idx="6">
                  <c:v>660</c:v>
                </c:pt>
                <c:pt idx="7">
                  <c:v>823</c:v>
                </c:pt>
                <c:pt idx="8">
                  <c:v>1014</c:v>
                </c:pt>
                <c:pt idx="9">
                  <c:v>859</c:v>
                </c:pt>
                <c:pt idx="10">
                  <c:v>1061</c:v>
                </c:pt>
                <c:pt idx="11">
                  <c:v>987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'23.07 BUSEGA-NATEETE'!$AF$9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'23.07 BUSEGA-NATEETE'!$R$10:$R$21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BUSEGA-NATEETE'!$AF$10:$AF$21</c:f>
              <c:numCache>
                <c:formatCode>0</c:formatCode>
                <c:ptCount val="12"/>
                <c:pt idx="0">
                  <c:v>1804</c:v>
                </c:pt>
                <c:pt idx="1">
                  <c:v>1792</c:v>
                </c:pt>
                <c:pt idx="2">
                  <c:v>1609</c:v>
                </c:pt>
                <c:pt idx="3">
                  <c:v>1647</c:v>
                </c:pt>
                <c:pt idx="4">
                  <c:v>1588</c:v>
                </c:pt>
                <c:pt idx="5">
                  <c:v>1357</c:v>
                </c:pt>
                <c:pt idx="6">
                  <c:v>1347</c:v>
                </c:pt>
                <c:pt idx="7">
                  <c:v>1426</c:v>
                </c:pt>
                <c:pt idx="8">
                  <c:v>1724</c:v>
                </c:pt>
                <c:pt idx="9">
                  <c:v>1524</c:v>
                </c:pt>
                <c:pt idx="10">
                  <c:v>1761</c:v>
                </c:pt>
                <c:pt idx="11">
                  <c:v>1460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7760352"/>
        <c:axId val="-147759808"/>
      </c:lineChart>
      <c:catAx>
        <c:axId val="-1477603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7759808"/>
        <c:crosses val="autoZero"/>
        <c:auto val="1"/>
        <c:lblAlgn val="ctr"/>
        <c:lblOffset val="100"/>
        <c:noMultiLvlLbl val="0"/>
      </c:catAx>
      <c:valAx>
        <c:axId val="-14775980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7760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BUSEGA-NATEETE'!$C$9:$N$9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BUSEGA-NATEETE'!$C$59:$N$59</c:f>
              <c:numCache>
                <c:formatCode>0.0%</c:formatCode>
                <c:ptCount val="12"/>
                <c:pt idx="0">
                  <c:v>0.20762645096906351</c:v>
                </c:pt>
                <c:pt idx="1">
                  <c:v>1.8330794684594778E-2</c:v>
                </c:pt>
                <c:pt idx="2">
                  <c:v>2.6051788434266504E-2</c:v>
                </c:pt>
                <c:pt idx="3">
                  <c:v>0.18493618362308945</c:v>
                </c:pt>
                <c:pt idx="4">
                  <c:v>6.0927569725300699E-3</c:v>
                </c:pt>
                <c:pt idx="5">
                  <c:v>6.3028520405483479E-3</c:v>
                </c:pt>
                <c:pt idx="6">
                  <c:v>2.6524502337307632E-2</c:v>
                </c:pt>
                <c:pt idx="7">
                  <c:v>1.8173223383581072E-2</c:v>
                </c:pt>
                <c:pt idx="8">
                  <c:v>7.8260412836808659E-3</c:v>
                </c:pt>
                <c:pt idx="9">
                  <c:v>7.8785650506854356E-3</c:v>
                </c:pt>
                <c:pt idx="10">
                  <c:v>0.49025684122065233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BUSEGA-NATEETE'!$S$9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'23.07 BUSEGA-NATEETE'!$R$10:$R$21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BUSEGA-NATEETE'!$S$10:$S$21</c:f>
              <c:numCache>
                <c:formatCode>0</c:formatCode>
                <c:ptCount val="12"/>
                <c:pt idx="0">
                  <c:v>433</c:v>
                </c:pt>
                <c:pt idx="1">
                  <c:v>332</c:v>
                </c:pt>
                <c:pt idx="2">
                  <c:v>316</c:v>
                </c:pt>
                <c:pt idx="3">
                  <c:v>296</c:v>
                </c:pt>
                <c:pt idx="4">
                  <c:v>320</c:v>
                </c:pt>
                <c:pt idx="5">
                  <c:v>248</c:v>
                </c:pt>
                <c:pt idx="6">
                  <c:v>255</c:v>
                </c:pt>
                <c:pt idx="7">
                  <c:v>300</c:v>
                </c:pt>
                <c:pt idx="8">
                  <c:v>335</c:v>
                </c:pt>
                <c:pt idx="9">
                  <c:v>302</c:v>
                </c:pt>
                <c:pt idx="10">
                  <c:v>463</c:v>
                </c:pt>
                <c:pt idx="11">
                  <c:v>353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'23.07 BUSEGA-NATEETE'!$T$9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'23.07 BUSEGA-NATEETE'!$R$10:$R$21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BUSEGA-NATEETE'!$T$10:$T$21</c:f>
              <c:numCache>
                <c:formatCode>0</c:formatCode>
                <c:ptCount val="12"/>
                <c:pt idx="0">
                  <c:v>34</c:v>
                </c:pt>
                <c:pt idx="1">
                  <c:v>29</c:v>
                </c:pt>
                <c:pt idx="2">
                  <c:v>37</c:v>
                </c:pt>
                <c:pt idx="3">
                  <c:v>25</c:v>
                </c:pt>
                <c:pt idx="4">
                  <c:v>21</c:v>
                </c:pt>
                <c:pt idx="5">
                  <c:v>22</c:v>
                </c:pt>
                <c:pt idx="6">
                  <c:v>25</c:v>
                </c:pt>
                <c:pt idx="7">
                  <c:v>30</c:v>
                </c:pt>
                <c:pt idx="8">
                  <c:v>32</c:v>
                </c:pt>
                <c:pt idx="9">
                  <c:v>22</c:v>
                </c:pt>
                <c:pt idx="10">
                  <c:v>50</c:v>
                </c:pt>
                <c:pt idx="11">
                  <c:v>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'23.07 BUSEGA-NATEETE'!$U$9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'23.07 BUSEGA-NATEETE'!$U$10:$U$21</c:f>
              <c:numCache>
                <c:formatCode>0</c:formatCode>
                <c:ptCount val="12"/>
                <c:pt idx="0">
                  <c:v>41</c:v>
                </c:pt>
                <c:pt idx="1">
                  <c:v>39</c:v>
                </c:pt>
                <c:pt idx="2">
                  <c:v>32</c:v>
                </c:pt>
                <c:pt idx="3">
                  <c:v>35</c:v>
                </c:pt>
                <c:pt idx="4">
                  <c:v>33</c:v>
                </c:pt>
                <c:pt idx="5">
                  <c:v>31</c:v>
                </c:pt>
                <c:pt idx="6">
                  <c:v>34</c:v>
                </c:pt>
                <c:pt idx="7">
                  <c:v>22</c:v>
                </c:pt>
                <c:pt idx="8">
                  <c:v>80</c:v>
                </c:pt>
                <c:pt idx="9">
                  <c:v>41</c:v>
                </c:pt>
                <c:pt idx="10">
                  <c:v>43</c:v>
                </c:pt>
                <c:pt idx="11">
                  <c:v>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'23.07 BUSEGA-NATEETE'!$V$9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'23.07 BUSEGA-NATEETE'!$V$10:$V$21</c:f>
              <c:numCache>
                <c:formatCode>0</c:formatCode>
                <c:ptCount val="12"/>
                <c:pt idx="0">
                  <c:v>269</c:v>
                </c:pt>
                <c:pt idx="1">
                  <c:v>264</c:v>
                </c:pt>
                <c:pt idx="2">
                  <c:v>244</c:v>
                </c:pt>
                <c:pt idx="3">
                  <c:v>232</c:v>
                </c:pt>
                <c:pt idx="4">
                  <c:v>267</c:v>
                </c:pt>
                <c:pt idx="5">
                  <c:v>273</c:v>
                </c:pt>
                <c:pt idx="6">
                  <c:v>245</c:v>
                </c:pt>
                <c:pt idx="7">
                  <c:v>355</c:v>
                </c:pt>
                <c:pt idx="8">
                  <c:v>370</c:v>
                </c:pt>
                <c:pt idx="9">
                  <c:v>330</c:v>
                </c:pt>
                <c:pt idx="10">
                  <c:v>320</c:v>
                </c:pt>
                <c:pt idx="11">
                  <c:v>352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'23.07 BUSEGA-NATEETE'!$W$9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'23.07 BUSEGA-NATEETE'!$W$10:$W$21</c:f>
              <c:numCache>
                <c:formatCode>0</c:formatCode>
                <c:ptCount val="12"/>
                <c:pt idx="0">
                  <c:v>10</c:v>
                </c:pt>
                <c:pt idx="1">
                  <c:v>11</c:v>
                </c:pt>
                <c:pt idx="2">
                  <c:v>2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8</c:v>
                </c:pt>
                <c:pt idx="7">
                  <c:v>15</c:v>
                </c:pt>
                <c:pt idx="8">
                  <c:v>27</c:v>
                </c:pt>
                <c:pt idx="9">
                  <c:v>18</c:v>
                </c:pt>
                <c:pt idx="10">
                  <c:v>17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'23.07 BUSEGA-NATEETE'!$X$9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'23.07 BUSEGA-NATEETE'!$X$10:$X$21</c:f>
              <c:numCache>
                <c:formatCode>0</c:formatCode>
                <c:ptCount val="12"/>
                <c:pt idx="0">
                  <c:v>4</c:v>
                </c:pt>
                <c:pt idx="1">
                  <c:v>3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14</c:v>
                </c:pt>
                <c:pt idx="7">
                  <c:v>17</c:v>
                </c:pt>
                <c:pt idx="8">
                  <c:v>19</c:v>
                </c:pt>
                <c:pt idx="9">
                  <c:v>18</c:v>
                </c:pt>
                <c:pt idx="10">
                  <c:v>15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'23.07 BUSEGA-NATEETE'!$Y$9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BUSEGA-NATEETE'!$Y$10:$Y$21</c:f>
              <c:numCache>
                <c:formatCode>0</c:formatCode>
                <c:ptCount val="12"/>
                <c:pt idx="0">
                  <c:v>24</c:v>
                </c:pt>
                <c:pt idx="1">
                  <c:v>21</c:v>
                </c:pt>
                <c:pt idx="2">
                  <c:v>27</c:v>
                </c:pt>
                <c:pt idx="3">
                  <c:v>45</c:v>
                </c:pt>
                <c:pt idx="4">
                  <c:v>29</c:v>
                </c:pt>
                <c:pt idx="5">
                  <c:v>28</c:v>
                </c:pt>
                <c:pt idx="6">
                  <c:v>26</c:v>
                </c:pt>
                <c:pt idx="7">
                  <c:v>21</c:v>
                </c:pt>
                <c:pt idx="8">
                  <c:v>76</c:v>
                </c:pt>
                <c:pt idx="9">
                  <c:v>46</c:v>
                </c:pt>
                <c:pt idx="10">
                  <c:v>78</c:v>
                </c:pt>
                <c:pt idx="11">
                  <c:v>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'23.07 BUSEGA-NATEETE'!$Z$9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BUSEGA-NATEETE'!$Z$10:$Z$21</c:f>
              <c:numCache>
                <c:formatCode>0</c:formatCode>
                <c:ptCount val="12"/>
                <c:pt idx="0">
                  <c:v>23</c:v>
                </c:pt>
                <c:pt idx="1">
                  <c:v>15</c:v>
                </c:pt>
                <c:pt idx="2">
                  <c:v>26</c:v>
                </c:pt>
                <c:pt idx="3">
                  <c:v>28</c:v>
                </c:pt>
                <c:pt idx="4">
                  <c:v>21</c:v>
                </c:pt>
                <c:pt idx="5">
                  <c:v>17</c:v>
                </c:pt>
                <c:pt idx="6">
                  <c:v>18</c:v>
                </c:pt>
                <c:pt idx="7">
                  <c:v>27</c:v>
                </c:pt>
                <c:pt idx="8">
                  <c:v>45</c:v>
                </c:pt>
                <c:pt idx="9">
                  <c:v>46</c:v>
                </c:pt>
                <c:pt idx="10">
                  <c:v>47</c:v>
                </c:pt>
                <c:pt idx="11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'23.07 BUSEGA-NATEETE'!$AA$9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BUSEGA-NATEETE'!$AA$10:$AA$21</c:f>
              <c:numCache>
                <c:formatCode>0</c:formatCode>
                <c:ptCount val="12"/>
                <c:pt idx="0">
                  <c:v>6</c:v>
                </c:pt>
                <c:pt idx="1">
                  <c:v>5</c:v>
                </c:pt>
                <c:pt idx="2">
                  <c:v>6</c:v>
                </c:pt>
                <c:pt idx="3">
                  <c:v>0</c:v>
                </c:pt>
                <c:pt idx="4">
                  <c:v>4</c:v>
                </c:pt>
                <c:pt idx="5">
                  <c:v>5</c:v>
                </c:pt>
                <c:pt idx="6">
                  <c:v>21</c:v>
                </c:pt>
                <c:pt idx="7">
                  <c:v>16</c:v>
                </c:pt>
                <c:pt idx="8">
                  <c:v>19</c:v>
                </c:pt>
                <c:pt idx="9">
                  <c:v>15</c:v>
                </c:pt>
                <c:pt idx="10">
                  <c:v>13</c:v>
                </c:pt>
                <c:pt idx="11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'23.07 BUSEGA-NATEETE'!$AB$9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BUSEGA-NATEETE'!$AB$10:$AB$21</c:f>
              <c:numCache>
                <c:formatCode>0</c:formatCode>
                <c:ptCount val="12"/>
                <c:pt idx="0">
                  <c:v>5</c:v>
                </c:pt>
                <c:pt idx="1">
                  <c:v>13</c:v>
                </c:pt>
                <c:pt idx="2">
                  <c:v>2</c:v>
                </c:pt>
                <c:pt idx="3">
                  <c:v>10</c:v>
                </c:pt>
                <c:pt idx="4">
                  <c:v>10</c:v>
                </c:pt>
                <c:pt idx="5">
                  <c:v>11</c:v>
                </c:pt>
                <c:pt idx="6">
                  <c:v>14</c:v>
                </c:pt>
                <c:pt idx="7">
                  <c:v>20</c:v>
                </c:pt>
                <c:pt idx="8">
                  <c:v>11</c:v>
                </c:pt>
                <c:pt idx="9">
                  <c:v>21</c:v>
                </c:pt>
                <c:pt idx="10">
                  <c:v>15</c:v>
                </c:pt>
                <c:pt idx="11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'23.07 BUSEGA-NATEETE'!$AC$9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BUSEGA-NATEETE'!$AC$10:$AC$21</c:f>
              <c:numCache>
                <c:formatCode>0</c:formatCode>
                <c:ptCount val="12"/>
                <c:pt idx="0">
                  <c:v>955</c:v>
                </c:pt>
                <c:pt idx="1">
                  <c:v>1060</c:v>
                </c:pt>
                <c:pt idx="2">
                  <c:v>915</c:v>
                </c:pt>
                <c:pt idx="3">
                  <c:v>973</c:v>
                </c:pt>
                <c:pt idx="4">
                  <c:v>878</c:v>
                </c:pt>
                <c:pt idx="5">
                  <c:v>715</c:v>
                </c:pt>
                <c:pt idx="6">
                  <c:v>687</c:v>
                </c:pt>
                <c:pt idx="7">
                  <c:v>603</c:v>
                </c:pt>
                <c:pt idx="8">
                  <c:v>710</c:v>
                </c:pt>
                <c:pt idx="9">
                  <c:v>665</c:v>
                </c:pt>
                <c:pt idx="10">
                  <c:v>700</c:v>
                </c:pt>
                <c:pt idx="11">
                  <c:v>473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'23.07 BUSEGA-NATEETE'!$AD$9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BUSEGA-NATEETE'!$AD$10:$AD$21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7770688"/>
        <c:axId val="-147764160"/>
      </c:lineChart>
      <c:catAx>
        <c:axId val="-147770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7764160"/>
        <c:crosses val="autoZero"/>
        <c:auto val="1"/>
        <c:lblAlgn val="ctr"/>
        <c:lblOffset val="100"/>
        <c:noMultiLvlLbl val="0"/>
      </c:catAx>
      <c:valAx>
        <c:axId val="-147764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7770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BUSEGA-NATEETE'!$C$9:$N$9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BUSEGA-NATEETE'!$C$60:$N$60</c:f>
              <c:numCache>
                <c:formatCode>0.00%</c:formatCode>
                <c:ptCount val="12"/>
                <c:pt idx="0">
                  <c:v>0.40731581658938693</c:v>
                </c:pt>
                <c:pt idx="1">
                  <c:v>3.5960844925296241E-2</c:v>
                </c:pt>
                <c:pt idx="2">
                  <c:v>5.110767645543534E-2</c:v>
                </c:pt>
                <c:pt idx="3">
                  <c:v>0.3628026790314271</c:v>
                </c:pt>
                <c:pt idx="4">
                  <c:v>1.1952601751674395E-2</c:v>
                </c:pt>
                <c:pt idx="5">
                  <c:v>1.2364760432766615E-2</c:v>
                </c:pt>
                <c:pt idx="6">
                  <c:v>5.2035033487892839E-2</c:v>
                </c:pt>
                <c:pt idx="7">
                  <c:v>3.5651725914477073E-2</c:v>
                </c:pt>
                <c:pt idx="8">
                  <c:v>1.5352910870685214E-2</c:v>
                </c:pt>
                <c:pt idx="9">
                  <c:v>1.5455950540958269E-2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'24.07 NATEETE-BUSEGA'!$AE$9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'24.07 NATEETE-BUSEGA'!$R$10:$R$21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NATEETE-BUSEGA'!$AE$10:$AE$21</c:f>
              <c:numCache>
                <c:formatCode>0</c:formatCode>
                <c:ptCount val="12"/>
                <c:pt idx="0">
                  <c:v>599</c:v>
                </c:pt>
                <c:pt idx="1">
                  <c:v>446</c:v>
                </c:pt>
                <c:pt idx="2">
                  <c:v>687</c:v>
                </c:pt>
                <c:pt idx="3">
                  <c:v>556</c:v>
                </c:pt>
                <c:pt idx="4">
                  <c:v>617</c:v>
                </c:pt>
                <c:pt idx="5">
                  <c:v>707</c:v>
                </c:pt>
                <c:pt idx="6">
                  <c:v>678</c:v>
                </c:pt>
                <c:pt idx="7">
                  <c:v>770</c:v>
                </c:pt>
                <c:pt idx="8">
                  <c:v>601</c:v>
                </c:pt>
                <c:pt idx="9">
                  <c:v>558</c:v>
                </c:pt>
                <c:pt idx="10">
                  <c:v>540</c:v>
                </c:pt>
                <c:pt idx="11">
                  <c:v>543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'24.07 NATEETE-BUSEGA'!$AF$9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'24.07 NATEETE-BUSEGA'!$R$10:$R$21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NATEETE-BUSEGA'!$AF$10:$AF$21</c:f>
              <c:numCache>
                <c:formatCode>0</c:formatCode>
                <c:ptCount val="12"/>
                <c:pt idx="0">
                  <c:v>1231</c:v>
                </c:pt>
                <c:pt idx="1">
                  <c:v>1652</c:v>
                </c:pt>
                <c:pt idx="2">
                  <c:v>1777</c:v>
                </c:pt>
                <c:pt idx="3">
                  <c:v>1494</c:v>
                </c:pt>
                <c:pt idx="4">
                  <c:v>1455</c:v>
                </c:pt>
                <c:pt idx="5">
                  <c:v>1582</c:v>
                </c:pt>
                <c:pt idx="6">
                  <c:v>1384</c:v>
                </c:pt>
                <c:pt idx="7">
                  <c:v>1414</c:v>
                </c:pt>
                <c:pt idx="8">
                  <c:v>1232</c:v>
                </c:pt>
                <c:pt idx="9">
                  <c:v>1386</c:v>
                </c:pt>
                <c:pt idx="10">
                  <c:v>1455</c:v>
                </c:pt>
                <c:pt idx="11">
                  <c:v>1494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7766336"/>
        <c:axId val="-147758720"/>
      </c:lineChart>
      <c:catAx>
        <c:axId val="-1477663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7758720"/>
        <c:crosses val="autoZero"/>
        <c:auto val="1"/>
        <c:lblAlgn val="ctr"/>
        <c:lblOffset val="100"/>
        <c:noMultiLvlLbl val="0"/>
      </c:catAx>
      <c:valAx>
        <c:axId val="-147758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7766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NATEETE-BUSEGA'!$C$9:$N$9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NATEETE-BUSEGA'!$C$59:$N$59</c:f>
              <c:numCache>
                <c:formatCode>0.0%</c:formatCode>
                <c:ptCount val="12"/>
                <c:pt idx="0">
                  <c:v>0.1469583048530417</c:v>
                </c:pt>
                <c:pt idx="1">
                  <c:v>1.7202096149464569E-2</c:v>
                </c:pt>
                <c:pt idx="2">
                  <c:v>2.3410799726589201E-2</c:v>
                </c:pt>
                <c:pt idx="3">
                  <c:v>0.16171109592162225</c:v>
                </c:pt>
                <c:pt idx="4">
                  <c:v>3.3606744133059924E-3</c:v>
                </c:pt>
                <c:pt idx="5">
                  <c:v>3.7593984962406013E-3</c:v>
                </c:pt>
                <c:pt idx="6">
                  <c:v>2.7625882889040783E-2</c:v>
                </c:pt>
                <c:pt idx="7">
                  <c:v>1.7657780815675553E-2</c:v>
                </c:pt>
                <c:pt idx="8">
                  <c:v>6.607427660059239E-3</c:v>
                </c:pt>
                <c:pt idx="9">
                  <c:v>7.575757575757576E-3</c:v>
                </c:pt>
                <c:pt idx="10">
                  <c:v>0.58407382091592619</c:v>
                </c:pt>
                <c:pt idx="11">
                  <c:v>5.6960583276372748E-5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'24.07 NATEETE-BUSEGA'!$S$9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'24.07 NATEETE-BUSEGA'!$R$10:$R$21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NATEETE-BUSEGA'!$S$10:$S$21</c:f>
              <c:numCache>
                <c:formatCode>0</c:formatCode>
                <c:ptCount val="12"/>
                <c:pt idx="0">
                  <c:v>210</c:v>
                </c:pt>
                <c:pt idx="1">
                  <c:v>135</c:v>
                </c:pt>
                <c:pt idx="2">
                  <c:v>228</c:v>
                </c:pt>
                <c:pt idx="3">
                  <c:v>170</c:v>
                </c:pt>
                <c:pt idx="4">
                  <c:v>220</c:v>
                </c:pt>
                <c:pt idx="5">
                  <c:v>255</c:v>
                </c:pt>
                <c:pt idx="6">
                  <c:v>220</c:v>
                </c:pt>
                <c:pt idx="7">
                  <c:v>259</c:v>
                </c:pt>
                <c:pt idx="8">
                  <c:v>202</c:v>
                </c:pt>
                <c:pt idx="9">
                  <c:v>219</c:v>
                </c:pt>
                <c:pt idx="10">
                  <c:v>211</c:v>
                </c:pt>
                <c:pt idx="11">
                  <c:v>251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'24.07 NATEETE-BUSEGA'!$T$9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'24.07 NATEETE-BUSEGA'!$R$10:$R$21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NATEETE-BUSEGA'!$T$10:$T$21</c:f>
              <c:numCache>
                <c:formatCode>0</c:formatCode>
                <c:ptCount val="12"/>
                <c:pt idx="0">
                  <c:v>24</c:v>
                </c:pt>
                <c:pt idx="1">
                  <c:v>18</c:v>
                </c:pt>
                <c:pt idx="2">
                  <c:v>27</c:v>
                </c:pt>
                <c:pt idx="3">
                  <c:v>20</c:v>
                </c:pt>
                <c:pt idx="4">
                  <c:v>22</c:v>
                </c:pt>
                <c:pt idx="5">
                  <c:v>29</c:v>
                </c:pt>
                <c:pt idx="6">
                  <c:v>26</c:v>
                </c:pt>
                <c:pt idx="7">
                  <c:v>38</c:v>
                </c:pt>
                <c:pt idx="8">
                  <c:v>25</c:v>
                </c:pt>
                <c:pt idx="9">
                  <c:v>25</c:v>
                </c:pt>
                <c:pt idx="10">
                  <c:v>27</c:v>
                </c:pt>
                <c:pt idx="11">
                  <c:v>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'24.07 NATEETE-BUSEGA'!$U$9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'24.07 NATEETE-BUSEGA'!$U$10:$U$21</c:f>
              <c:numCache>
                <c:formatCode>0</c:formatCode>
                <c:ptCount val="12"/>
                <c:pt idx="0">
                  <c:v>21</c:v>
                </c:pt>
                <c:pt idx="1">
                  <c:v>24</c:v>
                </c:pt>
                <c:pt idx="2">
                  <c:v>31</c:v>
                </c:pt>
                <c:pt idx="3">
                  <c:v>45</c:v>
                </c:pt>
                <c:pt idx="4">
                  <c:v>30</c:v>
                </c:pt>
                <c:pt idx="5">
                  <c:v>31</c:v>
                </c:pt>
                <c:pt idx="6">
                  <c:v>32</c:v>
                </c:pt>
                <c:pt idx="7">
                  <c:v>33</c:v>
                </c:pt>
                <c:pt idx="8">
                  <c:v>50</c:v>
                </c:pt>
                <c:pt idx="9">
                  <c:v>37</c:v>
                </c:pt>
                <c:pt idx="10">
                  <c:v>39</c:v>
                </c:pt>
                <c:pt idx="11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'24.07 NATEETE-BUSEGA'!$V$9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'24.07 NATEETE-BUSEGA'!$V$10:$V$21</c:f>
              <c:numCache>
                <c:formatCode>0</c:formatCode>
                <c:ptCount val="12"/>
                <c:pt idx="0">
                  <c:v>273</c:v>
                </c:pt>
                <c:pt idx="1">
                  <c:v>195</c:v>
                </c:pt>
                <c:pt idx="2">
                  <c:v>321</c:v>
                </c:pt>
                <c:pt idx="3">
                  <c:v>235</c:v>
                </c:pt>
                <c:pt idx="4">
                  <c:v>234</c:v>
                </c:pt>
                <c:pt idx="5">
                  <c:v>297</c:v>
                </c:pt>
                <c:pt idx="6">
                  <c:v>299</c:v>
                </c:pt>
                <c:pt idx="7">
                  <c:v>313</c:v>
                </c:pt>
                <c:pt idx="8">
                  <c:v>198</c:v>
                </c:pt>
                <c:pt idx="9">
                  <c:v>164</c:v>
                </c:pt>
                <c:pt idx="10">
                  <c:v>151</c:v>
                </c:pt>
                <c:pt idx="11">
                  <c:v>159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'24.07 NATEETE-BUSEGA'!$W$9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'24.07 NATEETE-BUSEGA'!$W$10:$W$21</c:f>
              <c:numCache>
                <c:formatCode>0</c:formatCode>
                <c:ptCount val="12"/>
                <c:pt idx="0">
                  <c:v>10</c:v>
                </c:pt>
                <c:pt idx="1">
                  <c:v>2</c:v>
                </c:pt>
                <c:pt idx="2">
                  <c:v>4</c:v>
                </c:pt>
                <c:pt idx="3">
                  <c:v>7</c:v>
                </c:pt>
                <c:pt idx="4">
                  <c:v>5</c:v>
                </c:pt>
                <c:pt idx="5">
                  <c:v>6</c:v>
                </c:pt>
                <c:pt idx="6">
                  <c:v>4</c:v>
                </c:pt>
                <c:pt idx="7">
                  <c:v>4</c:v>
                </c:pt>
                <c:pt idx="8">
                  <c:v>8</c:v>
                </c:pt>
                <c:pt idx="9">
                  <c:v>4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'24.07 NATEETE-BUSEGA'!$X$9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'24.07 NATEETE-BUSEGA'!$X$10:$X$21</c:f>
              <c:numCache>
                <c:formatCode>0</c:formatCode>
                <c:ptCount val="12"/>
                <c:pt idx="0">
                  <c:v>5</c:v>
                </c:pt>
                <c:pt idx="1">
                  <c:v>6</c:v>
                </c:pt>
                <c:pt idx="2">
                  <c:v>8</c:v>
                </c:pt>
                <c:pt idx="3">
                  <c:v>4</c:v>
                </c:pt>
                <c:pt idx="4">
                  <c:v>9</c:v>
                </c:pt>
                <c:pt idx="5">
                  <c:v>4</c:v>
                </c:pt>
                <c:pt idx="6">
                  <c:v>4</c:v>
                </c:pt>
                <c:pt idx="7">
                  <c:v>8</c:v>
                </c:pt>
                <c:pt idx="8">
                  <c:v>5</c:v>
                </c:pt>
                <c:pt idx="9">
                  <c:v>4</c:v>
                </c:pt>
                <c:pt idx="10">
                  <c:v>7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'24.07 NATEETE-BUSEGA'!$Y$9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NATEETE-BUSEGA'!$Y$10:$Y$21</c:f>
              <c:numCache>
                <c:formatCode>0</c:formatCode>
                <c:ptCount val="12"/>
                <c:pt idx="0">
                  <c:v>33</c:v>
                </c:pt>
                <c:pt idx="1">
                  <c:v>38</c:v>
                </c:pt>
                <c:pt idx="2">
                  <c:v>39</c:v>
                </c:pt>
                <c:pt idx="3">
                  <c:v>37</c:v>
                </c:pt>
                <c:pt idx="4">
                  <c:v>39</c:v>
                </c:pt>
                <c:pt idx="5">
                  <c:v>41</c:v>
                </c:pt>
                <c:pt idx="6">
                  <c:v>50</c:v>
                </c:pt>
                <c:pt idx="7">
                  <c:v>49</c:v>
                </c:pt>
                <c:pt idx="8">
                  <c:v>49</c:v>
                </c:pt>
                <c:pt idx="9">
                  <c:v>39</c:v>
                </c:pt>
                <c:pt idx="10">
                  <c:v>49</c:v>
                </c:pt>
                <c:pt idx="11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'24.07 NATEETE-BUSEGA'!$Z$9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NATEETE-BUSEGA'!$Z$10:$Z$21</c:f>
              <c:numCache>
                <c:formatCode>0</c:formatCode>
                <c:ptCount val="12"/>
                <c:pt idx="0">
                  <c:v>10</c:v>
                </c:pt>
                <c:pt idx="1">
                  <c:v>14</c:v>
                </c:pt>
                <c:pt idx="2">
                  <c:v>18</c:v>
                </c:pt>
                <c:pt idx="3">
                  <c:v>19</c:v>
                </c:pt>
                <c:pt idx="4">
                  <c:v>31</c:v>
                </c:pt>
                <c:pt idx="5">
                  <c:v>25</c:v>
                </c:pt>
                <c:pt idx="6">
                  <c:v>28</c:v>
                </c:pt>
                <c:pt idx="7">
                  <c:v>37</c:v>
                </c:pt>
                <c:pt idx="8">
                  <c:v>38</c:v>
                </c:pt>
                <c:pt idx="9">
                  <c:v>37</c:v>
                </c:pt>
                <c:pt idx="10">
                  <c:v>28</c:v>
                </c:pt>
                <c:pt idx="11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'24.07 NATEETE-BUSEGA'!$AA$9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NATEETE-BUSEGA'!$AA$10:$AA$21</c:f>
              <c:numCache>
                <c:formatCode>0</c:formatCode>
                <c:ptCount val="12"/>
                <c:pt idx="0">
                  <c:v>8</c:v>
                </c:pt>
                <c:pt idx="1">
                  <c:v>8</c:v>
                </c:pt>
                <c:pt idx="2">
                  <c:v>4</c:v>
                </c:pt>
                <c:pt idx="3">
                  <c:v>9</c:v>
                </c:pt>
                <c:pt idx="4">
                  <c:v>12</c:v>
                </c:pt>
                <c:pt idx="5">
                  <c:v>9</c:v>
                </c:pt>
                <c:pt idx="6">
                  <c:v>3</c:v>
                </c:pt>
                <c:pt idx="7">
                  <c:v>16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'24.07 NATEETE-BUSEGA'!$AB$9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NATEETE-BUSEGA'!$AB$10:$AB$21</c:f>
              <c:numCache>
                <c:formatCode>0</c:formatCode>
                <c:ptCount val="12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10</c:v>
                </c:pt>
                <c:pt idx="4">
                  <c:v>15</c:v>
                </c:pt>
                <c:pt idx="5">
                  <c:v>10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16</c:v>
                </c:pt>
                <c:pt idx="10">
                  <c:v>13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'24.07 NATEETE-BUSEGA'!$AC$9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NATEETE-BUSEGA'!$AC$10:$AC$21</c:f>
              <c:numCache>
                <c:formatCode>0</c:formatCode>
                <c:ptCount val="12"/>
                <c:pt idx="0">
                  <c:v>632</c:v>
                </c:pt>
                <c:pt idx="1">
                  <c:v>1206</c:v>
                </c:pt>
                <c:pt idx="2">
                  <c:v>1090</c:v>
                </c:pt>
                <c:pt idx="3">
                  <c:v>938</c:v>
                </c:pt>
                <c:pt idx="4">
                  <c:v>838</c:v>
                </c:pt>
                <c:pt idx="5">
                  <c:v>875</c:v>
                </c:pt>
                <c:pt idx="6">
                  <c:v>706</c:v>
                </c:pt>
                <c:pt idx="7">
                  <c:v>644</c:v>
                </c:pt>
                <c:pt idx="8">
                  <c:v>631</c:v>
                </c:pt>
                <c:pt idx="9">
                  <c:v>828</c:v>
                </c:pt>
                <c:pt idx="10">
                  <c:v>915</c:v>
                </c:pt>
                <c:pt idx="11">
                  <c:v>951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'24.07 NATEETE-BUSEGA'!$AD$9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NATEETE-BUSEGA'!$AD$10:$AD$21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908654016"/>
        <c:axId val="-1908653472"/>
      </c:lineChart>
      <c:catAx>
        <c:axId val="-1908654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08653472"/>
        <c:crosses val="autoZero"/>
        <c:auto val="1"/>
        <c:lblAlgn val="ctr"/>
        <c:lblOffset val="100"/>
        <c:noMultiLvlLbl val="0"/>
      </c:catAx>
      <c:valAx>
        <c:axId val="-1908653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08654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NATEETE-BUSEGA'!$C$9:$N$9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NATEETE-BUSEGA'!$C$60:$N$60</c:f>
              <c:numCache>
                <c:formatCode>0.00%</c:formatCode>
                <c:ptCount val="12"/>
                <c:pt idx="0">
                  <c:v>0.35332785538208711</c:v>
                </c:pt>
                <c:pt idx="1">
                  <c:v>4.1358531909066007E-2</c:v>
                </c:pt>
                <c:pt idx="2">
                  <c:v>5.6285949055053408E-2</c:v>
                </c:pt>
                <c:pt idx="3">
                  <c:v>0.38879758970145167</c:v>
                </c:pt>
                <c:pt idx="4">
                  <c:v>8.0799780881950153E-3</c:v>
                </c:pt>
                <c:pt idx="5">
                  <c:v>9.0386195562859491E-3</c:v>
                </c:pt>
                <c:pt idx="6">
                  <c:v>6.6420158860586137E-2</c:v>
                </c:pt>
                <c:pt idx="7">
                  <c:v>4.245412215831279E-2</c:v>
                </c:pt>
                <c:pt idx="8">
                  <c:v>1.5886058614078335E-2</c:v>
                </c:pt>
                <c:pt idx="9">
                  <c:v>1.8214187893727744E-2</c:v>
                </c:pt>
                <c:pt idx="11">
                  <c:v>1.3694878115584771E-4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'24.07 BUSEGA-NATEETE'!$AE$9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'24.07 BUSEGA-NATEETE'!$R$10:$R$21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BUSEGA-NATEETE'!$AE$10:$AE$21</c:f>
              <c:numCache>
                <c:formatCode>0</c:formatCode>
                <c:ptCount val="12"/>
                <c:pt idx="0">
                  <c:v>810</c:v>
                </c:pt>
                <c:pt idx="1">
                  <c:v>759</c:v>
                </c:pt>
                <c:pt idx="2">
                  <c:v>785</c:v>
                </c:pt>
                <c:pt idx="3">
                  <c:v>659</c:v>
                </c:pt>
                <c:pt idx="4">
                  <c:v>752</c:v>
                </c:pt>
                <c:pt idx="5">
                  <c:v>700</c:v>
                </c:pt>
                <c:pt idx="6">
                  <c:v>867</c:v>
                </c:pt>
                <c:pt idx="7">
                  <c:v>793</c:v>
                </c:pt>
                <c:pt idx="8">
                  <c:v>872</c:v>
                </c:pt>
                <c:pt idx="9">
                  <c:v>643</c:v>
                </c:pt>
                <c:pt idx="10">
                  <c:v>828</c:v>
                </c:pt>
                <c:pt idx="11">
                  <c:v>803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'24.07 BUSEGA-NATEETE'!$AF$9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'24.07 BUSEGA-NATEETE'!$R$10:$R$21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BUSEGA-NATEETE'!$AF$10:$AF$21</c:f>
              <c:numCache>
                <c:formatCode>0</c:formatCode>
                <c:ptCount val="12"/>
                <c:pt idx="0">
                  <c:v>1879</c:v>
                </c:pt>
                <c:pt idx="1">
                  <c:v>1754</c:v>
                </c:pt>
                <c:pt idx="2">
                  <c:v>1678</c:v>
                </c:pt>
                <c:pt idx="3">
                  <c:v>1477</c:v>
                </c:pt>
                <c:pt idx="4">
                  <c:v>1636</c:v>
                </c:pt>
                <c:pt idx="5">
                  <c:v>1466</c:v>
                </c:pt>
                <c:pt idx="6">
                  <c:v>1756</c:v>
                </c:pt>
                <c:pt idx="7">
                  <c:v>1571</c:v>
                </c:pt>
                <c:pt idx="8">
                  <c:v>1479</c:v>
                </c:pt>
                <c:pt idx="9">
                  <c:v>1387</c:v>
                </c:pt>
                <c:pt idx="10">
                  <c:v>1563</c:v>
                </c:pt>
                <c:pt idx="11">
                  <c:v>1488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08652928"/>
        <c:axId val="-1908660000"/>
      </c:lineChart>
      <c:catAx>
        <c:axId val="-190865292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08660000"/>
        <c:crosses val="autoZero"/>
        <c:auto val="1"/>
        <c:lblAlgn val="ctr"/>
        <c:lblOffset val="100"/>
        <c:noMultiLvlLbl val="0"/>
      </c:catAx>
      <c:valAx>
        <c:axId val="-19086600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08652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BUSEGA-NATEETE'!$C$9:$N$9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BUSEGA-NATEETE'!$C$59:$N$59</c:f>
              <c:numCache>
                <c:formatCode>0.0%</c:formatCode>
                <c:ptCount val="12"/>
                <c:pt idx="0">
                  <c:v>0.19285042333019756</c:v>
                </c:pt>
                <c:pt idx="1">
                  <c:v>2.0330302080066896E-2</c:v>
                </c:pt>
                <c:pt idx="2">
                  <c:v>2.4824918992369605E-2</c:v>
                </c:pt>
                <c:pt idx="3">
                  <c:v>0.16525556600815303</c:v>
                </c:pt>
                <c:pt idx="4">
                  <c:v>4.3900909375979933E-3</c:v>
                </c:pt>
                <c:pt idx="5">
                  <c:v>4.4946169123027072E-3</c:v>
                </c:pt>
                <c:pt idx="6">
                  <c:v>2.6026967701473815E-2</c:v>
                </c:pt>
                <c:pt idx="7">
                  <c:v>2.5190759903836103E-2</c:v>
                </c:pt>
                <c:pt idx="8">
                  <c:v>6.7941883558064178E-3</c:v>
                </c:pt>
                <c:pt idx="9">
                  <c:v>1.4372321521898192E-2</c:v>
                </c:pt>
                <c:pt idx="10">
                  <c:v>0.51546984425629772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BUSEGA-NATEETE'!$C$9:$N$9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BUSEGA-NATEETE'!$C$60:$N$60</c:f>
              <c:numCache>
                <c:formatCode>0.00%</c:formatCode>
                <c:ptCount val="12"/>
                <c:pt idx="0">
                  <c:v>0.39801531657857836</c:v>
                </c:pt>
                <c:pt idx="1">
                  <c:v>4.1958796246359613E-2</c:v>
                </c:pt>
                <c:pt idx="2">
                  <c:v>5.1235033976917269E-2</c:v>
                </c:pt>
                <c:pt idx="3">
                  <c:v>0.34106353144213136</c:v>
                </c:pt>
                <c:pt idx="4">
                  <c:v>9.0605112717074745E-3</c:v>
                </c:pt>
                <c:pt idx="5">
                  <c:v>9.2762377305576522E-3</c:v>
                </c:pt>
                <c:pt idx="6">
                  <c:v>5.3715888253694319E-2</c:v>
                </c:pt>
                <c:pt idx="7">
                  <c:v>5.199007658289289E-2</c:v>
                </c:pt>
                <c:pt idx="8">
                  <c:v>1.4022219825261568E-2</c:v>
                </c:pt>
                <c:pt idx="9">
                  <c:v>2.9662388091899472E-2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NATEETE-BUSEGA'!$AE$9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'25.07 NATEETE-BUSEGA'!$R$10:$R$21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NATEETE-BUSEGA'!$AE$10:$AE$21</c:f>
              <c:numCache>
                <c:formatCode>0</c:formatCode>
                <c:ptCount val="12"/>
                <c:pt idx="0">
                  <c:v>656</c:v>
                </c:pt>
                <c:pt idx="1">
                  <c:v>446</c:v>
                </c:pt>
                <c:pt idx="2">
                  <c:v>488</c:v>
                </c:pt>
                <c:pt idx="3">
                  <c:v>554</c:v>
                </c:pt>
                <c:pt idx="4">
                  <c:v>710</c:v>
                </c:pt>
                <c:pt idx="5">
                  <c:v>563</c:v>
                </c:pt>
                <c:pt idx="6">
                  <c:v>512</c:v>
                </c:pt>
                <c:pt idx="7">
                  <c:v>485</c:v>
                </c:pt>
                <c:pt idx="8">
                  <c:v>650</c:v>
                </c:pt>
                <c:pt idx="9">
                  <c:v>735</c:v>
                </c:pt>
                <c:pt idx="10">
                  <c:v>496</c:v>
                </c:pt>
                <c:pt idx="11">
                  <c:v>498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'25.07 NATEETE-BUSEGA'!$AF$9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'25.07 NATEETE-BUSEGA'!$R$10:$R$21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NATEETE-BUSEGA'!$AF$10:$AF$21</c:f>
              <c:numCache>
                <c:formatCode>0</c:formatCode>
                <c:ptCount val="12"/>
                <c:pt idx="0">
                  <c:v>1326</c:v>
                </c:pt>
                <c:pt idx="1">
                  <c:v>1125</c:v>
                </c:pt>
                <c:pt idx="2">
                  <c:v>1288</c:v>
                </c:pt>
                <c:pt idx="3">
                  <c:v>1339</c:v>
                </c:pt>
                <c:pt idx="4">
                  <c:v>1430</c:v>
                </c:pt>
                <c:pt idx="5">
                  <c:v>1308</c:v>
                </c:pt>
                <c:pt idx="6">
                  <c:v>1067</c:v>
                </c:pt>
                <c:pt idx="7">
                  <c:v>1250</c:v>
                </c:pt>
                <c:pt idx="8">
                  <c:v>1235</c:v>
                </c:pt>
                <c:pt idx="9">
                  <c:v>1515</c:v>
                </c:pt>
                <c:pt idx="10">
                  <c:v>1536</c:v>
                </c:pt>
                <c:pt idx="11">
                  <c:v>1653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08646944"/>
        <c:axId val="-1908649120"/>
      </c:lineChart>
      <c:catAx>
        <c:axId val="-19086469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08649120"/>
        <c:crosses val="autoZero"/>
        <c:auto val="1"/>
        <c:lblAlgn val="ctr"/>
        <c:lblOffset val="100"/>
        <c:noMultiLvlLbl val="0"/>
      </c:catAx>
      <c:valAx>
        <c:axId val="-19086491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08646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NATEETE-BUSEGA'!$C$9:$N$9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NATEETE-BUSEGA'!$C$59:$N$59</c:f>
              <c:numCache>
                <c:formatCode>0.0%</c:formatCode>
                <c:ptCount val="12"/>
                <c:pt idx="0">
                  <c:v>0.1521279243404679</c:v>
                </c:pt>
                <c:pt idx="1">
                  <c:v>1.7048282727725236E-2</c:v>
                </c:pt>
                <c:pt idx="2">
                  <c:v>1.9848183175709307E-2</c:v>
                </c:pt>
                <c:pt idx="3">
                  <c:v>0.16706072672971628</c:v>
                </c:pt>
                <c:pt idx="4">
                  <c:v>8.4619213539074162E-3</c:v>
                </c:pt>
                <c:pt idx="5">
                  <c:v>3.8576406172224987E-3</c:v>
                </c:pt>
                <c:pt idx="6">
                  <c:v>2.5261324041811847E-2</c:v>
                </c:pt>
                <c:pt idx="7">
                  <c:v>1.5057242409158785E-2</c:v>
                </c:pt>
                <c:pt idx="8">
                  <c:v>5.413140866102539E-3</c:v>
                </c:pt>
                <c:pt idx="9">
                  <c:v>8.5241413638626178E-3</c:v>
                </c:pt>
                <c:pt idx="10">
                  <c:v>0.5773394723743156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NATEETE-BUSEGA'!$S$9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'25.07 NATEETE-BUSEGA'!$R$10:$R$21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NATEETE-BUSEGA'!$S$10:$S$21</c:f>
              <c:numCache>
                <c:formatCode>0</c:formatCode>
                <c:ptCount val="12"/>
                <c:pt idx="0">
                  <c:v>241</c:v>
                </c:pt>
                <c:pt idx="1">
                  <c:v>121</c:v>
                </c:pt>
                <c:pt idx="2">
                  <c:v>153</c:v>
                </c:pt>
                <c:pt idx="3">
                  <c:v>189</c:v>
                </c:pt>
                <c:pt idx="4">
                  <c:v>273</c:v>
                </c:pt>
                <c:pt idx="5">
                  <c:v>177</c:v>
                </c:pt>
                <c:pt idx="6">
                  <c:v>193</c:v>
                </c:pt>
                <c:pt idx="7">
                  <c:v>168</c:v>
                </c:pt>
                <c:pt idx="8">
                  <c:v>209</c:v>
                </c:pt>
                <c:pt idx="9">
                  <c:v>279</c:v>
                </c:pt>
                <c:pt idx="10">
                  <c:v>214</c:v>
                </c:pt>
                <c:pt idx="11">
                  <c:v>228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'25.07 NATEETE-BUSEGA'!$T$9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'25.07 NATEETE-BUSEGA'!$R$10:$R$21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NATEETE-BUSEGA'!$T$10:$T$21</c:f>
              <c:numCache>
                <c:formatCode>0</c:formatCode>
                <c:ptCount val="12"/>
                <c:pt idx="0">
                  <c:v>28</c:v>
                </c:pt>
                <c:pt idx="1">
                  <c:v>21</c:v>
                </c:pt>
                <c:pt idx="2">
                  <c:v>16</c:v>
                </c:pt>
                <c:pt idx="3">
                  <c:v>15</c:v>
                </c:pt>
                <c:pt idx="4">
                  <c:v>20</c:v>
                </c:pt>
                <c:pt idx="5">
                  <c:v>21</c:v>
                </c:pt>
                <c:pt idx="6">
                  <c:v>16</c:v>
                </c:pt>
                <c:pt idx="7">
                  <c:v>22</c:v>
                </c:pt>
                <c:pt idx="8">
                  <c:v>24</c:v>
                </c:pt>
                <c:pt idx="9">
                  <c:v>29</c:v>
                </c:pt>
                <c:pt idx="10">
                  <c:v>29</c:v>
                </c:pt>
                <c:pt idx="11">
                  <c:v>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'25.07 NATEETE-BUSEGA'!$U$9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'25.07 NATEETE-BUSEGA'!$U$10:$U$21</c:f>
              <c:numCache>
                <c:formatCode>0</c:formatCode>
                <c:ptCount val="12"/>
                <c:pt idx="0">
                  <c:v>17</c:v>
                </c:pt>
                <c:pt idx="1">
                  <c:v>17</c:v>
                </c:pt>
                <c:pt idx="2">
                  <c:v>30</c:v>
                </c:pt>
                <c:pt idx="3">
                  <c:v>22</c:v>
                </c:pt>
                <c:pt idx="4">
                  <c:v>26</c:v>
                </c:pt>
                <c:pt idx="5">
                  <c:v>33</c:v>
                </c:pt>
                <c:pt idx="6">
                  <c:v>19</c:v>
                </c:pt>
                <c:pt idx="7">
                  <c:v>34</c:v>
                </c:pt>
                <c:pt idx="8">
                  <c:v>24</c:v>
                </c:pt>
                <c:pt idx="9">
                  <c:v>43</c:v>
                </c:pt>
                <c:pt idx="10">
                  <c:v>18</c:v>
                </c:pt>
                <c:pt idx="1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'25.07 NATEETE-BUSEGA'!$V$9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'25.07 NATEETE-BUSEGA'!$V$10:$V$21</c:f>
              <c:numCache>
                <c:formatCode>0</c:formatCode>
                <c:ptCount val="12"/>
                <c:pt idx="0">
                  <c:v>277</c:v>
                </c:pt>
                <c:pt idx="1">
                  <c:v>214</c:v>
                </c:pt>
                <c:pt idx="2">
                  <c:v>225</c:v>
                </c:pt>
                <c:pt idx="3">
                  <c:v>247</c:v>
                </c:pt>
                <c:pt idx="4">
                  <c:v>285</c:v>
                </c:pt>
                <c:pt idx="5">
                  <c:v>217</c:v>
                </c:pt>
                <c:pt idx="6">
                  <c:v>199</c:v>
                </c:pt>
                <c:pt idx="7">
                  <c:v>170</c:v>
                </c:pt>
                <c:pt idx="8">
                  <c:v>282</c:v>
                </c:pt>
                <c:pt idx="9">
                  <c:v>297</c:v>
                </c:pt>
                <c:pt idx="10">
                  <c:v>149</c:v>
                </c:pt>
                <c:pt idx="11">
                  <c:v>123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'25.07 NATEETE-BUSEGA'!$W$9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'25.07 NATEETE-BUSEGA'!$W$10:$W$21</c:f>
              <c:numCache>
                <c:formatCode>0</c:formatCode>
                <c:ptCount val="12"/>
                <c:pt idx="0">
                  <c:v>23</c:v>
                </c:pt>
                <c:pt idx="1">
                  <c:v>5</c:v>
                </c:pt>
                <c:pt idx="2">
                  <c:v>11</c:v>
                </c:pt>
                <c:pt idx="3">
                  <c:v>7</c:v>
                </c:pt>
                <c:pt idx="4">
                  <c:v>21</c:v>
                </c:pt>
                <c:pt idx="5">
                  <c:v>3</c:v>
                </c:pt>
                <c:pt idx="6">
                  <c:v>7</c:v>
                </c:pt>
                <c:pt idx="7">
                  <c:v>17</c:v>
                </c:pt>
                <c:pt idx="8">
                  <c:v>13</c:v>
                </c:pt>
                <c:pt idx="9">
                  <c:v>23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'25.07 NATEETE-BUSEGA'!$X$9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'25.07 NATEETE-BUSEGA'!$X$10:$X$21</c:f>
              <c:numCache>
                <c:formatCode>0</c:formatCode>
                <c:ptCount val="12"/>
                <c:pt idx="0">
                  <c:v>7</c:v>
                </c:pt>
                <c:pt idx="1">
                  <c:v>8</c:v>
                </c:pt>
                <c:pt idx="2">
                  <c:v>4</c:v>
                </c:pt>
                <c:pt idx="3">
                  <c:v>3</c:v>
                </c:pt>
                <c:pt idx="4">
                  <c:v>8</c:v>
                </c:pt>
                <c:pt idx="5">
                  <c:v>9</c:v>
                </c:pt>
                <c:pt idx="6">
                  <c:v>5</c:v>
                </c:pt>
                <c:pt idx="7">
                  <c:v>4</c:v>
                </c:pt>
                <c:pt idx="8">
                  <c:v>7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'25.07 NATEETE-BUSEGA'!$Y$9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NATEETE-BUSEGA'!$Y$10:$Y$21</c:f>
              <c:numCache>
                <c:formatCode>0</c:formatCode>
                <c:ptCount val="12"/>
                <c:pt idx="0">
                  <c:v>35</c:v>
                </c:pt>
                <c:pt idx="1">
                  <c:v>28</c:v>
                </c:pt>
                <c:pt idx="2">
                  <c:v>26</c:v>
                </c:pt>
                <c:pt idx="3">
                  <c:v>38</c:v>
                </c:pt>
                <c:pt idx="4">
                  <c:v>31</c:v>
                </c:pt>
                <c:pt idx="5">
                  <c:v>48</c:v>
                </c:pt>
                <c:pt idx="6">
                  <c:v>33</c:v>
                </c:pt>
                <c:pt idx="7">
                  <c:v>37</c:v>
                </c:pt>
                <c:pt idx="8">
                  <c:v>40</c:v>
                </c:pt>
                <c:pt idx="9">
                  <c:v>30</c:v>
                </c:pt>
                <c:pt idx="10">
                  <c:v>34</c:v>
                </c:pt>
                <c:pt idx="11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'25.07 NATEETE-BUSEGA'!$Z$9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NATEETE-BUSEGA'!$Z$10:$Z$21</c:f>
              <c:numCache>
                <c:formatCode>0</c:formatCode>
                <c:ptCount val="12"/>
                <c:pt idx="0">
                  <c:v>16</c:v>
                </c:pt>
                <c:pt idx="1">
                  <c:v>20</c:v>
                </c:pt>
                <c:pt idx="2">
                  <c:v>10</c:v>
                </c:pt>
                <c:pt idx="3">
                  <c:v>24</c:v>
                </c:pt>
                <c:pt idx="4">
                  <c:v>27</c:v>
                </c:pt>
                <c:pt idx="5">
                  <c:v>24</c:v>
                </c:pt>
                <c:pt idx="6">
                  <c:v>24</c:v>
                </c:pt>
                <c:pt idx="7">
                  <c:v>19</c:v>
                </c:pt>
                <c:pt idx="8">
                  <c:v>23</c:v>
                </c:pt>
                <c:pt idx="9">
                  <c:v>10</c:v>
                </c:pt>
                <c:pt idx="10">
                  <c:v>19</c:v>
                </c:pt>
                <c:pt idx="11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'25.07 NATEETE-BUSEGA'!$AA$9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NATEETE-BUSEGA'!$AA$10:$AA$21</c:f>
              <c:numCache>
                <c:formatCode>0</c:formatCode>
                <c:ptCount val="12"/>
                <c:pt idx="0">
                  <c:v>4</c:v>
                </c:pt>
                <c:pt idx="1">
                  <c:v>6</c:v>
                </c:pt>
                <c:pt idx="2">
                  <c:v>6</c:v>
                </c:pt>
                <c:pt idx="3">
                  <c:v>4</c:v>
                </c:pt>
                <c:pt idx="4">
                  <c:v>6</c:v>
                </c:pt>
                <c:pt idx="5">
                  <c:v>10</c:v>
                </c:pt>
                <c:pt idx="6">
                  <c:v>4</c:v>
                </c:pt>
                <c:pt idx="7">
                  <c:v>6</c:v>
                </c:pt>
                <c:pt idx="8">
                  <c:v>15</c:v>
                </c:pt>
                <c:pt idx="9">
                  <c:v>2</c:v>
                </c:pt>
                <c:pt idx="10">
                  <c:v>13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'25.07 NATEETE-BUSEGA'!$AB$9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NATEETE-BUSEGA'!$AB$10:$AB$21</c:f>
              <c:numCache>
                <c:formatCode>0</c:formatCode>
                <c:ptCount val="12"/>
                <c:pt idx="0">
                  <c:v>8</c:v>
                </c:pt>
                <c:pt idx="1">
                  <c:v>6</c:v>
                </c:pt>
                <c:pt idx="2">
                  <c:v>7</c:v>
                </c:pt>
                <c:pt idx="3">
                  <c:v>5</c:v>
                </c:pt>
                <c:pt idx="4">
                  <c:v>13</c:v>
                </c:pt>
                <c:pt idx="5">
                  <c:v>21</c:v>
                </c:pt>
                <c:pt idx="6">
                  <c:v>12</c:v>
                </c:pt>
                <c:pt idx="7">
                  <c:v>8</c:v>
                </c:pt>
                <c:pt idx="8">
                  <c:v>13</c:v>
                </c:pt>
                <c:pt idx="9">
                  <c:v>18</c:v>
                </c:pt>
                <c:pt idx="10">
                  <c:v>15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'25.07 NATEETE-BUSEGA'!$AC$9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NATEETE-BUSEGA'!$AC$10:$AC$21</c:f>
              <c:numCache>
                <c:formatCode>0</c:formatCode>
                <c:ptCount val="12"/>
                <c:pt idx="0">
                  <c:v>670</c:v>
                </c:pt>
                <c:pt idx="1">
                  <c:v>679</c:v>
                </c:pt>
                <c:pt idx="2">
                  <c:v>800</c:v>
                </c:pt>
                <c:pt idx="3">
                  <c:v>785</c:v>
                </c:pt>
                <c:pt idx="4">
                  <c:v>720</c:v>
                </c:pt>
                <c:pt idx="5">
                  <c:v>745</c:v>
                </c:pt>
                <c:pt idx="6">
                  <c:v>555</c:v>
                </c:pt>
                <c:pt idx="7">
                  <c:v>765</c:v>
                </c:pt>
                <c:pt idx="8">
                  <c:v>585</c:v>
                </c:pt>
                <c:pt idx="9">
                  <c:v>780</c:v>
                </c:pt>
                <c:pt idx="10">
                  <c:v>1040</c:v>
                </c:pt>
                <c:pt idx="11">
                  <c:v>1155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'25.07 NATEETE-BUSEGA'!$AD$9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NATEETE-BUSEGA'!$AD$10:$AD$21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908650208"/>
        <c:axId val="-1908658368"/>
      </c:lineChart>
      <c:catAx>
        <c:axId val="-190865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08658368"/>
        <c:crosses val="autoZero"/>
        <c:auto val="1"/>
        <c:lblAlgn val="ctr"/>
        <c:lblOffset val="100"/>
        <c:noMultiLvlLbl val="0"/>
      </c:catAx>
      <c:valAx>
        <c:axId val="-1908658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08650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NATEETE-BUSEGA'!$C$9:$N$9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NATEETE-BUSEGA'!$C$60:$N$60</c:f>
              <c:numCache>
                <c:formatCode>0.00%</c:formatCode>
                <c:ptCount val="12"/>
                <c:pt idx="0">
                  <c:v>0.35992933902546737</c:v>
                </c:pt>
                <c:pt idx="1">
                  <c:v>4.0335639629029883E-2</c:v>
                </c:pt>
                <c:pt idx="2">
                  <c:v>4.6960105991461797E-2</c:v>
                </c:pt>
                <c:pt idx="3">
                  <c:v>0.39525982629177092</c:v>
                </c:pt>
                <c:pt idx="4">
                  <c:v>2.0020609450905343E-2</c:v>
                </c:pt>
                <c:pt idx="5">
                  <c:v>9.1270425437950838E-3</c:v>
                </c:pt>
                <c:pt idx="6">
                  <c:v>5.9767407625496836E-2</c:v>
                </c:pt>
                <c:pt idx="7">
                  <c:v>3.5624907993522741E-2</c:v>
                </c:pt>
                <c:pt idx="8">
                  <c:v>1.2807301634035036E-2</c:v>
                </c:pt>
                <c:pt idx="9">
                  <c:v>2.0167819814514942E-2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BUSEGA-NATEETE'!$AE$9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'25.07 BUSEGA-NATEETE'!$R$10:$R$21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BUSEGA-NATEETE'!$AE$10:$AE$21</c:f>
              <c:numCache>
                <c:formatCode>0</c:formatCode>
                <c:ptCount val="12"/>
                <c:pt idx="0">
                  <c:v>806</c:v>
                </c:pt>
                <c:pt idx="1">
                  <c:v>937</c:v>
                </c:pt>
                <c:pt idx="2">
                  <c:v>915</c:v>
                </c:pt>
                <c:pt idx="3">
                  <c:v>841</c:v>
                </c:pt>
                <c:pt idx="4">
                  <c:v>696</c:v>
                </c:pt>
                <c:pt idx="5">
                  <c:v>678</c:v>
                </c:pt>
                <c:pt idx="6">
                  <c:v>751</c:v>
                </c:pt>
                <c:pt idx="7">
                  <c:v>549</c:v>
                </c:pt>
                <c:pt idx="8">
                  <c:v>542</c:v>
                </c:pt>
                <c:pt idx="9">
                  <c:v>696</c:v>
                </c:pt>
                <c:pt idx="10">
                  <c:v>760</c:v>
                </c:pt>
                <c:pt idx="11">
                  <c:v>746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'25.07 BUSEGA-NATEETE'!$AF$9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'25.07 BUSEGA-NATEETE'!$R$10:$R$21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BUSEGA-NATEETE'!$AF$10:$AF$21</c:f>
              <c:numCache>
                <c:formatCode>0</c:formatCode>
                <c:ptCount val="12"/>
                <c:pt idx="0">
                  <c:v>1885</c:v>
                </c:pt>
                <c:pt idx="1">
                  <c:v>2429</c:v>
                </c:pt>
                <c:pt idx="2">
                  <c:v>2130</c:v>
                </c:pt>
                <c:pt idx="3">
                  <c:v>2180</c:v>
                </c:pt>
                <c:pt idx="4">
                  <c:v>1637</c:v>
                </c:pt>
                <c:pt idx="5">
                  <c:v>1448</c:v>
                </c:pt>
                <c:pt idx="6">
                  <c:v>1633</c:v>
                </c:pt>
                <c:pt idx="7">
                  <c:v>1490</c:v>
                </c:pt>
                <c:pt idx="8">
                  <c:v>1391</c:v>
                </c:pt>
                <c:pt idx="9">
                  <c:v>1426</c:v>
                </c:pt>
                <c:pt idx="10">
                  <c:v>1434</c:v>
                </c:pt>
                <c:pt idx="11">
                  <c:v>1374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08651840"/>
        <c:axId val="-149151376"/>
      </c:lineChart>
      <c:catAx>
        <c:axId val="-19086518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9151376"/>
        <c:crosses val="autoZero"/>
        <c:auto val="1"/>
        <c:lblAlgn val="ctr"/>
        <c:lblOffset val="100"/>
        <c:noMultiLvlLbl val="0"/>
      </c:catAx>
      <c:valAx>
        <c:axId val="-1491513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08651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BUSEGA-NATEETE'!$C$9:$N$9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BUSEGA-NATEETE'!$C$59:$N$59</c:f>
              <c:numCache>
                <c:formatCode>0.0%</c:formatCode>
                <c:ptCount val="12"/>
                <c:pt idx="0">
                  <c:v>0.17368138045656745</c:v>
                </c:pt>
                <c:pt idx="1">
                  <c:v>2.4930341692330254E-2</c:v>
                </c:pt>
                <c:pt idx="2">
                  <c:v>1.7255707092926627E-2</c:v>
                </c:pt>
                <c:pt idx="3">
                  <c:v>0.14928875201642469</c:v>
                </c:pt>
                <c:pt idx="4">
                  <c:v>3.8617588111648825E-3</c:v>
                </c:pt>
                <c:pt idx="5">
                  <c:v>6.4525590262501835E-3</c:v>
                </c:pt>
                <c:pt idx="6">
                  <c:v>2.1997360316761989E-2</c:v>
                </c:pt>
                <c:pt idx="7">
                  <c:v>1.7891186390966419E-2</c:v>
                </c:pt>
                <c:pt idx="8">
                  <c:v>8.8967101725570714E-3</c:v>
                </c:pt>
                <c:pt idx="9">
                  <c:v>1.1634159456420785E-2</c:v>
                </c:pt>
                <c:pt idx="10">
                  <c:v>0.56411008456762968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BUSEGA-NATEETE'!$S$9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'25.07 BUSEGA-NATEETE'!$R$10:$R$21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BUSEGA-NATEETE'!$S$10:$S$21</c:f>
              <c:numCache>
                <c:formatCode>0</c:formatCode>
                <c:ptCount val="12"/>
                <c:pt idx="0">
                  <c:v>391</c:v>
                </c:pt>
                <c:pt idx="1">
                  <c:v>461</c:v>
                </c:pt>
                <c:pt idx="2">
                  <c:v>442</c:v>
                </c:pt>
                <c:pt idx="3">
                  <c:v>371</c:v>
                </c:pt>
                <c:pt idx="4">
                  <c:v>285</c:v>
                </c:pt>
                <c:pt idx="5">
                  <c:v>275</c:v>
                </c:pt>
                <c:pt idx="6">
                  <c:v>319</c:v>
                </c:pt>
                <c:pt idx="7">
                  <c:v>196</c:v>
                </c:pt>
                <c:pt idx="8">
                  <c:v>190</c:v>
                </c:pt>
                <c:pt idx="9">
                  <c:v>193</c:v>
                </c:pt>
                <c:pt idx="10">
                  <c:v>236</c:v>
                </c:pt>
                <c:pt idx="11">
                  <c:v>194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'25.07 BUSEGA-NATEETE'!$T$9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'25.07 BUSEGA-NATEETE'!$R$10:$R$21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BUSEGA-NATEETE'!$T$10:$T$21</c:f>
              <c:numCache>
                <c:formatCode>0</c:formatCode>
                <c:ptCount val="12"/>
                <c:pt idx="0">
                  <c:v>44</c:v>
                </c:pt>
                <c:pt idx="1">
                  <c:v>48</c:v>
                </c:pt>
                <c:pt idx="2">
                  <c:v>43</c:v>
                </c:pt>
                <c:pt idx="3">
                  <c:v>39</c:v>
                </c:pt>
                <c:pt idx="4">
                  <c:v>59</c:v>
                </c:pt>
                <c:pt idx="5">
                  <c:v>58</c:v>
                </c:pt>
                <c:pt idx="6">
                  <c:v>50</c:v>
                </c:pt>
                <c:pt idx="7">
                  <c:v>27</c:v>
                </c:pt>
                <c:pt idx="8">
                  <c:v>31</c:v>
                </c:pt>
                <c:pt idx="9">
                  <c:v>38</c:v>
                </c:pt>
                <c:pt idx="10">
                  <c:v>34</c:v>
                </c:pt>
                <c:pt idx="11">
                  <c:v>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'25.07 BUSEGA-NATEETE'!$U$9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'25.07 BUSEGA-NATEETE'!$U$10:$U$21</c:f>
              <c:numCache>
                <c:formatCode>0</c:formatCode>
                <c:ptCount val="12"/>
                <c:pt idx="0">
                  <c:v>36</c:v>
                </c:pt>
                <c:pt idx="1">
                  <c:v>21</c:v>
                </c:pt>
                <c:pt idx="2">
                  <c:v>32</c:v>
                </c:pt>
                <c:pt idx="3">
                  <c:v>25</c:v>
                </c:pt>
                <c:pt idx="4">
                  <c:v>17</c:v>
                </c:pt>
                <c:pt idx="5">
                  <c:v>24</c:v>
                </c:pt>
                <c:pt idx="6">
                  <c:v>19</c:v>
                </c:pt>
                <c:pt idx="7">
                  <c:v>24</c:v>
                </c:pt>
                <c:pt idx="8">
                  <c:v>31</c:v>
                </c:pt>
                <c:pt idx="9">
                  <c:v>22</c:v>
                </c:pt>
                <c:pt idx="10">
                  <c:v>76</c:v>
                </c:pt>
                <c:pt idx="11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'25.07 BUSEGA-NATEETE'!$V$9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'25.07 BUSEGA-NATEETE'!$V$10:$V$21</c:f>
              <c:numCache>
                <c:formatCode>0</c:formatCode>
                <c:ptCount val="12"/>
                <c:pt idx="0">
                  <c:v>253</c:v>
                </c:pt>
                <c:pt idx="1">
                  <c:v>316</c:v>
                </c:pt>
                <c:pt idx="2">
                  <c:v>308</c:v>
                </c:pt>
                <c:pt idx="3">
                  <c:v>334</c:v>
                </c:pt>
                <c:pt idx="4">
                  <c:v>260</c:v>
                </c:pt>
                <c:pt idx="5">
                  <c:v>250</c:v>
                </c:pt>
                <c:pt idx="6">
                  <c:v>294</c:v>
                </c:pt>
                <c:pt idx="7">
                  <c:v>215</c:v>
                </c:pt>
                <c:pt idx="8">
                  <c:v>184</c:v>
                </c:pt>
                <c:pt idx="9">
                  <c:v>149</c:v>
                </c:pt>
                <c:pt idx="10">
                  <c:v>213</c:v>
                </c:pt>
                <c:pt idx="11">
                  <c:v>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'25.07 BUSEGA-NATEETE'!$W$9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'25.07 BUSEGA-NATEETE'!$W$10:$W$21</c:f>
              <c:numCache>
                <c:formatCode>0</c:formatCode>
                <c:ptCount val="12"/>
                <c:pt idx="0">
                  <c:v>24</c:v>
                </c:pt>
                <c:pt idx="1">
                  <c:v>7</c:v>
                </c:pt>
                <c:pt idx="2">
                  <c:v>16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  <c:pt idx="6">
                  <c:v>1</c:v>
                </c:pt>
                <c:pt idx="7">
                  <c:v>3</c:v>
                </c:pt>
                <c:pt idx="8">
                  <c:v>4</c:v>
                </c:pt>
                <c:pt idx="9">
                  <c:v>2</c:v>
                </c:pt>
                <c:pt idx="10">
                  <c:v>4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'25.07 BUSEGA-NATEETE'!$X$9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'25.07 BUSEGA-NATEETE'!$X$10:$X$21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1</c:v>
                </c:pt>
                <c:pt idx="4">
                  <c:v>2</c:v>
                </c:pt>
                <c:pt idx="5">
                  <c:v>4</c:v>
                </c:pt>
                <c:pt idx="6">
                  <c:v>3</c:v>
                </c:pt>
                <c:pt idx="7">
                  <c:v>5</c:v>
                </c:pt>
                <c:pt idx="8">
                  <c:v>6</c:v>
                </c:pt>
                <c:pt idx="9">
                  <c:v>36</c:v>
                </c:pt>
                <c:pt idx="10">
                  <c:v>37</c:v>
                </c:pt>
                <c:pt idx="1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'25.07 BUSEGA-NATEETE'!$Y$9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BUSEGA-NATEETE'!$Y$10:$Y$21</c:f>
              <c:numCache>
                <c:formatCode>0</c:formatCode>
                <c:ptCount val="12"/>
                <c:pt idx="0">
                  <c:v>29</c:v>
                </c:pt>
                <c:pt idx="1">
                  <c:v>31</c:v>
                </c:pt>
                <c:pt idx="2">
                  <c:v>30</c:v>
                </c:pt>
                <c:pt idx="3">
                  <c:v>35</c:v>
                </c:pt>
                <c:pt idx="4">
                  <c:v>34</c:v>
                </c:pt>
                <c:pt idx="5">
                  <c:v>29</c:v>
                </c:pt>
                <c:pt idx="6">
                  <c:v>29</c:v>
                </c:pt>
                <c:pt idx="7">
                  <c:v>38</c:v>
                </c:pt>
                <c:pt idx="8">
                  <c:v>39</c:v>
                </c:pt>
                <c:pt idx="9">
                  <c:v>70</c:v>
                </c:pt>
                <c:pt idx="10">
                  <c:v>26</c:v>
                </c:pt>
                <c:pt idx="11">
                  <c:v>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'25.07 BUSEGA-NATEETE'!$Z$9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BUSEGA-NATEETE'!$Z$10:$Z$21</c:f>
              <c:numCache>
                <c:formatCode>0</c:formatCode>
                <c:ptCount val="12"/>
                <c:pt idx="0">
                  <c:v>22</c:v>
                </c:pt>
                <c:pt idx="1">
                  <c:v>32</c:v>
                </c:pt>
                <c:pt idx="2">
                  <c:v>24</c:v>
                </c:pt>
                <c:pt idx="3">
                  <c:v>22</c:v>
                </c:pt>
                <c:pt idx="4">
                  <c:v>19</c:v>
                </c:pt>
                <c:pt idx="5">
                  <c:v>20</c:v>
                </c:pt>
                <c:pt idx="6">
                  <c:v>16</c:v>
                </c:pt>
                <c:pt idx="7">
                  <c:v>22</c:v>
                </c:pt>
                <c:pt idx="8">
                  <c:v>23</c:v>
                </c:pt>
                <c:pt idx="9">
                  <c:v>61</c:v>
                </c:pt>
                <c:pt idx="10">
                  <c:v>43</c:v>
                </c:pt>
                <c:pt idx="11">
                  <c:v>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'25.07 BUSEGA-NATEETE'!$AA$9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BUSEGA-NATEETE'!$AA$10:$AA$21</c:f>
              <c:numCache>
                <c:formatCode>0</c:formatCode>
                <c:ptCount val="12"/>
                <c:pt idx="0">
                  <c:v>2</c:v>
                </c:pt>
                <c:pt idx="1">
                  <c:v>11</c:v>
                </c:pt>
                <c:pt idx="2">
                  <c:v>7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6</c:v>
                </c:pt>
                <c:pt idx="7">
                  <c:v>9</c:v>
                </c:pt>
                <c:pt idx="8">
                  <c:v>16</c:v>
                </c:pt>
                <c:pt idx="9">
                  <c:v>47</c:v>
                </c:pt>
                <c:pt idx="10">
                  <c:v>40</c:v>
                </c:pt>
                <c:pt idx="1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'25.07 BUSEGA-NATEETE'!$AB$9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BUSEGA-NATEETE'!$AB$10:$AB$21</c:f>
              <c:numCache>
                <c:formatCode>0</c:formatCode>
                <c:ptCount val="12"/>
                <c:pt idx="0">
                  <c:v>4</c:v>
                </c:pt>
                <c:pt idx="1">
                  <c:v>8</c:v>
                </c:pt>
                <c:pt idx="2">
                  <c:v>10</c:v>
                </c:pt>
                <c:pt idx="3">
                  <c:v>3</c:v>
                </c:pt>
                <c:pt idx="4">
                  <c:v>12</c:v>
                </c:pt>
                <c:pt idx="5">
                  <c:v>11</c:v>
                </c:pt>
                <c:pt idx="6">
                  <c:v>14</c:v>
                </c:pt>
                <c:pt idx="7">
                  <c:v>10</c:v>
                </c:pt>
                <c:pt idx="8">
                  <c:v>18</c:v>
                </c:pt>
                <c:pt idx="9">
                  <c:v>78</c:v>
                </c:pt>
                <c:pt idx="10">
                  <c:v>51</c:v>
                </c:pt>
                <c:pt idx="11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'25.07 BUSEGA-NATEETE'!$AC$9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BUSEGA-NATEETE'!$AC$10:$AC$21</c:f>
              <c:numCache>
                <c:formatCode>0</c:formatCode>
                <c:ptCount val="12"/>
                <c:pt idx="0">
                  <c:v>1079</c:v>
                </c:pt>
                <c:pt idx="1">
                  <c:v>1492</c:v>
                </c:pt>
                <c:pt idx="2">
                  <c:v>1215</c:v>
                </c:pt>
                <c:pt idx="3">
                  <c:v>1339</c:v>
                </c:pt>
                <c:pt idx="4">
                  <c:v>941</c:v>
                </c:pt>
                <c:pt idx="5">
                  <c:v>770</c:v>
                </c:pt>
                <c:pt idx="6">
                  <c:v>882</c:v>
                </c:pt>
                <c:pt idx="7">
                  <c:v>941</c:v>
                </c:pt>
                <c:pt idx="8">
                  <c:v>849</c:v>
                </c:pt>
                <c:pt idx="9">
                  <c:v>730</c:v>
                </c:pt>
                <c:pt idx="10">
                  <c:v>674</c:v>
                </c:pt>
                <c:pt idx="11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'25.07 BUSEGA-NATEETE'!$AD$9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BUSEGA-NATEETE'!$AD$10:$AD$21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9148656"/>
        <c:axId val="-149153552"/>
      </c:lineChart>
      <c:catAx>
        <c:axId val="-1491486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9153552"/>
        <c:crosses val="autoZero"/>
        <c:auto val="1"/>
        <c:lblAlgn val="ctr"/>
        <c:lblOffset val="100"/>
        <c:noMultiLvlLbl val="0"/>
      </c:catAx>
      <c:valAx>
        <c:axId val="-149153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9148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BUSEGA-NATEETE'!$C$9:$N$9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BUSEGA-NATEETE'!$C$60:$N$60</c:f>
              <c:numCache>
                <c:formatCode>0.00%</c:formatCode>
                <c:ptCount val="12"/>
                <c:pt idx="0">
                  <c:v>0.39845239430301671</c:v>
                </c:pt>
                <c:pt idx="1">
                  <c:v>5.7194123584165077E-2</c:v>
                </c:pt>
                <c:pt idx="2">
                  <c:v>3.9587305147471122E-2</c:v>
                </c:pt>
                <c:pt idx="3">
                  <c:v>0.34249186946282384</c:v>
                </c:pt>
                <c:pt idx="4">
                  <c:v>8.8594818885275317E-3</c:v>
                </c:pt>
                <c:pt idx="5">
                  <c:v>1.4803184927666255E-2</c:v>
                </c:pt>
                <c:pt idx="6">
                  <c:v>5.0465403162498597E-2</c:v>
                </c:pt>
                <c:pt idx="7">
                  <c:v>4.1045194572165523E-2</c:v>
                </c:pt>
                <c:pt idx="8">
                  <c:v>2.0410451945721657E-2</c:v>
                </c:pt>
                <c:pt idx="9">
                  <c:v>2.6690591005943703E-2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'26.07 NATEETE-BUSEGA'!$AE$9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'26.07 NATEETE-BUSEGA'!$R$10:$R$33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NATEETE-BUSEGA'!$AE$10:$AE$33</c:f>
              <c:numCache>
                <c:formatCode>0</c:formatCode>
                <c:ptCount val="24"/>
                <c:pt idx="0">
                  <c:v>415</c:v>
                </c:pt>
                <c:pt idx="1">
                  <c:v>446</c:v>
                </c:pt>
                <c:pt idx="2">
                  <c:v>454</c:v>
                </c:pt>
                <c:pt idx="3">
                  <c:v>539</c:v>
                </c:pt>
                <c:pt idx="4">
                  <c:v>526</c:v>
                </c:pt>
                <c:pt idx="5">
                  <c:v>603</c:v>
                </c:pt>
                <c:pt idx="6">
                  <c:v>607</c:v>
                </c:pt>
                <c:pt idx="7">
                  <c:v>559</c:v>
                </c:pt>
                <c:pt idx="8">
                  <c:v>574</c:v>
                </c:pt>
                <c:pt idx="9">
                  <c:v>530</c:v>
                </c:pt>
                <c:pt idx="10">
                  <c:v>528</c:v>
                </c:pt>
                <c:pt idx="11">
                  <c:v>514</c:v>
                </c:pt>
                <c:pt idx="12">
                  <c:v>421</c:v>
                </c:pt>
                <c:pt idx="13">
                  <c:v>426</c:v>
                </c:pt>
                <c:pt idx="14">
                  <c:v>362</c:v>
                </c:pt>
                <c:pt idx="15">
                  <c:v>529</c:v>
                </c:pt>
                <c:pt idx="16">
                  <c:v>439</c:v>
                </c:pt>
                <c:pt idx="17">
                  <c:v>273</c:v>
                </c:pt>
                <c:pt idx="18">
                  <c:v>197</c:v>
                </c:pt>
                <c:pt idx="19">
                  <c:v>86</c:v>
                </c:pt>
                <c:pt idx="20">
                  <c:v>60</c:v>
                </c:pt>
                <c:pt idx="21">
                  <c:v>108</c:v>
                </c:pt>
                <c:pt idx="22">
                  <c:v>170</c:v>
                </c:pt>
                <c:pt idx="23">
                  <c:v>396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'26.07 NATEETE-BUSEGA'!$AF$9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'26.07 NATEETE-BUSEGA'!$R$10:$R$33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NATEETE-BUSEGA'!$AF$10:$AF$33</c:f>
              <c:numCache>
                <c:formatCode>0</c:formatCode>
                <c:ptCount val="24"/>
                <c:pt idx="0">
                  <c:v>1625</c:v>
                </c:pt>
                <c:pt idx="1">
                  <c:v>1596</c:v>
                </c:pt>
                <c:pt idx="2">
                  <c:v>1509</c:v>
                </c:pt>
                <c:pt idx="3">
                  <c:v>1398</c:v>
                </c:pt>
                <c:pt idx="4">
                  <c:v>1171</c:v>
                </c:pt>
                <c:pt idx="5">
                  <c:v>1198</c:v>
                </c:pt>
                <c:pt idx="6">
                  <c:v>1242</c:v>
                </c:pt>
                <c:pt idx="7">
                  <c:v>1244</c:v>
                </c:pt>
                <c:pt idx="8">
                  <c:v>1409</c:v>
                </c:pt>
                <c:pt idx="9">
                  <c:v>1345</c:v>
                </c:pt>
                <c:pt idx="10">
                  <c:v>1503</c:v>
                </c:pt>
                <c:pt idx="11">
                  <c:v>1434</c:v>
                </c:pt>
                <c:pt idx="12">
                  <c:v>1579</c:v>
                </c:pt>
                <c:pt idx="13">
                  <c:v>1646</c:v>
                </c:pt>
                <c:pt idx="14">
                  <c:v>1816</c:v>
                </c:pt>
                <c:pt idx="15">
                  <c:v>1886</c:v>
                </c:pt>
                <c:pt idx="16">
                  <c:v>1517</c:v>
                </c:pt>
                <c:pt idx="17">
                  <c:v>783</c:v>
                </c:pt>
                <c:pt idx="18">
                  <c:v>400</c:v>
                </c:pt>
                <c:pt idx="19">
                  <c:v>215</c:v>
                </c:pt>
                <c:pt idx="20">
                  <c:v>183</c:v>
                </c:pt>
                <c:pt idx="21">
                  <c:v>206</c:v>
                </c:pt>
                <c:pt idx="22">
                  <c:v>362</c:v>
                </c:pt>
                <c:pt idx="23">
                  <c:v>658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9141040"/>
        <c:axId val="-149152464"/>
      </c:lineChart>
      <c:catAx>
        <c:axId val="-1491410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9152464"/>
        <c:crosses val="autoZero"/>
        <c:auto val="1"/>
        <c:lblAlgn val="ctr"/>
        <c:lblOffset val="100"/>
        <c:noMultiLvlLbl val="0"/>
      </c:catAx>
      <c:valAx>
        <c:axId val="-14915246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9141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NATEETE-BUSEGA'!$C$9:$N$9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NATEETE-BUSEGA'!$C$107:$N$107</c:f>
              <c:numCache>
                <c:formatCode>0.0%</c:formatCode>
                <c:ptCount val="12"/>
                <c:pt idx="0">
                  <c:v>0.14195165622202327</c:v>
                </c:pt>
                <c:pt idx="1">
                  <c:v>2.1629364368845119E-2</c:v>
                </c:pt>
                <c:pt idx="2">
                  <c:v>1.9588182632050134E-2</c:v>
                </c:pt>
                <c:pt idx="3">
                  <c:v>0.11033124440465533</c:v>
                </c:pt>
                <c:pt idx="4">
                  <c:v>3.2587287376902416E-3</c:v>
                </c:pt>
                <c:pt idx="5">
                  <c:v>4.6911369740376008E-3</c:v>
                </c:pt>
                <c:pt idx="6">
                  <c:v>2.1915846016114592E-2</c:v>
                </c:pt>
                <c:pt idx="7">
                  <c:v>1.4252461951656222E-2</c:v>
                </c:pt>
                <c:pt idx="8">
                  <c:v>5.4431512981199639E-3</c:v>
                </c:pt>
                <c:pt idx="9">
                  <c:v>6.4816472694717991E-3</c:v>
                </c:pt>
                <c:pt idx="10">
                  <c:v>0.65042076991942699</c:v>
                </c:pt>
                <c:pt idx="11">
                  <c:v>3.5810205908683974E-5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NATEETE-BUSEGA'!$C$9:$N$9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NATEETE-BUSEGA'!$C$108:$N$108</c:f>
              <c:numCache>
                <c:formatCode>0.00%</c:formatCode>
                <c:ptCount val="12"/>
                <c:pt idx="0">
                  <c:v>0.40606433107969681</c:v>
                </c:pt>
                <c:pt idx="1">
                  <c:v>6.1872567096906368E-2</c:v>
                </c:pt>
                <c:pt idx="2">
                  <c:v>5.6033599672198321E-2</c:v>
                </c:pt>
                <c:pt idx="3">
                  <c:v>0.31561155500921945</c:v>
                </c:pt>
                <c:pt idx="4">
                  <c:v>9.3218602745339073E-3</c:v>
                </c:pt>
                <c:pt idx="5">
                  <c:v>1.3419381274329031E-2</c:v>
                </c:pt>
                <c:pt idx="6">
                  <c:v>6.2692071296865395E-2</c:v>
                </c:pt>
                <c:pt idx="7">
                  <c:v>4.0770333947961486E-2</c:v>
                </c:pt>
                <c:pt idx="8">
                  <c:v>1.5570579799221471E-2</c:v>
                </c:pt>
                <c:pt idx="9">
                  <c:v>1.8541282524072937E-2</c:v>
                </c:pt>
                <c:pt idx="11">
                  <c:v>1.024380249948781E-4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'26.07 BUSEGA-NATEETE'!$AE$9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'26.07 BUSEGA-NATEETE'!$R$10:$R$33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BUSEGA-NATEETE'!$AE$10:$AE$33</c:f>
              <c:numCache>
                <c:formatCode>0</c:formatCode>
                <c:ptCount val="24"/>
                <c:pt idx="0">
                  <c:v>881</c:v>
                </c:pt>
                <c:pt idx="1">
                  <c:v>791</c:v>
                </c:pt>
                <c:pt idx="2">
                  <c:v>871</c:v>
                </c:pt>
                <c:pt idx="3">
                  <c:v>647</c:v>
                </c:pt>
                <c:pt idx="4">
                  <c:v>751</c:v>
                </c:pt>
                <c:pt idx="5">
                  <c:v>760</c:v>
                </c:pt>
                <c:pt idx="6">
                  <c:v>597</c:v>
                </c:pt>
                <c:pt idx="7">
                  <c:v>582</c:v>
                </c:pt>
                <c:pt idx="8">
                  <c:v>603</c:v>
                </c:pt>
                <c:pt idx="9">
                  <c:v>681</c:v>
                </c:pt>
                <c:pt idx="10">
                  <c:v>825</c:v>
                </c:pt>
                <c:pt idx="11">
                  <c:v>730</c:v>
                </c:pt>
                <c:pt idx="12">
                  <c:v>445</c:v>
                </c:pt>
                <c:pt idx="13">
                  <c:v>438</c:v>
                </c:pt>
                <c:pt idx="14">
                  <c:v>263</c:v>
                </c:pt>
                <c:pt idx="15">
                  <c:v>439</c:v>
                </c:pt>
                <c:pt idx="16">
                  <c:v>281</c:v>
                </c:pt>
                <c:pt idx="17">
                  <c:v>213</c:v>
                </c:pt>
                <c:pt idx="18">
                  <c:v>172</c:v>
                </c:pt>
                <c:pt idx="19">
                  <c:v>148</c:v>
                </c:pt>
                <c:pt idx="20">
                  <c:v>177</c:v>
                </c:pt>
                <c:pt idx="21">
                  <c:v>337</c:v>
                </c:pt>
                <c:pt idx="22">
                  <c:v>348</c:v>
                </c:pt>
                <c:pt idx="23">
                  <c:v>578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'26.07 BUSEGA-NATEETE'!$AF$9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'26.07 BUSEGA-NATEETE'!$R$10:$R$33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BUSEGA-NATEETE'!$AF$10:$AF$33</c:f>
              <c:numCache>
                <c:formatCode>0</c:formatCode>
                <c:ptCount val="24"/>
                <c:pt idx="0">
                  <c:v>2068</c:v>
                </c:pt>
                <c:pt idx="1">
                  <c:v>1936</c:v>
                </c:pt>
                <c:pt idx="2">
                  <c:v>1926</c:v>
                </c:pt>
                <c:pt idx="3">
                  <c:v>1557</c:v>
                </c:pt>
                <c:pt idx="4">
                  <c:v>1697</c:v>
                </c:pt>
                <c:pt idx="5">
                  <c:v>1751</c:v>
                </c:pt>
                <c:pt idx="6">
                  <c:v>1717</c:v>
                </c:pt>
                <c:pt idx="7">
                  <c:v>1375</c:v>
                </c:pt>
                <c:pt idx="8">
                  <c:v>1296</c:v>
                </c:pt>
                <c:pt idx="9">
                  <c:v>1424</c:v>
                </c:pt>
                <c:pt idx="10">
                  <c:v>1555</c:v>
                </c:pt>
                <c:pt idx="11">
                  <c:v>1203</c:v>
                </c:pt>
                <c:pt idx="12">
                  <c:v>1153</c:v>
                </c:pt>
                <c:pt idx="13">
                  <c:v>1243</c:v>
                </c:pt>
                <c:pt idx="14">
                  <c:v>958</c:v>
                </c:pt>
                <c:pt idx="15">
                  <c:v>1052</c:v>
                </c:pt>
                <c:pt idx="16">
                  <c:v>598</c:v>
                </c:pt>
                <c:pt idx="17">
                  <c:v>585</c:v>
                </c:pt>
                <c:pt idx="18">
                  <c:v>433</c:v>
                </c:pt>
                <c:pt idx="19">
                  <c:v>210</c:v>
                </c:pt>
                <c:pt idx="20">
                  <c:v>299</c:v>
                </c:pt>
                <c:pt idx="21">
                  <c:v>639</c:v>
                </c:pt>
                <c:pt idx="22">
                  <c:v>608</c:v>
                </c:pt>
                <c:pt idx="23">
                  <c:v>1043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9153008"/>
        <c:axId val="-149143760"/>
      </c:lineChart>
      <c:catAx>
        <c:axId val="-14915300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9143760"/>
        <c:crosses val="autoZero"/>
        <c:auto val="1"/>
        <c:lblAlgn val="ctr"/>
        <c:lblOffset val="100"/>
        <c:noMultiLvlLbl val="0"/>
      </c:catAx>
      <c:valAx>
        <c:axId val="-1491437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9153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BUSEGA-NATEETE'!$C$9:$N$9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BUSEGA-NATEETE'!$C$107:$N$107</c:f>
              <c:numCache>
                <c:formatCode>0.0%</c:formatCode>
                <c:ptCount val="12"/>
                <c:pt idx="0">
                  <c:v>0.15724069759231801</c:v>
                </c:pt>
                <c:pt idx="1">
                  <c:v>2.4147426392713407E-2</c:v>
                </c:pt>
                <c:pt idx="2">
                  <c:v>2.2911812469109651E-2</c:v>
                </c:pt>
                <c:pt idx="3">
                  <c:v>0.15586387064887383</c:v>
                </c:pt>
                <c:pt idx="4">
                  <c:v>5.2954882440160982E-3</c:v>
                </c:pt>
                <c:pt idx="5">
                  <c:v>7.4136835416225375E-3</c:v>
                </c:pt>
                <c:pt idx="6">
                  <c:v>2.9795947186330579E-2</c:v>
                </c:pt>
                <c:pt idx="7">
                  <c:v>2.2099837605027182E-2</c:v>
                </c:pt>
                <c:pt idx="8">
                  <c:v>1.0096730918590695E-2</c:v>
                </c:pt>
                <c:pt idx="9">
                  <c:v>8.4727811904257572E-3</c:v>
                </c:pt>
                <c:pt idx="10">
                  <c:v>0.55666172421097226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BUSEGA-NATEETE'!$C$9:$N$9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BUSEGA-NATEETE'!$C$108:$N$108</c:f>
              <c:numCache>
                <c:formatCode>0.00%</c:formatCode>
                <c:ptCount val="12"/>
                <c:pt idx="0">
                  <c:v>0.35467431119605031</c:v>
                </c:pt>
                <c:pt idx="1">
                  <c:v>5.4467271858576208E-2</c:v>
                </c:pt>
                <c:pt idx="2">
                  <c:v>5.1680203854116896E-2</c:v>
                </c:pt>
                <c:pt idx="3">
                  <c:v>0.3515687211339385</c:v>
                </c:pt>
                <c:pt idx="4">
                  <c:v>1.1944577161968466E-2</c:v>
                </c:pt>
                <c:pt idx="5">
                  <c:v>1.6722408026755852E-2</c:v>
                </c:pt>
                <c:pt idx="6">
                  <c:v>6.7208154164675904E-2</c:v>
                </c:pt>
                <c:pt idx="7">
                  <c:v>4.9848702022615064E-2</c:v>
                </c:pt>
                <c:pt idx="8">
                  <c:v>2.2774327122153208E-2</c:v>
                </c:pt>
                <c:pt idx="9">
                  <c:v>1.9111323459149548E-2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'27.07 NATEETE-BUSEGA'!$AE$9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'27.07 NATEETE-BUSEGA'!$R$10:$R$33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NATEETE-BUSEGA'!$AE$10:$AE$33</c:f>
              <c:numCache>
                <c:formatCode>0</c:formatCode>
                <c:ptCount val="24"/>
                <c:pt idx="0">
                  <c:v>557</c:v>
                </c:pt>
                <c:pt idx="1">
                  <c:v>444</c:v>
                </c:pt>
                <c:pt idx="2">
                  <c:v>465</c:v>
                </c:pt>
                <c:pt idx="3">
                  <c:v>468</c:v>
                </c:pt>
                <c:pt idx="4">
                  <c:v>508</c:v>
                </c:pt>
                <c:pt idx="5">
                  <c:v>532</c:v>
                </c:pt>
                <c:pt idx="6">
                  <c:v>333</c:v>
                </c:pt>
                <c:pt idx="7">
                  <c:v>483</c:v>
                </c:pt>
                <c:pt idx="8">
                  <c:v>701</c:v>
                </c:pt>
                <c:pt idx="9">
                  <c:v>691</c:v>
                </c:pt>
                <c:pt idx="10">
                  <c:v>501</c:v>
                </c:pt>
                <c:pt idx="11">
                  <c:v>407</c:v>
                </c:pt>
                <c:pt idx="12">
                  <c:v>511</c:v>
                </c:pt>
                <c:pt idx="13">
                  <c:v>592</c:v>
                </c:pt>
                <c:pt idx="14">
                  <c:v>502</c:v>
                </c:pt>
                <c:pt idx="15">
                  <c:v>547</c:v>
                </c:pt>
                <c:pt idx="16">
                  <c:v>463</c:v>
                </c:pt>
                <c:pt idx="17">
                  <c:v>310</c:v>
                </c:pt>
                <c:pt idx="18">
                  <c:v>235</c:v>
                </c:pt>
                <c:pt idx="19">
                  <c:v>127</c:v>
                </c:pt>
                <c:pt idx="20">
                  <c:v>159</c:v>
                </c:pt>
                <c:pt idx="21">
                  <c:v>136</c:v>
                </c:pt>
                <c:pt idx="22">
                  <c:v>170</c:v>
                </c:pt>
                <c:pt idx="23">
                  <c:v>334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'27.07 NATEETE-BUSEGA'!$AF$9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'27.07 NATEETE-BUSEGA'!$R$10:$R$33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NATEETE-BUSEGA'!$AF$10:$AF$33</c:f>
              <c:numCache>
                <c:formatCode>0</c:formatCode>
                <c:ptCount val="24"/>
                <c:pt idx="0">
                  <c:v>1143</c:v>
                </c:pt>
                <c:pt idx="1">
                  <c:v>1209</c:v>
                </c:pt>
                <c:pt idx="2">
                  <c:v>1209</c:v>
                </c:pt>
                <c:pt idx="3">
                  <c:v>1243</c:v>
                </c:pt>
                <c:pt idx="4">
                  <c:v>1170</c:v>
                </c:pt>
                <c:pt idx="5">
                  <c:v>962</c:v>
                </c:pt>
                <c:pt idx="6">
                  <c:v>848</c:v>
                </c:pt>
                <c:pt idx="7">
                  <c:v>1018</c:v>
                </c:pt>
                <c:pt idx="8">
                  <c:v>1304</c:v>
                </c:pt>
                <c:pt idx="9">
                  <c:v>1356</c:v>
                </c:pt>
                <c:pt idx="10">
                  <c:v>1346</c:v>
                </c:pt>
                <c:pt idx="11">
                  <c:v>1457</c:v>
                </c:pt>
                <c:pt idx="12">
                  <c:v>1640</c:v>
                </c:pt>
                <c:pt idx="13">
                  <c:v>1677</c:v>
                </c:pt>
                <c:pt idx="14">
                  <c:v>1504</c:v>
                </c:pt>
                <c:pt idx="15">
                  <c:v>1172</c:v>
                </c:pt>
                <c:pt idx="16">
                  <c:v>805</c:v>
                </c:pt>
                <c:pt idx="17">
                  <c:v>590</c:v>
                </c:pt>
                <c:pt idx="18">
                  <c:v>487</c:v>
                </c:pt>
                <c:pt idx="19">
                  <c:v>345</c:v>
                </c:pt>
                <c:pt idx="20">
                  <c:v>388</c:v>
                </c:pt>
                <c:pt idx="21">
                  <c:v>344</c:v>
                </c:pt>
                <c:pt idx="22">
                  <c:v>384</c:v>
                </c:pt>
                <c:pt idx="23">
                  <c:v>854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5588160"/>
        <c:axId val="-195596320"/>
      </c:lineChart>
      <c:catAx>
        <c:axId val="-19558816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5596320"/>
        <c:crosses val="autoZero"/>
        <c:auto val="1"/>
        <c:lblAlgn val="ctr"/>
        <c:lblOffset val="100"/>
        <c:noMultiLvlLbl val="0"/>
      </c:catAx>
      <c:valAx>
        <c:axId val="-1955963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5588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NATEETE-BUSEGA'!$C$9:$N$9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NATEETE-BUSEGA'!$C$107:$N$107</c:f>
              <c:numCache>
                <c:formatCode>0.0%</c:formatCode>
                <c:ptCount val="12"/>
                <c:pt idx="0">
                  <c:v>0.18159885503986914</c:v>
                </c:pt>
                <c:pt idx="1">
                  <c:v>2.3103659783275405E-2</c:v>
                </c:pt>
                <c:pt idx="2">
                  <c:v>2.0323042322633409E-2</c:v>
                </c:pt>
                <c:pt idx="3">
                  <c:v>0.12520956859537927</c:v>
                </c:pt>
                <c:pt idx="4">
                  <c:v>6.2972807196892255E-3</c:v>
                </c:pt>
                <c:pt idx="5">
                  <c:v>3.4348803925577593E-3</c:v>
                </c:pt>
                <c:pt idx="6">
                  <c:v>2.5311797178491108E-2</c:v>
                </c:pt>
                <c:pt idx="7">
                  <c:v>1.8196687793907176E-2</c:v>
                </c:pt>
                <c:pt idx="8">
                  <c:v>6.0519321202208137E-3</c:v>
                </c:pt>
                <c:pt idx="9">
                  <c:v>6.583520752402372E-3</c:v>
                </c:pt>
                <c:pt idx="10">
                  <c:v>0.58388877530157435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NATEETE-BUSEGA'!$C$9:$N$9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NATEETE-BUSEGA'!$C$108:$N$108</c:f>
              <c:numCache>
                <c:formatCode>0.00%</c:formatCode>
                <c:ptCount val="12"/>
                <c:pt idx="0">
                  <c:v>0.43641902515723269</c:v>
                </c:pt>
                <c:pt idx="1">
                  <c:v>5.5522798742138363E-2</c:v>
                </c:pt>
                <c:pt idx="2">
                  <c:v>4.8840408805031446E-2</c:v>
                </c:pt>
                <c:pt idx="3">
                  <c:v>0.30090408805031449</c:v>
                </c:pt>
                <c:pt idx="4">
                  <c:v>1.5133647798742138E-2</c:v>
                </c:pt>
                <c:pt idx="5">
                  <c:v>8.2547169811320754E-3</c:v>
                </c:pt>
                <c:pt idx="6">
                  <c:v>6.0829402515723267E-2</c:v>
                </c:pt>
                <c:pt idx="7">
                  <c:v>4.3730345911949686E-2</c:v>
                </c:pt>
                <c:pt idx="8">
                  <c:v>1.4544025157232705E-2</c:v>
                </c:pt>
                <c:pt idx="9">
                  <c:v>1.5821540880503145E-2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'27.07 52BUSEGA-NATEETEh'!$AE$9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'27.07 52BUSEGA-NATEETEh'!$R$10:$R$33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52BUSEGA-NATEETEh'!$AE$10:$AE$33</c:f>
              <c:numCache>
                <c:formatCode>0</c:formatCode>
                <c:ptCount val="24"/>
                <c:pt idx="0">
                  <c:v>707</c:v>
                </c:pt>
                <c:pt idx="1">
                  <c:v>739</c:v>
                </c:pt>
                <c:pt idx="2">
                  <c:v>807</c:v>
                </c:pt>
                <c:pt idx="3">
                  <c:v>789</c:v>
                </c:pt>
                <c:pt idx="4">
                  <c:v>952</c:v>
                </c:pt>
                <c:pt idx="5">
                  <c:v>875</c:v>
                </c:pt>
                <c:pt idx="6">
                  <c:v>691</c:v>
                </c:pt>
                <c:pt idx="7">
                  <c:v>618</c:v>
                </c:pt>
                <c:pt idx="8">
                  <c:v>585</c:v>
                </c:pt>
                <c:pt idx="9">
                  <c:v>662</c:v>
                </c:pt>
                <c:pt idx="10">
                  <c:v>821</c:v>
                </c:pt>
                <c:pt idx="11">
                  <c:v>858</c:v>
                </c:pt>
                <c:pt idx="12">
                  <c:v>508</c:v>
                </c:pt>
                <c:pt idx="13">
                  <c:v>500</c:v>
                </c:pt>
                <c:pt idx="14">
                  <c:v>481</c:v>
                </c:pt>
                <c:pt idx="15">
                  <c:v>457</c:v>
                </c:pt>
                <c:pt idx="16">
                  <c:v>445</c:v>
                </c:pt>
                <c:pt idx="17">
                  <c:v>428</c:v>
                </c:pt>
                <c:pt idx="18">
                  <c:v>216</c:v>
                </c:pt>
                <c:pt idx="19">
                  <c:v>205</c:v>
                </c:pt>
                <c:pt idx="20">
                  <c:v>139</c:v>
                </c:pt>
                <c:pt idx="21">
                  <c:v>121</c:v>
                </c:pt>
                <c:pt idx="22">
                  <c:v>225</c:v>
                </c:pt>
                <c:pt idx="23">
                  <c:v>429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'27.07 52BUSEGA-NATEETEh'!$AF$9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'27.07 52BUSEGA-NATEETEh'!$R$10:$R$33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52BUSEGA-NATEETEh'!$AF$10:$AF$33</c:f>
              <c:numCache>
                <c:formatCode>0</c:formatCode>
                <c:ptCount val="24"/>
                <c:pt idx="0">
                  <c:v>1372</c:v>
                </c:pt>
                <c:pt idx="1">
                  <c:v>1449</c:v>
                </c:pt>
                <c:pt idx="2">
                  <c:v>1712</c:v>
                </c:pt>
                <c:pt idx="3">
                  <c:v>1404</c:v>
                </c:pt>
                <c:pt idx="4">
                  <c:v>1337</c:v>
                </c:pt>
                <c:pt idx="5">
                  <c:v>1505</c:v>
                </c:pt>
                <c:pt idx="6">
                  <c:v>1151</c:v>
                </c:pt>
                <c:pt idx="7">
                  <c:v>1008</c:v>
                </c:pt>
                <c:pt idx="8">
                  <c:v>990</c:v>
                </c:pt>
                <c:pt idx="9">
                  <c:v>1066</c:v>
                </c:pt>
                <c:pt idx="10">
                  <c:v>1166</c:v>
                </c:pt>
                <c:pt idx="11">
                  <c:v>1178</c:v>
                </c:pt>
                <c:pt idx="12">
                  <c:v>960</c:v>
                </c:pt>
                <c:pt idx="13">
                  <c:v>1067</c:v>
                </c:pt>
                <c:pt idx="14">
                  <c:v>1048</c:v>
                </c:pt>
                <c:pt idx="15">
                  <c:v>950</c:v>
                </c:pt>
                <c:pt idx="16">
                  <c:v>1025</c:v>
                </c:pt>
                <c:pt idx="17">
                  <c:v>859</c:v>
                </c:pt>
                <c:pt idx="18">
                  <c:v>515</c:v>
                </c:pt>
                <c:pt idx="19">
                  <c:v>414</c:v>
                </c:pt>
                <c:pt idx="20">
                  <c:v>322</c:v>
                </c:pt>
                <c:pt idx="21">
                  <c:v>268</c:v>
                </c:pt>
                <c:pt idx="22">
                  <c:v>472</c:v>
                </c:pt>
                <c:pt idx="23">
                  <c:v>855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5585440"/>
        <c:axId val="-195587616"/>
      </c:lineChart>
      <c:catAx>
        <c:axId val="-1955854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5587616"/>
        <c:crosses val="autoZero"/>
        <c:auto val="1"/>
        <c:lblAlgn val="ctr"/>
        <c:lblOffset val="100"/>
        <c:noMultiLvlLbl val="0"/>
      </c:catAx>
      <c:valAx>
        <c:axId val="-1955876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558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52BUSEGA-NATEETEh'!$C$9:$N$9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52BUSEGA-NATEETEh'!$C$107:$N$107</c:f>
              <c:numCache>
                <c:formatCode>0.0%</c:formatCode>
                <c:ptCount val="12"/>
                <c:pt idx="0">
                  <c:v>0.21001950774083758</c:v>
                </c:pt>
                <c:pt idx="1">
                  <c:v>3.7562777570248618E-2</c:v>
                </c:pt>
                <c:pt idx="2">
                  <c:v>3.581953264433653E-2</c:v>
                </c:pt>
                <c:pt idx="3">
                  <c:v>0.18926659195616985</c:v>
                </c:pt>
                <c:pt idx="4">
                  <c:v>5.5202755987216207E-3</c:v>
                </c:pt>
                <c:pt idx="5">
                  <c:v>7.2220146930643755E-3</c:v>
                </c:pt>
                <c:pt idx="6">
                  <c:v>2.9220105424812185E-2</c:v>
                </c:pt>
                <c:pt idx="7">
                  <c:v>1.85946125430623E-2</c:v>
                </c:pt>
                <c:pt idx="8">
                  <c:v>7.9691196613124148E-3</c:v>
                </c:pt>
                <c:pt idx="9">
                  <c:v>9.0897771136844718E-3</c:v>
                </c:pt>
                <c:pt idx="10">
                  <c:v>0.44971568505375004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52BUSEGA-NATEETEh'!$C$9:$N$9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52BUSEGA-NATEETEh'!$C$108:$N$108</c:f>
              <c:numCache>
                <c:formatCode>0.00%</c:formatCode>
                <c:ptCount val="12"/>
                <c:pt idx="0">
                  <c:v>0.38165635842510182</c:v>
                </c:pt>
                <c:pt idx="1">
                  <c:v>6.8260672801327499E-2</c:v>
                </c:pt>
                <c:pt idx="2">
                  <c:v>6.5092774174083573E-2</c:v>
                </c:pt>
                <c:pt idx="3">
                  <c:v>0.34394327952934078</c:v>
                </c:pt>
                <c:pt idx="4">
                  <c:v>1.0031678986272439E-2</c:v>
                </c:pt>
                <c:pt idx="5">
                  <c:v>1.3124151455724846E-2</c:v>
                </c:pt>
                <c:pt idx="6">
                  <c:v>5.3100015085231558E-2</c:v>
                </c:pt>
                <c:pt idx="7">
                  <c:v>3.3790918690601898E-2</c:v>
                </c:pt>
                <c:pt idx="8">
                  <c:v>1.4481822295972243E-2</c:v>
                </c:pt>
                <c:pt idx="9">
                  <c:v>1.6518328556343338E-2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BUSEGA-NATEETE'!$AE$9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'28.07 BUSEGA-NATEETE'!$R$10:$R$21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BUSEGA-NATEETE'!$AE$10:$AE$21</c:f>
              <c:numCache>
                <c:formatCode>0</c:formatCode>
                <c:ptCount val="12"/>
                <c:pt idx="0">
                  <c:v>520</c:v>
                </c:pt>
                <c:pt idx="1">
                  <c:v>629</c:v>
                </c:pt>
                <c:pt idx="2">
                  <c:v>651</c:v>
                </c:pt>
                <c:pt idx="3">
                  <c:v>707</c:v>
                </c:pt>
                <c:pt idx="4">
                  <c:v>488</c:v>
                </c:pt>
                <c:pt idx="5">
                  <c:v>445</c:v>
                </c:pt>
                <c:pt idx="6">
                  <c:v>589</c:v>
                </c:pt>
                <c:pt idx="7">
                  <c:v>531</c:v>
                </c:pt>
                <c:pt idx="8">
                  <c:v>428</c:v>
                </c:pt>
                <c:pt idx="9">
                  <c:v>544</c:v>
                </c:pt>
                <c:pt idx="10">
                  <c:v>517</c:v>
                </c:pt>
                <c:pt idx="11">
                  <c:v>690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'28.07 BUSEGA-NATEETE'!$AF$9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'28.07 BUSEGA-NATEETE'!$R$10:$R$21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BUSEGA-NATEETE'!$AF$10:$AF$21</c:f>
              <c:numCache>
                <c:formatCode>0</c:formatCode>
                <c:ptCount val="12"/>
                <c:pt idx="0">
                  <c:v>998</c:v>
                </c:pt>
                <c:pt idx="1">
                  <c:v>1139</c:v>
                </c:pt>
                <c:pt idx="2">
                  <c:v>1226</c:v>
                </c:pt>
                <c:pt idx="3">
                  <c:v>1302</c:v>
                </c:pt>
                <c:pt idx="4">
                  <c:v>1150</c:v>
                </c:pt>
                <c:pt idx="5">
                  <c:v>1170</c:v>
                </c:pt>
                <c:pt idx="6">
                  <c:v>1184</c:v>
                </c:pt>
                <c:pt idx="7">
                  <c:v>1121</c:v>
                </c:pt>
                <c:pt idx="8">
                  <c:v>890</c:v>
                </c:pt>
                <c:pt idx="9">
                  <c:v>1039</c:v>
                </c:pt>
                <c:pt idx="10">
                  <c:v>1032</c:v>
                </c:pt>
                <c:pt idx="11">
                  <c:v>1036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5597952"/>
        <c:axId val="-195593600"/>
      </c:lineChart>
      <c:catAx>
        <c:axId val="-1955979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5593600"/>
        <c:crosses val="autoZero"/>
        <c:auto val="1"/>
        <c:lblAlgn val="ctr"/>
        <c:lblOffset val="100"/>
        <c:noMultiLvlLbl val="0"/>
      </c:catAx>
      <c:valAx>
        <c:axId val="-1955936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559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BUSEGA-NATEETE'!$C$9:$N$9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BUSEGA-NATEETE'!$C$59:$N$59</c:f>
              <c:numCache>
                <c:formatCode>0.0%</c:formatCode>
                <c:ptCount val="12"/>
                <c:pt idx="0">
                  <c:v>0.17039211259125461</c:v>
                </c:pt>
                <c:pt idx="1">
                  <c:v>5.7198765710845187E-2</c:v>
                </c:pt>
                <c:pt idx="2">
                  <c:v>3.1685105742455033E-2</c:v>
                </c:pt>
                <c:pt idx="3">
                  <c:v>0.19297057274027243</c:v>
                </c:pt>
                <c:pt idx="4">
                  <c:v>4.8167381651238053E-3</c:v>
                </c:pt>
                <c:pt idx="5">
                  <c:v>6.7735380447053514E-3</c:v>
                </c:pt>
                <c:pt idx="6">
                  <c:v>2.1675321743057124E-2</c:v>
                </c:pt>
                <c:pt idx="7">
                  <c:v>1.3396553021750583E-2</c:v>
                </c:pt>
                <c:pt idx="8">
                  <c:v>5.4940919695943401E-3</c:v>
                </c:pt>
                <c:pt idx="9">
                  <c:v>8.579814856626778E-3</c:v>
                </c:pt>
                <c:pt idx="10">
                  <c:v>0.5020696921803266</c:v>
                </c:pt>
                <c:pt idx="11">
                  <c:v>3.7630766915029727E-3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BUSEGA-NATEETE'!$S$9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'28.07 BUSEGA-NATEETE'!$R$10:$R$21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BUSEGA-NATEETE'!$S$10:$S$21</c:f>
              <c:numCache>
                <c:formatCode>0</c:formatCode>
                <c:ptCount val="12"/>
                <c:pt idx="0">
                  <c:v>151</c:v>
                </c:pt>
                <c:pt idx="1">
                  <c:v>189</c:v>
                </c:pt>
                <c:pt idx="2">
                  <c:v>208</c:v>
                </c:pt>
                <c:pt idx="3">
                  <c:v>206</c:v>
                </c:pt>
                <c:pt idx="4">
                  <c:v>113</c:v>
                </c:pt>
                <c:pt idx="5">
                  <c:v>127</c:v>
                </c:pt>
                <c:pt idx="6">
                  <c:v>159</c:v>
                </c:pt>
                <c:pt idx="7">
                  <c:v>214</c:v>
                </c:pt>
                <c:pt idx="8">
                  <c:v>231</c:v>
                </c:pt>
                <c:pt idx="9">
                  <c:v>196</c:v>
                </c:pt>
                <c:pt idx="10">
                  <c:v>202</c:v>
                </c:pt>
                <c:pt idx="11">
                  <c:v>268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'28.07 BUSEGA-NATEETE'!$T$9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'28.07 BUSEGA-NATEETE'!$R$10:$R$21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BUSEGA-NATEETE'!$T$10:$T$21</c:f>
              <c:numCache>
                <c:formatCode>0</c:formatCode>
                <c:ptCount val="12"/>
                <c:pt idx="0">
                  <c:v>24</c:v>
                </c:pt>
                <c:pt idx="1">
                  <c:v>75</c:v>
                </c:pt>
                <c:pt idx="2">
                  <c:v>104</c:v>
                </c:pt>
                <c:pt idx="3">
                  <c:v>127</c:v>
                </c:pt>
                <c:pt idx="4">
                  <c:v>74</c:v>
                </c:pt>
                <c:pt idx="5">
                  <c:v>91</c:v>
                </c:pt>
                <c:pt idx="6">
                  <c:v>109</c:v>
                </c:pt>
                <c:pt idx="7">
                  <c:v>31</c:v>
                </c:pt>
                <c:pt idx="8">
                  <c:v>31</c:v>
                </c:pt>
                <c:pt idx="9">
                  <c:v>24</c:v>
                </c:pt>
                <c:pt idx="10">
                  <c:v>45</c:v>
                </c:pt>
                <c:pt idx="11">
                  <c:v>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'28.07 BUSEGA-NATEETE'!$U$9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'28.07 BUSEGA-NATEETE'!$U$10:$U$21</c:f>
              <c:numCache>
                <c:formatCode>0</c:formatCode>
                <c:ptCount val="12"/>
                <c:pt idx="0">
                  <c:v>14</c:v>
                </c:pt>
                <c:pt idx="1">
                  <c:v>33</c:v>
                </c:pt>
                <c:pt idx="2">
                  <c:v>37</c:v>
                </c:pt>
                <c:pt idx="3">
                  <c:v>49</c:v>
                </c:pt>
                <c:pt idx="4">
                  <c:v>50</c:v>
                </c:pt>
                <c:pt idx="5">
                  <c:v>36</c:v>
                </c:pt>
                <c:pt idx="6">
                  <c:v>41</c:v>
                </c:pt>
                <c:pt idx="7">
                  <c:v>32</c:v>
                </c:pt>
                <c:pt idx="8">
                  <c:v>35</c:v>
                </c:pt>
                <c:pt idx="9">
                  <c:v>28</c:v>
                </c:pt>
                <c:pt idx="10">
                  <c:v>29</c:v>
                </c:pt>
                <c:pt idx="1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'28.07 BUSEGA-NATEETE'!$V$9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'28.07 BUSEGA-NATEETE'!$V$10:$V$21</c:f>
              <c:numCache>
                <c:formatCode>0</c:formatCode>
                <c:ptCount val="12"/>
                <c:pt idx="0">
                  <c:v>196</c:v>
                </c:pt>
                <c:pt idx="1">
                  <c:v>240</c:v>
                </c:pt>
                <c:pt idx="2">
                  <c:v>235</c:v>
                </c:pt>
                <c:pt idx="3">
                  <c:v>248</c:v>
                </c:pt>
                <c:pt idx="4">
                  <c:v>217</c:v>
                </c:pt>
                <c:pt idx="5">
                  <c:v>164</c:v>
                </c:pt>
                <c:pt idx="6">
                  <c:v>185</c:v>
                </c:pt>
                <c:pt idx="7">
                  <c:v>197</c:v>
                </c:pt>
                <c:pt idx="8">
                  <c:v>196</c:v>
                </c:pt>
                <c:pt idx="9">
                  <c:v>225</c:v>
                </c:pt>
                <c:pt idx="10">
                  <c:v>200</c:v>
                </c:pt>
                <c:pt idx="11">
                  <c:v>261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'28.07 BUSEGA-NATEETE'!$W$9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'28.07 BUSEGA-NATEETE'!$W$10:$W$21</c:f>
              <c:numCache>
                <c:formatCode>0</c:formatCode>
                <c:ptCount val="12"/>
                <c:pt idx="0">
                  <c:v>19</c:v>
                </c:pt>
                <c:pt idx="1">
                  <c:v>3</c:v>
                </c:pt>
                <c:pt idx="2">
                  <c:v>3</c:v>
                </c:pt>
                <c:pt idx="3">
                  <c:v>9</c:v>
                </c:pt>
                <c:pt idx="4">
                  <c:v>0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8">
                  <c:v>6</c:v>
                </c:pt>
                <c:pt idx="9">
                  <c:v>8</c:v>
                </c:pt>
                <c:pt idx="10">
                  <c:v>5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'28.07 BUSEGA-NATEETE'!$X$9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'28.07 BUSEGA-NATEETE'!$X$10:$X$21</c:f>
              <c:numCache>
                <c:formatCode>0</c:formatCode>
                <c:ptCount val="12"/>
                <c:pt idx="0">
                  <c:v>14</c:v>
                </c:pt>
                <c:pt idx="1">
                  <c:v>14</c:v>
                </c:pt>
                <c:pt idx="2">
                  <c:v>1</c:v>
                </c:pt>
                <c:pt idx="3">
                  <c:v>5</c:v>
                </c:pt>
                <c:pt idx="4">
                  <c:v>5</c:v>
                </c:pt>
                <c:pt idx="5">
                  <c:v>2</c:v>
                </c:pt>
                <c:pt idx="6">
                  <c:v>5</c:v>
                </c:pt>
                <c:pt idx="7">
                  <c:v>3</c:v>
                </c:pt>
                <c:pt idx="8">
                  <c:v>7</c:v>
                </c:pt>
                <c:pt idx="9">
                  <c:v>17</c:v>
                </c:pt>
                <c:pt idx="10">
                  <c:v>7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'28.07 BUSEGA-NATEETE'!$Y$9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BUSEGA-NATEETE'!$Y$10:$Y$21</c:f>
              <c:numCache>
                <c:formatCode>0</c:formatCode>
                <c:ptCount val="12"/>
                <c:pt idx="0">
                  <c:v>50</c:v>
                </c:pt>
                <c:pt idx="1">
                  <c:v>28</c:v>
                </c:pt>
                <c:pt idx="2">
                  <c:v>35</c:v>
                </c:pt>
                <c:pt idx="3">
                  <c:v>25</c:v>
                </c:pt>
                <c:pt idx="4">
                  <c:v>9</c:v>
                </c:pt>
                <c:pt idx="5">
                  <c:v>9</c:v>
                </c:pt>
                <c:pt idx="6">
                  <c:v>14</c:v>
                </c:pt>
                <c:pt idx="7">
                  <c:v>23</c:v>
                </c:pt>
                <c:pt idx="8">
                  <c:v>26</c:v>
                </c:pt>
                <c:pt idx="9">
                  <c:v>26</c:v>
                </c:pt>
                <c:pt idx="10">
                  <c:v>7</c:v>
                </c:pt>
                <c:pt idx="1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'28.07 BUSEGA-NATEETE'!$Z$9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BUSEGA-NATEETE'!$Z$10:$Z$21</c:f>
              <c:numCache>
                <c:formatCode>0</c:formatCode>
                <c:ptCount val="12"/>
                <c:pt idx="0">
                  <c:v>28</c:v>
                </c:pt>
                <c:pt idx="1">
                  <c:v>21</c:v>
                </c:pt>
                <c:pt idx="2">
                  <c:v>17</c:v>
                </c:pt>
                <c:pt idx="3">
                  <c:v>21</c:v>
                </c:pt>
                <c:pt idx="4">
                  <c:v>9</c:v>
                </c:pt>
                <c:pt idx="5">
                  <c:v>8</c:v>
                </c:pt>
                <c:pt idx="6">
                  <c:v>11</c:v>
                </c:pt>
                <c:pt idx="7">
                  <c:v>17</c:v>
                </c:pt>
                <c:pt idx="8">
                  <c:v>9</c:v>
                </c:pt>
                <c:pt idx="9">
                  <c:v>5</c:v>
                </c:pt>
                <c:pt idx="10">
                  <c:v>10</c:v>
                </c:pt>
                <c:pt idx="11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'28.07 BUSEGA-NATEETE'!$AA$9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BUSEGA-NATEETE'!$AA$10:$AA$21</c:f>
              <c:numCache>
                <c:formatCode>0</c:formatCode>
                <c:ptCount val="12"/>
                <c:pt idx="0">
                  <c:v>12</c:v>
                </c:pt>
                <c:pt idx="1">
                  <c:v>14</c:v>
                </c:pt>
                <c:pt idx="2">
                  <c:v>2</c:v>
                </c:pt>
                <c:pt idx="3">
                  <c:v>7</c:v>
                </c:pt>
                <c:pt idx="4">
                  <c:v>7</c:v>
                </c:pt>
                <c:pt idx="5">
                  <c:v>2</c:v>
                </c:pt>
                <c:pt idx="6">
                  <c:v>6</c:v>
                </c:pt>
                <c:pt idx="7">
                  <c:v>4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'28.07 BUSEGA-NATEETE'!$AB$9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BUSEGA-NATEETE'!$AB$10:$AB$21</c:f>
              <c:numCache>
                <c:formatCode>0</c:formatCode>
                <c:ptCount val="12"/>
                <c:pt idx="0">
                  <c:v>12</c:v>
                </c:pt>
                <c:pt idx="1">
                  <c:v>11</c:v>
                </c:pt>
                <c:pt idx="2">
                  <c:v>9</c:v>
                </c:pt>
                <c:pt idx="3">
                  <c:v>10</c:v>
                </c:pt>
                <c:pt idx="4">
                  <c:v>4</c:v>
                </c:pt>
                <c:pt idx="5">
                  <c:v>5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</c:v>
                </c:pt>
                <c:pt idx="10">
                  <c:v>10</c:v>
                </c:pt>
                <c:pt idx="1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'28.07 BUSEGA-NATEETE'!$AC$9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BUSEGA-NATEETE'!$AC$10:$AC$21</c:f>
              <c:numCache>
                <c:formatCode>0</c:formatCode>
                <c:ptCount val="12"/>
                <c:pt idx="0">
                  <c:v>478</c:v>
                </c:pt>
                <c:pt idx="1">
                  <c:v>510</c:v>
                </c:pt>
                <c:pt idx="2">
                  <c:v>575</c:v>
                </c:pt>
                <c:pt idx="3">
                  <c:v>595</c:v>
                </c:pt>
                <c:pt idx="4">
                  <c:v>662</c:v>
                </c:pt>
                <c:pt idx="5">
                  <c:v>725</c:v>
                </c:pt>
                <c:pt idx="6">
                  <c:v>595</c:v>
                </c:pt>
                <c:pt idx="7">
                  <c:v>590</c:v>
                </c:pt>
                <c:pt idx="8">
                  <c:v>585</c:v>
                </c:pt>
                <c:pt idx="9">
                  <c:v>495</c:v>
                </c:pt>
                <c:pt idx="10">
                  <c:v>515</c:v>
                </c:pt>
                <c:pt idx="11">
                  <c:v>346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'28.07 BUSEGA-NATEETE'!$AD$9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BUSEGA-NATEETE'!$AD$10:$AD$21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95586528"/>
        <c:axId val="-195589792"/>
      </c:lineChart>
      <c:catAx>
        <c:axId val="-195586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5589792"/>
        <c:crosses val="autoZero"/>
        <c:auto val="1"/>
        <c:lblAlgn val="ctr"/>
        <c:lblOffset val="100"/>
        <c:noMultiLvlLbl val="0"/>
      </c:catAx>
      <c:valAx>
        <c:axId val="-195589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5586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BUSEGA-NATEETE'!$C$9:$N$9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BUSEGA-NATEETE'!$C$60:$N$60</c:f>
              <c:numCache>
                <c:formatCode>0.00%</c:formatCode>
                <c:ptCount val="12"/>
                <c:pt idx="0">
                  <c:v>0.33595488944947322</c:v>
                </c:pt>
                <c:pt idx="1">
                  <c:v>0.11277637631696097</c:v>
                </c:pt>
                <c:pt idx="2">
                  <c:v>6.2472176880842854E-2</c:v>
                </c:pt>
                <c:pt idx="3">
                  <c:v>0.38047188010090516</c:v>
                </c:pt>
                <c:pt idx="4">
                  <c:v>9.4969580056388191E-3</c:v>
                </c:pt>
                <c:pt idx="5">
                  <c:v>1.3355097195429589E-2</c:v>
                </c:pt>
                <c:pt idx="6">
                  <c:v>4.2736311025374688E-2</c:v>
                </c:pt>
                <c:pt idx="7">
                  <c:v>2.6413414453182966E-2</c:v>
                </c:pt>
                <c:pt idx="8">
                  <c:v>1.0832467725181778E-2</c:v>
                </c:pt>
                <c:pt idx="9">
                  <c:v>1.6916456447544147E-2</c:v>
                </c:pt>
                <c:pt idx="11">
                  <c:v>7.4194984419053275E-3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NATEETE-BUSEGA'!$AE$9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'28.07 NATEETE-BUSEGA'!$R$10:$R$21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NATEETE-BUSEGA'!$AE$10:$AE$21</c:f>
              <c:numCache>
                <c:formatCode>0</c:formatCode>
                <c:ptCount val="12"/>
                <c:pt idx="0">
                  <c:v>419</c:v>
                </c:pt>
                <c:pt idx="1">
                  <c:v>428</c:v>
                </c:pt>
                <c:pt idx="2">
                  <c:v>457</c:v>
                </c:pt>
                <c:pt idx="3">
                  <c:v>453</c:v>
                </c:pt>
                <c:pt idx="4">
                  <c:v>376</c:v>
                </c:pt>
                <c:pt idx="5">
                  <c:v>431</c:v>
                </c:pt>
                <c:pt idx="6">
                  <c:v>415</c:v>
                </c:pt>
                <c:pt idx="7">
                  <c:v>527</c:v>
                </c:pt>
                <c:pt idx="8">
                  <c:v>675</c:v>
                </c:pt>
                <c:pt idx="9">
                  <c:v>516</c:v>
                </c:pt>
                <c:pt idx="10">
                  <c:v>682</c:v>
                </c:pt>
                <c:pt idx="11">
                  <c:v>548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'28.07 NATEETE-BUSEGA'!$AF$9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'28.07 NATEETE-BUSEGA'!$R$10:$R$21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NATEETE-BUSEGA'!$AF$10:$AF$21</c:f>
              <c:numCache>
                <c:formatCode>0</c:formatCode>
                <c:ptCount val="12"/>
                <c:pt idx="0">
                  <c:v>1229</c:v>
                </c:pt>
                <c:pt idx="1">
                  <c:v>1163</c:v>
                </c:pt>
                <c:pt idx="2">
                  <c:v>1197</c:v>
                </c:pt>
                <c:pt idx="3">
                  <c:v>1223</c:v>
                </c:pt>
                <c:pt idx="4">
                  <c:v>961</c:v>
                </c:pt>
                <c:pt idx="5">
                  <c:v>1111</c:v>
                </c:pt>
                <c:pt idx="6">
                  <c:v>1060</c:v>
                </c:pt>
                <c:pt idx="7">
                  <c:v>1197</c:v>
                </c:pt>
                <c:pt idx="8">
                  <c:v>1369</c:v>
                </c:pt>
                <c:pt idx="9">
                  <c:v>1250</c:v>
                </c:pt>
                <c:pt idx="10">
                  <c:v>1688</c:v>
                </c:pt>
                <c:pt idx="11">
                  <c:v>1672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91665792"/>
        <c:axId val="-291657632"/>
      </c:lineChart>
      <c:catAx>
        <c:axId val="-2916657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291657632"/>
        <c:crosses val="autoZero"/>
        <c:auto val="1"/>
        <c:lblAlgn val="ctr"/>
        <c:lblOffset val="100"/>
        <c:noMultiLvlLbl val="0"/>
      </c:catAx>
      <c:valAx>
        <c:axId val="-2916576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291665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NATEETE-BUSEGA'!$C$9:$N$9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NATEETE-BUSEGA'!$C$59:$N$59</c:f>
              <c:numCache>
                <c:formatCode>0.0%</c:formatCode>
                <c:ptCount val="12"/>
                <c:pt idx="0">
                  <c:v>0.15019841269841269</c:v>
                </c:pt>
                <c:pt idx="1">
                  <c:v>2.0370370370370372E-2</c:v>
                </c:pt>
                <c:pt idx="2">
                  <c:v>1.9708994708994711E-2</c:v>
                </c:pt>
                <c:pt idx="3">
                  <c:v>0.14761904761904762</c:v>
                </c:pt>
                <c:pt idx="4">
                  <c:v>4.1005291005291001E-3</c:v>
                </c:pt>
                <c:pt idx="5">
                  <c:v>4.1005291005291001E-3</c:v>
                </c:pt>
                <c:pt idx="6">
                  <c:v>1.7658730158730158E-2</c:v>
                </c:pt>
                <c:pt idx="7">
                  <c:v>1.7724867724867723E-2</c:v>
                </c:pt>
                <c:pt idx="8">
                  <c:v>4.4973544973544973E-3</c:v>
                </c:pt>
                <c:pt idx="9">
                  <c:v>5.9523809523809521E-3</c:v>
                </c:pt>
                <c:pt idx="10">
                  <c:v>0.60800264550264549</c:v>
                </c:pt>
                <c:pt idx="11">
                  <c:v>6.6137566137566142E-5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NATEETE-BUSEGA'!$S$9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'28.07 NATEETE-BUSEGA'!$R$10:$R$21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NATEETE-BUSEGA'!$S$10:$S$21</c:f>
              <c:numCache>
                <c:formatCode>0</c:formatCode>
                <c:ptCount val="12"/>
                <c:pt idx="0">
                  <c:v>146</c:v>
                </c:pt>
                <c:pt idx="1">
                  <c:v>134</c:v>
                </c:pt>
                <c:pt idx="2">
                  <c:v>181</c:v>
                </c:pt>
                <c:pt idx="3">
                  <c:v>175</c:v>
                </c:pt>
                <c:pt idx="4">
                  <c:v>144</c:v>
                </c:pt>
                <c:pt idx="5">
                  <c:v>167</c:v>
                </c:pt>
                <c:pt idx="6">
                  <c:v>165</c:v>
                </c:pt>
                <c:pt idx="7">
                  <c:v>219</c:v>
                </c:pt>
                <c:pt idx="8">
                  <c:v>291</c:v>
                </c:pt>
                <c:pt idx="9">
                  <c:v>182</c:v>
                </c:pt>
                <c:pt idx="10">
                  <c:v>269</c:v>
                </c:pt>
                <c:pt idx="11">
                  <c:v>198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'28.07 NATEETE-BUSEGA'!$T$9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'28.07 NATEETE-BUSEGA'!$R$10:$R$21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NATEETE-BUSEGA'!$T$10:$T$21</c:f>
              <c:numCache>
                <c:formatCode>0</c:formatCode>
                <c:ptCount val="12"/>
                <c:pt idx="0">
                  <c:v>17</c:v>
                </c:pt>
                <c:pt idx="1">
                  <c:v>24</c:v>
                </c:pt>
                <c:pt idx="2">
                  <c:v>20</c:v>
                </c:pt>
                <c:pt idx="3">
                  <c:v>18</c:v>
                </c:pt>
                <c:pt idx="4">
                  <c:v>31</c:v>
                </c:pt>
                <c:pt idx="5">
                  <c:v>37</c:v>
                </c:pt>
                <c:pt idx="6">
                  <c:v>14</c:v>
                </c:pt>
                <c:pt idx="7">
                  <c:v>34</c:v>
                </c:pt>
                <c:pt idx="8">
                  <c:v>36</c:v>
                </c:pt>
                <c:pt idx="9">
                  <c:v>22</c:v>
                </c:pt>
                <c:pt idx="10">
                  <c:v>25</c:v>
                </c:pt>
                <c:pt idx="11">
                  <c:v>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'28.07 NATEETE-BUSEGA'!$U$9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'28.07 NATEETE-BUSEGA'!$U$10:$U$21</c:f>
              <c:numCache>
                <c:formatCode>0</c:formatCode>
                <c:ptCount val="12"/>
                <c:pt idx="0">
                  <c:v>19</c:v>
                </c:pt>
                <c:pt idx="1">
                  <c:v>15</c:v>
                </c:pt>
                <c:pt idx="2">
                  <c:v>29</c:v>
                </c:pt>
                <c:pt idx="3">
                  <c:v>25</c:v>
                </c:pt>
                <c:pt idx="4">
                  <c:v>17</c:v>
                </c:pt>
                <c:pt idx="5">
                  <c:v>21</c:v>
                </c:pt>
                <c:pt idx="6">
                  <c:v>28</c:v>
                </c:pt>
                <c:pt idx="7">
                  <c:v>19</c:v>
                </c:pt>
                <c:pt idx="8">
                  <c:v>31</c:v>
                </c:pt>
                <c:pt idx="9">
                  <c:v>25</c:v>
                </c:pt>
                <c:pt idx="10">
                  <c:v>40</c:v>
                </c:pt>
                <c:pt idx="11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'28.07 NATEETE-BUSEGA'!$V$9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'28.07 NATEETE-BUSEGA'!$V$10:$V$21</c:f>
              <c:numCache>
                <c:formatCode>0</c:formatCode>
                <c:ptCount val="12"/>
                <c:pt idx="0">
                  <c:v>173</c:v>
                </c:pt>
                <c:pt idx="1">
                  <c:v>173</c:v>
                </c:pt>
                <c:pt idx="2">
                  <c:v>174</c:v>
                </c:pt>
                <c:pt idx="3">
                  <c:v>169</c:v>
                </c:pt>
                <c:pt idx="4">
                  <c:v>131</c:v>
                </c:pt>
                <c:pt idx="5">
                  <c:v>129</c:v>
                </c:pt>
                <c:pt idx="6">
                  <c:v>161</c:v>
                </c:pt>
                <c:pt idx="7">
                  <c:v>205</c:v>
                </c:pt>
                <c:pt idx="8">
                  <c:v>225</c:v>
                </c:pt>
                <c:pt idx="9">
                  <c:v>209</c:v>
                </c:pt>
                <c:pt idx="10">
                  <c:v>259</c:v>
                </c:pt>
                <c:pt idx="11">
                  <c:v>224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'28.07 NATEETE-BUSEGA'!$W$9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'28.07 NATEETE-BUSEGA'!$W$10:$W$21</c:f>
              <c:numCache>
                <c:formatCode>0</c:formatCode>
                <c:ptCount val="12"/>
                <c:pt idx="0">
                  <c:v>7</c:v>
                </c:pt>
                <c:pt idx="1">
                  <c:v>6</c:v>
                </c:pt>
                <c:pt idx="2">
                  <c:v>2</c:v>
                </c:pt>
                <c:pt idx="3">
                  <c:v>4</c:v>
                </c:pt>
                <c:pt idx="4">
                  <c:v>5</c:v>
                </c:pt>
                <c:pt idx="5">
                  <c:v>4</c:v>
                </c:pt>
                <c:pt idx="6">
                  <c:v>2</c:v>
                </c:pt>
                <c:pt idx="7">
                  <c:v>3</c:v>
                </c:pt>
                <c:pt idx="8">
                  <c:v>8</c:v>
                </c:pt>
                <c:pt idx="9">
                  <c:v>5</c:v>
                </c:pt>
                <c:pt idx="10">
                  <c:v>10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'28.07 NATEETE-BUSEGA'!$X$9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'28.07 NATEETE-BUSEGA'!$X$10:$X$21</c:f>
              <c:numCache>
                <c:formatCode>0</c:formatCode>
                <c:ptCount val="12"/>
                <c:pt idx="0">
                  <c:v>10</c:v>
                </c:pt>
                <c:pt idx="1">
                  <c:v>10</c:v>
                </c:pt>
                <c:pt idx="2">
                  <c:v>6</c:v>
                </c:pt>
                <c:pt idx="3">
                  <c:v>4</c:v>
                </c:pt>
                <c:pt idx="4">
                  <c:v>5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9</c:v>
                </c:pt>
                <c:pt idx="10">
                  <c:v>4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'28.07 NATEETE-BUSEGA'!$Y$9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NATEETE-BUSEGA'!$Y$10:$Y$21</c:f>
              <c:numCache>
                <c:formatCode>0</c:formatCode>
                <c:ptCount val="12"/>
                <c:pt idx="0">
                  <c:v>32</c:v>
                </c:pt>
                <c:pt idx="1">
                  <c:v>27</c:v>
                </c:pt>
                <c:pt idx="2">
                  <c:v>23</c:v>
                </c:pt>
                <c:pt idx="3">
                  <c:v>26</c:v>
                </c:pt>
                <c:pt idx="4">
                  <c:v>16</c:v>
                </c:pt>
                <c:pt idx="5">
                  <c:v>32</c:v>
                </c:pt>
                <c:pt idx="6">
                  <c:v>22</c:v>
                </c:pt>
                <c:pt idx="7">
                  <c:v>18</c:v>
                </c:pt>
                <c:pt idx="8">
                  <c:v>27</c:v>
                </c:pt>
                <c:pt idx="9">
                  <c:v>12</c:v>
                </c:pt>
                <c:pt idx="10">
                  <c:v>21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'28.07 NATEETE-BUSEGA'!$Z$9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NATEETE-BUSEGA'!$Z$10:$Z$21</c:f>
              <c:numCache>
                <c:formatCode>0</c:formatCode>
                <c:ptCount val="12"/>
                <c:pt idx="0">
                  <c:v>11</c:v>
                </c:pt>
                <c:pt idx="1">
                  <c:v>22</c:v>
                </c:pt>
                <c:pt idx="2">
                  <c:v>11</c:v>
                </c:pt>
                <c:pt idx="3">
                  <c:v>19</c:v>
                </c:pt>
                <c:pt idx="4">
                  <c:v>21</c:v>
                </c:pt>
                <c:pt idx="5">
                  <c:v>22</c:v>
                </c:pt>
                <c:pt idx="6">
                  <c:v>15</c:v>
                </c:pt>
                <c:pt idx="7">
                  <c:v>14</c:v>
                </c:pt>
                <c:pt idx="8">
                  <c:v>39</c:v>
                </c:pt>
                <c:pt idx="9">
                  <c:v>29</c:v>
                </c:pt>
                <c:pt idx="10">
                  <c:v>36</c:v>
                </c:pt>
                <c:pt idx="11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'28.07 NATEETE-BUSEGA'!$AA$9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NATEETE-BUSEGA'!$AA$10:$AA$21</c:f>
              <c:numCache>
                <c:formatCode>0</c:formatCode>
                <c:ptCount val="12"/>
                <c:pt idx="0">
                  <c:v>2</c:v>
                </c:pt>
                <c:pt idx="1">
                  <c:v>11</c:v>
                </c:pt>
                <c:pt idx="2">
                  <c:v>4</c:v>
                </c:pt>
                <c:pt idx="3">
                  <c:v>3</c:v>
                </c:pt>
                <c:pt idx="4">
                  <c:v>4</c:v>
                </c:pt>
                <c:pt idx="5">
                  <c:v>8</c:v>
                </c:pt>
                <c:pt idx="6">
                  <c:v>3</c:v>
                </c:pt>
                <c:pt idx="7">
                  <c:v>7</c:v>
                </c:pt>
                <c:pt idx="8">
                  <c:v>4</c:v>
                </c:pt>
                <c:pt idx="9">
                  <c:v>14</c:v>
                </c:pt>
                <c:pt idx="10">
                  <c:v>6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'28.07 NATEETE-BUSEGA'!$AB$9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NATEETE-BUSEGA'!$AB$10:$AB$21</c:f>
              <c:numCache>
                <c:formatCode>0</c:formatCode>
                <c:ptCount val="12"/>
                <c:pt idx="0">
                  <c:v>2</c:v>
                </c:pt>
                <c:pt idx="1">
                  <c:v>6</c:v>
                </c:pt>
                <c:pt idx="2">
                  <c:v>7</c:v>
                </c:pt>
                <c:pt idx="3">
                  <c:v>10</c:v>
                </c:pt>
                <c:pt idx="4">
                  <c:v>2</c:v>
                </c:pt>
                <c:pt idx="5">
                  <c:v>8</c:v>
                </c:pt>
                <c:pt idx="6">
                  <c:v>3</c:v>
                </c:pt>
                <c:pt idx="7">
                  <c:v>6</c:v>
                </c:pt>
                <c:pt idx="8">
                  <c:v>12</c:v>
                </c:pt>
                <c:pt idx="9">
                  <c:v>8</c:v>
                </c:pt>
                <c:pt idx="10">
                  <c:v>12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'28.07 NATEETE-BUSEGA'!$AC$9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NATEETE-BUSEGA'!$AC$10:$AC$21</c:f>
              <c:numCache>
                <c:formatCode>0</c:formatCode>
                <c:ptCount val="12"/>
                <c:pt idx="0">
                  <c:v>810</c:v>
                </c:pt>
                <c:pt idx="1">
                  <c:v>735</c:v>
                </c:pt>
                <c:pt idx="2">
                  <c:v>740</c:v>
                </c:pt>
                <c:pt idx="3">
                  <c:v>770</c:v>
                </c:pt>
                <c:pt idx="4">
                  <c:v>585</c:v>
                </c:pt>
                <c:pt idx="5">
                  <c:v>680</c:v>
                </c:pt>
                <c:pt idx="6">
                  <c:v>645</c:v>
                </c:pt>
                <c:pt idx="7">
                  <c:v>670</c:v>
                </c:pt>
                <c:pt idx="8">
                  <c:v>694</c:v>
                </c:pt>
                <c:pt idx="9">
                  <c:v>734</c:v>
                </c:pt>
                <c:pt idx="10">
                  <c:v>1006</c:v>
                </c:pt>
                <c:pt idx="11">
                  <c:v>1124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'28.07 NATEETE-BUSEGA'!$AD$9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NATEETE-BUSEGA'!$AD$10:$AD$21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91659264"/>
        <c:axId val="-291657088"/>
      </c:lineChart>
      <c:catAx>
        <c:axId val="-2916592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291657088"/>
        <c:crosses val="autoZero"/>
        <c:auto val="1"/>
        <c:lblAlgn val="ctr"/>
        <c:lblOffset val="100"/>
        <c:noMultiLvlLbl val="0"/>
      </c:catAx>
      <c:valAx>
        <c:axId val="-291657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291659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NATEETE-BUSEGA'!$C$9:$N$9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NATEETE-BUSEGA'!$C$60:$N$60</c:f>
              <c:numCache>
                <c:formatCode>0.00%</c:formatCode>
                <c:ptCount val="12"/>
                <c:pt idx="0">
                  <c:v>0.38316180192340138</c:v>
                </c:pt>
                <c:pt idx="1">
                  <c:v>5.1965581238400539E-2</c:v>
                </c:pt>
                <c:pt idx="2">
                  <c:v>5.0278387042348577E-2</c:v>
                </c:pt>
                <c:pt idx="3">
                  <c:v>0.37658174455879873</c:v>
                </c:pt>
                <c:pt idx="4">
                  <c:v>1.0460604015522186E-2</c:v>
                </c:pt>
                <c:pt idx="5">
                  <c:v>1.0460604015522186E-2</c:v>
                </c:pt>
                <c:pt idx="6">
                  <c:v>4.504808503458748E-2</c:v>
                </c:pt>
                <c:pt idx="7">
                  <c:v>4.5216804454192676E-2</c:v>
                </c:pt>
                <c:pt idx="8">
                  <c:v>1.1472920533153366E-2</c:v>
                </c:pt>
                <c:pt idx="9">
                  <c:v>1.5184747764467691E-2</c:v>
                </c:pt>
                <c:pt idx="11">
                  <c:v>1.6871941960519654E-4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BUSEGA-NATEETE'!$AE$9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BUSEGA-NATEETE'!$R$10:$R$33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BUSEGA-NATEETE'!$AE$10:$AE$33</c:f>
              <c:numCache>
                <c:formatCode>0</c:formatCode>
                <c:ptCount val="24"/>
                <c:pt idx="0">
                  <c:v>503</c:v>
                </c:pt>
                <c:pt idx="1">
                  <c:v>504.85714285714289</c:v>
                </c:pt>
                <c:pt idx="2">
                  <c:v>611.57142857142867</c:v>
                </c:pt>
                <c:pt idx="3">
                  <c:v>633.14285714285711</c:v>
                </c:pt>
                <c:pt idx="4">
                  <c:v>623.71428571428578</c:v>
                </c:pt>
                <c:pt idx="5">
                  <c:v>545.42857142857144</c:v>
                </c:pt>
                <c:pt idx="6">
                  <c:v>539.57142857142856</c:v>
                </c:pt>
                <c:pt idx="7">
                  <c:v>584.14285714285711</c:v>
                </c:pt>
                <c:pt idx="8">
                  <c:v>616</c:v>
                </c:pt>
                <c:pt idx="9">
                  <c:v>610.28571428571422</c:v>
                </c:pt>
                <c:pt idx="10">
                  <c:v>532</c:v>
                </c:pt>
                <c:pt idx="11">
                  <c:v>559.85714285714289</c:v>
                </c:pt>
                <c:pt idx="12">
                  <c:v>555.07142857142856</c:v>
                </c:pt>
                <c:pt idx="13">
                  <c:v>546.21428571428578</c:v>
                </c:pt>
                <c:pt idx="14">
                  <c:v>486.5</c:v>
                </c:pt>
                <c:pt idx="15">
                  <c:v>466</c:v>
                </c:pt>
                <c:pt idx="16">
                  <c:v>476</c:v>
                </c:pt>
                <c:pt idx="17">
                  <c:v>467</c:v>
                </c:pt>
                <c:pt idx="18">
                  <c:v>485</c:v>
                </c:pt>
                <c:pt idx="19">
                  <c:v>509</c:v>
                </c:pt>
                <c:pt idx="20">
                  <c:v>506</c:v>
                </c:pt>
                <c:pt idx="21">
                  <c:v>488</c:v>
                </c:pt>
                <c:pt idx="22">
                  <c:v>477</c:v>
                </c:pt>
                <c:pt idx="23">
                  <c:v>432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BUSEGA-NATEETE'!$AF$9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BUSEGA-NATEETE'!$R$10:$R$33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BUSEGA-NATEETE'!$AF$10:$AF$33</c:f>
              <c:numCache>
                <c:formatCode>0</c:formatCode>
                <c:ptCount val="24"/>
                <c:pt idx="0">
                  <c:v>1153.2857142857142</c:v>
                </c:pt>
                <c:pt idx="1">
                  <c:v>1408.1428571428569</c:v>
                </c:pt>
                <c:pt idx="2">
                  <c:v>1486.1428571428573</c:v>
                </c:pt>
                <c:pt idx="3">
                  <c:v>1426.4285714285713</c:v>
                </c:pt>
                <c:pt idx="4">
                  <c:v>1390.1428571428569</c:v>
                </c:pt>
                <c:pt idx="5">
                  <c:v>1228</c:v>
                </c:pt>
                <c:pt idx="6">
                  <c:v>1184.7142857142858</c:v>
                </c:pt>
                <c:pt idx="7">
                  <c:v>1216.5714285714287</c:v>
                </c:pt>
                <c:pt idx="8">
                  <c:v>1205.1428571428573</c:v>
                </c:pt>
                <c:pt idx="9">
                  <c:v>1354.2857142857142</c:v>
                </c:pt>
                <c:pt idx="10">
                  <c:v>1446.2857142857142</c:v>
                </c:pt>
                <c:pt idx="11">
                  <c:v>1412.8571428571427</c:v>
                </c:pt>
                <c:pt idx="12">
                  <c:v>1450.3571428571427</c:v>
                </c:pt>
                <c:pt idx="13">
                  <c:v>1521.5714285714284</c:v>
                </c:pt>
                <c:pt idx="14">
                  <c:v>1544.5714285714284</c:v>
                </c:pt>
                <c:pt idx="15">
                  <c:v>1609.5</c:v>
                </c:pt>
                <c:pt idx="16">
                  <c:v>1603</c:v>
                </c:pt>
                <c:pt idx="17">
                  <c:v>1587</c:v>
                </c:pt>
                <c:pt idx="18">
                  <c:v>1637</c:v>
                </c:pt>
                <c:pt idx="19">
                  <c:v>1661.5</c:v>
                </c:pt>
                <c:pt idx="20">
                  <c:v>1709.5</c:v>
                </c:pt>
                <c:pt idx="21">
                  <c:v>1719</c:v>
                </c:pt>
                <c:pt idx="22">
                  <c:v>1701.5</c:v>
                </c:pt>
                <c:pt idx="23">
                  <c:v>1660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91669056"/>
        <c:axId val="-291668512"/>
      </c:lineChart>
      <c:catAx>
        <c:axId val="-2916690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291668512"/>
        <c:crosses val="autoZero"/>
        <c:auto val="1"/>
        <c:lblAlgn val="ctr"/>
        <c:lblOffset val="100"/>
        <c:noMultiLvlLbl val="0"/>
      </c:catAx>
      <c:valAx>
        <c:axId val="-2916685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291669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BUSEGA-NATEETE'!$C$9:$N$9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BUSEGA-NATEETE'!$C$107:$N$107</c:f>
              <c:numCache>
                <c:formatCode>0.0%</c:formatCode>
                <c:ptCount val="12"/>
                <c:pt idx="0">
                  <c:v>0.16488447251612556</c:v>
                </c:pt>
                <c:pt idx="1">
                  <c:v>2.3226187123680783E-2</c:v>
                </c:pt>
                <c:pt idx="2">
                  <c:v>2.1557978302557294E-2</c:v>
                </c:pt>
                <c:pt idx="3">
                  <c:v>0.13043408295449971</c:v>
                </c:pt>
                <c:pt idx="4">
                  <c:v>3.8620911614434552E-3</c:v>
                </c:pt>
                <c:pt idx="5">
                  <c:v>4.6076893162221222E-3</c:v>
                </c:pt>
                <c:pt idx="6">
                  <c:v>2.2198978155046872E-2</c:v>
                </c:pt>
                <c:pt idx="7">
                  <c:v>1.4960239235091386E-2</c:v>
                </c:pt>
                <c:pt idx="8">
                  <c:v>5.7234045406391225E-3</c:v>
                </c:pt>
                <c:pt idx="9">
                  <c:v>7.7644124391519475E-3</c:v>
                </c:pt>
                <c:pt idx="10">
                  <c:v>0.60048544340293131</c:v>
                </c:pt>
                <c:pt idx="11">
                  <c:v>2.9502085261026408E-4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4401834578394184E-2"/>
          <c:y val="0.23513385826771654"/>
          <c:w val="0.82101228366016787"/>
          <c:h val="0.74181177352830896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BUSEGA-NATEETE'!$C$9:$N$9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BUSEGA-NATEETE'!$C$108:$N$108</c:f>
              <c:numCache>
                <c:formatCode>0.00%</c:formatCode>
                <c:ptCount val="12"/>
                <c:pt idx="0">
                  <c:v>0.41271205214787771</c:v>
                </c:pt>
                <c:pt idx="1">
                  <c:v>5.8136022180302234E-2</c:v>
                </c:pt>
                <c:pt idx="2">
                  <c:v>5.3960432596451433E-2</c:v>
                </c:pt>
                <c:pt idx="3">
                  <c:v>0.32648142802478497</c:v>
                </c:pt>
                <c:pt idx="4">
                  <c:v>9.6669598082719625E-3</c:v>
                </c:pt>
                <c:pt idx="5">
                  <c:v>1.1533220104591135E-2</c:v>
                </c:pt>
                <c:pt idx="6">
                  <c:v>5.556487939796325E-2</c:v>
                </c:pt>
                <c:pt idx="7">
                  <c:v>3.7446042923986816E-2</c:v>
                </c:pt>
                <c:pt idx="8">
                  <c:v>1.4325897382536371E-2</c:v>
                </c:pt>
                <c:pt idx="9">
                  <c:v>1.9434617114546762E-2</c:v>
                </c:pt>
                <c:pt idx="11">
                  <c:v>7.3844831868744183E-4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NATEETE-BUSEGA'!$AE$9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NATEETE-BUSEGA'!$R$10:$R$33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NATEETE-BUSEGA'!$AE$10:$AE$33</c:f>
              <c:numCache>
                <c:formatCode>0</c:formatCode>
                <c:ptCount val="24"/>
                <c:pt idx="0">
                  <c:v>685.14285714285722</c:v>
                </c:pt>
                <c:pt idx="1">
                  <c:v>708.85714285714289</c:v>
                </c:pt>
                <c:pt idx="2">
                  <c:v>751.57142857142856</c:v>
                </c:pt>
                <c:pt idx="3">
                  <c:v>686.85714285714278</c:v>
                </c:pt>
                <c:pt idx="4">
                  <c:v>703.42857142857144</c:v>
                </c:pt>
                <c:pt idx="5">
                  <c:v>680</c:v>
                </c:pt>
                <c:pt idx="6">
                  <c:v>661.28571428571422</c:v>
                </c:pt>
                <c:pt idx="7">
                  <c:v>635.71428571428578</c:v>
                </c:pt>
                <c:pt idx="8">
                  <c:v>694.28571428571433</c:v>
                </c:pt>
                <c:pt idx="9">
                  <c:v>653.28571428571433</c:v>
                </c:pt>
                <c:pt idx="10">
                  <c:v>781.42857142857144</c:v>
                </c:pt>
                <c:pt idx="11">
                  <c:v>741.71428571428578</c:v>
                </c:pt>
                <c:pt idx="12">
                  <c:v>678.14285714285722</c:v>
                </c:pt>
                <c:pt idx="13">
                  <c:v>590.14285714285711</c:v>
                </c:pt>
                <c:pt idx="14">
                  <c:v>525.57142857142856</c:v>
                </c:pt>
                <c:pt idx="15">
                  <c:v>476.5</c:v>
                </c:pt>
                <c:pt idx="16">
                  <c:v>485</c:v>
                </c:pt>
                <c:pt idx="17">
                  <c:v>483.5</c:v>
                </c:pt>
                <c:pt idx="18">
                  <c:v>481.5</c:v>
                </c:pt>
                <c:pt idx="19">
                  <c:v>469</c:v>
                </c:pt>
                <c:pt idx="20">
                  <c:v>478.5</c:v>
                </c:pt>
                <c:pt idx="21">
                  <c:v>454</c:v>
                </c:pt>
                <c:pt idx="22">
                  <c:v>398</c:v>
                </c:pt>
                <c:pt idx="23">
                  <c:v>372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NATEETE-BUSEGA'!$AF$9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NATEETE-BUSEGA'!$R$10:$R$33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NATEETE-BUSEGA'!$AF$10:$AF$33</c:f>
              <c:numCache>
                <c:formatCode>0</c:formatCode>
                <c:ptCount val="24"/>
                <c:pt idx="0">
                  <c:v>1573.7142857142858</c:v>
                </c:pt>
                <c:pt idx="1">
                  <c:v>1761.285714285714</c:v>
                </c:pt>
                <c:pt idx="2">
                  <c:v>1719.8571428571429</c:v>
                </c:pt>
                <c:pt idx="3">
                  <c:v>1615.4285714285713</c:v>
                </c:pt>
                <c:pt idx="4">
                  <c:v>1506.8571428571429</c:v>
                </c:pt>
                <c:pt idx="5">
                  <c:v>1446</c:v>
                </c:pt>
                <c:pt idx="6">
                  <c:v>1441</c:v>
                </c:pt>
                <c:pt idx="7">
                  <c:v>1321.4285714285716</c:v>
                </c:pt>
                <c:pt idx="8">
                  <c:v>1337.5714285714287</c:v>
                </c:pt>
                <c:pt idx="9">
                  <c:v>1326.8571428571427</c:v>
                </c:pt>
                <c:pt idx="10">
                  <c:v>1505.7142857142858</c:v>
                </c:pt>
                <c:pt idx="11">
                  <c:v>1440.0000000000002</c:v>
                </c:pt>
                <c:pt idx="12">
                  <c:v>1331.1428571428573</c:v>
                </c:pt>
                <c:pt idx="13">
                  <c:v>1205</c:v>
                </c:pt>
                <c:pt idx="14">
                  <c:v>1130.2142857142858</c:v>
                </c:pt>
                <c:pt idx="15">
                  <c:v>1056.5</c:v>
                </c:pt>
                <c:pt idx="16">
                  <c:v>1128.5</c:v>
                </c:pt>
                <c:pt idx="17">
                  <c:v>1150.5</c:v>
                </c:pt>
                <c:pt idx="18">
                  <c:v>1131</c:v>
                </c:pt>
                <c:pt idx="19">
                  <c:v>1155</c:v>
                </c:pt>
                <c:pt idx="20">
                  <c:v>1192</c:v>
                </c:pt>
                <c:pt idx="21">
                  <c:v>1152.5</c:v>
                </c:pt>
                <c:pt idx="22">
                  <c:v>1079</c:v>
                </c:pt>
                <c:pt idx="23">
                  <c:v>1003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5186240"/>
        <c:axId val="-15178080"/>
      </c:lineChart>
      <c:catAx>
        <c:axId val="-15186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5178080"/>
        <c:crosses val="autoZero"/>
        <c:auto val="1"/>
        <c:lblAlgn val="ctr"/>
        <c:lblOffset val="100"/>
        <c:noMultiLvlLbl val="0"/>
      </c:catAx>
      <c:valAx>
        <c:axId val="-151780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5186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NATEETE-BUSEGA'!$C$9:$N$9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NATEETE-BUSEGA'!$C$107:$N$107</c:f>
              <c:numCache>
                <c:formatCode>0.0%</c:formatCode>
                <c:ptCount val="12"/>
                <c:pt idx="0">
                  <c:v>0.17391165207002124</c:v>
                </c:pt>
                <c:pt idx="1">
                  <c:v>2.3148395080165987E-2</c:v>
                </c:pt>
                <c:pt idx="2">
                  <c:v>2.5372561151232629E-2</c:v>
                </c:pt>
                <c:pt idx="3">
                  <c:v>0.15701972413940246</c:v>
                </c:pt>
                <c:pt idx="4">
                  <c:v>5.2937285984020147E-3</c:v>
                </c:pt>
                <c:pt idx="5">
                  <c:v>7.232540029655548E-3</c:v>
                </c:pt>
                <c:pt idx="6">
                  <c:v>2.8799483694782541E-2</c:v>
                </c:pt>
                <c:pt idx="7">
                  <c:v>2.2711029090172065E-2</c:v>
                </c:pt>
                <c:pt idx="8">
                  <c:v>9.366032663772228E-3</c:v>
                </c:pt>
                <c:pt idx="9">
                  <c:v>9.3633657979795837E-3</c:v>
                </c:pt>
                <c:pt idx="10">
                  <c:v>0.53777615395282863</c:v>
                </c:pt>
                <c:pt idx="11">
                  <c:v>5.333731585291702E-6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9086090824749622E-2"/>
          <c:y val="0.2484134867756915"/>
          <c:w val="0.82182781835050078"/>
          <c:h val="0.73156632344033923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NATEETE-BUSEGA'!$C$9:$N$9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NATEETE-BUSEGA'!$C$108:$N$108</c:f>
              <c:numCache>
                <c:formatCode>0.00%</c:formatCode>
                <c:ptCount val="12"/>
                <c:pt idx="0">
                  <c:v>0.37624984854691573</c:v>
                </c:pt>
                <c:pt idx="1">
                  <c:v>5.0080486496154521E-2</c:v>
                </c:pt>
                <c:pt idx="2">
                  <c:v>5.4892367341522363E-2</c:v>
                </c:pt>
                <c:pt idx="3">
                  <c:v>0.33970494054384637</c:v>
                </c:pt>
                <c:pt idx="4">
                  <c:v>1.1452737983279577E-2</c:v>
                </c:pt>
                <c:pt idx="5">
                  <c:v>1.5647267209397586E-2</c:v>
                </c:pt>
                <c:pt idx="6">
                  <c:v>6.2306356413821727E-2</c:v>
                </c:pt>
                <c:pt idx="7">
                  <c:v>4.9134265322724871E-2</c:v>
                </c:pt>
                <c:pt idx="8">
                  <c:v>2.0262980250517818E-2</c:v>
                </c:pt>
                <c:pt idx="9">
                  <c:v>2.0257210609216422E-2</c:v>
                </c:pt>
                <c:pt idx="11">
                  <c:v>1.1539282602800581E-5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BUSEGA-NATEETE-2Dir'!$AE$9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BUSEGA-NATEETE-2Dir'!$R$10:$R$33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BUSEGA-NATEETE-2Dir'!$AE$10:$AE$33</c:f>
              <c:numCache>
                <c:formatCode>0</c:formatCode>
                <c:ptCount val="24"/>
                <c:pt idx="0">
                  <c:v>1188.1428571428571</c:v>
                </c:pt>
                <c:pt idx="1">
                  <c:v>1213.7142857142856</c:v>
                </c:pt>
                <c:pt idx="2">
                  <c:v>1363.1428571428571</c:v>
                </c:pt>
                <c:pt idx="3">
                  <c:v>1320</c:v>
                </c:pt>
                <c:pt idx="4">
                  <c:v>1327.1428571428571</c:v>
                </c:pt>
                <c:pt idx="5">
                  <c:v>1225.4285714285713</c:v>
                </c:pt>
                <c:pt idx="6">
                  <c:v>1200.8571428571429</c:v>
                </c:pt>
                <c:pt idx="7">
                  <c:v>1219.8571428571429</c:v>
                </c:pt>
                <c:pt idx="8">
                  <c:v>1310.2857142857142</c:v>
                </c:pt>
                <c:pt idx="9">
                  <c:v>1263.5714285714287</c:v>
                </c:pt>
                <c:pt idx="10">
                  <c:v>1313.4285714285713</c:v>
                </c:pt>
                <c:pt idx="11">
                  <c:v>1301.5714285714287</c:v>
                </c:pt>
                <c:pt idx="12">
                  <c:v>1233.2142857142858</c:v>
                </c:pt>
                <c:pt idx="13">
                  <c:v>1136.3571428571429</c:v>
                </c:pt>
                <c:pt idx="14">
                  <c:v>1012.0714285714287</c:v>
                </c:pt>
                <c:pt idx="15">
                  <c:v>942.5</c:v>
                </c:pt>
                <c:pt idx="16">
                  <c:v>961</c:v>
                </c:pt>
                <c:pt idx="17">
                  <c:v>950.5</c:v>
                </c:pt>
                <c:pt idx="18">
                  <c:v>966.5</c:v>
                </c:pt>
                <c:pt idx="19">
                  <c:v>978</c:v>
                </c:pt>
                <c:pt idx="20">
                  <c:v>984.5</c:v>
                </c:pt>
                <c:pt idx="21">
                  <c:v>942</c:v>
                </c:pt>
                <c:pt idx="22">
                  <c:v>875</c:v>
                </c:pt>
                <c:pt idx="23">
                  <c:v>804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289-4DCF-B882-877A22CF008F}"/>
            </c:ext>
          </c:extLst>
        </c:ser>
        <c:ser>
          <c:idx val="1"/>
          <c:order val="1"/>
          <c:tx>
            <c:strRef>
              <c:f>'Avg Week BUSEGA-NATEETE-2Dir'!$AF$9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BUSEGA-NATEETE-2Dir'!$R$10:$R$33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BUSEGA-NATEETE-2Dir'!$AF$10:$AF$33</c:f>
              <c:numCache>
                <c:formatCode>0</c:formatCode>
                <c:ptCount val="24"/>
                <c:pt idx="0">
                  <c:v>2727</c:v>
                </c:pt>
                <c:pt idx="1">
                  <c:v>3169.4285714285716</c:v>
                </c:pt>
                <c:pt idx="2">
                  <c:v>3206</c:v>
                </c:pt>
                <c:pt idx="3">
                  <c:v>3041.8571428571431</c:v>
                </c:pt>
                <c:pt idx="4">
                  <c:v>2897</c:v>
                </c:pt>
                <c:pt idx="5">
                  <c:v>2674</c:v>
                </c:pt>
                <c:pt idx="6">
                  <c:v>2625.7142857142858</c:v>
                </c:pt>
                <c:pt idx="7">
                  <c:v>2538</c:v>
                </c:pt>
                <c:pt idx="8">
                  <c:v>2542.7142857142853</c:v>
                </c:pt>
                <c:pt idx="9">
                  <c:v>2681.1428571428569</c:v>
                </c:pt>
                <c:pt idx="10">
                  <c:v>2952</c:v>
                </c:pt>
                <c:pt idx="11">
                  <c:v>2852.8571428571431</c:v>
                </c:pt>
                <c:pt idx="12">
                  <c:v>2781.5</c:v>
                </c:pt>
                <c:pt idx="13">
                  <c:v>2726.5714285714284</c:v>
                </c:pt>
                <c:pt idx="14">
                  <c:v>2674.7857142857147</c:v>
                </c:pt>
                <c:pt idx="15">
                  <c:v>2666</c:v>
                </c:pt>
                <c:pt idx="16">
                  <c:v>2731.5</c:v>
                </c:pt>
                <c:pt idx="17">
                  <c:v>2737.5</c:v>
                </c:pt>
                <c:pt idx="18">
                  <c:v>2768</c:v>
                </c:pt>
                <c:pt idx="19">
                  <c:v>2816.5</c:v>
                </c:pt>
                <c:pt idx="20">
                  <c:v>2901.5</c:v>
                </c:pt>
                <c:pt idx="21">
                  <c:v>2871.5</c:v>
                </c:pt>
                <c:pt idx="22">
                  <c:v>2780.5</c:v>
                </c:pt>
                <c:pt idx="23">
                  <c:v>2663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289-4DCF-B882-877A22CF008F}"/>
            </c:ext>
          </c:extLst>
        </c:ser>
        <c:ser>
          <c:idx val="5"/>
          <c:order val="2"/>
          <c:tx>
            <c:strRef>
              <c:f>'Avg Week BUSEGA-NATEETE-2Dir'!$AC$9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BUSEGA-NATEETE-2Dir'!$R$10:$R$33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BUSEGA-NATEETE-2Dir'!$AC$10:$AC$33</c:f>
              <c:numCache>
                <c:formatCode>0</c:formatCode>
                <c:ptCount val="24"/>
                <c:pt idx="0">
                  <c:v>1538.8571428571429</c:v>
                </c:pt>
                <c:pt idx="1">
                  <c:v>1955.7142857142856</c:v>
                </c:pt>
                <c:pt idx="2">
                  <c:v>1842.8571428571429</c:v>
                </c:pt>
                <c:pt idx="3">
                  <c:v>1721.8571428571429</c:v>
                </c:pt>
                <c:pt idx="4">
                  <c:v>1569.8571428571427</c:v>
                </c:pt>
                <c:pt idx="5">
                  <c:v>1448.5714285714287</c:v>
                </c:pt>
                <c:pt idx="6">
                  <c:v>1424.8571428571431</c:v>
                </c:pt>
                <c:pt idx="7">
                  <c:v>1318.1428571428569</c:v>
                </c:pt>
                <c:pt idx="8">
                  <c:v>1232.4285714285716</c:v>
                </c:pt>
                <c:pt idx="9">
                  <c:v>1417.5714285714284</c:v>
                </c:pt>
                <c:pt idx="10">
                  <c:v>1638.5714285714284</c:v>
                </c:pt>
                <c:pt idx="11">
                  <c:v>1551.2857142857142</c:v>
                </c:pt>
                <c:pt idx="12">
                  <c:v>1723.5</c:v>
                </c:pt>
                <c:pt idx="13">
                  <c:v>1838.5</c:v>
                </c:pt>
                <c:pt idx="14">
                  <c:v>1859</c:v>
                </c:pt>
                <c:pt idx="15">
                  <c:v>1544</c:v>
                </c:pt>
                <c:pt idx="16">
                  <c:v>1158.5</c:v>
                </c:pt>
                <c:pt idx="17">
                  <c:v>796.5</c:v>
                </c:pt>
                <c:pt idx="18">
                  <c:v>507.5</c:v>
                </c:pt>
                <c:pt idx="19">
                  <c:v>309</c:v>
                </c:pt>
                <c:pt idx="20">
                  <c:v>328.5</c:v>
                </c:pt>
                <c:pt idx="21">
                  <c:v>377.5</c:v>
                </c:pt>
                <c:pt idx="22">
                  <c:v>456.5</c:v>
                </c:pt>
                <c:pt idx="23">
                  <c:v>836.5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0DC-4269-83A4-9C67FBDC44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5289952"/>
        <c:axId val="-1908661088"/>
      </c:lineChart>
      <c:catAx>
        <c:axId val="-1452899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08661088"/>
        <c:crosses val="autoZero"/>
        <c:auto val="1"/>
        <c:lblAlgn val="ctr"/>
        <c:lblOffset val="100"/>
        <c:noMultiLvlLbl val="0"/>
      </c:catAx>
      <c:valAx>
        <c:axId val="-19086610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5289952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Including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66"/>
      <c:depthPercent val="100"/>
      <c:rAngAx val="0"/>
      <c:perspective val="1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5862766740250188E-2"/>
          <c:y val="8.013560502587487E-2"/>
          <c:w val="0.82827446651949965"/>
          <c:h val="0.75902399207700977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BUSEGA-NATEETE-2Dir'!$C$9:$N$9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BUSEGA-NATEETE-2Dir'!$C$107:$N$107</c:f>
              <c:numCache>
                <c:formatCode>0.0%</c:formatCode>
                <c:ptCount val="12"/>
                <c:pt idx="0">
                  <c:v>0.16941083967281198</c:v>
                </c:pt>
                <c:pt idx="1">
                  <c:v>2.31871809923953E-2</c:v>
                </c:pt>
                <c:pt idx="2">
                  <c:v>2.3470669018369222E-2</c:v>
                </c:pt>
                <c:pt idx="3">
                  <c:v>0.1437645337758599</c:v>
                </c:pt>
                <c:pt idx="4">
                  <c:v>4.5799362686824614E-3</c:v>
                </c:pt>
                <c:pt idx="5">
                  <c:v>5.9238299767192127E-3</c:v>
                </c:pt>
                <c:pt idx="6">
                  <c:v>2.5508573506974195E-2</c:v>
                </c:pt>
                <c:pt idx="7">
                  <c:v>1.884660489658704E-2</c:v>
                </c:pt>
                <c:pt idx="8">
                  <c:v>7.5498745030601966E-3</c:v>
                </c:pt>
                <c:pt idx="9">
                  <c:v>8.5661523320233138E-3</c:v>
                </c:pt>
                <c:pt idx="10">
                  <c:v>0.56904203779751172</c:v>
                </c:pt>
                <c:pt idx="11">
                  <c:v>1.4976725900509074E-4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Excluding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5621349354452078E-2"/>
          <c:y val="0.20025731425750379"/>
          <c:w val="0.83261086583830202"/>
          <c:h val="0.76871916342946045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BUSEGA-NATEETE-2Dir'!$C$9:$N$9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BUSEGA-NATEETE-2Dir'!$C$108:$N$108</c:f>
              <c:numCache>
                <c:formatCode>0.00%</c:formatCode>
                <c:ptCount val="12"/>
                <c:pt idx="0">
                  <c:v>0.39310293469694252</c:v>
                </c:pt>
                <c:pt idx="1">
                  <c:v>5.3803811568750366E-2</c:v>
                </c:pt>
                <c:pt idx="2">
                  <c:v>5.4461620568322183E-2</c:v>
                </c:pt>
                <c:pt idx="3">
                  <c:v>0.3335929403441707</c:v>
                </c:pt>
                <c:pt idx="4">
                  <c:v>1.0627338790252017E-2</c:v>
                </c:pt>
                <c:pt idx="5">
                  <c:v>1.3745725792939105E-2</c:v>
                </c:pt>
                <c:pt idx="6">
                  <c:v>5.9190398470904362E-2</c:v>
                </c:pt>
                <c:pt idx="7">
                  <c:v>4.3731886980966993E-2</c:v>
                </c:pt>
                <c:pt idx="8">
                  <c:v>1.7518818922558507E-2</c:v>
                </c:pt>
                <c:pt idx="9">
                  <c:v>1.9877002128570635E-2</c:v>
                </c:pt>
                <c:pt idx="11">
                  <c:v>3.4752173562283971E-4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BUSEGA-NATEETE-2Dir'!$S$9:$AF$9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BUSEGA-NATEETE-2Dir'!$S$41:$AF$41</c:f>
              <c:numCache>
                <c:formatCode>0</c:formatCode>
                <c:ptCount val="14"/>
                <c:pt idx="0">
                  <c:v>9049.2857142857138</c:v>
                </c:pt>
                <c:pt idx="1">
                  <c:v>1238.5714285714287</c:v>
                </c:pt>
                <c:pt idx="2">
                  <c:v>1253.7142857142858</c:v>
                </c:pt>
                <c:pt idx="3">
                  <c:v>7679.3571428571422</c:v>
                </c:pt>
                <c:pt idx="4">
                  <c:v>244.64285714285711</c:v>
                </c:pt>
                <c:pt idx="5">
                  <c:v>316.42857142857144</c:v>
                </c:pt>
                <c:pt idx="6">
                  <c:v>1362.5714285714287</c:v>
                </c:pt>
                <c:pt idx="7">
                  <c:v>1006.7142857142858</c:v>
                </c:pt>
                <c:pt idx="8">
                  <c:v>403.28571428571428</c:v>
                </c:pt>
                <c:pt idx="9">
                  <c:v>457.57142857142856</c:v>
                </c:pt>
                <c:pt idx="10">
                  <c:v>30396.071428571428</c:v>
                </c:pt>
                <c:pt idx="11">
                  <c:v>8</c:v>
                </c:pt>
                <c:pt idx="12">
                  <c:v>27032.78571428571</c:v>
                </c:pt>
                <c:pt idx="13">
                  <c:v>67026.571428571435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84-4A20-879A-D9A0A0F9050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-148287392"/>
        <c:axId val="-148274880"/>
      </c:barChart>
      <c:catAx>
        <c:axId val="-14828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8274880"/>
        <c:crosses val="autoZero"/>
        <c:auto val="1"/>
        <c:lblAlgn val="ctr"/>
        <c:lblOffset val="100"/>
        <c:noMultiLvlLbl val="0"/>
      </c:catAx>
      <c:valAx>
        <c:axId val="-148274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8287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BUSEGA-NATEETE-2Dir'!$S$9:$AF$9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BUSEGA-NATEETE-2Dir'!$S$42:$AF$42</c:f>
              <c:numCache>
                <c:formatCode>0.000</c:formatCode>
                <c:ptCount val="14"/>
                <c:pt idx="0">
                  <c:v>1.5919829102789644</c:v>
                </c:pt>
                <c:pt idx="1">
                  <c:v>1.5057311566516152</c:v>
                </c:pt>
                <c:pt idx="2">
                  <c:v>1.5426261205835823</c:v>
                </c:pt>
                <c:pt idx="3">
                  <c:v>1.3691482858743824</c:v>
                </c:pt>
                <c:pt idx="4">
                  <c:v>1.5276538804638717</c:v>
                </c:pt>
                <c:pt idx="5">
                  <c:v>1.9847670250896057</c:v>
                </c:pt>
                <c:pt idx="6">
                  <c:v>1.5562081905694241</c:v>
                </c:pt>
                <c:pt idx="7">
                  <c:v>1.7158509861212563</c:v>
                </c:pt>
                <c:pt idx="8">
                  <c:v>1.8908238446081715</c:v>
                </c:pt>
                <c:pt idx="9">
                  <c:v>1.4499773653236758</c:v>
                </c:pt>
                <c:pt idx="10">
                  <c:v>1.6288928527682509</c:v>
                </c:pt>
                <c:pt idx="11">
                  <c:v>1</c:v>
                </c:pt>
                <c:pt idx="12">
                  <c:v>1.7729738592710576</c:v>
                </c:pt>
                <c:pt idx="13">
                  <c:v>1.976735171937275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84-4A20-879A-D9A0A0F9050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-148282496"/>
        <c:axId val="-148285216"/>
      </c:barChart>
      <c:catAx>
        <c:axId val="-148282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8285216"/>
        <c:crosses val="autoZero"/>
        <c:auto val="1"/>
        <c:lblAlgn val="ctr"/>
        <c:lblOffset val="100"/>
        <c:noMultiLvlLbl val="0"/>
      </c:catAx>
      <c:valAx>
        <c:axId val="-148285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82824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9.xml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26.xml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6" Type="http://schemas.openxmlformats.org/officeDocument/2006/relationships/chart" Target="../charts/chart30.xml"/><Relationship Id="rId1" Type="http://schemas.openxmlformats.org/officeDocument/2006/relationships/chart" Target="../charts/chart2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8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31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3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2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4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5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7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4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1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8.pn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43</xdr:row>
      <xdr:rowOff>6349</xdr:rowOff>
    </xdr:from>
    <xdr:to>
      <xdr:col>27</xdr:col>
      <xdr:colOff>714374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25</xdr:col>
      <xdr:colOff>0</xdr:colOff>
      <xdr:row>58</xdr:row>
      <xdr:rowOff>279400</xdr:rowOff>
    </xdr:from>
    <xdr:to>
      <xdr:col>31</xdr:col>
      <xdr:colOff>587375</xdr:colOff>
      <xdr:row>73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59</xdr:row>
      <xdr:rowOff>0</xdr:rowOff>
    </xdr:from>
    <xdr:to>
      <xdr:col>24</xdr:col>
      <xdr:colOff>0</xdr:colOff>
      <xdr:row>73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43</xdr:row>
      <xdr:rowOff>6349</xdr:rowOff>
    </xdr:from>
    <xdr:to>
      <xdr:col>27</xdr:col>
      <xdr:colOff>714374</xdr:colOff>
      <xdr:row>59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0</xdr:colOff>
      <xdr:row>59</xdr:row>
      <xdr:rowOff>1</xdr:rowOff>
    </xdr:from>
    <xdr:to>
      <xdr:col>30</xdr:col>
      <xdr:colOff>555625</xdr:colOff>
      <xdr:row>73</xdr:row>
      <xdr:rowOff>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59</xdr:row>
      <xdr:rowOff>0</xdr:rowOff>
    </xdr:from>
    <xdr:to>
      <xdr:col>24</xdr:col>
      <xdr:colOff>0</xdr:colOff>
      <xdr:row>73</xdr:row>
      <xdr:rowOff>1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16</xdr:col>
      <xdr:colOff>156488</xdr:colOff>
      <xdr:row>42</xdr:row>
      <xdr:rowOff>285749</xdr:rowOff>
    </xdr:from>
    <xdr:to>
      <xdr:col>28</xdr:col>
      <xdr:colOff>1</xdr:colOff>
      <xdr:row>60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F3C755B-FA06-4641-8226-864954F6E9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0</xdr:colOff>
      <xdr:row>76</xdr:row>
      <xdr:rowOff>3178</xdr:rowOff>
    </xdr:from>
    <xdr:to>
      <xdr:col>25</xdr:col>
      <xdr:colOff>10600</xdr:colOff>
      <xdr:row>92</xdr:row>
      <xdr:rowOff>25403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6351</xdr:colOff>
      <xdr:row>59</xdr:row>
      <xdr:rowOff>282579</xdr:rowOff>
    </xdr:from>
    <xdr:to>
      <xdr:col>25</xdr:col>
      <xdr:colOff>0</xdr:colOff>
      <xdr:row>75</xdr:row>
      <xdr:rowOff>279403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708026</xdr:colOff>
      <xdr:row>59</xdr:row>
      <xdr:rowOff>280990</xdr:rowOff>
    </xdr:from>
    <xdr:to>
      <xdr:col>31</xdr:col>
      <xdr:colOff>508000</xdr:colOff>
      <xdr:row>75</xdr:row>
      <xdr:rowOff>279403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3627A04-1E0E-4C3A-8B25-FA92ABCB6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708026</xdr:colOff>
      <xdr:row>75</xdr:row>
      <xdr:rowOff>280990</xdr:rowOff>
    </xdr:from>
    <xdr:to>
      <xdr:col>31</xdr:col>
      <xdr:colOff>508000</xdr:colOff>
      <xdr:row>92</xdr:row>
      <xdr:rowOff>9528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7CD2BF54-C297-4A9B-8975-0C4CE3D1A6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26"/>
  <sheetViews>
    <sheetView view="pageBreakPreview" zoomScale="60" workbookViewId="0">
      <selection activeCell="K6" sqref="K6:L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1" t="s">
        <v>96</v>
      </c>
      <c r="C3" s="59" t="s">
        <v>174</v>
      </c>
      <c r="D3" s="59"/>
      <c r="E3" s="59"/>
      <c r="F3" s="59"/>
      <c r="G3" s="59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162</v>
      </c>
      <c r="E5" s="3"/>
      <c r="F5" s="41" t="s">
        <v>1</v>
      </c>
      <c r="G5" s="54" t="s">
        <v>172</v>
      </c>
      <c r="H5" s="55"/>
      <c r="I5" s="14"/>
      <c r="J5" s="2" t="s">
        <v>5</v>
      </c>
      <c r="K5" s="54" t="s">
        <v>178</v>
      </c>
      <c r="L5" s="55"/>
      <c r="M5" s="10"/>
      <c r="N5" s="10"/>
      <c r="O5" s="3"/>
      <c r="P5" s="3"/>
    </row>
    <row r="6" spans="2:32" ht="23.25" customHeight="1" x14ac:dyDescent="0.25">
      <c r="C6" s="2" t="s">
        <v>4</v>
      </c>
      <c r="D6" s="54" t="s">
        <v>171</v>
      </c>
      <c r="E6" s="55"/>
      <c r="F6" s="2" t="s">
        <v>2</v>
      </c>
      <c r="G6" s="54" t="s">
        <v>170</v>
      </c>
      <c r="H6" s="55"/>
      <c r="J6" s="2" t="s">
        <v>21</v>
      </c>
      <c r="K6" s="54" t="s">
        <v>180</v>
      </c>
      <c r="L6" s="5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0</v>
      </c>
      <c r="R10" s="1" t="s">
        <v>6</v>
      </c>
      <c r="S10" s="17">
        <f t="shared" ref="S10:AF10" si="2">SUM(C10:C13)</f>
        <v>19</v>
      </c>
      <c r="T10" s="17">
        <f t="shared" si="2"/>
        <v>5</v>
      </c>
      <c r="U10" s="17">
        <f t="shared" si="2"/>
        <v>5</v>
      </c>
      <c r="V10" s="17">
        <f t="shared" si="2"/>
        <v>44</v>
      </c>
      <c r="W10" s="17">
        <f t="shared" si="2"/>
        <v>2</v>
      </c>
      <c r="X10" s="17">
        <f t="shared" si="2"/>
        <v>2</v>
      </c>
      <c r="Y10" s="17">
        <f t="shared" si="2"/>
        <v>3</v>
      </c>
      <c r="Z10" s="17">
        <f t="shared" si="2"/>
        <v>4</v>
      </c>
      <c r="AA10" s="17">
        <f t="shared" si="2"/>
        <v>2</v>
      </c>
      <c r="AB10" s="17">
        <f t="shared" si="2"/>
        <v>1</v>
      </c>
      <c r="AC10" s="17">
        <f t="shared" si="2"/>
        <v>179</v>
      </c>
      <c r="AD10" s="17">
        <f t="shared" si="2"/>
        <v>0</v>
      </c>
      <c r="AE10" s="31">
        <f t="shared" si="2"/>
        <v>87</v>
      </c>
      <c r="AF10" s="31">
        <f t="shared" si="2"/>
        <v>266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15">
        <f t="shared" si="0"/>
        <v>0</v>
      </c>
      <c r="P11" s="15">
        <f t="shared" si="1"/>
        <v>0</v>
      </c>
      <c r="R11" s="1" t="s">
        <v>7</v>
      </c>
      <c r="S11" s="17">
        <f t="shared" ref="S11:AF11" si="3">SUM(C14:C17)</f>
        <v>94</v>
      </c>
      <c r="T11" s="17">
        <f t="shared" si="3"/>
        <v>17</v>
      </c>
      <c r="U11" s="17">
        <f t="shared" si="3"/>
        <v>22</v>
      </c>
      <c r="V11" s="17">
        <f t="shared" si="3"/>
        <v>225</v>
      </c>
      <c r="W11" s="17">
        <f t="shared" si="3"/>
        <v>2</v>
      </c>
      <c r="X11" s="17">
        <f t="shared" si="3"/>
        <v>6</v>
      </c>
      <c r="Y11" s="17">
        <f t="shared" si="3"/>
        <v>39</v>
      </c>
      <c r="Z11" s="17">
        <f t="shared" si="3"/>
        <v>11</v>
      </c>
      <c r="AA11" s="17">
        <f t="shared" si="3"/>
        <v>6</v>
      </c>
      <c r="AB11" s="17">
        <f t="shared" si="3"/>
        <v>4</v>
      </c>
      <c r="AC11" s="17">
        <f t="shared" si="3"/>
        <v>843</v>
      </c>
      <c r="AD11" s="17">
        <f t="shared" si="3"/>
        <v>0</v>
      </c>
      <c r="AE11" s="31">
        <f t="shared" si="3"/>
        <v>426</v>
      </c>
      <c r="AF11" s="31">
        <f t="shared" si="3"/>
        <v>1269</v>
      </c>
    </row>
    <row r="12" spans="2:32" ht="23.1" customHeight="1" x14ac:dyDescent="0.25">
      <c r="B12" s="23" t="s">
        <v>39</v>
      </c>
      <c r="C12" s="50">
        <v>5</v>
      </c>
      <c r="D12" s="50">
        <v>1</v>
      </c>
      <c r="E12" s="50">
        <v>1</v>
      </c>
      <c r="F12" s="50">
        <v>13</v>
      </c>
      <c r="G12" s="50">
        <v>0</v>
      </c>
      <c r="H12" s="50">
        <v>1</v>
      </c>
      <c r="I12" s="50">
        <v>0</v>
      </c>
      <c r="J12" s="50">
        <v>2</v>
      </c>
      <c r="K12" s="50">
        <v>0</v>
      </c>
      <c r="L12" s="50">
        <v>0</v>
      </c>
      <c r="M12" s="50">
        <v>55</v>
      </c>
      <c r="N12" s="50">
        <v>0</v>
      </c>
      <c r="O12" s="15">
        <f t="shared" si="0"/>
        <v>23</v>
      </c>
      <c r="P12" s="15">
        <f t="shared" si="1"/>
        <v>78</v>
      </c>
      <c r="R12" s="1" t="s">
        <v>8</v>
      </c>
      <c r="S12" s="17">
        <f t="shared" ref="S12:AF12" si="4">SUM(C18:C21)</f>
        <v>147</v>
      </c>
      <c r="T12" s="17">
        <f t="shared" si="4"/>
        <v>18</v>
      </c>
      <c r="U12" s="17">
        <f t="shared" si="4"/>
        <v>25</v>
      </c>
      <c r="V12" s="17">
        <f t="shared" si="4"/>
        <v>248</v>
      </c>
      <c r="W12" s="17">
        <f t="shared" si="4"/>
        <v>5</v>
      </c>
      <c r="X12" s="17">
        <f t="shared" si="4"/>
        <v>8</v>
      </c>
      <c r="Y12" s="17">
        <f t="shared" si="4"/>
        <v>42</v>
      </c>
      <c r="Z12" s="17">
        <f t="shared" si="4"/>
        <v>17</v>
      </c>
      <c r="AA12" s="17">
        <f t="shared" si="4"/>
        <v>10</v>
      </c>
      <c r="AB12" s="17">
        <f t="shared" si="4"/>
        <v>5</v>
      </c>
      <c r="AC12" s="17">
        <f t="shared" si="4"/>
        <v>766</v>
      </c>
      <c r="AD12" s="17">
        <f t="shared" si="4"/>
        <v>0</v>
      </c>
      <c r="AE12" s="31">
        <f t="shared" si="4"/>
        <v>525</v>
      </c>
      <c r="AF12" s="31">
        <f t="shared" si="4"/>
        <v>1291</v>
      </c>
    </row>
    <row r="13" spans="2:32" ht="23.1" customHeight="1" x14ac:dyDescent="0.25">
      <c r="B13" s="23" t="s">
        <v>40</v>
      </c>
      <c r="C13" s="50">
        <v>14</v>
      </c>
      <c r="D13" s="50">
        <v>4</v>
      </c>
      <c r="E13" s="50">
        <v>4</v>
      </c>
      <c r="F13" s="50">
        <v>31</v>
      </c>
      <c r="G13" s="50">
        <v>2</v>
      </c>
      <c r="H13" s="50">
        <v>1</v>
      </c>
      <c r="I13" s="50">
        <v>3</v>
      </c>
      <c r="J13" s="50">
        <v>2</v>
      </c>
      <c r="K13" s="50">
        <v>2</v>
      </c>
      <c r="L13" s="50">
        <v>1</v>
      </c>
      <c r="M13" s="50">
        <v>124</v>
      </c>
      <c r="N13" s="50">
        <v>0</v>
      </c>
      <c r="O13" s="15">
        <f t="shared" si="0"/>
        <v>64</v>
      </c>
      <c r="P13" s="15">
        <f t="shared" si="1"/>
        <v>188</v>
      </c>
      <c r="R13" s="1" t="s">
        <v>9</v>
      </c>
      <c r="S13" s="17">
        <f t="shared" ref="S13:AF13" si="5">SUM(C22:C25)</f>
        <v>174</v>
      </c>
      <c r="T13" s="17">
        <f t="shared" si="5"/>
        <v>23</v>
      </c>
      <c r="U13" s="17">
        <f t="shared" si="5"/>
        <v>31</v>
      </c>
      <c r="V13" s="17">
        <f t="shared" si="5"/>
        <v>256</v>
      </c>
      <c r="W13" s="17">
        <f t="shared" si="5"/>
        <v>2</v>
      </c>
      <c r="X13" s="17">
        <f t="shared" si="5"/>
        <v>8</v>
      </c>
      <c r="Y13" s="17">
        <f t="shared" si="5"/>
        <v>33</v>
      </c>
      <c r="Z13" s="17">
        <f t="shared" si="5"/>
        <v>16</v>
      </c>
      <c r="AA13" s="17">
        <f t="shared" si="5"/>
        <v>6</v>
      </c>
      <c r="AB13" s="17">
        <f t="shared" si="5"/>
        <v>4</v>
      </c>
      <c r="AC13" s="17">
        <f t="shared" si="5"/>
        <v>693</v>
      </c>
      <c r="AD13" s="17">
        <f t="shared" si="5"/>
        <v>1</v>
      </c>
      <c r="AE13" s="31">
        <f t="shared" si="5"/>
        <v>554</v>
      </c>
      <c r="AF13" s="31">
        <f t="shared" si="5"/>
        <v>1247</v>
      </c>
    </row>
    <row r="14" spans="2:32" ht="23.1" customHeight="1" x14ac:dyDescent="0.25">
      <c r="B14" s="23" t="s">
        <v>41</v>
      </c>
      <c r="C14" s="50">
        <v>19</v>
      </c>
      <c r="D14" s="50">
        <v>3</v>
      </c>
      <c r="E14" s="50">
        <v>6</v>
      </c>
      <c r="F14" s="50">
        <v>50</v>
      </c>
      <c r="G14" s="50">
        <v>2</v>
      </c>
      <c r="H14" s="50">
        <v>1</v>
      </c>
      <c r="I14" s="50">
        <v>8</v>
      </c>
      <c r="J14" s="50">
        <v>2</v>
      </c>
      <c r="K14" s="50">
        <v>2</v>
      </c>
      <c r="L14" s="50">
        <v>2</v>
      </c>
      <c r="M14" s="50">
        <v>160</v>
      </c>
      <c r="N14" s="50">
        <v>0</v>
      </c>
      <c r="O14" s="15">
        <f t="shared" si="0"/>
        <v>95</v>
      </c>
      <c r="P14" s="15">
        <f t="shared" si="1"/>
        <v>255</v>
      </c>
      <c r="R14" s="1" t="s">
        <v>10</v>
      </c>
      <c r="S14" s="17">
        <f t="shared" ref="S14:AF14" si="6">SUM(C26:C29)</f>
        <v>175</v>
      </c>
      <c r="T14" s="17">
        <f t="shared" si="6"/>
        <v>28</v>
      </c>
      <c r="U14" s="17">
        <f t="shared" si="6"/>
        <v>46</v>
      </c>
      <c r="V14" s="17">
        <f t="shared" si="6"/>
        <v>202</v>
      </c>
      <c r="W14" s="17">
        <f t="shared" si="6"/>
        <v>5</v>
      </c>
      <c r="X14" s="17">
        <f t="shared" si="6"/>
        <v>9</v>
      </c>
      <c r="Y14" s="17">
        <f t="shared" si="6"/>
        <v>54</v>
      </c>
      <c r="Z14" s="17">
        <f t="shared" si="6"/>
        <v>27</v>
      </c>
      <c r="AA14" s="17">
        <f t="shared" si="6"/>
        <v>6</v>
      </c>
      <c r="AB14" s="17">
        <f t="shared" si="6"/>
        <v>12</v>
      </c>
      <c r="AC14" s="17">
        <f t="shared" si="6"/>
        <v>849</v>
      </c>
      <c r="AD14" s="17">
        <f t="shared" si="6"/>
        <v>0</v>
      </c>
      <c r="AE14" s="31">
        <f t="shared" si="6"/>
        <v>564</v>
      </c>
      <c r="AF14" s="31">
        <f t="shared" si="6"/>
        <v>1413</v>
      </c>
    </row>
    <row r="15" spans="2:32" ht="23.1" customHeight="1" x14ac:dyDescent="0.25">
      <c r="B15" s="23" t="s">
        <v>42</v>
      </c>
      <c r="C15" s="50">
        <v>29</v>
      </c>
      <c r="D15" s="50">
        <v>5</v>
      </c>
      <c r="E15" s="50">
        <v>5</v>
      </c>
      <c r="F15" s="50">
        <v>50</v>
      </c>
      <c r="G15" s="50">
        <v>0</v>
      </c>
      <c r="H15" s="50">
        <v>1</v>
      </c>
      <c r="I15" s="50">
        <v>3</v>
      </c>
      <c r="J15" s="50">
        <v>2</v>
      </c>
      <c r="K15" s="50">
        <v>2</v>
      </c>
      <c r="L15" s="50">
        <v>0</v>
      </c>
      <c r="M15" s="50">
        <v>210</v>
      </c>
      <c r="N15" s="50">
        <v>0</v>
      </c>
      <c r="O15" s="15">
        <f t="shared" si="0"/>
        <v>97</v>
      </c>
      <c r="P15" s="15">
        <f t="shared" si="1"/>
        <v>307</v>
      </c>
      <c r="R15" s="1" t="s">
        <v>11</v>
      </c>
      <c r="S15" s="17">
        <f t="shared" ref="S15:AF15" si="7">SUM(C30:C33)</f>
        <v>118</v>
      </c>
      <c r="T15" s="17">
        <f t="shared" si="7"/>
        <v>22</v>
      </c>
      <c r="U15" s="17">
        <f t="shared" si="7"/>
        <v>23</v>
      </c>
      <c r="V15" s="17">
        <f t="shared" si="7"/>
        <v>163</v>
      </c>
      <c r="W15" s="17">
        <f t="shared" si="7"/>
        <v>6</v>
      </c>
      <c r="X15" s="17">
        <f t="shared" si="7"/>
        <v>6</v>
      </c>
      <c r="Y15" s="17">
        <f t="shared" si="7"/>
        <v>42</v>
      </c>
      <c r="Z15" s="17">
        <f t="shared" si="7"/>
        <v>26</v>
      </c>
      <c r="AA15" s="17">
        <f t="shared" si="7"/>
        <v>10</v>
      </c>
      <c r="AB15" s="17">
        <f t="shared" si="7"/>
        <v>10</v>
      </c>
      <c r="AC15" s="17">
        <f t="shared" si="7"/>
        <v>572</v>
      </c>
      <c r="AD15" s="17">
        <f t="shared" si="7"/>
        <v>0</v>
      </c>
      <c r="AE15" s="31">
        <f t="shared" si="7"/>
        <v>426</v>
      </c>
      <c r="AF15" s="31">
        <f t="shared" si="7"/>
        <v>998</v>
      </c>
    </row>
    <row r="16" spans="2:32" ht="23.1" customHeight="1" x14ac:dyDescent="0.25">
      <c r="B16" s="23" t="s">
        <v>43</v>
      </c>
      <c r="C16" s="50">
        <v>25</v>
      </c>
      <c r="D16" s="50">
        <v>6</v>
      </c>
      <c r="E16" s="50">
        <v>9</v>
      </c>
      <c r="F16" s="50">
        <v>73</v>
      </c>
      <c r="G16" s="50">
        <v>0</v>
      </c>
      <c r="H16" s="50">
        <v>2</v>
      </c>
      <c r="I16" s="50">
        <v>12</v>
      </c>
      <c r="J16" s="50">
        <v>4</v>
      </c>
      <c r="K16" s="50">
        <v>2</v>
      </c>
      <c r="L16" s="50">
        <v>0</v>
      </c>
      <c r="M16" s="50">
        <v>203</v>
      </c>
      <c r="N16" s="50">
        <v>0</v>
      </c>
      <c r="O16" s="15">
        <f t="shared" si="0"/>
        <v>133</v>
      </c>
      <c r="P16" s="15">
        <f t="shared" si="1"/>
        <v>336</v>
      </c>
      <c r="R16" s="1" t="s">
        <v>12</v>
      </c>
      <c r="S16" s="17">
        <f t="shared" ref="S16:AF16" si="8">SUM(C34:C37)</f>
        <v>128</v>
      </c>
      <c r="T16" s="17">
        <f t="shared" si="8"/>
        <v>31</v>
      </c>
      <c r="U16" s="17">
        <f t="shared" si="8"/>
        <v>43</v>
      </c>
      <c r="V16" s="17">
        <f t="shared" si="8"/>
        <v>171</v>
      </c>
      <c r="W16" s="17">
        <f t="shared" si="8"/>
        <v>4</v>
      </c>
      <c r="X16" s="17">
        <f t="shared" si="8"/>
        <v>7</v>
      </c>
      <c r="Y16" s="17">
        <f t="shared" si="8"/>
        <v>37</v>
      </c>
      <c r="Z16" s="17">
        <f t="shared" si="8"/>
        <v>28</v>
      </c>
      <c r="AA16" s="17">
        <f t="shared" si="8"/>
        <v>14</v>
      </c>
      <c r="AB16" s="17">
        <f t="shared" si="8"/>
        <v>9</v>
      </c>
      <c r="AC16" s="17">
        <f t="shared" si="8"/>
        <v>441</v>
      </c>
      <c r="AD16" s="17">
        <f t="shared" si="8"/>
        <v>0</v>
      </c>
      <c r="AE16" s="31">
        <f t="shared" si="8"/>
        <v>472</v>
      </c>
      <c r="AF16" s="31">
        <f t="shared" si="8"/>
        <v>913</v>
      </c>
    </row>
    <row r="17" spans="2:32" ht="23.1" customHeight="1" x14ac:dyDescent="0.25">
      <c r="B17" s="23" t="s">
        <v>44</v>
      </c>
      <c r="C17" s="50">
        <v>21</v>
      </c>
      <c r="D17" s="50">
        <v>3</v>
      </c>
      <c r="E17" s="50">
        <v>2</v>
      </c>
      <c r="F17" s="50">
        <v>52</v>
      </c>
      <c r="G17" s="50">
        <v>0</v>
      </c>
      <c r="H17" s="50">
        <v>2</v>
      </c>
      <c r="I17" s="50">
        <v>16</v>
      </c>
      <c r="J17" s="50">
        <v>3</v>
      </c>
      <c r="K17" s="50">
        <v>0</v>
      </c>
      <c r="L17" s="50">
        <v>2</v>
      </c>
      <c r="M17" s="50">
        <v>270</v>
      </c>
      <c r="N17" s="50">
        <v>0</v>
      </c>
      <c r="O17" s="15">
        <f t="shared" si="0"/>
        <v>101</v>
      </c>
      <c r="P17" s="15">
        <f t="shared" si="1"/>
        <v>371</v>
      </c>
      <c r="R17" s="1" t="s">
        <v>13</v>
      </c>
      <c r="S17" s="17">
        <f t="shared" ref="S17:AF17" si="9">SUM(C38:C41)</f>
        <v>143</v>
      </c>
      <c r="T17" s="17">
        <f t="shared" si="9"/>
        <v>28</v>
      </c>
      <c r="U17" s="17">
        <f t="shared" si="9"/>
        <v>46</v>
      </c>
      <c r="V17" s="17">
        <f t="shared" si="9"/>
        <v>176</v>
      </c>
      <c r="W17" s="17">
        <f t="shared" si="9"/>
        <v>4</v>
      </c>
      <c r="X17" s="17">
        <f t="shared" si="9"/>
        <v>7</v>
      </c>
      <c r="Y17" s="17">
        <f t="shared" si="9"/>
        <v>42</v>
      </c>
      <c r="Z17" s="17">
        <f t="shared" si="9"/>
        <v>31</v>
      </c>
      <c r="AA17" s="17">
        <f t="shared" si="9"/>
        <v>6</v>
      </c>
      <c r="AB17" s="17">
        <f t="shared" si="9"/>
        <v>16</v>
      </c>
      <c r="AC17" s="17">
        <f t="shared" si="9"/>
        <v>474</v>
      </c>
      <c r="AD17" s="17">
        <f t="shared" si="9"/>
        <v>0</v>
      </c>
      <c r="AE17" s="31">
        <f t="shared" si="9"/>
        <v>499</v>
      </c>
      <c r="AF17" s="31">
        <f t="shared" si="9"/>
        <v>973</v>
      </c>
    </row>
    <row r="18" spans="2:32" ht="23.1" customHeight="1" x14ac:dyDescent="0.25">
      <c r="B18" s="23" t="s">
        <v>45</v>
      </c>
      <c r="C18" s="50">
        <v>33</v>
      </c>
      <c r="D18" s="50">
        <v>4</v>
      </c>
      <c r="E18" s="50">
        <v>4</v>
      </c>
      <c r="F18" s="50">
        <v>52</v>
      </c>
      <c r="G18" s="50">
        <v>1</v>
      </c>
      <c r="H18" s="50">
        <v>1</v>
      </c>
      <c r="I18" s="50">
        <v>8</v>
      </c>
      <c r="J18" s="50">
        <v>7</v>
      </c>
      <c r="K18" s="50">
        <v>1</v>
      </c>
      <c r="L18" s="50">
        <v>1</v>
      </c>
      <c r="M18" s="50">
        <v>189</v>
      </c>
      <c r="N18" s="50">
        <v>0</v>
      </c>
      <c r="O18" s="15">
        <f t="shared" si="0"/>
        <v>112</v>
      </c>
      <c r="P18" s="15">
        <f t="shared" si="1"/>
        <v>301</v>
      </c>
      <c r="R18" s="1" t="s">
        <v>14</v>
      </c>
      <c r="S18" s="17">
        <f t="shared" ref="S18:AF18" si="10">SUM(C42:C45)</f>
        <v>176</v>
      </c>
      <c r="T18" s="17">
        <f t="shared" si="10"/>
        <v>26</v>
      </c>
      <c r="U18" s="17">
        <f t="shared" si="10"/>
        <v>40</v>
      </c>
      <c r="V18" s="17">
        <f t="shared" si="10"/>
        <v>119</v>
      </c>
      <c r="W18" s="17">
        <f t="shared" si="10"/>
        <v>3</v>
      </c>
      <c r="X18" s="17">
        <f t="shared" si="10"/>
        <v>4</v>
      </c>
      <c r="Y18" s="17">
        <f t="shared" si="10"/>
        <v>53</v>
      </c>
      <c r="Z18" s="17">
        <f t="shared" si="10"/>
        <v>32</v>
      </c>
      <c r="AA18" s="17">
        <f t="shared" si="10"/>
        <v>10</v>
      </c>
      <c r="AB18" s="17">
        <f t="shared" si="10"/>
        <v>11</v>
      </c>
      <c r="AC18" s="17">
        <f t="shared" si="10"/>
        <v>212</v>
      </c>
      <c r="AD18" s="17">
        <f t="shared" si="10"/>
        <v>1</v>
      </c>
      <c r="AE18" s="31">
        <f t="shared" si="10"/>
        <v>475</v>
      </c>
      <c r="AF18" s="31">
        <f t="shared" si="10"/>
        <v>687</v>
      </c>
    </row>
    <row r="19" spans="2:32" ht="23.1" customHeight="1" x14ac:dyDescent="0.25">
      <c r="B19" s="23" t="s">
        <v>46</v>
      </c>
      <c r="C19" s="50">
        <v>37</v>
      </c>
      <c r="D19" s="50">
        <v>5</v>
      </c>
      <c r="E19" s="50">
        <v>4</v>
      </c>
      <c r="F19" s="50">
        <v>66</v>
      </c>
      <c r="G19" s="50">
        <v>3</v>
      </c>
      <c r="H19" s="50">
        <v>3</v>
      </c>
      <c r="I19" s="50">
        <v>11</v>
      </c>
      <c r="J19" s="50">
        <v>5</v>
      </c>
      <c r="K19" s="50">
        <v>4</v>
      </c>
      <c r="L19" s="50">
        <v>0</v>
      </c>
      <c r="M19" s="50">
        <v>172</v>
      </c>
      <c r="N19" s="50">
        <v>0</v>
      </c>
      <c r="O19" s="15">
        <f t="shared" si="0"/>
        <v>138</v>
      </c>
      <c r="P19" s="15">
        <f t="shared" si="1"/>
        <v>310</v>
      </c>
      <c r="R19" s="1" t="s">
        <v>15</v>
      </c>
      <c r="S19" s="17">
        <f t="shared" ref="S19:AF19" si="11">SUM(C46:C49)</f>
        <v>171</v>
      </c>
      <c r="T19" s="17">
        <f t="shared" si="11"/>
        <v>27</v>
      </c>
      <c r="U19" s="17">
        <f t="shared" si="11"/>
        <v>47</v>
      </c>
      <c r="V19" s="17">
        <f t="shared" si="11"/>
        <v>176</v>
      </c>
      <c r="W19" s="17">
        <f t="shared" si="11"/>
        <v>3</v>
      </c>
      <c r="X19" s="17">
        <f t="shared" si="11"/>
        <v>3</v>
      </c>
      <c r="Y19" s="17">
        <f t="shared" si="11"/>
        <v>50</v>
      </c>
      <c r="Z19" s="17">
        <f t="shared" si="11"/>
        <v>24</v>
      </c>
      <c r="AA19" s="17">
        <f t="shared" si="11"/>
        <v>6</v>
      </c>
      <c r="AB19" s="17">
        <f t="shared" si="11"/>
        <v>5</v>
      </c>
      <c r="AC19" s="17">
        <f t="shared" si="11"/>
        <v>770</v>
      </c>
      <c r="AD19" s="17">
        <f t="shared" si="11"/>
        <v>0</v>
      </c>
      <c r="AE19" s="31">
        <f t="shared" si="11"/>
        <v>512</v>
      </c>
      <c r="AF19" s="31">
        <f t="shared" si="11"/>
        <v>1282</v>
      </c>
    </row>
    <row r="20" spans="2:32" ht="23.1" customHeight="1" x14ac:dyDescent="0.25">
      <c r="B20" s="23" t="s">
        <v>47</v>
      </c>
      <c r="C20" s="50">
        <v>40</v>
      </c>
      <c r="D20" s="50">
        <v>5</v>
      </c>
      <c r="E20" s="50">
        <v>9</v>
      </c>
      <c r="F20" s="50">
        <v>62</v>
      </c>
      <c r="G20" s="50">
        <v>1</v>
      </c>
      <c r="H20" s="50">
        <v>2</v>
      </c>
      <c r="I20" s="50">
        <v>12</v>
      </c>
      <c r="J20" s="50">
        <v>5</v>
      </c>
      <c r="K20" s="50">
        <v>1</v>
      </c>
      <c r="L20" s="50">
        <v>2</v>
      </c>
      <c r="M20" s="50">
        <v>205</v>
      </c>
      <c r="N20" s="50">
        <v>0</v>
      </c>
      <c r="O20" s="15">
        <f t="shared" si="0"/>
        <v>139</v>
      </c>
      <c r="P20" s="15">
        <f t="shared" si="1"/>
        <v>344</v>
      </c>
      <c r="R20" s="1" t="s">
        <v>16</v>
      </c>
      <c r="S20" s="17">
        <f t="shared" ref="S20:AF20" si="12">SUM(C50:C53)</f>
        <v>198</v>
      </c>
      <c r="T20" s="17">
        <f t="shared" si="12"/>
        <v>27</v>
      </c>
      <c r="U20" s="17">
        <f t="shared" si="12"/>
        <v>46</v>
      </c>
      <c r="V20" s="17">
        <f t="shared" si="12"/>
        <v>179</v>
      </c>
      <c r="W20" s="17">
        <f t="shared" si="12"/>
        <v>3</v>
      </c>
      <c r="X20" s="17">
        <f t="shared" si="12"/>
        <v>1</v>
      </c>
      <c r="Y20" s="17">
        <f t="shared" si="12"/>
        <v>54</v>
      </c>
      <c r="Z20" s="17">
        <f t="shared" si="12"/>
        <v>28</v>
      </c>
      <c r="AA20" s="17">
        <f t="shared" si="12"/>
        <v>10</v>
      </c>
      <c r="AB20" s="17">
        <f t="shared" si="12"/>
        <v>5</v>
      </c>
      <c r="AC20" s="17">
        <f t="shared" si="12"/>
        <v>1105</v>
      </c>
      <c r="AD20" s="17">
        <f t="shared" si="12"/>
        <v>0</v>
      </c>
      <c r="AE20" s="31">
        <f t="shared" si="12"/>
        <v>551</v>
      </c>
      <c r="AF20" s="31">
        <f t="shared" si="12"/>
        <v>1656</v>
      </c>
    </row>
    <row r="21" spans="2:32" ht="23.1" customHeight="1" x14ac:dyDescent="0.25">
      <c r="B21" s="23" t="s">
        <v>48</v>
      </c>
      <c r="C21" s="50">
        <v>37</v>
      </c>
      <c r="D21" s="50">
        <v>4</v>
      </c>
      <c r="E21" s="50">
        <v>8</v>
      </c>
      <c r="F21" s="50">
        <v>68</v>
      </c>
      <c r="G21" s="50">
        <v>0</v>
      </c>
      <c r="H21" s="50">
        <v>2</v>
      </c>
      <c r="I21" s="50">
        <v>11</v>
      </c>
      <c r="J21" s="50">
        <v>0</v>
      </c>
      <c r="K21" s="50">
        <v>4</v>
      </c>
      <c r="L21" s="50">
        <v>2</v>
      </c>
      <c r="M21" s="50">
        <v>200</v>
      </c>
      <c r="N21" s="50">
        <v>0</v>
      </c>
      <c r="O21" s="15">
        <f t="shared" si="0"/>
        <v>136</v>
      </c>
      <c r="P21" s="15">
        <f t="shared" si="1"/>
        <v>336</v>
      </c>
      <c r="R21" s="36" t="s">
        <v>20</v>
      </c>
      <c r="S21" s="34">
        <f t="shared" ref="S21:AF21" si="13">SUM(C54:C57)</f>
        <v>208</v>
      </c>
      <c r="T21" s="17">
        <f t="shared" si="13"/>
        <v>20</v>
      </c>
      <c r="U21" s="17">
        <f t="shared" si="13"/>
        <v>32</v>
      </c>
      <c r="V21" s="17">
        <f t="shared" si="13"/>
        <v>113</v>
      </c>
      <c r="W21" s="17">
        <f t="shared" si="13"/>
        <v>4</v>
      </c>
      <c r="X21" s="17">
        <f t="shared" si="13"/>
        <v>11</v>
      </c>
      <c r="Y21" s="17">
        <f t="shared" si="13"/>
        <v>28</v>
      </c>
      <c r="Z21" s="17">
        <f t="shared" si="13"/>
        <v>19</v>
      </c>
      <c r="AA21" s="17">
        <f t="shared" si="13"/>
        <v>8</v>
      </c>
      <c r="AB21" s="17">
        <f t="shared" si="13"/>
        <v>249</v>
      </c>
      <c r="AC21" s="17">
        <f t="shared" si="13"/>
        <v>574</v>
      </c>
      <c r="AD21" s="17">
        <f t="shared" si="13"/>
        <v>0</v>
      </c>
      <c r="AE21" s="31">
        <f t="shared" si="13"/>
        <v>692</v>
      </c>
      <c r="AF21" s="31">
        <f t="shared" si="13"/>
        <v>1266</v>
      </c>
    </row>
    <row r="22" spans="2:32" ht="23.1" customHeight="1" x14ac:dyDescent="0.25">
      <c r="B22" s="23" t="s">
        <v>49</v>
      </c>
      <c r="C22" s="50">
        <v>42</v>
      </c>
      <c r="D22" s="50">
        <v>4</v>
      </c>
      <c r="E22" s="50">
        <v>3</v>
      </c>
      <c r="F22" s="50">
        <v>64</v>
      </c>
      <c r="G22" s="50">
        <v>0</v>
      </c>
      <c r="H22" s="50">
        <v>0</v>
      </c>
      <c r="I22" s="50">
        <v>7</v>
      </c>
      <c r="J22" s="50">
        <v>2</v>
      </c>
      <c r="K22" s="50">
        <v>1</v>
      </c>
      <c r="L22" s="50">
        <v>0</v>
      </c>
      <c r="M22" s="50">
        <v>171</v>
      </c>
      <c r="N22" s="50">
        <v>0</v>
      </c>
      <c r="O22" s="15">
        <f t="shared" si="0"/>
        <v>123</v>
      </c>
      <c r="P22" s="15">
        <f t="shared" si="1"/>
        <v>294</v>
      </c>
      <c r="R22" s="38" t="s">
        <v>90</v>
      </c>
      <c r="S22" s="39">
        <f>MAX(S10:S12)</f>
        <v>147</v>
      </c>
      <c r="T22" s="39">
        <f t="shared" ref="T22:AF22" si="14">MAX(T10:T12)</f>
        <v>18</v>
      </c>
      <c r="U22" s="39">
        <f t="shared" si="14"/>
        <v>25</v>
      </c>
      <c r="V22" s="39">
        <f t="shared" si="14"/>
        <v>248</v>
      </c>
      <c r="W22" s="39">
        <f t="shared" si="14"/>
        <v>5</v>
      </c>
      <c r="X22" s="39">
        <f t="shared" si="14"/>
        <v>8</v>
      </c>
      <c r="Y22" s="39">
        <f t="shared" si="14"/>
        <v>42</v>
      </c>
      <c r="Z22" s="39">
        <f t="shared" si="14"/>
        <v>17</v>
      </c>
      <c r="AA22" s="39">
        <f t="shared" si="14"/>
        <v>10</v>
      </c>
      <c r="AB22" s="39">
        <f t="shared" si="14"/>
        <v>5</v>
      </c>
      <c r="AC22" s="39">
        <f t="shared" si="14"/>
        <v>843</v>
      </c>
      <c r="AD22" s="39">
        <f t="shared" si="14"/>
        <v>0</v>
      </c>
      <c r="AE22" s="40">
        <f t="shared" si="14"/>
        <v>525</v>
      </c>
      <c r="AF22" s="40">
        <f t="shared" si="14"/>
        <v>1291</v>
      </c>
    </row>
    <row r="23" spans="2:32" ht="23.1" customHeight="1" x14ac:dyDescent="0.25">
      <c r="B23" s="23" t="s">
        <v>50</v>
      </c>
      <c r="C23" s="50">
        <v>43</v>
      </c>
      <c r="D23" s="50">
        <v>3</v>
      </c>
      <c r="E23" s="50">
        <v>8</v>
      </c>
      <c r="F23" s="50">
        <v>67</v>
      </c>
      <c r="G23" s="50">
        <v>2</v>
      </c>
      <c r="H23" s="50">
        <v>4</v>
      </c>
      <c r="I23" s="50">
        <v>9</v>
      </c>
      <c r="J23" s="50">
        <v>5</v>
      </c>
      <c r="K23" s="50">
        <v>2</v>
      </c>
      <c r="L23" s="50">
        <v>1</v>
      </c>
      <c r="M23" s="50">
        <v>222</v>
      </c>
      <c r="N23" s="50">
        <v>0</v>
      </c>
      <c r="O23" s="15">
        <f t="shared" si="0"/>
        <v>144</v>
      </c>
      <c r="P23" s="15">
        <f t="shared" si="1"/>
        <v>366</v>
      </c>
      <c r="R23" s="38" t="s">
        <v>91</v>
      </c>
      <c r="S23" s="39">
        <f>MAX(S13:S18)</f>
        <v>176</v>
      </c>
      <c r="T23" s="39">
        <f t="shared" ref="T23:AF23" si="15">MAX(T13:T18)</f>
        <v>31</v>
      </c>
      <c r="U23" s="39">
        <f t="shared" si="15"/>
        <v>46</v>
      </c>
      <c r="V23" s="39">
        <f t="shared" si="15"/>
        <v>256</v>
      </c>
      <c r="W23" s="39">
        <f t="shared" si="15"/>
        <v>6</v>
      </c>
      <c r="X23" s="39">
        <f t="shared" si="15"/>
        <v>9</v>
      </c>
      <c r="Y23" s="39">
        <f t="shared" si="15"/>
        <v>54</v>
      </c>
      <c r="Z23" s="39">
        <f t="shared" si="15"/>
        <v>32</v>
      </c>
      <c r="AA23" s="39">
        <f t="shared" si="15"/>
        <v>14</v>
      </c>
      <c r="AB23" s="39">
        <f t="shared" si="15"/>
        <v>16</v>
      </c>
      <c r="AC23" s="39">
        <f t="shared" si="15"/>
        <v>849</v>
      </c>
      <c r="AD23" s="39">
        <f t="shared" si="15"/>
        <v>1</v>
      </c>
      <c r="AE23" s="40">
        <f t="shared" si="15"/>
        <v>564</v>
      </c>
      <c r="AF23" s="40">
        <f t="shared" si="15"/>
        <v>1413</v>
      </c>
    </row>
    <row r="24" spans="2:32" ht="23.1" customHeight="1" x14ac:dyDescent="0.25">
      <c r="B24" s="23" t="s">
        <v>51</v>
      </c>
      <c r="C24" s="50">
        <v>44</v>
      </c>
      <c r="D24" s="50">
        <v>7</v>
      </c>
      <c r="E24" s="50">
        <v>9</v>
      </c>
      <c r="F24" s="50">
        <v>69</v>
      </c>
      <c r="G24" s="50">
        <v>0</v>
      </c>
      <c r="H24" s="50">
        <v>0</v>
      </c>
      <c r="I24" s="50">
        <v>12</v>
      </c>
      <c r="J24" s="50">
        <v>4</v>
      </c>
      <c r="K24" s="50">
        <v>2</v>
      </c>
      <c r="L24" s="50">
        <v>1</v>
      </c>
      <c r="M24" s="50">
        <v>175</v>
      </c>
      <c r="N24" s="50">
        <v>0</v>
      </c>
      <c r="O24" s="15">
        <f t="shared" si="0"/>
        <v>148</v>
      </c>
      <c r="P24" s="15">
        <f t="shared" si="1"/>
        <v>323</v>
      </c>
      <c r="R24" s="38" t="s">
        <v>92</v>
      </c>
      <c r="S24" s="39">
        <f>MAX(S19:S21)</f>
        <v>208</v>
      </c>
      <c r="T24" s="39">
        <f t="shared" ref="T24:AF24" si="16">MAX(T19:T21)</f>
        <v>27</v>
      </c>
      <c r="U24" s="39">
        <f t="shared" si="16"/>
        <v>47</v>
      </c>
      <c r="V24" s="39">
        <f t="shared" si="16"/>
        <v>179</v>
      </c>
      <c r="W24" s="39">
        <f t="shared" si="16"/>
        <v>4</v>
      </c>
      <c r="X24" s="39">
        <f t="shared" si="16"/>
        <v>11</v>
      </c>
      <c r="Y24" s="39">
        <f t="shared" si="16"/>
        <v>54</v>
      </c>
      <c r="Z24" s="39">
        <f t="shared" si="16"/>
        <v>28</v>
      </c>
      <c r="AA24" s="39">
        <f t="shared" si="16"/>
        <v>10</v>
      </c>
      <c r="AB24" s="39">
        <f t="shared" si="16"/>
        <v>249</v>
      </c>
      <c r="AC24" s="39">
        <f t="shared" si="16"/>
        <v>1105</v>
      </c>
      <c r="AD24" s="39">
        <f t="shared" si="16"/>
        <v>0</v>
      </c>
      <c r="AE24" s="40">
        <f t="shared" si="16"/>
        <v>692</v>
      </c>
      <c r="AF24" s="40">
        <f t="shared" si="16"/>
        <v>1656</v>
      </c>
    </row>
    <row r="25" spans="2:32" ht="23.1" customHeight="1" x14ac:dyDescent="0.25">
      <c r="B25" s="23" t="s">
        <v>52</v>
      </c>
      <c r="C25" s="50">
        <v>45</v>
      </c>
      <c r="D25" s="50">
        <v>9</v>
      </c>
      <c r="E25" s="50">
        <v>11</v>
      </c>
      <c r="F25" s="50">
        <v>56</v>
      </c>
      <c r="G25" s="50">
        <v>0</v>
      </c>
      <c r="H25" s="50">
        <v>4</v>
      </c>
      <c r="I25" s="50">
        <v>5</v>
      </c>
      <c r="J25" s="50">
        <v>5</v>
      </c>
      <c r="K25" s="50">
        <v>1</v>
      </c>
      <c r="L25" s="50">
        <v>2</v>
      </c>
      <c r="M25" s="50">
        <v>125</v>
      </c>
      <c r="N25" s="50">
        <v>1</v>
      </c>
      <c r="O25" s="15">
        <f t="shared" si="0"/>
        <v>139</v>
      </c>
      <c r="P25" s="15">
        <f t="shared" si="1"/>
        <v>264</v>
      </c>
      <c r="R25" s="37" t="s">
        <v>85</v>
      </c>
      <c r="S25" s="35">
        <f t="shared" ref="S25:AF25" si="17">SUM(S10:S12)</f>
        <v>260</v>
      </c>
      <c r="T25" s="16">
        <f t="shared" si="17"/>
        <v>40</v>
      </c>
      <c r="U25" s="16">
        <f t="shared" si="17"/>
        <v>52</v>
      </c>
      <c r="V25" s="16">
        <f t="shared" si="17"/>
        <v>517</v>
      </c>
      <c r="W25" s="16">
        <f t="shared" si="17"/>
        <v>9</v>
      </c>
      <c r="X25" s="16">
        <f t="shared" si="17"/>
        <v>16</v>
      </c>
      <c r="Y25" s="16">
        <f t="shared" si="17"/>
        <v>84</v>
      </c>
      <c r="Z25" s="16">
        <f t="shared" si="17"/>
        <v>32</v>
      </c>
      <c r="AA25" s="16">
        <f t="shared" si="17"/>
        <v>18</v>
      </c>
      <c r="AB25" s="16">
        <f t="shared" si="17"/>
        <v>10</v>
      </c>
      <c r="AC25" s="16">
        <f t="shared" si="17"/>
        <v>1788</v>
      </c>
      <c r="AD25" s="16">
        <f t="shared" si="17"/>
        <v>0</v>
      </c>
      <c r="AE25" s="32">
        <f t="shared" si="17"/>
        <v>1038</v>
      </c>
      <c r="AF25" s="32">
        <f t="shared" si="17"/>
        <v>2826</v>
      </c>
    </row>
    <row r="26" spans="2:32" ht="23.1" customHeight="1" x14ac:dyDescent="0.25">
      <c r="B26" s="23" t="s">
        <v>53</v>
      </c>
      <c r="C26" s="50">
        <v>59</v>
      </c>
      <c r="D26" s="50">
        <v>8</v>
      </c>
      <c r="E26" s="50">
        <v>13</v>
      </c>
      <c r="F26" s="50">
        <v>56</v>
      </c>
      <c r="G26" s="50">
        <v>0</v>
      </c>
      <c r="H26" s="50">
        <v>1</v>
      </c>
      <c r="I26" s="50">
        <v>17</v>
      </c>
      <c r="J26" s="50">
        <v>6</v>
      </c>
      <c r="K26" s="50">
        <v>2</v>
      </c>
      <c r="L26" s="50">
        <v>3</v>
      </c>
      <c r="M26" s="50">
        <v>177</v>
      </c>
      <c r="N26" s="50">
        <v>0</v>
      </c>
      <c r="O26" s="15">
        <f t="shared" si="0"/>
        <v>165</v>
      </c>
      <c r="P26" s="15">
        <f t="shared" si="1"/>
        <v>342</v>
      </c>
      <c r="R26" s="28" t="s">
        <v>86</v>
      </c>
      <c r="S26" s="16">
        <f t="shared" ref="S26:AF26" si="18">SUM(S13:S18)</f>
        <v>914</v>
      </c>
      <c r="T26" s="16">
        <f t="shared" si="18"/>
        <v>158</v>
      </c>
      <c r="U26" s="16">
        <f t="shared" si="18"/>
        <v>229</v>
      </c>
      <c r="V26" s="16">
        <f t="shared" si="18"/>
        <v>1087</v>
      </c>
      <c r="W26" s="16">
        <f t="shared" si="18"/>
        <v>24</v>
      </c>
      <c r="X26" s="16">
        <f t="shared" si="18"/>
        <v>41</v>
      </c>
      <c r="Y26" s="16">
        <f t="shared" si="18"/>
        <v>261</v>
      </c>
      <c r="Z26" s="16">
        <f t="shared" si="18"/>
        <v>160</v>
      </c>
      <c r="AA26" s="16">
        <f t="shared" si="18"/>
        <v>52</v>
      </c>
      <c r="AB26" s="16">
        <f t="shared" si="18"/>
        <v>62</v>
      </c>
      <c r="AC26" s="16">
        <f t="shared" si="18"/>
        <v>3241</v>
      </c>
      <c r="AD26" s="16">
        <f t="shared" si="18"/>
        <v>2</v>
      </c>
      <c r="AE26" s="32">
        <f t="shared" si="18"/>
        <v>2990</v>
      </c>
      <c r="AF26" s="32">
        <f t="shared" si="18"/>
        <v>6231</v>
      </c>
    </row>
    <row r="27" spans="2:32" ht="23.1" customHeight="1" x14ac:dyDescent="0.25">
      <c r="B27" s="23" t="s">
        <v>54</v>
      </c>
      <c r="C27" s="50">
        <v>36</v>
      </c>
      <c r="D27" s="50">
        <v>4</v>
      </c>
      <c r="E27" s="50">
        <v>11</v>
      </c>
      <c r="F27" s="50">
        <v>63</v>
      </c>
      <c r="G27" s="50">
        <v>2</v>
      </c>
      <c r="H27" s="50">
        <v>5</v>
      </c>
      <c r="I27" s="50">
        <v>16</v>
      </c>
      <c r="J27" s="50">
        <v>8</v>
      </c>
      <c r="K27" s="50">
        <v>1</v>
      </c>
      <c r="L27" s="50">
        <v>3</v>
      </c>
      <c r="M27" s="50">
        <v>105</v>
      </c>
      <c r="N27" s="50">
        <v>0</v>
      </c>
      <c r="O27" s="15">
        <f t="shared" si="0"/>
        <v>149</v>
      </c>
      <c r="P27" s="15">
        <f t="shared" si="1"/>
        <v>254</v>
      </c>
      <c r="R27" s="29" t="s">
        <v>87</v>
      </c>
      <c r="S27" s="16">
        <f t="shared" ref="S27:AF27" si="19">SUM(S19:S21)</f>
        <v>577</v>
      </c>
      <c r="T27" s="16">
        <f t="shared" si="19"/>
        <v>74</v>
      </c>
      <c r="U27" s="16">
        <f t="shared" si="19"/>
        <v>125</v>
      </c>
      <c r="V27" s="16">
        <f t="shared" si="19"/>
        <v>468</v>
      </c>
      <c r="W27" s="16">
        <f t="shared" si="19"/>
        <v>10</v>
      </c>
      <c r="X27" s="16">
        <f t="shared" si="19"/>
        <v>15</v>
      </c>
      <c r="Y27" s="16">
        <f t="shared" si="19"/>
        <v>132</v>
      </c>
      <c r="Z27" s="16">
        <f t="shared" si="19"/>
        <v>71</v>
      </c>
      <c r="AA27" s="16">
        <f t="shared" si="19"/>
        <v>24</v>
      </c>
      <c r="AB27" s="16">
        <f t="shared" si="19"/>
        <v>259</v>
      </c>
      <c r="AC27" s="16">
        <f t="shared" si="19"/>
        <v>2449</v>
      </c>
      <c r="AD27" s="16">
        <f t="shared" si="19"/>
        <v>0</v>
      </c>
      <c r="AE27" s="32">
        <f t="shared" si="19"/>
        <v>1755</v>
      </c>
      <c r="AF27" s="32">
        <f t="shared" si="19"/>
        <v>4204</v>
      </c>
    </row>
    <row r="28" spans="2:32" ht="23.1" customHeight="1" x14ac:dyDescent="0.25">
      <c r="B28" s="23" t="s">
        <v>55</v>
      </c>
      <c r="C28" s="50">
        <v>38</v>
      </c>
      <c r="D28" s="50">
        <v>11</v>
      </c>
      <c r="E28" s="50">
        <v>13</v>
      </c>
      <c r="F28" s="50">
        <v>65</v>
      </c>
      <c r="G28" s="50">
        <v>1</v>
      </c>
      <c r="H28" s="50">
        <v>3</v>
      </c>
      <c r="I28" s="50">
        <v>17</v>
      </c>
      <c r="J28" s="50">
        <v>6</v>
      </c>
      <c r="K28" s="50">
        <v>1</v>
      </c>
      <c r="L28" s="50">
        <v>3</v>
      </c>
      <c r="M28" s="50">
        <v>353</v>
      </c>
      <c r="N28" s="50">
        <v>0</v>
      </c>
      <c r="O28" s="15">
        <f t="shared" si="0"/>
        <v>158</v>
      </c>
      <c r="P28" s="15">
        <f t="shared" si="1"/>
        <v>511</v>
      </c>
      <c r="R28" s="5" t="s">
        <v>17</v>
      </c>
      <c r="S28" s="16">
        <f t="shared" ref="S28:AF28" si="20">SUM(S10:S21)</f>
        <v>1751</v>
      </c>
      <c r="T28" s="16">
        <f t="shared" si="20"/>
        <v>272</v>
      </c>
      <c r="U28" s="16">
        <f t="shared" si="20"/>
        <v>406</v>
      </c>
      <c r="V28" s="16">
        <f t="shared" si="20"/>
        <v>2072</v>
      </c>
      <c r="W28" s="16">
        <f t="shared" si="20"/>
        <v>43</v>
      </c>
      <c r="X28" s="16">
        <f t="shared" si="20"/>
        <v>72</v>
      </c>
      <c r="Y28" s="16">
        <f t="shared" si="20"/>
        <v>477</v>
      </c>
      <c r="Z28" s="16">
        <f t="shared" si="20"/>
        <v>263</v>
      </c>
      <c r="AA28" s="16">
        <f t="shared" si="20"/>
        <v>94</v>
      </c>
      <c r="AB28" s="16">
        <f t="shared" si="20"/>
        <v>331</v>
      </c>
      <c r="AC28" s="16">
        <f t="shared" si="20"/>
        <v>7478</v>
      </c>
      <c r="AD28" s="16">
        <f t="shared" si="20"/>
        <v>2</v>
      </c>
      <c r="AE28" s="32">
        <f t="shared" si="20"/>
        <v>5783</v>
      </c>
      <c r="AF28" s="32">
        <f t="shared" si="20"/>
        <v>13261</v>
      </c>
    </row>
    <row r="29" spans="2:32" ht="23.1" customHeight="1" x14ac:dyDescent="0.25">
      <c r="B29" s="23" t="s">
        <v>56</v>
      </c>
      <c r="C29" s="50">
        <v>42</v>
      </c>
      <c r="D29" s="50">
        <v>5</v>
      </c>
      <c r="E29" s="50">
        <v>9</v>
      </c>
      <c r="F29" s="50">
        <v>18</v>
      </c>
      <c r="G29" s="50">
        <v>2</v>
      </c>
      <c r="H29" s="50">
        <v>0</v>
      </c>
      <c r="I29" s="50">
        <v>4</v>
      </c>
      <c r="J29" s="50">
        <v>7</v>
      </c>
      <c r="K29" s="50">
        <v>2</v>
      </c>
      <c r="L29" s="50">
        <v>3</v>
      </c>
      <c r="M29" s="50">
        <v>214</v>
      </c>
      <c r="N29" s="50">
        <v>0</v>
      </c>
      <c r="O29" s="15">
        <f t="shared" si="0"/>
        <v>92</v>
      </c>
      <c r="P29" s="15">
        <f t="shared" si="1"/>
        <v>306</v>
      </c>
      <c r="R29"/>
      <c r="S29" s="20"/>
      <c r="T29" s="19"/>
    </row>
    <row r="30" spans="2:32" ht="23.1" customHeight="1" x14ac:dyDescent="0.25">
      <c r="B30" s="23" t="s">
        <v>57</v>
      </c>
      <c r="C30" s="50">
        <v>30</v>
      </c>
      <c r="D30" s="50">
        <v>3</v>
      </c>
      <c r="E30" s="50">
        <v>4</v>
      </c>
      <c r="F30" s="50">
        <v>30</v>
      </c>
      <c r="G30" s="50">
        <v>0</v>
      </c>
      <c r="H30" s="50">
        <v>2</v>
      </c>
      <c r="I30" s="50">
        <v>5</v>
      </c>
      <c r="J30" s="50">
        <v>7</v>
      </c>
      <c r="K30" s="50">
        <v>2</v>
      </c>
      <c r="L30" s="50">
        <v>1</v>
      </c>
      <c r="M30" s="50">
        <v>186</v>
      </c>
      <c r="N30" s="50">
        <v>0</v>
      </c>
      <c r="O30" s="15">
        <f t="shared" si="0"/>
        <v>84</v>
      </c>
      <c r="P30" s="15">
        <f t="shared" si="1"/>
        <v>270</v>
      </c>
    </row>
    <row r="31" spans="2:32" ht="23.1" customHeight="1" x14ac:dyDescent="0.25">
      <c r="B31" s="24" t="s">
        <v>58</v>
      </c>
      <c r="C31" s="50">
        <v>32</v>
      </c>
      <c r="D31" s="50">
        <v>6</v>
      </c>
      <c r="E31" s="50">
        <v>12</v>
      </c>
      <c r="F31" s="50">
        <v>39</v>
      </c>
      <c r="G31" s="50">
        <v>3</v>
      </c>
      <c r="H31" s="50">
        <v>3</v>
      </c>
      <c r="I31" s="50">
        <v>15</v>
      </c>
      <c r="J31" s="50">
        <v>6</v>
      </c>
      <c r="K31" s="50">
        <v>5</v>
      </c>
      <c r="L31" s="50">
        <v>2</v>
      </c>
      <c r="M31" s="50">
        <v>142</v>
      </c>
      <c r="N31" s="50">
        <v>0</v>
      </c>
      <c r="O31" s="15">
        <f t="shared" si="0"/>
        <v>123</v>
      </c>
      <c r="P31" s="15">
        <f t="shared" si="1"/>
        <v>265</v>
      </c>
    </row>
    <row r="32" spans="2:32" ht="23.1" customHeight="1" x14ac:dyDescent="0.25">
      <c r="B32" s="24" t="s">
        <v>59</v>
      </c>
      <c r="C32" s="50">
        <v>32</v>
      </c>
      <c r="D32" s="50">
        <v>8</v>
      </c>
      <c r="E32" s="50">
        <v>4</v>
      </c>
      <c r="F32" s="50">
        <v>54</v>
      </c>
      <c r="G32" s="50">
        <v>3</v>
      </c>
      <c r="H32" s="50">
        <v>1</v>
      </c>
      <c r="I32" s="50">
        <v>15</v>
      </c>
      <c r="J32" s="50">
        <v>5</v>
      </c>
      <c r="K32" s="50">
        <v>2</v>
      </c>
      <c r="L32" s="50">
        <v>2</v>
      </c>
      <c r="M32" s="50">
        <v>114</v>
      </c>
      <c r="N32" s="50">
        <v>0</v>
      </c>
      <c r="O32" s="15">
        <f t="shared" si="0"/>
        <v>126</v>
      </c>
      <c r="P32" s="15">
        <f t="shared" si="1"/>
        <v>240</v>
      </c>
    </row>
    <row r="33" spans="2:20" ht="23.1" customHeight="1" x14ac:dyDescent="0.25">
      <c r="B33" s="23" t="s">
        <v>60</v>
      </c>
      <c r="C33" s="50">
        <v>24</v>
      </c>
      <c r="D33" s="50">
        <v>5</v>
      </c>
      <c r="E33" s="50">
        <v>3</v>
      </c>
      <c r="F33" s="50">
        <v>40</v>
      </c>
      <c r="G33" s="50">
        <v>0</v>
      </c>
      <c r="H33" s="50">
        <v>0</v>
      </c>
      <c r="I33" s="50">
        <v>7</v>
      </c>
      <c r="J33" s="50">
        <v>8</v>
      </c>
      <c r="K33" s="50">
        <v>1</v>
      </c>
      <c r="L33" s="50">
        <v>5</v>
      </c>
      <c r="M33" s="50">
        <v>130</v>
      </c>
      <c r="N33" s="50">
        <v>0</v>
      </c>
      <c r="O33" s="15">
        <f t="shared" si="0"/>
        <v>93</v>
      </c>
      <c r="P33" s="15">
        <f t="shared" si="1"/>
        <v>223</v>
      </c>
    </row>
    <row r="34" spans="2:20" ht="23.1" customHeight="1" x14ac:dyDescent="0.25">
      <c r="B34" s="24" t="s">
        <v>61</v>
      </c>
      <c r="C34" s="50">
        <v>34</v>
      </c>
      <c r="D34" s="50">
        <v>11</v>
      </c>
      <c r="E34" s="50">
        <v>11</v>
      </c>
      <c r="F34" s="50">
        <v>49</v>
      </c>
      <c r="G34" s="50">
        <v>1</v>
      </c>
      <c r="H34" s="50">
        <v>1</v>
      </c>
      <c r="I34" s="50">
        <v>10</v>
      </c>
      <c r="J34" s="50">
        <v>7</v>
      </c>
      <c r="K34" s="50">
        <v>2</v>
      </c>
      <c r="L34" s="50">
        <v>1</v>
      </c>
      <c r="M34" s="50">
        <v>115</v>
      </c>
      <c r="N34" s="50">
        <v>0</v>
      </c>
      <c r="O34" s="15">
        <f t="shared" si="0"/>
        <v>127</v>
      </c>
      <c r="P34" s="15">
        <f t="shared" si="1"/>
        <v>242</v>
      </c>
    </row>
    <row r="35" spans="2:20" ht="23.1" customHeight="1" x14ac:dyDescent="0.25">
      <c r="B35" s="24" t="s">
        <v>62</v>
      </c>
      <c r="C35" s="50">
        <v>29</v>
      </c>
      <c r="D35" s="50">
        <v>3</v>
      </c>
      <c r="E35" s="50">
        <v>12</v>
      </c>
      <c r="F35" s="50">
        <v>41</v>
      </c>
      <c r="G35" s="50">
        <v>0</v>
      </c>
      <c r="H35" s="50">
        <v>0</v>
      </c>
      <c r="I35" s="50">
        <v>10</v>
      </c>
      <c r="J35" s="50">
        <v>6</v>
      </c>
      <c r="K35" s="50">
        <v>4</v>
      </c>
      <c r="L35" s="50">
        <v>5</v>
      </c>
      <c r="M35" s="50">
        <v>105</v>
      </c>
      <c r="N35" s="50">
        <v>0</v>
      </c>
      <c r="O35" s="15">
        <f t="shared" si="0"/>
        <v>110</v>
      </c>
      <c r="P35" s="15">
        <f t="shared" si="1"/>
        <v>215</v>
      </c>
    </row>
    <row r="36" spans="2:20" ht="23.1" customHeight="1" x14ac:dyDescent="0.25">
      <c r="B36" s="24" t="s">
        <v>63</v>
      </c>
      <c r="C36" s="50">
        <v>40</v>
      </c>
      <c r="D36" s="50">
        <v>12</v>
      </c>
      <c r="E36" s="50">
        <v>14</v>
      </c>
      <c r="F36" s="50">
        <v>43</v>
      </c>
      <c r="G36" s="50">
        <v>2</v>
      </c>
      <c r="H36" s="50">
        <v>2</v>
      </c>
      <c r="I36" s="50">
        <v>7</v>
      </c>
      <c r="J36" s="50">
        <v>4</v>
      </c>
      <c r="K36" s="50">
        <v>4</v>
      </c>
      <c r="L36" s="50">
        <v>1</v>
      </c>
      <c r="M36" s="50">
        <v>136</v>
      </c>
      <c r="N36" s="50">
        <v>0</v>
      </c>
      <c r="O36" s="15">
        <f t="shared" si="0"/>
        <v>129</v>
      </c>
      <c r="P36" s="15">
        <f t="shared" si="1"/>
        <v>265</v>
      </c>
    </row>
    <row r="37" spans="2:20" ht="23.1" customHeight="1" x14ac:dyDescent="0.25">
      <c r="B37" s="23" t="s">
        <v>64</v>
      </c>
      <c r="C37" s="50">
        <v>25</v>
      </c>
      <c r="D37" s="50">
        <v>5</v>
      </c>
      <c r="E37" s="50">
        <v>6</v>
      </c>
      <c r="F37" s="50">
        <v>38</v>
      </c>
      <c r="G37" s="50">
        <v>1</v>
      </c>
      <c r="H37" s="50">
        <v>4</v>
      </c>
      <c r="I37" s="50">
        <v>10</v>
      </c>
      <c r="J37" s="50">
        <v>11</v>
      </c>
      <c r="K37" s="50">
        <v>4</v>
      </c>
      <c r="L37" s="50">
        <v>2</v>
      </c>
      <c r="M37" s="50">
        <v>85</v>
      </c>
      <c r="N37" s="50">
        <v>0</v>
      </c>
      <c r="O37" s="15">
        <f t="shared" si="0"/>
        <v>106</v>
      </c>
      <c r="P37" s="15">
        <f t="shared" si="1"/>
        <v>191</v>
      </c>
    </row>
    <row r="38" spans="2:20" ht="23.1" customHeight="1" x14ac:dyDescent="0.25">
      <c r="B38" s="24" t="s">
        <v>65</v>
      </c>
      <c r="C38" s="50">
        <v>26</v>
      </c>
      <c r="D38" s="50">
        <v>5</v>
      </c>
      <c r="E38" s="50">
        <v>13</v>
      </c>
      <c r="F38" s="50">
        <v>37</v>
      </c>
      <c r="G38" s="50">
        <v>1</v>
      </c>
      <c r="H38" s="50">
        <v>0</v>
      </c>
      <c r="I38" s="50">
        <v>16</v>
      </c>
      <c r="J38" s="50">
        <v>7</v>
      </c>
      <c r="K38" s="50">
        <v>2</v>
      </c>
      <c r="L38" s="50">
        <v>2</v>
      </c>
      <c r="M38" s="50">
        <v>98</v>
      </c>
      <c r="N38" s="50">
        <v>0</v>
      </c>
      <c r="O38" s="15">
        <f t="shared" si="0"/>
        <v>109</v>
      </c>
      <c r="P38" s="15">
        <f t="shared" si="1"/>
        <v>207</v>
      </c>
    </row>
    <row r="39" spans="2:20" ht="23.1" customHeight="1" x14ac:dyDescent="0.25">
      <c r="B39" s="24" t="s">
        <v>66</v>
      </c>
      <c r="C39" s="50">
        <v>40</v>
      </c>
      <c r="D39" s="50">
        <v>4</v>
      </c>
      <c r="E39" s="50">
        <v>13</v>
      </c>
      <c r="F39" s="50">
        <v>37</v>
      </c>
      <c r="G39" s="50">
        <v>1</v>
      </c>
      <c r="H39" s="50">
        <v>3</v>
      </c>
      <c r="I39" s="50">
        <v>10</v>
      </c>
      <c r="J39" s="50">
        <v>8</v>
      </c>
      <c r="K39" s="50">
        <v>1</v>
      </c>
      <c r="L39" s="50">
        <v>6</v>
      </c>
      <c r="M39" s="50">
        <v>130</v>
      </c>
      <c r="N39" s="50">
        <v>0</v>
      </c>
      <c r="O39" s="15">
        <f t="shared" si="0"/>
        <v>123</v>
      </c>
      <c r="P39" s="15">
        <f t="shared" si="1"/>
        <v>253</v>
      </c>
    </row>
    <row r="40" spans="2:20" ht="23.1" customHeight="1" x14ac:dyDescent="0.25">
      <c r="B40" s="24" t="s">
        <v>67</v>
      </c>
      <c r="C40" s="50">
        <v>30</v>
      </c>
      <c r="D40" s="50">
        <v>9</v>
      </c>
      <c r="E40" s="50">
        <v>8</v>
      </c>
      <c r="F40" s="50">
        <v>49</v>
      </c>
      <c r="G40" s="50">
        <v>1</v>
      </c>
      <c r="H40" s="50">
        <v>2</v>
      </c>
      <c r="I40" s="50">
        <v>9</v>
      </c>
      <c r="J40" s="50">
        <v>10</v>
      </c>
      <c r="K40" s="50">
        <v>1</v>
      </c>
      <c r="L40" s="50">
        <v>5</v>
      </c>
      <c r="M40" s="50">
        <v>113</v>
      </c>
      <c r="N40" s="50">
        <v>0</v>
      </c>
      <c r="O40" s="15">
        <f t="shared" si="0"/>
        <v>124</v>
      </c>
      <c r="P40" s="15">
        <f t="shared" si="1"/>
        <v>237</v>
      </c>
    </row>
    <row r="41" spans="2:20" ht="23.1" customHeight="1" x14ac:dyDescent="0.25">
      <c r="B41" s="23" t="s">
        <v>68</v>
      </c>
      <c r="C41" s="50">
        <v>47</v>
      </c>
      <c r="D41" s="50">
        <v>10</v>
      </c>
      <c r="E41" s="50">
        <v>12</v>
      </c>
      <c r="F41" s="50">
        <v>53</v>
      </c>
      <c r="G41" s="50">
        <v>1</v>
      </c>
      <c r="H41" s="50">
        <v>2</v>
      </c>
      <c r="I41" s="50">
        <v>7</v>
      </c>
      <c r="J41" s="50">
        <v>6</v>
      </c>
      <c r="K41" s="50">
        <v>2</v>
      </c>
      <c r="L41" s="50">
        <v>3</v>
      </c>
      <c r="M41" s="50">
        <v>133</v>
      </c>
      <c r="N41" s="50">
        <v>0</v>
      </c>
      <c r="O41" s="15">
        <f t="shared" si="0"/>
        <v>143</v>
      </c>
      <c r="P41" s="15">
        <f t="shared" si="1"/>
        <v>276</v>
      </c>
    </row>
    <row r="42" spans="2:20" ht="23.1" customHeight="1" x14ac:dyDescent="0.25">
      <c r="B42" s="24" t="s">
        <v>69</v>
      </c>
      <c r="C42" s="50">
        <v>42</v>
      </c>
      <c r="D42" s="50">
        <v>7</v>
      </c>
      <c r="E42" s="50">
        <v>8</v>
      </c>
      <c r="F42" s="50">
        <v>28</v>
      </c>
      <c r="G42" s="50">
        <v>0</v>
      </c>
      <c r="H42" s="50">
        <v>1</v>
      </c>
      <c r="I42" s="50">
        <v>8</v>
      </c>
      <c r="J42" s="50">
        <v>4</v>
      </c>
      <c r="K42" s="50">
        <v>2</v>
      </c>
      <c r="L42" s="50">
        <v>0</v>
      </c>
      <c r="M42" s="50">
        <v>110</v>
      </c>
      <c r="N42" s="50">
        <v>1</v>
      </c>
      <c r="O42" s="15">
        <f t="shared" si="0"/>
        <v>101</v>
      </c>
      <c r="P42" s="15">
        <f t="shared" si="1"/>
        <v>211</v>
      </c>
    </row>
    <row r="43" spans="2:20" ht="23.1" customHeight="1" x14ac:dyDescent="0.25">
      <c r="B43" s="23" t="s">
        <v>70</v>
      </c>
      <c r="C43" s="50">
        <v>60</v>
      </c>
      <c r="D43" s="50">
        <v>3</v>
      </c>
      <c r="E43" s="50">
        <v>12</v>
      </c>
      <c r="F43" s="50">
        <v>40</v>
      </c>
      <c r="G43" s="50">
        <v>2</v>
      </c>
      <c r="H43" s="50">
        <v>0</v>
      </c>
      <c r="I43" s="50">
        <v>15</v>
      </c>
      <c r="J43" s="50">
        <v>10</v>
      </c>
      <c r="K43" s="50">
        <v>3</v>
      </c>
      <c r="L43" s="50">
        <v>2</v>
      </c>
      <c r="M43" s="50">
        <v>43</v>
      </c>
      <c r="N43" s="50">
        <v>0</v>
      </c>
      <c r="O43" s="15">
        <f t="shared" si="0"/>
        <v>147</v>
      </c>
      <c r="P43" s="15">
        <f t="shared" si="1"/>
        <v>190</v>
      </c>
    </row>
    <row r="44" spans="2:20" ht="23.1" customHeight="1" x14ac:dyDescent="0.25">
      <c r="B44" s="25" t="s">
        <v>71</v>
      </c>
      <c r="C44" s="50">
        <v>43</v>
      </c>
      <c r="D44" s="50">
        <v>5</v>
      </c>
      <c r="E44" s="50">
        <v>11</v>
      </c>
      <c r="F44" s="50">
        <v>30</v>
      </c>
      <c r="G44" s="50">
        <v>0</v>
      </c>
      <c r="H44" s="50">
        <v>3</v>
      </c>
      <c r="I44" s="50">
        <v>19</v>
      </c>
      <c r="J44" s="50">
        <v>10</v>
      </c>
      <c r="K44" s="50">
        <v>4</v>
      </c>
      <c r="L44" s="50">
        <v>5</v>
      </c>
      <c r="M44" s="50">
        <v>28</v>
      </c>
      <c r="N44" s="50">
        <v>0</v>
      </c>
      <c r="O44" s="15">
        <f t="shared" si="0"/>
        <v>130</v>
      </c>
      <c r="P44" s="15">
        <f t="shared" si="1"/>
        <v>158</v>
      </c>
    </row>
    <row r="45" spans="2:20" ht="23.1" customHeight="1" x14ac:dyDescent="0.25">
      <c r="B45" s="23" t="s">
        <v>72</v>
      </c>
      <c r="C45" s="50">
        <v>31</v>
      </c>
      <c r="D45" s="50">
        <v>11</v>
      </c>
      <c r="E45" s="50">
        <v>9</v>
      </c>
      <c r="F45" s="50">
        <v>21</v>
      </c>
      <c r="G45" s="50">
        <v>1</v>
      </c>
      <c r="H45" s="50">
        <v>0</v>
      </c>
      <c r="I45" s="50">
        <v>11</v>
      </c>
      <c r="J45" s="50">
        <v>8</v>
      </c>
      <c r="K45" s="50">
        <v>1</v>
      </c>
      <c r="L45" s="50">
        <v>4</v>
      </c>
      <c r="M45" s="50">
        <v>31</v>
      </c>
      <c r="N45" s="50">
        <v>0</v>
      </c>
      <c r="O45" s="15">
        <f t="shared" si="0"/>
        <v>97</v>
      </c>
      <c r="P45" s="15">
        <f t="shared" si="1"/>
        <v>128</v>
      </c>
    </row>
    <row r="46" spans="2:20" ht="23.1" customHeight="1" x14ac:dyDescent="0.25">
      <c r="B46" s="24" t="s">
        <v>73</v>
      </c>
      <c r="C46" s="50">
        <v>29</v>
      </c>
      <c r="D46" s="50">
        <v>9</v>
      </c>
      <c r="E46" s="50">
        <v>9</v>
      </c>
      <c r="F46" s="50">
        <v>27</v>
      </c>
      <c r="G46" s="50">
        <v>1</v>
      </c>
      <c r="H46" s="50">
        <v>1</v>
      </c>
      <c r="I46" s="50">
        <v>13</v>
      </c>
      <c r="J46" s="50">
        <v>7</v>
      </c>
      <c r="K46" s="50">
        <v>1</v>
      </c>
      <c r="L46" s="50">
        <v>2</v>
      </c>
      <c r="M46" s="50">
        <v>120</v>
      </c>
      <c r="N46" s="50">
        <v>0</v>
      </c>
      <c r="O46" s="15">
        <f t="shared" si="0"/>
        <v>99</v>
      </c>
      <c r="P46" s="15">
        <f t="shared" si="1"/>
        <v>219</v>
      </c>
      <c r="R46" s="8"/>
      <c r="T46"/>
    </row>
    <row r="47" spans="2:20" ht="23.1" customHeight="1" x14ac:dyDescent="0.25">
      <c r="B47" s="24" t="s">
        <v>74</v>
      </c>
      <c r="C47" s="50">
        <v>34</v>
      </c>
      <c r="D47" s="50">
        <v>7</v>
      </c>
      <c r="E47" s="50">
        <v>14</v>
      </c>
      <c r="F47" s="50">
        <v>49</v>
      </c>
      <c r="G47" s="50">
        <v>0</v>
      </c>
      <c r="H47" s="50">
        <v>2</v>
      </c>
      <c r="I47" s="50">
        <v>8</v>
      </c>
      <c r="J47" s="50">
        <v>6</v>
      </c>
      <c r="K47" s="50">
        <v>0</v>
      </c>
      <c r="L47" s="50">
        <v>2</v>
      </c>
      <c r="M47" s="50">
        <v>108</v>
      </c>
      <c r="N47" s="50">
        <v>0</v>
      </c>
      <c r="O47" s="15">
        <f t="shared" si="0"/>
        <v>122</v>
      </c>
      <c r="P47" s="15">
        <f t="shared" si="1"/>
        <v>230</v>
      </c>
      <c r="R47" s="8"/>
      <c r="T47"/>
    </row>
    <row r="48" spans="2:20" ht="23.1" customHeight="1" x14ac:dyDescent="0.25">
      <c r="B48" s="24" t="s">
        <v>75</v>
      </c>
      <c r="C48" s="50">
        <v>45</v>
      </c>
      <c r="D48" s="50">
        <v>7</v>
      </c>
      <c r="E48" s="50">
        <v>10</v>
      </c>
      <c r="F48" s="50">
        <v>55</v>
      </c>
      <c r="G48" s="50">
        <v>1</v>
      </c>
      <c r="H48" s="50">
        <v>0</v>
      </c>
      <c r="I48" s="50">
        <v>15</v>
      </c>
      <c r="J48" s="50">
        <v>7</v>
      </c>
      <c r="K48" s="50">
        <v>4</v>
      </c>
      <c r="L48" s="50">
        <v>1</v>
      </c>
      <c r="M48" s="50">
        <v>240</v>
      </c>
      <c r="N48" s="50">
        <v>0</v>
      </c>
      <c r="O48" s="15">
        <f t="shared" si="0"/>
        <v>145</v>
      </c>
      <c r="P48" s="15">
        <f t="shared" si="1"/>
        <v>385</v>
      </c>
      <c r="R48" s="8"/>
      <c r="T48"/>
    </row>
    <row r="49" spans="2:20" ht="23.1" customHeight="1" x14ac:dyDescent="0.25">
      <c r="B49" s="23" t="s">
        <v>76</v>
      </c>
      <c r="C49" s="50">
        <v>63</v>
      </c>
      <c r="D49" s="50">
        <v>4</v>
      </c>
      <c r="E49" s="50">
        <v>14</v>
      </c>
      <c r="F49" s="50">
        <v>45</v>
      </c>
      <c r="G49" s="50">
        <v>1</v>
      </c>
      <c r="H49" s="50">
        <v>0</v>
      </c>
      <c r="I49" s="50">
        <v>14</v>
      </c>
      <c r="J49" s="50">
        <v>4</v>
      </c>
      <c r="K49" s="50">
        <v>1</v>
      </c>
      <c r="L49" s="50">
        <v>0</v>
      </c>
      <c r="M49" s="50">
        <v>302</v>
      </c>
      <c r="N49" s="50">
        <v>0</v>
      </c>
      <c r="O49" s="15">
        <f t="shared" si="0"/>
        <v>146</v>
      </c>
      <c r="P49" s="15">
        <f t="shared" si="1"/>
        <v>448</v>
      </c>
      <c r="R49" s="8"/>
      <c r="T49"/>
    </row>
    <row r="50" spans="2:20" ht="23.1" customHeight="1" x14ac:dyDescent="0.25">
      <c r="B50" s="24" t="s">
        <v>77</v>
      </c>
      <c r="C50" s="50">
        <v>55</v>
      </c>
      <c r="D50" s="50">
        <v>7</v>
      </c>
      <c r="E50" s="50">
        <v>16</v>
      </c>
      <c r="F50" s="50">
        <v>52</v>
      </c>
      <c r="G50" s="50">
        <v>0</v>
      </c>
      <c r="H50" s="50">
        <v>1</v>
      </c>
      <c r="I50" s="50">
        <v>20</v>
      </c>
      <c r="J50" s="50">
        <v>1</v>
      </c>
      <c r="K50" s="50">
        <v>4</v>
      </c>
      <c r="L50" s="50">
        <v>0</v>
      </c>
      <c r="M50" s="50">
        <v>325</v>
      </c>
      <c r="N50" s="50">
        <v>0</v>
      </c>
      <c r="O50" s="15">
        <f t="shared" si="0"/>
        <v>156</v>
      </c>
      <c r="P50" s="15">
        <f t="shared" si="1"/>
        <v>481</v>
      </c>
      <c r="R50" s="8"/>
      <c r="T50"/>
    </row>
    <row r="51" spans="2:20" ht="23.1" customHeight="1" x14ac:dyDescent="0.25">
      <c r="B51" s="24" t="s">
        <v>78</v>
      </c>
      <c r="C51" s="50">
        <v>69</v>
      </c>
      <c r="D51" s="50">
        <v>8</v>
      </c>
      <c r="E51" s="50">
        <v>11</v>
      </c>
      <c r="F51" s="50">
        <v>40</v>
      </c>
      <c r="G51" s="50">
        <v>1</v>
      </c>
      <c r="H51" s="50">
        <v>0</v>
      </c>
      <c r="I51" s="50">
        <v>15</v>
      </c>
      <c r="J51" s="50">
        <v>6</v>
      </c>
      <c r="K51" s="50">
        <v>0</v>
      </c>
      <c r="L51" s="50">
        <v>0</v>
      </c>
      <c r="M51" s="50">
        <v>460</v>
      </c>
      <c r="N51" s="50">
        <v>0</v>
      </c>
      <c r="O51" s="15">
        <f t="shared" si="0"/>
        <v>150</v>
      </c>
      <c r="P51" s="15">
        <f t="shared" si="1"/>
        <v>610</v>
      </c>
      <c r="R51" s="8"/>
      <c r="T51"/>
    </row>
    <row r="52" spans="2:20" ht="23.1" customHeight="1" x14ac:dyDescent="0.25">
      <c r="B52" s="24" t="s">
        <v>79</v>
      </c>
      <c r="C52" s="50">
        <v>34</v>
      </c>
      <c r="D52" s="50">
        <v>6</v>
      </c>
      <c r="E52" s="50">
        <v>9</v>
      </c>
      <c r="F52" s="50">
        <v>48</v>
      </c>
      <c r="G52" s="50">
        <v>1</v>
      </c>
      <c r="H52" s="50">
        <v>0</v>
      </c>
      <c r="I52" s="50">
        <v>12</v>
      </c>
      <c r="J52" s="50">
        <v>11</v>
      </c>
      <c r="K52" s="50">
        <v>2</v>
      </c>
      <c r="L52" s="50">
        <v>2</v>
      </c>
      <c r="M52" s="50">
        <v>170</v>
      </c>
      <c r="N52" s="50">
        <v>0</v>
      </c>
      <c r="O52" s="15">
        <f t="shared" si="0"/>
        <v>125</v>
      </c>
      <c r="P52" s="15">
        <f t="shared" si="1"/>
        <v>295</v>
      </c>
      <c r="R52" s="8"/>
      <c r="T52"/>
    </row>
    <row r="53" spans="2:20" ht="23.1" customHeight="1" x14ac:dyDescent="0.25">
      <c r="B53" s="23" t="s">
        <v>80</v>
      </c>
      <c r="C53" s="50">
        <v>40</v>
      </c>
      <c r="D53" s="50">
        <v>6</v>
      </c>
      <c r="E53" s="50">
        <v>10</v>
      </c>
      <c r="F53" s="50">
        <v>39</v>
      </c>
      <c r="G53" s="50">
        <v>1</v>
      </c>
      <c r="H53" s="50">
        <v>0</v>
      </c>
      <c r="I53" s="50">
        <v>7</v>
      </c>
      <c r="J53" s="50">
        <v>10</v>
      </c>
      <c r="K53" s="50">
        <v>4</v>
      </c>
      <c r="L53" s="50">
        <v>3</v>
      </c>
      <c r="M53" s="50">
        <v>150</v>
      </c>
      <c r="N53" s="50">
        <v>0</v>
      </c>
      <c r="O53" s="15">
        <f t="shared" si="0"/>
        <v>120</v>
      </c>
      <c r="P53" s="15">
        <f t="shared" si="1"/>
        <v>270</v>
      </c>
      <c r="R53" s="8"/>
      <c r="T53"/>
    </row>
    <row r="54" spans="2:20" ht="23.1" customHeight="1" x14ac:dyDescent="0.25">
      <c r="B54" s="23" t="s">
        <v>81</v>
      </c>
      <c r="C54" s="50">
        <v>56</v>
      </c>
      <c r="D54" s="50">
        <v>6</v>
      </c>
      <c r="E54" s="50">
        <v>7</v>
      </c>
      <c r="F54" s="50">
        <v>20</v>
      </c>
      <c r="G54" s="50">
        <v>0</v>
      </c>
      <c r="H54" s="50">
        <v>1</v>
      </c>
      <c r="I54" s="50">
        <v>3</v>
      </c>
      <c r="J54" s="50">
        <v>7</v>
      </c>
      <c r="K54" s="50">
        <v>2</v>
      </c>
      <c r="L54" s="50">
        <v>4</v>
      </c>
      <c r="M54" s="50">
        <v>219</v>
      </c>
      <c r="N54" s="50">
        <v>0</v>
      </c>
      <c r="O54" s="15">
        <f t="shared" si="0"/>
        <v>106</v>
      </c>
      <c r="P54" s="15">
        <f t="shared" si="1"/>
        <v>325</v>
      </c>
      <c r="R54" s="8"/>
      <c r="T54"/>
    </row>
    <row r="55" spans="2:20" ht="23.1" customHeight="1" x14ac:dyDescent="0.25">
      <c r="B55" s="23" t="s">
        <v>82</v>
      </c>
      <c r="C55" s="50">
        <v>79</v>
      </c>
      <c r="D55" s="50">
        <v>6</v>
      </c>
      <c r="E55" s="50">
        <v>13</v>
      </c>
      <c r="F55" s="50">
        <v>37</v>
      </c>
      <c r="G55" s="50">
        <v>1</v>
      </c>
      <c r="H55" s="50">
        <v>1</v>
      </c>
      <c r="I55" s="50">
        <v>17</v>
      </c>
      <c r="J55" s="50">
        <v>4</v>
      </c>
      <c r="K55" s="50">
        <v>2</v>
      </c>
      <c r="L55" s="50">
        <v>5</v>
      </c>
      <c r="M55" s="50">
        <v>175</v>
      </c>
      <c r="N55" s="50">
        <v>0</v>
      </c>
      <c r="O55" s="15">
        <f t="shared" si="0"/>
        <v>165</v>
      </c>
      <c r="P55" s="15">
        <f t="shared" si="1"/>
        <v>340</v>
      </c>
      <c r="R55" s="8"/>
      <c r="T55"/>
    </row>
    <row r="56" spans="2:20" ht="23.1" customHeight="1" x14ac:dyDescent="0.25">
      <c r="B56" s="23" t="s">
        <v>83</v>
      </c>
      <c r="C56" s="50">
        <v>49</v>
      </c>
      <c r="D56" s="50">
        <v>5</v>
      </c>
      <c r="E56" s="50">
        <v>8</v>
      </c>
      <c r="F56" s="50">
        <v>21</v>
      </c>
      <c r="G56" s="50">
        <v>0</v>
      </c>
      <c r="H56" s="50">
        <v>9</v>
      </c>
      <c r="I56" s="50">
        <v>4</v>
      </c>
      <c r="J56" s="50">
        <v>3</v>
      </c>
      <c r="K56" s="50">
        <v>2</v>
      </c>
      <c r="L56" s="50">
        <v>239</v>
      </c>
      <c r="M56" s="50">
        <v>0</v>
      </c>
      <c r="N56" s="50">
        <v>0</v>
      </c>
      <c r="O56" s="15">
        <f t="shared" si="0"/>
        <v>340</v>
      </c>
      <c r="P56" s="15">
        <f t="shared" si="1"/>
        <v>340</v>
      </c>
      <c r="R56" s="8"/>
      <c r="T56"/>
    </row>
    <row r="57" spans="2:20" ht="23.1" customHeight="1" x14ac:dyDescent="0.25">
      <c r="B57" s="23" t="s">
        <v>84</v>
      </c>
      <c r="C57" s="50">
        <v>24</v>
      </c>
      <c r="D57" s="50">
        <v>3</v>
      </c>
      <c r="E57" s="50">
        <v>4</v>
      </c>
      <c r="F57" s="50">
        <v>35</v>
      </c>
      <c r="G57" s="50">
        <v>3</v>
      </c>
      <c r="H57" s="50">
        <v>0</v>
      </c>
      <c r="I57" s="50">
        <v>4</v>
      </c>
      <c r="J57" s="50">
        <v>5</v>
      </c>
      <c r="K57" s="50">
        <v>2</v>
      </c>
      <c r="L57" s="50">
        <v>1</v>
      </c>
      <c r="M57" s="50">
        <v>180</v>
      </c>
      <c r="N57" s="50">
        <v>0</v>
      </c>
      <c r="O57" s="15">
        <f t="shared" si="0"/>
        <v>81</v>
      </c>
      <c r="P57" s="15">
        <f t="shared" si="1"/>
        <v>261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1751</v>
      </c>
      <c r="D58" s="16">
        <f t="shared" si="21"/>
        <v>272</v>
      </c>
      <c r="E58" s="16">
        <f t="shared" si="21"/>
        <v>406</v>
      </c>
      <c r="F58" s="16">
        <f t="shared" si="21"/>
        <v>2072</v>
      </c>
      <c r="G58" s="16">
        <f t="shared" si="21"/>
        <v>43</v>
      </c>
      <c r="H58" s="16">
        <f t="shared" si="21"/>
        <v>72</v>
      </c>
      <c r="I58" s="16">
        <f t="shared" si="21"/>
        <v>477</v>
      </c>
      <c r="J58" s="16">
        <f t="shared" si="21"/>
        <v>263</v>
      </c>
      <c r="K58" s="16">
        <f t="shared" si="21"/>
        <v>94</v>
      </c>
      <c r="L58" s="16">
        <f t="shared" si="21"/>
        <v>331</v>
      </c>
      <c r="M58" s="16">
        <f t="shared" si="21"/>
        <v>7478</v>
      </c>
      <c r="N58" s="16">
        <f t="shared" si="21"/>
        <v>2</v>
      </c>
      <c r="O58" s="16">
        <f t="shared" si="21"/>
        <v>5783</v>
      </c>
      <c r="P58" s="16">
        <f t="shared" si="21"/>
        <v>13261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0.13204132418369655</v>
      </c>
      <c r="D59" s="43">
        <f t="shared" si="22"/>
        <v>2.0511273659603348E-2</v>
      </c>
      <c r="E59" s="43">
        <f t="shared" si="22"/>
        <v>3.0616092300731469E-2</v>
      </c>
      <c r="F59" s="43">
        <f t="shared" si="22"/>
        <v>0.15624764346580197</v>
      </c>
      <c r="G59" s="43">
        <f t="shared" si="22"/>
        <v>3.2425910564814115E-3</v>
      </c>
      <c r="H59" s="43">
        <f t="shared" si="22"/>
        <v>5.4294547922479454E-3</v>
      </c>
      <c r="I59" s="43">
        <f t="shared" si="22"/>
        <v>3.5970137998642633E-2</v>
      </c>
      <c r="J59" s="43">
        <f t="shared" si="22"/>
        <v>1.9832591810572356E-2</v>
      </c>
      <c r="K59" s="43">
        <f t="shared" si="22"/>
        <v>7.0884548676570392E-3</v>
      </c>
      <c r="L59" s="43">
        <f t="shared" si="22"/>
        <v>2.4960410225473191E-2</v>
      </c>
      <c r="M59" s="43">
        <f t="shared" si="22"/>
        <v>0.5639092074504185</v>
      </c>
      <c r="N59" s="43">
        <f t="shared" si="22"/>
        <v>1.5081818867355404E-4</v>
      </c>
      <c r="R59" s="8"/>
      <c r="T59"/>
    </row>
    <row r="60" spans="2:20" ht="23.1" customHeight="1" x14ac:dyDescent="0.25">
      <c r="B60" s="42" t="s">
        <v>94</v>
      </c>
      <c r="C60" s="44">
        <f>C58/$O$58</f>
        <v>0.30278402213384059</v>
      </c>
      <c r="D60" s="44">
        <f t="shared" ref="D60:N60" si="23">D58/$O$58</f>
        <v>4.7034411205256789E-2</v>
      </c>
      <c r="E60" s="44">
        <f t="shared" si="23"/>
        <v>7.0205775549022992E-2</v>
      </c>
      <c r="F60" s="44">
        <f t="shared" si="23"/>
        <v>0.35829154418122083</v>
      </c>
      <c r="G60" s="44">
        <f t="shared" si="23"/>
        <v>7.4355870655369184E-3</v>
      </c>
      <c r="H60" s="44">
        <f t="shared" si="23"/>
        <v>1.2450285319038561E-2</v>
      </c>
      <c r="I60" s="44">
        <f t="shared" si="23"/>
        <v>8.2483140238630473E-2</v>
      </c>
      <c r="J60" s="44">
        <f t="shared" si="23"/>
        <v>4.5478125540376967E-2</v>
      </c>
      <c r="K60" s="44">
        <f t="shared" si="23"/>
        <v>1.6254539166522565E-2</v>
      </c>
      <c r="L60" s="44">
        <f t="shared" si="23"/>
        <v>5.7236728341691162E-2</v>
      </c>
      <c r="M60" s="44"/>
      <c r="N60" s="44">
        <f t="shared" si="23"/>
        <v>3.4584125886218228E-4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126"/>
  <sheetViews>
    <sheetView view="pageBreakPreview" topLeftCell="A4" zoomScale="60" workbookViewId="0">
      <selection activeCell="K6" sqref="K6:L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59" t="s">
        <v>173</v>
      </c>
      <c r="D3" s="59"/>
      <c r="E3" s="59"/>
      <c r="F3" s="59"/>
      <c r="G3" s="59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'22.07 NATEETE-BUSEGA'!D5</f>
        <v>22.07.19</v>
      </c>
      <c r="E5" s="3"/>
      <c r="F5" s="41" t="s">
        <v>1</v>
      </c>
      <c r="G5" s="60" t="s">
        <v>172</v>
      </c>
      <c r="H5" s="61"/>
      <c r="I5" s="14"/>
      <c r="J5" s="2" t="s">
        <v>5</v>
      </c>
      <c r="K5" s="60" t="s">
        <v>177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54" t="s">
        <v>170</v>
      </c>
      <c r="E6" s="55"/>
      <c r="F6" s="2" t="s">
        <v>2</v>
      </c>
      <c r="G6" s="54" t="s">
        <v>171</v>
      </c>
      <c r="H6" s="55"/>
      <c r="J6" s="2" t="s">
        <v>21</v>
      </c>
      <c r="K6" s="60" t="s">
        <v>180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1</v>
      </c>
      <c r="E10" s="50">
        <v>3</v>
      </c>
      <c r="F10" s="50">
        <v>11</v>
      </c>
      <c r="G10" s="50">
        <v>2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85</v>
      </c>
      <c r="N10" s="50">
        <v>0</v>
      </c>
      <c r="O10" s="15">
        <f t="shared" ref="O10:O57" si="0">SUM(C10:L10,N10)</f>
        <v>19</v>
      </c>
      <c r="P10" s="15">
        <f t="shared" ref="P10:P57" si="1">SUM(C10:N10)</f>
        <v>104</v>
      </c>
      <c r="R10" s="1" t="s">
        <v>6</v>
      </c>
      <c r="S10" s="17">
        <f t="shared" ref="S10:AF10" si="2">SUM(C10:C13)</f>
        <v>150</v>
      </c>
      <c r="T10" s="17">
        <f t="shared" si="2"/>
        <v>11</v>
      </c>
      <c r="U10" s="17">
        <f t="shared" si="2"/>
        <v>16</v>
      </c>
      <c r="V10" s="17">
        <f t="shared" si="2"/>
        <v>115</v>
      </c>
      <c r="W10" s="17">
        <f t="shared" si="2"/>
        <v>10</v>
      </c>
      <c r="X10" s="17">
        <f t="shared" si="2"/>
        <v>0</v>
      </c>
      <c r="Y10" s="17">
        <f t="shared" si="2"/>
        <v>13</v>
      </c>
      <c r="Z10" s="17">
        <f t="shared" si="2"/>
        <v>3</v>
      </c>
      <c r="AA10" s="17">
        <f t="shared" si="2"/>
        <v>3</v>
      </c>
      <c r="AB10" s="17">
        <f t="shared" si="2"/>
        <v>3</v>
      </c>
      <c r="AC10" s="17">
        <f t="shared" si="2"/>
        <v>455</v>
      </c>
      <c r="AD10" s="17">
        <f t="shared" si="2"/>
        <v>0</v>
      </c>
      <c r="AE10" s="31">
        <f t="shared" si="2"/>
        <v>324</v>
      </c>
      <c r="AF10" s="31">
        <f t="shared" si="2"/>
        <v>779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15">
        <f t="shared" si="0"/>
        <v>0</v>
      </c>
      <c r="P11" s="15">
        <f t="shared" si="1"/>
        <v>0</v>
      </c>
      <c r="R11" s="1" t="s">
        <v>7</v>
      </c>
      <c r="S11" s="17">
        <f t="shared" ref="S11:AF11" si="3">SUM(C14:C17)</f>
        <v>259</v>
      </c>
      <c r="T11" s="17">
        <f t="shared" si="3"/>
        <v>34</v>
      </c>
      <c r="U11" s="17">
        <f t="shared" si="3"/>
        <v>22</v>
      </c>
      <c r="V11" s="17">
        <f t="shared" si="3"/>
        <v>198</v>
      </c>
      <c r="W11" s="17">
        <f t="shared" si="3"/>
        <v>8</v>
      </c>
      <c r="X11" s="17">
        <f t="shared" si="3"/>
        <v>1</v>
      </c>
      <c r="Y11" s="17">
        <f t="shared" si="3"/>
        <v>33</v>
      </c>
      <c r="Z11" s="17">
        <f t="shared" si="3"/>
        <v>16</v>
      </c>
      <c r="AA11" s="17">
        <f t="shared" si="3"/>
        <v>5</v>
      </c>
      <c r="AB11" s="17">
        <f t="shared" si="3"/>
        <v>0</v>
      </c>
      <c r="AC11" s="17">
        <f t="shared" si="3"/>
        <v>1230</v>
      </c>
      <c r="AD11" s="17">
        <f t="shared" si="3"/>
        <v>0</v>
      </c>
      <c r="AE11" s="31">
        <f t="shared" si="3"/>
        <v>576</v>
      </c>
      <c r="AF11" s="31">
        <f t="shared" si="3"/>
        <v>1806</v>
      </c>
    </row>
    <row r="12" spans="2:32" ht="23.1" customHeight="1" x14ac:dyDescent="0.25">
      <c r="B12" s="23" t="s">
        <v>39</v>
      </c>
      <c r="C12" s="50">
        <v>50</v>
      </c>
      <c r="D12" s="50">
        <v>1</v>
      </c>
      <c r="E12" s="50">
        <v>7</v>
      </c>
      <c r="F12" s="50">
        <v>45</v>
      </c>
      <c r="G12" s="50">
        <v>5</v>
      </c>
      <c r="H12" s="50">
        <v>0</v>
      </c>
      <c r="I12" s="50">
        <v>6</v>
      </c>
      <c r="J12" s="50">
        <v>1</v>
      </c>
      <c r="K12" s="50">
        <v>1</v>
      </c>
      <c r="L12" s="50">
        <v>0</v>
      </c>
      <c r="M12" s="50">
        <v>125</v>
      </c>
      <c r="N12" s="50">
        <v>0</v>
      </c>
      <c r="O12" s="15">
        <f t="shared" si="0"/>
        <v>116</v>
      </c>
      <c r="P12" s="15">
        <f t="shared" si="1"/>
        <v>241</v>
      </c>
      <c r="R12" s="1" t="s">
        <v>8</v>
      </c>
      <c r="S12" s="17">
        <f t="shared" ref="S12:AF12" si="4">SUM(C18:C21)</f>
        <v>335</v>
      </c>
      <c r="T12" s="17">
        <f t="shared" si="4"/>
        <v>28</v>
      </c>
      <c r="U12" s="17">
        <f t="shared" si="4"/>
        <v>21</v>
      </c>
      <c r="V12" s="17">
        <f t="shared" si="4"/>
        <v>258</v>
      </c>
      <c r="W12" s="17">
        <f t="shared" si="4"/>
        <v>5</v>
      </c>
      <c r="X12" s="17">
        <f t="shared" si="4"/>
        <v>2</v>
      </c>
      <c r="Y12" s="17">
        <f t="shared" si="4"/>
        <v>47</v>
      </c>
      <c r="Z12" s="17">
        <f t="shared" si="4"/>
        <v>28</v>
      </c>
      <c r="AA12" s="17">
        <f t="shared" si="4"/>
        <v>6</v>
      </c>
      <c r="AB12" s="17">
        <f t="shared" si="4"/>
        <v>2</v>
      </c>
      <c r="AC12" s="17">
        <f t="shared" si="4"/>
        <v>1055</v>
      </c>
      <c r="AD12" s="17">
        <f t="shared" si="4"/>
        <v>0</v>
      </c>
      <c r="AE12" s="31">
        <f t="shared" si="4"/>
        <v>732</v>
      </c>
      <c r="AF12" s="31">
        <f t="shared" si="4"/>
        <v>1787</v>
      </c>
    </row>
    <row r="13" spans="2:32" ht="23.1" customHeight="1" x14ac:dyDescent="0.25">
      <c r="B13" s="23" t="s">
        <v>40</v>
      </c>
      <c r="C13" s="50">
        <v>100</v>
      </c>
      <c r="D13" s="50">
        <v>9</v>
      </c>
      <c r="E13" s="50">
        <v>6</v>
      </c>
      <c r="F13" s="50">
        <v>59</v>
      </c>
      <c r="G13" s="50">
        <v>3</v>
      </c>
      <c r="H13" s="50">
        <v>0</v>
      </c>
      <c r="I13" s="50">
        <v>5</v>
      </c>
      <c r="J13" s="50">
        <v>2</v>
      </c>
      <c r="K13" s="50">
        <v>2</v>
      </c>
      <c r="L13" s="50">
        <v>3</v>
      </c>
      <c r="M13" s="50">
        <v>245</v>
      </c>
      <c r="N13" s="50">
        <v>0</v>
      </c>
      <c r="O13" s="15">
        <f t="shared" si="0"/>
        <v>189</v>
      </c>
      <c r="P13" s="15">
        <f t="shared" si="1"/>
        <v>434</v>
      </c>
      <c r="R13" s="1" t="s">
        <v>9</v>
      </c>
      <c r="S13" s="17">
        <f t="shared" ref="S13:AF13" si="5">SUM(C22:C25)</f>
        <v>350</v>
      </c>
      <c r="T13" s="17">
        <f t="shared" si="5"/>
        <v>24</v>
      </c>
      <c r="U13" s="17">
        <f t="shared" si="5"/>
        <v>29</v>
      </c>
      <c r="V13" s="17">
        <f t="shared" si="5"/>
        <v>263</v>
      </c>
      <c r="W13" s="17">
        <f t="shared" si="5"/>
        <v>3</v>
      </c>
      <c r="X13" s="17">
        <f t="shared" si="5"/>
        <v>4</v>
      </c>
      <c r="Y13" s="17">
        <f t="shared" si="5"/>
        <v>31</v>
      </c>
      <c r="Z13" s="17">
        <f t="shared" si="5"/>
        <v>26</v>
      </c>
      <c r="AA13" s="17">
        <f t="shared" si="5"/>
        <v>3</v>
      </c>
      <c r="AB13" s="17">
        <f t="shared" si="5"/>
        <v>12</v>
      </c>
      <c r="AC13" s="17">
        <f t="shared" si="5"/>
        <v>1075</v>
      </c>
      <c r="AD13" s="17">
        <f t="shared" si="5"/>
        <v>0</v>
      </c>
      <c r="AE13" s="31">
        <f t="shared" si="5"/>
        <v>745</v>
      </c>
      <c r="AF13" s="31">
        <f t="shared" si="5"/>
        <v>1820</v>
      </c>
    </row>
    <row r="14" spans="2:32" ht="23.1" customHeight="1" x14ac:dyDescent="0.25">
      <c r="B14" s="23" t="s">
        <v>41</v>
      </c>
      <c r="C14" s="50">
        <v>52</v>
      </c>
      <c r="D14" s="50">
        <v>8</v>
      </c>
      <c r="E14" s="50">
        <v>5</v>
      </c>
      <c r="F14" s="50">
        <v>39</v>
      </c>
      <c r="G14" s="50">
        <v>5</v>
      </c>
      <c r="H14" s="50">
        <v>1</v>
      </c>
      <c r="I14" s="50">
        <v>12</v>
      </c>
      <c r="J14" s="50">
        <v>5</v>
      </c>
      <c r="K14" s="50">
        <v>2</v>
      </c>
      <c r="L14" s="50">
        <v>0</v>
      </c>
      <c r="M14" s="50">
        <v>110</v>
      </c>
      <c r="N14" s="50">
        <v>0</v>
      </c>
      <c r="O14" s="15">
        <f t="shared" si="0"/>
        <v>129</v>
      </c>
      <c r="P14" s="15">
        <f t="shared" si="1"/>
        <v>239</v>
      </c>
      <c r="R14" s="1" t="s">
        <v>10</v>
      </c>
      <c r="S14" s="17">
        <f t="shared" ref="S14:AF14" si="6">SUM(C26:C29)</f>
        <v>293</v>
      </c>
      <c r="T14" s="17">
        <f t="shared" si="6"/>
        <v>33</v>
      </c>
      <c r="U14" s="17">
        <f t="shared" si="6"/>
        <v>46</v>
      </c>
      <c r="V14" s="17">
        <f t="shared" si="6"/>
        <v>222</v>
      </c>
      <c r="W14" s="17">
        <f t="shared" si="6"/>
        <v>2</v>
      </c>
      <c r="X14" s="17">
        <f t="shared" si="6"/>
        <v>3</v>
      </c>
      <c r="Y14" s="17">
        <f t="shared" si="6"/>
        <v>43</v>
      </c>
      <c r="Z14" s="17">
        <f t="shared" si="6"/>
        <v>22</v>
      </c>
      <c r="AA14" s="17">
        <f t="shared" si="6"/>
        <v>10</v>
      </c>
      <c r="AB14" s="17">
        <f t="shared" si="6"/>
        <v>13</v>
      </c>
      <c r="AC14" s="17">
        <f t="shared" si="6"/>
        <v>1005</v>
      </c>
      <c r="AD14" s="17">
        <f t="shared" si="6"/>
        <v>0</v>
      </c>
      <c r="AE14" s="31">
        <f t="shared" si="6"/>
        <v>687</v>
      </c>
      <c r="AF14" s="31">
        <f t="shared" si="6"/>
        <v>1692</v>
      </c>
    </row>
    <row r="15" spans="2:32" ht="23.1" customHeight="1" x14ac:dyDescent="0.25">
      <c r="B15" s="23" t="s">
        <v>42</v>
      </c>
      <c r="C15" s="50">
        <v>28</v>
      </c>
      <c r="D15" s="50">
        <v>3</v>
      </c>
      <c r="E15" s="50">
        <v>1</v>
      </c>
      <c r="F15" s="50">
        <v>22</v>
      </c>
      <c r="G15" s="50">
        <v>1</v>
      </c>
      <c r="H15" s="50">
        <v>0</v>
      </c>
      <c r="I15" s="50">
        <v>3</v>
      </c>
      <c r="J15" s="50">
        <v>1</v>
      </c>
      <c r="K15" s="50">
        <v>0</v>
      </c>
      <c r="L15" s="50">
        <v>0</v>
      </c>
      <c r="M15" s="50">
        <v>130</v>
      </c>
      <c r="N15" s="50">
        <v>0</v>
      </c>
      <c r="O15" s="15">
        <f t="shared" si="0"/>
        <v>59</v>
      </c>
      <c r="P15" s="15">
        <f t="shared" si="1"/>
        <v>189</v>
      </c>
      <c r="R15" s="1" t="s">
        <v>11</v>
      </c>
      <c r="S15" s="17">
        <f t="shared" ref="S15:AF15" si="7">SUM(C30:C33)</f>
        <v>273</v>
      </c>
      <c r="T15" s="17">
        <f t="shared" si="7"/>
        <v>27</v>
      </c>
      <c r="U15" s="17">
        <f t="shared" si="7"/>
        <v>43</v>
      </c>
      <c r="V15" s="17">
        <f t="shared" si="7"/>
        <v>235</v>
      </c>
      <c r="W15" s="17">
        <f t="shared" si="7"/>
        <v>5</v>
      </c>
      <c r="X15" s="17">
        <f t="shared" si="7"/>
        <v>6</v>
      </c>
      <c r="Y15" s="17">
        <f t="shared" si="7"/>
        <v>46</v>
      </c>
      <c r="Z15" s="17">
        <f t="shared" si="7"/>
        <v>21</v>
      </c>
      <c r="AA15" s="17">
        <f t="shared" si="7"/>
        <v>6</v>
      </c>
      <c r="AB15" s="17">
        <f t="shared" si="7"/>
        <v>12</v>
      </c>
      <c r="AC15" s="17">
        <f t="shared" si="7"/>
        <v>810</v>
      </c>
      <c r="AD15" s="17">
        <f t="shared" si="7"/>
        <v>0</v>
      </c>
      <c r="AE15" s="31">
        <f t="shared" si="7"/>
        <v>674</v>
      </c>
      <c r="AF15" s="31">
        <f t="shared" si="7"/>
        <v>1484</v>
      </c>
    </row>
    <row r="16" spans="2:32" ht="23.1" customHeight="1" x14ac:dyDescent="0.25">
      <c r="B16" s="23" t="s">
        <v>43</v>
      </c>
      <c r="C16" s="50">
        <v>95</v>
      </c>
      <c r="D16" s="50">
        <v>11</v>
      </c>
      <c r="E16" s="50">
        <v>9</v>
      </c>
      <c r="F16" s="50">
        <v>62</v>
      </c>
      <c r="G16" s="50">
        <v>0</v>
      </c>
      <c r="H16" s="50">
        <v>0</v>
      </c>
      <c r="I16" s="50">
        <v>5</v>
      </c>
      <c r="J16" s="50">
        <v>3</v>
      </c>
      <c r="K16" s="50">
        <v>0</v>
      </c>
      <c r="L16" s="50">
        <v>0</v>
      </c>
      <c r="M16" s="50">
        <v>515</v>
      </c>
      <c r="N16" s="50">
        <v>0</v>
      </c>
      <c r="O16" s="15">
        <f t="shared" si="0"/>
        <v>185</v>
      </c>
      <c r="P16" s="15">
        <f t="shared" si="1"/>
        <v>700</v>
      </c>
      <c r="R16" s="1" t="s">
        <v>12</v>
      </c>
      <c r="S16" s="17">
        <f t="shared" ref="S16:AF16" si="8">SUM(C34:C37)</f>
        <v>236</v>
      </c>
      <c r="T16" s="17">
        <f t="shared" si="8"/>
        <v>21</v>
      </c>
      <c r="U16" s="17">
        <f t="shared" si="8"/>
        <v>40</v>
      </c>
      <c r="V16" s="17">
        <f t="shared" si="8"/>
        <v>258</v>
      </c>
      <c r="W16" s="17">
        <f t="shared" si="8"/>
        <v>2</v>
      </c>
      <c r="X16" s="17">
        <f t="shared" si="8"/>
        <v>8</v>
      </c>
      <c r="Y16" s="17">
        <f t="shared" si="8"/>
        <v>36</v>
      </c>
      <c r="Z16" s="17">
        <f t="shared" si="8"/>
        <v>22</v>
      </c>
      <c r="AA16" s="17">
        <f t="shared" si="8"/>
        <v>14</v>
      </c>
      <c r="AB16" s="17">
        <f t="shared" si="8"/>
        <v>11</v>
      </c>
      <c r="AC16" s="17">
        <f t="shared" si="8"/>
        <v>775</v>
      </c>
      <c r="AD16" s="17">
        <f t="shared" si="8"/>
        <v>0</v>
      </c>
      <c r="AE16" s="31">
        <f t="shared" si="8"/>
        <v>648</v>
      </c>
      <c r="AF16" s="31">
        <f t="shared" si="8"/>
        <v>1423</v>
      </c>
    </row>
    <row r="17" spans="2:32" ht="23.1" customHeight="1" x14ac:dyDescent="0.25">
      <c r="B17" s="23" t="s">
        <v>44</v>
      </c>
      <c r="C17" s="50">
        <v>84</v>
      </c>
      <c r="D17" s="50">
        <v>12</v>
      </c>
      <c r="E17" s="50">
        <v>7</v>
      </c>
      <c r="F17" s="50">
        <v>75</v>
      </c>
      <c r="G17" s="50">
        <v>2</v>
      </c>
      <c r="H17" s="50">
        <v>0</v>
      </c>
      <c r="I17" s="50">
        <v>13</v>
      </c>
      <c r="J17" s="50">
        <v>7</v>
      </c>
      <c r="K17" s="50">
        <v>3</v>
      </c>
      <c r="L17" s="50">
        <v>0</v>
      </c>
      <c r="M17" s="50">
        <v>475</v>
      </c>
      <c r="N17" s="50">
        <v>0</v>
      </c>
      <c r="O17" s="15">
        <f t="shared" si="0"/>
        <v>203</v>
      </c>
      <c r="P17" s="15">
        <f t="shared" si="1"/>
        <v>678</v>
      </c>
      <c r="R17" s="1" t="s">
        <v>13</v>
      </c>
      <c r="S17" s="17">
        <f t="shared" ref="S17:AF17" si="9">SUM(C38:C41)</f>
        <v>209</v>
      </c>
      <c r="T17" s="17">
        <f t="shared" si="9"/>
        <v>21</v>
      </c>
      <c r="U17" s="17">
        <f t="shared" si="9"/>
        <v>36</v>
      </c>
      <c r="V17" s="17">
        <f t="shared" si="9"/>
        <v>197</v>
      </c>
      <c r="W17" s="17">
        <f t="shared" si="9"/>
        <v>5</v>
      </c>
      <c r="X17" s="17">
        <f t="shared" si="9"/>
        <v>12</v>
      </c>
      <c r="Y17" s="17">
        <f t="shared" si="9"/>
        <v>39</v>
      </c>
      <c r="Z17" s="17">
        <f t="shared" si="9"/>
        <v>29</v>
      </c>
      <c r="AA17" s="17">
        <f t="shared" si="9"/>
        <v>6</v>
      </c>
      <c r="AB17" s="17">
        <f t="shared" si="9"/>
        <v>4</v>
      </c>
      <c r="AC17" s="17">
        <f t="shared" si="9"/>
        <v>625</v>
      </c>
      <c r="AD17" s="17">
        <f t="shared" si="9"/>
        <v>0</v>
      </c>
      <c r="AE17" s="31">
        <f t="shared" si="9"/>
        <v>558</v>
      </c>
      <c r="AF17" s="31">
        <f t="shared" si="9"/>
        <v>1183</v>
      </c>
    </row>
    <row r="18" spans="2:32" ht="23.1" customHeight="1" x14ac:dyDescent="0.25">
      <c r="B18" s="23" t="s">
        <v>45</v>
      </c>
      <c r="C18" s="50">
        <v>87</v>
      </c>
      <c r="D18" s="50">
        <v>6</v>
      </c>
      <c r="E18" s="50">
        <v>3</v>
      </c>
      <c r="F18" s="50">
        <v>68</v>
      </c>
      <c r="G18" s="50">
        <v>1</v>
      </c>
      <c r="H18" s="50">
        <v>1</v>
      </c>
      <c r="I18" s="50">
        <v>18</v>
      </c>
      <c r="J18" s="50">
        <v>4</v>
      </c>
      <c r="K18" s="50">
        <v>2</v>
      </c>
      <c r="L18" s="50">
        <v>0</v>
      </c>
      <c r="M18" s="50">
        <v>270</v>
      </c>
      <c r="N18" s="50">
        <v>0</v>
      </c>
      <c r="O18" s="15">
        <f t="shared" si="0"/>
        <v>190</v>
      </c>
      <c r="P18" s="15">
        <f t="shared" si="1"/>
        <v>460</v>
      </c>
      <c r="R18" s="1" t="s">
        <v>14</v>
      </c>
      <c r="S18" s="17">
        <f t="shared" ref="S18:AF18" si="10">SUM(C42:C45)</f>
        <v>207</v>
      </c>
      <c r="T18" s="17">
        <f t="shared" si="10"/>
        <v>23</v>
      </c>
      <c r="U18" s="17">
        <f t="shared" si="10"/>
        <v>43</v>
      </c>
      <c r="V18" s="17">
        <f t="shared" si="10"/>
        <v>197</v>
      </c>
      <c r="W18" s="17">
        <f t="shared" si="10"/>
        <v>6</v>
      </c>
      <c r="X18" s="17">
        <f t="shared" si="10"/>
        <v>8</v>
      </c>
      <c r="Y18" s="17">
        <f t="shared" si="10"/>
        <v>40</v>
      </c>
      <c r="Z18" s="17">
        <f t="shared" si="10"/>
        <v>27</v>
      </c>
      <c r="AA18" s="17">
        <f t="shared" si="10"/>
        <v>9</v>
      </c>
      <c r="AB18" s="17">
        <f t="shared" si="10"/>
        <v>9</v>
      </c>
      <c r="AC18" s="17">
        <f t="shared" si="10"/>
        <v>545</v>
      </c>
      <c r="AD18" s="17">
        <f t="shared" si="10"/>
        <v>0</v>
      </c>
      <c r="AE18" s="31">
        <f t="shared" si="10"/>
        <v>569</v>
      </c>
      <c r="AF18" s="31">
        <f t="shared" si="10"/>
        <v>1114</v>
      </c>
    </row>
    <row r="19" spans="2:32" ht="23.1" customHeight="1" x14ac:dyDescent="0.25">
      <c r="B19" s="23" t="s">
        <v>46</v>
      </c>
      <c r="C19" s="50">
        <v>85</v>
      </c>
      <c r="D19" s="50">
        <v>12</v>
      </c>
      <c r="E19" s="50">
        <v>6</v>
      </c>
      <c r="F19" s="50">
        <v>65</v>
      </c>
      <c r="G19" s="50">
        <v>2</v>
      </c>
      <c r="H19" s="50">
        <v>0</v>
      </c>
      <c r="I19" s="50">
        <v>8</v>
      </c>
      <c r="J19" s="50">
        <v>8</v>
      </c>
      <c r="K19" s="50">
        <v>0</v>
      </c>
      <c r="L19" s="50">
        <v>0</v>
      </c>
      <c r="M19" s="50">
        <v>240</v>
      </c>
      <c r="N19" s="50">
        <v>0</v>
      </c>
      <c r="O19" s="15">
        <f t="shared" si="0"/>
        <v>186</v>
      </c>
      <c r="P19" s="15">
        <f t="shared" si="1"/>
        <v>426</v>
      </c>
      <c r="R19" s="1" t="s">
        <v>15</v>
      </c>
      <c r="S19" s="17">
        <f t="shared" ref="S19:AF19" si="11">SUM(C46:C49)</f>
        <v>172</v>
      </c>
      <c r="T19" s="17">
        <f t="shared" si="11"/>
        <v>14</v>
      </c>
      <c r="U19" s="17">
        <f t="shared" si="11"/>
        <v>28</v>
      </c>
      <c r="V19" s="17">
        <f t="shared" si="11"/>
        <v>183</v>
      </c>
      <c r="W19" s="17">
        <f t="shared" si="11"/>
        <v>6</v>
      </c>
      <c r="X19" s="17">
        <f t="shared" si="11"/>
        <v>7</v>
      </c>
      <c r="Y19" s="17">
        <f t="shared" si="11"/>
        <v>57</v>
      </c>
      <c r="Z19" s="17">
        <f t="shared" si="11"/>
        <v>29</v>
      </c>
      <c r="AA19" s="17">
        <f t="shared" si="11"/>
        <v>12</v>
      </c>
      <c r="AB19" s="17">
        <f t="shared" si="11"/>
        <v>8</v>
      </c>
      <c r="AC19" s="17">
        <f t="shared" si="11"/>
        <v>695</v>
      </c>
      <c r="AD19" s="17">
        <f t="shared" si="11"/>
        <v>0</v>
      </c>
      <c r="AE19" s="31">
        <f t="shared" si="11"/>
        <v>516</v>
      </c>
      <c r="AF19" s="31">
        <f t="shared" si="11"/>
        <v>1211</v>
      </c>
    </row>
    <row r="20" spans="2:32" ht="23.1" customHeight="1" x14ac:dyDescent="0.25">
      <c r="B20" s="23" t="s">
        <v>47</v>
      </c>
      <c r="C20" s="50">
        <v>87</v>
      </c>
      <c r="D20" s="50">
        <v>4</v>
      </c>
      <c r="E20" s="50">
        <v>4</v>
      </c>
      <c r="F20" s="50">
        <v>62</v>
      </c>
      <c r="G20" s="50">
        <v>1</v>
      </c>
      <c r="H20" s="50">
        <v>1</v>
      </c>
      <c r="I20" s="50">
        <v>7</v>
      </c>
      <c r="J20" s="50">
        <v>9</v>
      </c>
      <c r="K20" s="50">
        <v>3</v>
      </c>
      <c r="L20" s="50">
        <v>2</v>
      </c>
      <c r="M20" s="50">
        <v>265</v>
      </c>
      <c r="N20" s="50">
        <v>0</v>
      </c>
      <c r="O20" s="15">
        <f t="shared" si="0"/>
        <v>180</v>
      </c>
      <c r="P20" s="15">
        <f t="shared" si="1"/>
        <v>445</v>
      </c>
      <c r="R20" s="1" t="s">
        <v>16</v>
      </c>
      <c r="S20" s="17">
        <f t="shared" ref="S20:AF20" si="12">SUM(C50:C53)</f>
        <v>170</v>
      </c>
      <c r="T20" s="17">
        <f t="shared" si="12"/>
        <v>14</v>
      </c>
      <c r="U20" s="17">
        <f t="shared" si="12"/>
        <v>29</v>
      </c>
      <c r="V20" s="17">
        <f t="shared" si="12"/>
        <v>196</v>
      </c>
      <c r="W20" s="17">
        <f t="shared" si="12"/>
        <v>5</v>
      </c>
      <c r="X20" s="17">
        <f t="shared" si="12"/>
        <v>9</v>
      </c>
      <c r="Y20" s="17">
        <f t="shared" si="12"/>
        <v>41</v>
      </c>
      <c r="Z20" s="17">
        <f t="shared" si="12"/>
        <v>18</v>
      </c>
      <c r="AA20" s="17">
        <f t="shared" si="12"/>
        <v>6</v>
      </c>
      <c r="AB20" s="17">
        <f t="shared" si="12"/>
        <v>5</v>
      </c>
      <c r="AC20" s="17">
        <f t="shared" si="12"/>
        <v>880</v>
      </c>
      <c r="AD20" s="17">
        <f t="shared" si="12"/>
        <v>0</v>
      </c>
      <c r="AE20" s="31">
        <f t="shared" si="12"/>
        <v>493</v>
      </c>
      <c r="AF20" s="31">
        <f t="shared" si="12"/>
        <v>1373</v>
      </c>
    </row>
    <row r="21" spans="2:32" ht="23.1" customHeight="1" x14ac:dyDescent="0.25">
      <c r="B21" s="23" t="s">
        <v>48</v>
      </c>
      <c r="C21" s="50">
        <v>76</v>
      </c>
      <c r="D21" s="50">
        <v>6</v>
      </c>
      <c r="E21" s="50">
        <v>8</v>
      </c>
      <c r="F21" s="50">
        <v>63</v>
      </c>
      <c r="G21" s="50">
        <v>1</v>
      </c>
      <c r="H21" s="50">
        <v>0</v>
      </c>
      <c r="I21" s="50">
        <v>14</v>
      </c>
      <c r="J21" s="50">
        <v>7</v>
      </c>
      <c r="K21" s="50">
        <v>1</v>
      </c>
      <c r="L21" s="50">
        <v>0</v>
      </c>
      <c r="M21" s="50">
        <v>280</v>
      </c>
      <c r="N21" s="50">
        <v>0</v>
      </c>
      <c r="O21" s="15">
        <f t="shared" si="0"/>
        <v>176</v>
      </c>
      <c r="P21" s="15">
        <f t="shared" si="1"/>
        <v>456</v>
      </c>
      <c r="R21" s="36" t="s">
        <v>20</v>
      </c>
      <c r="S21" s="34">
        <f t="shared" ref="S21:AF21" si="13">SUM(C54:C57)</f>
        <v>176</v>
      </c>
      <c r="T21" s="17">
        <f t="shared" si="13"/>
        <v>20</v>
      </c>
      <c r="U21" s="17">
        <f t="shared" si="13"/>
        <v>35</v>
      </c>
      <c r="V21" s="17">
        <f t="shared" si="13"/>
        <v>208</v>
      </c>
      <c r="W21" s="17">
        <f t="shared" si="13"/>
        <v>9</v>
      </c>
      <c r="X21" s="17">
        <f t="shared" si="13"/>
        <v>12</v>
      </c>
      <c r="Y21" s="17">
        <f t="shared" si="13"/>
        <v>33</v>
      </c>
      <c r="Z21" s="17">
        <f t="shared" si="13"/>
        <v>21</v>
      </c>
      <c r="AA21" s="17">
        <f t="shared" si="13"/>
        <v>4</v>
      </c>
      <c r="AB21" s="17">
        <f t="shared" si="13"/>
        <v>2</v>
      </c>
      <c r="AC21" s="17">
        <f t="shared" si="13"/>
        <v>1185</v>
      </c>
      <c r="AD21" s="17">
        <f t="shared" si="13"/>
        <v>0</v>
      </c>
      <c r="AE21" s="31">
        <f t="shared" si="13"/>
        <v>520</v>
      </c>
      <c r="AF21" s="31">
        <f t="shared" si="13"/>
        <v>1705</v>
      </c>
    </row>
    <row r="22" spans="2:32" ht="23.1" customHeight="1" x14ac:dyDescent="0.25">
      <c r="B22" s="23" t="s">
        <v>49</v>
      </c>
      <c r="C22" s="50">
        <v>90</v>
      </c>
      <c r="D22" s="50">
        <v>7</v>
      </c>
      <c r="E22" s="50">
        <v>11</v>
      </c>
      <c r="F22" s="50">
        <v>80</v>
      </c>
      <c r="G22" s="50">
        <v>0</v>
      </c>
      <c r="H22" s="50">
        <v>2</v>
      </c>
      <c r="I22" s="50">
        <v>9</v>
      </c>
      <c r="J22" s="50">
        <v>8</v>
      </c>
      <c r="K22" s="50">
        <v>2</v>
      </c>
      <c r="L22" s="50">
        <v>2</v>
      </c>
      <c r="M22" s="50">
        <v>265</v>
      </c>
      <c r="N22" s="50">
        <v>0</v>
      </c>
      <c r="O22" s="15">
        <f t="shared" si="0"/>
        <v>211</v>
      </c>
      <c r="P22" s="15">
        <f t="shared" si="1"/>
        <v>476</v>
      </c>
      <c r="R22" s="38" t="s">
        <v>90</v>
      </c>
      <c r="S22" s="39">
        <f>MAX(S10:S12)</f>
        <v>335</v>
      </c>
      <c r="T22" s="39">
        <f t="shared" ref="T22:AF22" si="14">MAX(T10:T12)</f>
        <v>34</v>
      </c>
      <c r="U22" s="39">
        <f t="shared" si="14"/>
        <v>22</v>
      </c>
      <c r="V22" s="39">
        <f t="shared" si="14"/>
        <v>258</v>
      </c>
      <c r="W22" s="39">
        <f t="shared" si="14"/>
        <v>10</v>
      </c>
      <c r="X22" s="39">
        <f t="shared" si="14"/>
        <v>2</v>
      </c>
      <c r="Y22" s="39">
        <f t="shared" si="14"/>
        <v>47</v>
      </c>
      <c r="Z22" s="39">
        <f t="shared" si="14"/>
        <v>28</v>
      </c>
      <c r="AA22" s="39">
        <f t="shared" si="14"/>
        <v>6</v>
      </c>
      <c r="AB22" s="39">
        <f t="shared" si="14"/>
        <v>3</v>
      </c>
      <c r="AC22" s="39">
        <f t="shared" si="14"/>
        <v>1230</v>
      </c>
      <c r="AD22" s="39">
        <f t="shared" si="14"/>
        <v>0</v>
      </c>
      <c r="AE22" s="40">
        <f t="shared" si="14"/>
        <v>732</v>
      </c>
      <c r="AF22" s="40">
        <f t="shared" si="14"/>
        <v>1806</v>
      </c>
    </row>
    <row r="23" spans="2:32" ht="23.1" customHeight="1" x14ac:dyDescent="0.25">
      <c r="B23" s="23" t="s">
        <v>50</v>
      </c>
      <c r="C23" s="50">
        <v>90</v>
      </c>
      <c r="D23" s="50">
        <v>7</v>
      </c>
      <c r="E23" s="50">
        <v>7</v>
      </c>
      <c r="F23" s="50">
        <v>54</v>
      </c>
      <c r="G23" s="50">
        <v>0</v>
      </c>
      <c r="H23" s="50">
        <v>1</v>
      </c>
      <c r="I23" s="50">
        <v>6</v>
      </c>
      <c r="J23" s="50">
        <v>5</v>
      </c>
      <c r="K23" s="50">
        <v>0</v>
      </c>
      <c r="L23" s="50">
        <v>4</v>
      </c>
      <c r="M23" s="50">
        <v>240</v>
      </c>
      <c r="N23" s="50">
        <v>0</v>
      </c>
      <c r="O23" s="15">
        <f t="shared" si="0"/>
        <v>174</v>
      </c>
      <c r="P23" s="15">
        <f t="shared" si="1"/>
        <v>414</v>
      </c>
      <c r="R23" s="38" t="s">
        <v>91</v>
      </c>
      <c r="S23" s="39">
        <f>MAX(S13:S18)</f>
        <v>350</v>
      </c>
      <c r="T23" s="39">
        <f t="shared" ref="T23:AF23" si="15">MAX(T13:T18)</f>
        <v>33</v>
      </c>
      <c r="U23" s="39">
        <f t="shared" si="15"/>
        <v>46</v>
      </c>
      <c r="V23" s="39">
        <f t="shared" si="15"/>
        <v>263</v>
      </c>
      <c r="W23" s="39">
        <f t="shared" si="15"/>
        <v>6</v>
      </c>
      <c r="X23" s="39">
        <f t="shared" si="15"/>
        <v>12</v>
      </c>
      <c r="Y23" s="39">
        <f t="shared" si="15"/>
        <v>46</v>
      </c>
      <c r="Z23" s="39">
        <f t="shared" si="15"/>
        <v>29</v>
      </c>
      <c r="AA23" s="39">
        <f t="shared" si="15"/>
        <v>14</v>
      </c>
      <c r="AB23" s="39">
        <f t="shared" si="15"/>
        <v>13</v>
      </c>
      <c r="AC23" s="39">
        <f t="shared" si="15"/>
        <v>1075</v>
      </c>
      <c r="AD23" s="39">
        <f t="shared" si="15"/>
        <v>0</v>
      </c>
      <c r="AE23" s="40">
        <f t="shared" si="15"/>
        <v>745</v>
      </c>
      <c r="AF23" s="40">
        <f t="shared" si="15"/>
        <v>1820</v>
      </c>
    </row>
    <row r="24" spans="2:32" ht="23.1" customHeight="1" x14ac:dyDescent="0.25">
      <c r="B24" s="23" t="s">
        <v>51</v>
      </c>
      <c r="C24" s="50">
        <v>90</v>
      </c>
      <c r="D24" s="50">
        <v>4</v>
      </c>
      <c r="E24" s="50">
        <v>5</v>
      </c>
      <c r="F24" s="50">
        <v>65</v>
      </c>
      <c r="G24" s="50">
        <v>1</v>
      </c>
      <c r="H24" s="50">
        <v>1</v>
      </c>
      <c r="I24" s="50">
        <v>8</v>
      </c>
      <c r="J24" s="50">
        <v>8</v>
      </c>
      <c r="K24" s="50">
        <v>0</v>
      </c>
      <c r="L24" s="50">
        <v>2</v>
      </c>
      <c r="M24" s="50">
        <v>260</v>
      </c>
      <c r="N24" s="50">
        <v>0</v>
      </c>
      <c r="O24" s="15">
        <f t="shared" si="0"/>
        <v>184</v>
      </c>
      <c r="P24" s="15">
        <f t="shared" si="1"/>
        <v>444</v>
      </c>
      <c r="R24" s="38" t="s">
        <v>92</v>
      </c>
      <c r="S24" s="39">
        <f>MAX(S19:S21)</f>
        <v>176</v>
      </c>
      <c r="T24" s="39">
        <f t="shared" ref="T24:AF24" si="16">MAX(T19:T21)</f>
        <v>20</v>
      </c>
      <c r="U24" s="39">
        <f t="shared" si="16"/>
        <v>35</v>
      </c>
      <c r="V24" s="39">
        <f t="shared" si="16"/>
        <v>208</v>
      </c>
      <c r="W24" s="39">
        <f t="shared" si="16"/>
        <v>9</v>
      </c>
      <c r="X24" s="39">
        <f t="shared" si="16"/>
        <v>12</v>
      </c>
      <c r="Y24" s="39">
        <f t="shared" si="16"/>
        <v>57</v>
      </c>
      <c r="Z24" s="39">
        <f t="shared" si="16"/>
        <v>29</v>
      </c>
      <c r="AA24" s="39">
        <f t="shared" si="16"/>
        <v>12</v>
      </c>
      <c r="AB24" s="39">
        <f t="shared" si="16"/>
        <v>8</v>
      </c>
      <c r="AC24" s="39">
        <f t="shared" si="16"/>
        <v>1185</v>
      </c>
      <c r="AD24" s="39">
        <f t="shared" si="16"/>
        <v>0</v>
      </c>
      <c r="AE24" s="40">
        <f t="shared" si="16"/>
        <v>520</v>
      </c>
      <c r="AF24" s="40">
        <f t="shared" si="16"/>
        <v>1705</v>
      </c>
    </row>
    <row r="25" spans="2:32" ht="23.1" customHeight="1" x14ac:dyDescent="0.25">
      <c r="B25" s="23" t="s">
        <v>52</v>
      </c>
      <c r="C25" s="50">
        <v>80</v>
      </c>
      <c r="D25" s="50">
        <v>6</v>
      </c>
      <c r="E25" s="50">
        <v>6</v>
      </c>
      <c r="F25" s="50">
        <v>64</v>
      </c>
      <c r="G25" s="50">
        <v>2</v>
      </c>
      <c r="H25" s="50">
        <v>0</v>
      </c>
      <c r="I25" s="50">
        <v>8</v>
      </c>
      <c r="J25" s="50">
        <v>5</v>
      </c>
      <c r="K25" s="50">
        <v>1</v>
      </c>
      <c r="L25" s="50">
        <v>4</v>
      </c>
      <c r="M25" s="50">
        <v>310</v>
      </c>
      <c r="N25" s="50">
        <v>0</v>
      </c>
      <c r="O25" s="15">
        <f t="shared" si="0"/>
        <v>176</v>
      </c>
      <c r="P25" s="15">
        <f t="shared" si="1"/>
        <v>486</v>
      </c>
      <c r="R25" s="37" t="s">
        <v>85</v>
      </c>
      <c r="S25" s="35">
        <f t="shared" ref="S25:AF25" si="17">SUM(S10:S12)</f>
        <v>744</v>
      </c>
      <c r="T25" s="16">
        <f t="shared" si="17"/>
        <v>73</v>
      </c>
      <c r="U25" s="16">
        <f t="shared" si="17"/>
        <v>59</v>
      </c>
      <c r="V25" s="16">
        <f t="shared" si="17"/>
        <v>571</v>
      </c>
      <c r="W25" s="16">
        <f t="shared" si="17"/>
        <v>23</v>
      </c>
      <c r="X25" s="16">
        <f t="shared" si="17"/>
        <v>3</v>
      </c>
      <c r="Y25" s="16">
        <f t="shared" si="17"/>
        <v>93</v>
      </c>
      <c r="Z25" s="16">
        <f t="shared" si="17"/>
        <v>47</v>
      </c>
      <c r="AA25" s="16">
        <f t="shared" si="17"/>
        <v>14</v>
      </c>
      <c r="AB25" s="16">
        <f t="shared" si="17"/>
        <v>5</v>
      </c>
      <c r="AC25" s="16">
        <f t="shared" si="17"/>
        <v>2740</v>
      </c>
      <c r="AD25" s="16">
        <f t="shared" si="17"/>
        <v>0</v>
      </c>
      <c r="AE25" s="32">
        <f t="shared" si="17"/>
        <v>1632</v>
      </c>
      <c r="AF25" s="32">
        <f t="shared" si="17"/>
        <v>4372</v>
      </c>
    </row>
    <row r="26" spans="2:32" ht="23.1" customHeight="1" x14ac:dyDescent="0.25">
      <c r="B26" s="23" t="s">
        <v>53</v>
      </c>
      <c r="C26" s="50">
        <v>73</v>
      </c>
      <c r="D26" s="50">
        <v>6</v>
      </c>
      <c r="E26" s="50">
        <v>12</v>
      </c>
      <c r="F26" s="50">
        <v>62</v>
      </c>
      <c r="G26" s="50">
        <v>0</v>
      </c>
      <c r="H26" s="50">
        <v>0</v>
      </c>
      <c r="I26" s="50">
        <v>10</v>
      </c>
      <c r="J26" s="50">
        <v>8</v>
      </c>
      <c r="K26" s="50">
        <v>2</v>
      </c>
      <c r="L26" s="50">
        <v>3</v>
      </c>
      <c r="M26" s="50">
        <v>305</v>
      </c>
      <c r="N26" s="50">
        <v>0</v>
      </c>
      <c r="O26" s="15">
        <f t="shared" si="0"/>
        <v>176</v>
      </c>
      <c r="P26" s="15">
        <f t="shared" si="1"/>
        <v>481</v>
      </c>
      <c r="R26" s="28" t="s">
        <v>86</v>
      </c>
      <c r="S26" s="16">
        <f t="shared" ref="S26:AF26" si="18">SUM(S13:S18)</f>
        <v>1568</v>
      </c>
      <c r="T26" s="16">
        <f t="shared" si="18"/>
        <v>149</v>
      </c>
      <c r="U26" s="16">
        <f t="shared" si="18"/>
        <v>237</v>
      </c>
      <c r="V26" s="16">
        <f t="shared" si="18"/>
        <v>1372</v>
      </c>
      <c r="W26" s="16">
        <f t="shared" si="18"/>
        <v>23</v>
      </c>
      <c r="X26" s="16">
        <f t="shared" si="18"/>
        <v>41</v>
      </c>
      <c r="Y26" s="16">
        <f t="shared" si="18"/>
        <v>235</v>
      </c>
      <c r="Z26" s="16">
        <f t="shared" si="18"/>
        <v>147</v>
      </c>
      <c r="AA26" s="16">
        <f t="shared" si="18"/>
        <v>48</v>
      </c>
      <c r="AB26" s="16">
        <f t="shared" si="18"/>
        <v>61</v>
      </c>
      <c r="AC26" s="16">
        <f t="shared" si="18"/>
        <v>4835</v>
      </c>
      <c r="AD26" s="16">
        <f t="shared" si="18"/>
        <v>0</v>
      </c>
      <c r="AE26" s="32">
        <f t="shared" si="18"/>
        <v>3881</v>
      </c>
      <c r="AF26" s="32">
        <f t="shared" si="18"/>
        <v>8716</v>
      </c>
    </row>
    <row r="27" spans="2:32" ht="23.1" customHeight="1" x14ac:dyDescent="0.25">
      <c r="B27" s="23" t="s">
        <v>54</v>
      </c>
      <c r="C27" s="50">
        <v>78</v>
      </c>
      <c r="D27" s="50">
        <v>8</v>
      </c>
      <c r="E27" s="50">
        <v>12</v>
      </c>
      <c r="F27" s="50">
        <v>56</v>
      </c>
      <c r="G27" s="50">
        <v>2</v>
      </c>
      <c r="H27" s="50">
        <v>1</v>
      </c>
      <c r="I27" s="50">
        <v>9</v>
      </c>
      <c r="J27" s="50">
        <v>3</v>
      </c>
      <c r="K27" s="50">
        <v>5</v>
      </c>
      <c r="L27" s="50">
        <v>6</v>
      </c>
      <c r="M27" s="50">
        <v>225</v>
      </c>
      <c r="N27" s="50">
        <v>0</v>
      </c>
      <c r="O27" s="15">
        <f t="shared" si="0"/>
        <v>180</v>
      </c>
      <c r="P27" s="15">
        <f t="shared" si="1"/>
        <v>405</v>
      </c>
      <c r="R27" s="29" t="s">
        <v>87</v>
      </c>
      <c r="S27" s="16">
        <f t="shared" ref="S27:AF27" si="19">SUM(S19:S21)</f>
        <v>518</v>
      </c>
      <c r="T27" s="16">
        <f t="shared" si="19"/>
        <v>48</v>
      </c>
      <c r="U27" s="16">
        <f t="shared" si="19"/>
        <v>92</v>
      </c>
      <c r="V27" s="16">
        <f t="shared" si="19"/>
        <v>587</v>
      </c>
      <c r="W27" s="16">
        <f t="shared" si="19"/>
        <v>20</v>
      </c>
      <c r="X27" s="16">
        <f t="shared" si="19"/>
        <v>28</v>
      </c>
      <c r="Y27" s="16">
        <f t="shared" si="19"/>
        <v>131</v>
      </c>
      <c r="Z27" s="16">
        <f t="shared" si="19"/>
        <v>68</v>
      </c>
      <c r="AA27" s="16">
        <f t="shared" si="19"/>
        <v>22</v>
      </c>
      <c r="AB27" s="16">
        <f t="shared" si="19"/>
        <v>15</v>
      </c>
      <c r="AC27" s="16">
        <f t="shared" si="19"/>
        <v>2760</v>
      </c>
      <c r="AD27" s="16">
        <f t="shared" si="19"/>
        <v>0</v>
      </c>
      <c r="AE27" s="32">
        <f t="shared" si="19"/>
        <v>1529</v>
      </c>
      <c r="AF27" s="32">
        <f t="shared" si="19"/>
        <v>4289</v>
      </c>
    </row>
    <row r="28" spans="2:32" ht="23.1" customHeight="1" x14ac:dyDescent="0.25">
      <c r="B28" s="23" t="s">
        <v>55</v>
      </c>
      <c r="C28" s="50">
        <v>62</v>
      </c>
      <c r="D28" s="50">
        <v>12</v>
      </c>
      <c r="E28" s="50">
        <v>17</v>
      </c>
      <c r="F28" s="50">
        <v>49</v>
      </c>
      <c r="G28" s="50">
        <v>0</v>
      </c>
      <c r="H28" s="50">
        <v>2</v>
      </c>
      <c r="I28" s="50">
        <v>11</v>
      </c>
      <c r="J28" s="50">
        <v>8</v>
      </c>
      <c r="K28" s="50">
        <v>2</v>
      </c>
      <c r="L28" s="50">
        <v>2</v>
      </c>
      <c r="M28" s="50">
        <v>260</v>
      </c>
      <c r="N28" s="50">
        <v>0</v>
      </c>
      <c r="O28" s="15">
        <f t="shared" si="0"/>
        <v>165</v>
      </c>
      <c r="P28" s="15">
        <f t="shared" si="1"/>
        <v>425</v>
      </c>
      <c r="R28" s="5" t="s">
        <v>17</v>
      </c>
      <c r="S28" s="16">
        <f t="shared" ref="S28:AF28" si="20">SUM(S10:S21)</f>
        <v>2830</v>
      </c>
      <c r="T28" s="16">
        <f t="shared" si="20"/>
        <v>270</v>
      </c>
      <c r="U28" s="16">
        <f t="shared" si="20"/>
        <v>388</v>
      </c>
      <c r="V28" s="16">
        <f t="shared" si="20"/>
        <v>2530</v>
      </c>
      <c r="W28" s="16">
        <f t="shared" si="20"/>
        <v>66</v>
      </c>
      <c r="X28" s="16">
        <f t="shared" si="20"/>
        <v>72</v>
      </c>
      <c r="Y28" s="16">
        <f t="shared" si="20"/>
        <v>459</v>
      </c>
      <c r="Z28" s="16">
        <f t="shared" si="20"/>
        <v>262</v>
      </c>
      <c r="AA28" s="16">
        <f t="shared" si="20"/>
        <v>84</v>
      </c>
      <c r="AB28" s="16">
        <f t="shared" si="20"/>
        <v>81</v>
      </c>
      <c r="AC28" s="16">
        <f t="shared" si="20"/>
        <v>10335</v>
      </c>
      <c r="AD28" s="16">
        <f t="shared" si="20"/>
        <v>0</v>
      </c>
      <c r="AE28" s="32">
        <f t="shared" si="20"/>
        <v>7042</v>
      </c>
      <c r="AF28" s="32">
        <f t="shared" si="20"/>
        <v>17377</v>
      </c>
    </row>
    <row r="29" spans="2:32" ht="23.1" customHeight="1" x14ac:dyDescent="0.25">
      <c r="B29" s="23" t="s">
        <v>56</v>
      </c>
      <c r="C29" s="50">
        <v>80</v>
      </c>
      <c r="D29" s="50">
        <v>7</v>
      </c>
      <c r="E29" s="50">
        <v>5</v>
      </c>
      <c r="F29" s="50">
        <v>55</v>
      </c>
      <c r="G29" s="50">
        <v>0</v>
      </c>
      <c r="H29" s="50">
        <v>0</v>
      </c>
      <c r="I29" s="50">
        <v>13</v>
      </c>
      <c r="J29" s="50">
        <v>3</v>
      </c>
      <c r="K29" s="50">
        <v>1</v>
      </c>
      <c r="L29" s="50">
        <v>2</v>
      </c>
      <c r="M29" s="50">
        <v>215</v>
      </c>
      <c r="N29" s="50">
        <v>0</v>
      </c>
      <c r="O29" s="15">
        <f t="shared" si="0"/>
        <v>166</v>
      </c>
      <c r="P29" s="15">
        <f t="shared" si="1"/>
        <v>381</v>
      </c>
      <c r="R29"/>
      <c r="S29" s="20"/>
      <c r="T29" s="19"/>
    </row>
    <row r="30" spans="2:32" ht="23.1" customHeight="1" x14ac:dyDescent="0.25">
      <c r="B30" s="23" t="s">
        <v>57</v>
      </c>
      <c r="C30" s="50">
        <v>66</v>
      </c>
      <c r="D30" s="50">
        <v>10</v>
      </c>
      <c r="E30" s="50">
        <v>7</v>
      </c>
      <c r="F30" s="50">
        <v>62</v>
      </c>
      <c r="G30" s="50">
        <v>2</v>
      </c>
      <c r="H30" s="50">
        <v>0</v>
      </c>
      <c r="I30" s="50">
        <v>9</v>
      </c>
      <c r="J30" s="50">
        <v>3</v>
      </c>
      <c r="K30" s="50">
        <v>0</v>
      </c>
      <c r="L30" s="50">
        <v>4</v>
      </c>
      <c r="M30" s="50">
        <v>235</v>
      </c>
      <c r="N30" s="50">
        <v>0</v>
      </c>
      <c r="O30" s="15">
        <f t="shared" si="0"/>
        <v>163</v>
      </c>
      <c r="P30" s="15">
        <f t="shared" si="1"/>
        <v>398</v>
      </c>
    </row>
    <row r="31" spans="2:32" ht="23.1" customHeight="1" x14ac:dyDescent="0.25">
      <c r="B31" s="24" t="s">
        <v>58</v>
      </c>
      <c r="C31" s="50">
        <v>65</v>
      </c>
      <c r="D31" s="50">
        <v>7</v>
      </c>
      <c r="E31" s="50">
        <v>10</v>
      </c>
      <c r="F31" s="50">
        <v>49</v>
      </c>
      <c r="G31" s="50">
        <v>1</v>
      </c>
      <c r="H31" s="50">
        <v>2</v>
      </c>
      <c r="I31" s="50">
        <v>10</v>
      </c>
      <c r="J31" s="50">
        <v>5</v>
      </c>
      <c r="K31" s="50">
        <v>2</v>
      </c>
      <c r="L31" s="50">
        <v>3</v>
      </c>
      <c r="M31" s="50">
        <v>195</v>
      </c>
      <c r="N31" s="50">
        <v>0</v>
      </c>
      <c r="O31" s="15">
        <f t="shared" si="0"/>
        <v>154</v>
      </c>
      <c r="P31" s="15">
        <f t="shared" si="1"/>
        <v>349</v>
      </c>
    </row>
    <row r="32" spans="2:32" ht="23.1" customHeight="1" x14ac:dyDescent="0.25">
      <c r="B32" s="24" t="s">
        <v>59</v>
      </c>
      <c r="C32" s="50">
        <v>70</v>
      </c>
      <c r="D32" s="50">
        <v>5</v>
      </c>
      <c r="E32" s="50">
        <v>13</v>
      </c>
      <c r="F32" s="50">
        <v>60</v>
      </c>
      <c r="G32" s="50">
        <v>1</v>
      </c>
      <c r="H32" s="50">
        <v>1</v>
      </c>
      <c r="I32" s="50">
        <v>16</v>
      </c>
      <c r="J32" s="50">
        <v>6</v>
      </c>
      <c r="K32" s="50">
        <v>1</v>
      </c>
      <c r="L32" s="50">
        <v>3</v>
      </c>
      <c r="M32" s="50">
        <v>170</v>
      </c>
      <c r="N32" s="50">
        <v>0</v>
      </c>
      <c r="O32" s="15">
        <f t="shared" si="0"/>
        <v>176</v>
      </c>
      <c r="P32" s="15">
        <f t="shared" si="1"/>
        <v>346</v>
      </c>
    </row>
    <row r="33" spans="2:20" ht="23.1" customHeight="1" x14ac:dyDescent="0.25">
      <c r="B33" s="23" t="s">
        <v>60</v>
      </c>
      <c r="C33" s="50">
        <v>72</v>
      </c>
      <c r="D33" s="50">
        <v>5</v>
      </c>
      <c r="E33" s="50">
        <v>13</v>
      </c>
      <c r="F33" s="50">
        <v>64</v>
      </c>
      <c r="G33" s="50">
        <v>1</v>
      </c>
      <c r="H33" s="50">
        <v>3</v>
      </c>
      <c r="I33" s="50">
        <v>11</v>
      </c>
      <c r="J33" s="50">
        <v>7</v>
      </c>
      <c r="K33" s="50">
        <v>3</v>
      </c>
      <c r="L33" s="50">
        <v>2</v>
      </c>
      <c r="M33" s="50">
        <v>210</v>
      </c>
      <c r="N33" s="50">
        <v>0</v>
      </c>
      <c r="O33" s="15">
        <f t="shared" si="0"/>
        <v>181</v>
      </c>
      <c r="P33" s="15">
        <f t="shared" si="1"/>
        <v>391</v>
      </c>
    </row>
    <row r="34" spans="2:20" ht="23.1" customHeight="1" x14ac:dyDescent="0.25">
      <c r="B34" s="24" t="s">
        <v>61</v>
      </c>
      <c r="C34" s="50">
        <v>71</v>
      </c>
      <c r="D34" s="50">
        <v>4</v>
      </c>
      <c r="E34" s="50">
        <v>11</v>
      </c>
      <c r="F34" s="50">
        <v>57</v>
      </c>
      <c r="G34" s="50">
        <v>0</v>
      </c>
      <c r="H34" s="50">
        <v>1</v>
      </c>
      <c r="I34" s="50">
        <v>7</v>
      </c>
      <c r="J34" s="50">
        <v>7</v>
      </c>
      <c r="K34" s="50">
        <v>6</v>
      </c>
      <c r="L34" s="50">
        <v>2</v>
      </c>
      <c r="M34" s="50">
        <v>215</v>
      </c>
      <c r="N34" s="50">
        <v>0</v>
      </c>
      <c r="O34" s="15">
        <f t="shared" si="0"/>
        <v>166</v>
      </c>
      <c r="P34" s="15">
        <f t="shared" si="1"/>
        <v>381</v>
      </c>
    </row>
    <row r="35" spans="2:20" ht="23.1" customHeight="1" x14ac:dyDescent="0.25">
      <c r="B35" s="24" t="s">
        <v>62</v>
      </c>
      <c r="C35" s="50">
        <v>47</v>
      </c>
      <c r="D35" s="50">
        <v>3</v>
      </c>
      <c r="E35" s="50">
        <v>11</v>
      </c>
      <c r="F35" s="50">
        <v>85</v>
      </c>
      <c r="G35" s="50">
        <v>2</v>
      </c>
      <c r="H35" s="50">
        <v>2</v>
      </c>
      <c r="I35" s="50">
        <v>12</v>
      </c>
      <c r="J35" s="50">
        <v>4</v>
      </c>
      <c r="K35" s="50">
        <v>5</v>
      </c>
      <c r="L35" s="50">
        <v>3</v>
      </c>
      <c r="M35" s="50">
        <v>190</v>
      </c>
      <c r="N35" s="50">
        <v>0</v>
      </c>
      <c r="O35" s="15">
        <f t="shared" si="0"/>
        <v>174</v>
      </c>
      <c r="P35" s="15">
        <f t="shared" si="1"/>
        <v>364</v>
      </c>
    </row>
    <row r="36" spans="2:20" ht="23.1" customHeight="1" x14ac:dyDescent="0.25">
      <c r="B36" s="24" t="s">
        <v>63</v>
      </c>
      <c r="C36" s="50">
        <v>56</v>
      </c>
      <c r="D36" s="50">
        <v>10</v>
      </c>
      <c r="E36" s="50">
        <v>6</v>
      </c>
      <c r="F36" s="50">
        <v>53</v>
      </c>
      <c r="G36" s="50">
        <v>0</v>
      </c>
      <c r="H36" s="50">
        <v>4</v>
      </c>
      <c r="I36" s="50">
        <v>8</v>
      </c>
      <c r="J36" s="50">
        <v>3</v>
      </c>
      <c r="K36" s="50">
        <v>1</v>
      </c>
      <c r="L36" s="50">
        <v>4</v>
      </c>
      <c r="M36" s="50">
        <v>180</v>
      </c>
      <c r="N36" s="50">
        <v>0</v>
      </c>
      <c r="O36" s="15">
        <f t="shared" si="0"/>
        <v>145</v>
      </c>
      <c r="P36" s="15">
        <f t="shared" si="1"/>
        <v>325</v>
      </c>
    </row>
    <row r="37" spans="2:20" ht="23.1" customHeight="1" x14ac:dyDescent="0.25">
      <c r="B37" s="23" t="s">
        <v>64</v>
      </c>
      <c r="C37" s="50">
        <v>62</v>
      </c>
      <c r="D37" s="50">
        <v>4</v>
      </c>
      <c r="E37" s="50">
        <v>12</v>
      </c>
      <c r="F37" s="50">
        <v>63</v>
      </c>
      <c r="G37" s="50">
        <v>0</v>
      </c>
      <c r="H37" s="50">
        <v>1</v>
      </c>
      <c r="I37" s="50">
        <v>9</v>
      </c>
      <c r="J37" s="50">
        <v>8</v>
      </c>
      <c r="K37" s="50">
        <v>2</v>
      </c>
      <c r="L37" s="50">
        <v>2</v>
      </c>
      <c r="M37" s="50">
        <v>190</v>
      </c>
      <c r="N37" s="50">
        <v>0</v>
      </c>
      <c r="O37" s="15">
        <f t="shared" si="0"/>
        <v>163</v>
      </c>
      <c r="P37" s="15">
        <f t="shared" si="1"/>
        <v>353</v>
      </c>
    </row>
    <row r="38" spans="2:20" ht="23.1" customHeight="1" x14ac:dyDescent="0.25">
      <c r="B38" s="24" t="s">
        <v>65</v>
      </c>
      <c r="C38" s="50">
        <v>53</v>
      </c>
      <c r="D38" s="50">
        <v>8</v>
      </c>
      <c r="E38" s="50">
        <v>9</v>
      </c>
      <c r="F38" s="50">
        <v>40</v>
      </c>
      <c r="G38" s="50">
        <v>3</v>
      </c>
      <c r="H38" s="50">
        <v>3</v>
      </c>
      <c r="I38" s="50">
        <v>6</v>
      </c>
      <c r="J38" s="50">
        <v>7</v>
      </c>
      <c r="K38" s="50">
        <v>1</v>
      </c>
      <c r="L38" s="50">
        <v>1</v>
      </c>
      <c r="M38" s="50">
        <v>120</v>
      </c>
      <c r="N38" s="50">
        <v>0</v>
      </c>
      <c r="O38" s="15">
        <f t="shared" si="0"/>
        <v>131</v>
      </c>
      <c r="P38" s="15">
        <f t="shared" si="1"/>
        <v>251</v>
      </c>
    </row>
    <row r="39" spans="2:20" ht="23.1" customHeight="1" x14ac:dyDescent="0.25">
      <c r="B39" s="24" t="s">
        <v>66</v>
      </c>
      <c r="C39" s="50">
        <v>43</v>
      </c>
      <c r="D39" s="50">
        <v>3</v>
      </c>
      <c r="E39" s="50">
        <v>10</v>
      </c>
      <c r="F39" s="50">
        <v>48</v>
      </c>
      <c r="G39" s="50">
        <v>1</v>
      </c>
      <c r="H39" s="50">
        <v>4</v>
      </c>
      <c r="I39" s="50">
        <v>11</v>
      </c>
      <c r="J39" s="50">
        <v>6</v>
      </c>
      <c r="K39" s="50">
        <v>0</v>
      </c>
      <c r="L39" s="50">
        <v>1</v>
      </c>
      <c r="M39" s="50">
        <v>205</v>
      </c>
      <c r="N39" s="50">
        <v>0</v>
      </c>
      <c r="O39" s="15">
        <f t="shared" si="0"/>
        <v>127</v>
      </c>
      <c r="P39" s="15">
        <f t="shared" si="1"/>
        <v>332</v>
      </c>
    </row>
    <row r="40" spans="2:20" ht="23.1" customHeight="1" x14ac:dyDescent="0.25">
      <c r="B40" s="24" t="s">
        <v>67</v>
      </c>
      <c r="C40" s="50">
        <v>50</v>
      </c>
      <c r="D40" s="50">
        <v>6</v>
      </c>
      <c r="E40" s="50">
        <v>11</v>
      </c>
      <c r="F40" s="50">
        <v>59</v>
      </c>
      <c r="G40" s="50">
        <v>0</v>
      </c>
      <c r="H40" s="50">
        <v>3</v>
      </c>
      <c r="I40" s="50">
        <v>11</v>
      </c>
      <c r="J40" s="50">
        <v>10</v>
      </c>
      <c r="K40" s="50">
        <v>2</v>
      </c>
      <c r="L40" s="50">
        <v>1</v>
      </c>
      <c r="M40" s="50">
        <v>135</v>
      </c>
      <c r="N40" s="50">
        <v>0</v>
      </c>
      <c r="O40" s="15">
        <f t="shared" si="0"/>
        <v>153</v>
      </c>
      <c r="P40" s="15">
        <f t="shared" si="1"/>
        <v>288</v>
      </c>
    </row>
    <row r="41" spans="2:20" ht="23.1" customHeight="1" x14ac:dyDescent="0.25">
      <c r="B41" s="23" t="s">
        <v>68</v>
      </c>
      <c r="C41" s="50">
        <v>63</v>
      </c>
      <c r="D41" s="50">
        <v>4</v>
      </c>
      <c r="E41" s="50">
        <v>6</v>
      </c>
      <c r="F41" s="50">
        <v>50</v>
      </c>
      <c r="G41" s="50">
        <v>1</v>
      </c>
      <c r="H41" s="50">
        <v>2</v>
      </c>
      <c r="I41" s="50">
        <v>11</v>
      </c>
      <c r="J41" s="50">
        <v>6</v>
      </c>
      <c r="K41" s="50">
        <v>3</v>
      </c>
      <c r="L41" s="50">
        <v>1</v>
      </c>
      <c r="M41" s="50">
        <v>165</v>
      </c>
      <c r="N41" s="50">
        <v>0</v>
      </c>
      <c r="O41" s="15">
        <f t="shared" si="0"/>
        <v>147</v>
      </c>
      <c r="P41" s="15">
        <f t="shared" si="1"/>
        <v>312</v>
      </c>
    </row>
    <row r="42" spans="2:20" ht="23.1" customHeight="1" x14ac:dyDescent="0.25">
      <c r="B42" s="24" t="s">
        <v>69</v>
      </c>
      <c r="C42" s="50">
        <v>50</v>
      </c>
      <c r="D42" s="50">
        <v>6</v>
      </c>
      <c r="E42" s="50">
        <v>18</v>
      </c>
      <c r="F42" s="50">
        <v>48</v>
      </c>
      <c r="G42" s="50">
        <v>2</v>
      </c>
      <c r="H42" s="50">
        <v>1</v>
      </c>
      <c r="I42" s="50">
        <v>10</v>
      </c>
      <c r="J42" s="50">
        <v>10</v>
      </c>
      <c r="K42" s="50">
        <v>1</v>
      </c>
      <c r="L42" s="50">
        <v>2</v>
      </c>
      <c r="M42" s="50">
        <v>185</v>
      </c>
      <c r="N42" s="50">
        <v>0</v>
      </c>
      <c r="O42" s="15">
        <f t="shared" si="0"/>
        <v>148</v>
      </c>
      <c r="P42" s="15">
        <f t="shared" si="1"/>
        <v>333</v>
      </c>
    </row>
    <row r="43" spans="2:20" ht="23.1" customHeight="1" x14ac:dyDescent="0.25">
      <c r="B43" s="23" t="s">
        <v>70</v>
      </c>
      <c r="C43" s="50">
        <v>56</v>
      </c>
      <c r="D43" s="50">
        <v>3</v>
      </c>
      <c r="E43" s="50">
        <v>6</v>
      </c>
      <c r="F43" s="50">
        <v>51</v>
      </c>
      <c r="G43" s="50">
        <v>1</v>
      </c>
      <c r="H43" s="50">
        <v>1</v>
      </c>
      <c r="I43" s="50">
        <v>11</v>
      </c>
      <c r="J43" s="50">
        <v>6</v>
      </c>
      <c r="K43" s="50">
        <v>5</v>
      </c>
      <c r="L43" s="50">
        <v>2</v>
      </c>
      <c r="M43" s="50">
        <v>85</v>
      </c>
      <c r="N43" s="50">
        <v>0</v>
      </c>
      <c r="O43" s="15">
        <f t="shared" si="0"/>
        <v>142</v>
      </c>
      <c r="P43" s="15">
        <f t="shared" si="1"/>
        <v>227</v>
      </c>
    </row>
    <row r="44" spans="2:20" ht="23.1" customHeight="1" x14ac:dyDescent="0.25">
      <c r="B44" s="25" t="s">
        <v>71</v>
      </c>
      <c r="C44" s="50">
        <v>44</v>
      </c>
      <c r="D44" s="50">
        <v>8</v>
      </c>
      <c r="E44" s="50">
        <v>12</v>
      </c>
      <c r="F44" s="50">
        <v>43</v>
      </c>
      <c r="G44" s="50">
        <v>2</v>
      </c>
      <c r="H44" s="50">
        <v>1</v>
      </c>
      <c r="I44" s="50">
        <v>10</v>
      </c>
      <c r="J44" s="50">
        <v>4</v>
      </c>
      <c r="K44" s="50">
        <v>2</v>
      </c>
      <c r="L44" s="50">
        <v>2</v>
      </c>
      <c r="M44" s="50">
        <v>125</v>
      </c>
      <c r="N44" s="50">
        <v>0</v>
      </c>
      <c r="O44" s="15">
        <f t="shared" si="0"/>
        <v>128</v>
      </c>
      <c r="P44" s="15">
        <f t="shared" si="1"/>
        <v>253</v>
      </c>
    </row>
    <row r="45" spans="2:20" ht="23.1" customHeight="1" x14ac:dyDescent="0.25">
      <c r="B45" s="23" t="s">
        <v>72</v>
      </c>
      <c r="C45" s="50">
        <v>57</v>
      </c>
      <c r="D45" s="50">
        <v>6</v>
      </c>
      <c r="E45" s="50">
        <v>7</v>
      </c>
      <c r="F45" s="50">
        <v>55</v>
      </c>
      <c r="G45" s="50">
        <v>1</v>
      </c>
      <c r="H45" s="50">
        <v>5</v>
      </c>
      <c r="I45" s="50">
        <v>9</v>
      </c>
      <c r="J45" s="50">
        <v>7</v>
      </c>
      <c r="K45" s="50">
        <v>1</v>
      </c>
      <c r="L45" s="50">
        <v>3</v>
      </c>
      <c r="M45" s="50">
        <v>150</v>
      </c>
      <c r="N45" s="50">
        <v>0</v>
      </c>
      <c r="O45" s="15">
        <f t="shared" si="0"/>
        <v>151</v>
      </c>
      <c r="P45" s="15">
        <f t="shared" si="1"/>
        <v>301</v>
      </c>
    </row>
    <row r="46" spans="2:20" ht="23.1" customHeight="1" x14ac:dyDescent="0.25">
      <c r="B46" s="24" t="s">
        <v>73</v>
      </c>
      <c r="C46" s="50">
        <v>44</v>
      </c>
      <c r="D46" s="50">
        <v>2</v>
      </c>
      <c r="E46" s="50">
        <v>9</v>
      </c>
      <c r="F46" s="50">
        <v>44</v>
      </c>
      <c r="G46" s="50">
        <v>3</v>
      </c>
      <c r="H46" s="50">
        <v>0</v>
      </c>
      <c r="I46" s="50">
        <v>21</v>
      </c>
      <c r="J46" s="50">
        <v>3</v>
      </c>
      <c r="K46" s="50">
        <v>8</v>
      </c>
      <c r="L46" s="50">
        <v>3</v>
      </c>
      <c r="M46" s="50">
        <v>205</v>
      </c>
      <c r="N46" s="50">
        <v>0</v>
      </c>
      <c r="O46" s="15">
        <f t="shared" si="0"/>
        <v>137</v>
      </c>
      <c r="P46" s="15">
        <f t="shared" si="1"/>
        <v>342</v>
      </c>
      <c r="R46" s="8"/>
      <c r="T46"/>
    </row>
    <row r="47" spans="2:20" ht="23.1" customHeight="1" x14ac:dyDescent="0.25">
      <c r="B47" s="24" t="s">
        <v>74</v>
      </c>
      <c r="C47" s="50">
        <v>53</v>
      </c>
      <c r="D47" s="50">
        <v>6</v>
      </c>
      <c r="E47" s="50">
        <v>8</v>
      </c>
      <c r="F47" s="50">
        <v>45</v>
      </c>
      <c r="G47" s="50">
        <v>2</v>
      </c>
      <c r="H47" s="50">
        <v>3</v>
      </c>
      <c r="I47" s="50">
        <v>11</v>
      </c>
      <c r="J47" s="50">
        <v>8</v>
      </c>
      <c r="K47" s="50">
        <v>1</v>
      </c>
      <c r="L47" s="50">
        <v>1</v>
      </c>
      <c r="M47" s="50">
        <v>185</v>
      </c>
      <c r="N47" s="50">
        <v>0</v>
      </c>
      <c r="O47" s="15">
        <f t="shared" si="0"/>
        <v>138</v>
      </c>
      <c r="P47" s="15">
        <f t="shared" si="1"/>
        <v>323</v>
      </c>
      <c r="R47" s="8"/>
      <c r="T47"/>
    </row>
    <row r="48" spans="2:20" ht="23.1" customHeight="1" x14ac:dyDescent="0.25">
      <c r="B48" s="24" t="s">
        <v>75</v>
      </c>
      <c r="C48" s="50">
        <v>45</v>
      </c>
      <c r="D48" s="50">
        <v>3</v>
      </c>
      <c r="E48" s="50">
        <v>6</v>
      </c>
      <c r="F48" s="50">
        <v>46</v>
      </c>
      <c r="G48" s="50">
        <v>0</v>
      </c>
      <c r="H48" s="50">
        <v>3</v>
      </c>
      <c r="I48" s="50">
        <v>12</v>
      </c>
      <c r="J48" s="50">
        <v>9</v>
      </c>
      <c r="K48" s="50">
        <v>1</v>
      </c>
      <c r="L48" s="50">
        <v>1</v>
      </c>
      <c r="M48" s="50">
        <v>170</v>
      </c>
      <c r="N48" s="50">
        <v>0</v>
      </c>
      <c r="O48" s="15">
        <f t="shared" si="0"/>
        <v>126</v>
      </c>
      <c r="P48" s="15">
        <f t="shared" si="1"/>
        <v>296</v>
      </c>
      <c r="R48" s="8"/>
      <c r="T48"/>
    </row>
    <row r="49" spans="2:20" ht="23.1" customHeight="1" x14ac:dyDescent="0.25">
      <c r="B49" s="23" t="s">
        <v>76</v>
      </c>
      <c r="C49" s="50">
        <v>30</v>
      </c>
      <c r="D49" s="50">
        <v>3</v>
      </c>
      <c r="E49" s="50">
        <v>5</v>
      </c>
      <c r="F49" s="50">
        <v>48</v>
      </c>
      <c r="G49" s="50">
        <v>1</v>
      </c>
      <c r="H49" s="50">
        <v>1</v>
      </c>
      <c r="I49" s="50">
        <v>13</v>
      </c>
      <c r="J49" s="50">
        <v>9</v>
      </c>
      <c r="K49" s="50">
        <v>2</v>
      </c>
      <c r="L49" s="50">
        <v>3</v>
      </c>
      <c r="M49" s="50">
        <v>135</v>
      </c>
      <c r="N49" s="50">
        <v>0</v>
      </c>
      <c r="O49" s="15">
        <f t="shared" si="0"/>
        <v>115</v>
      </c>
      <c r="P49" s="15">
        <f t="shared" si="1"/>
        <v>250</v>
      </c>
      <c r="R49" s="8"/>
      <c r="T49"/>
    </row>
    <row r="50" spans="2:20" ht="23.1" customHeight="1" x14ac:dyDescent="0.25">
      <c r="B50" s="24" t="s">
        <v>77</v>
      </c>
      <c r="C50" s="50">
        <v>38</v>
      </c>
      <c r="D50" s="50">
        <v>4</v>
      </c>
      <c r="E50" s="50">
        <v>4</v>
      </c>
      <c r="F50" s="50">
        <v>46</v>
      </c>
      <c r="G50" s="50">
        <v>2</v>
      </c>
      <c r="H50" s="50">
        <v>2</v>
      </c>
      <c r="I50" s="50">
        <v>5</v>
      </c>
      <c r="J50" s="50">
        <v>7</v>
      </c>
      <c r="K50" s="50">
        <v>2</v>
      </c>
      <c r="L50" s="50">
        <v>2</v>
      </c>
      <c r="M50" s="50">
        <v>175</v>
      </c>
      <c r="N50" s="50">
        <v>0</v>
      </c>
      <c r="O50" s="15">
        <f t="shared" si="0"/>
        <v>112</v>
      </c>
      <c r="P50" s="15">
        <f t="shared" si="1"/>
        <v>287</v>
      </c>
      <c r="R50" s="8"/>
      <c r="T50"/>
    </row>
    <row r="51" spans="2:20" ht="23.1" customHeight="1" x14ac:dyDescent="0.25">
      <c r="B51" s="24" t="s">
        <v>78</v>
      </c>
      <c r="C51" s="50">
        <v>40</v>
      </c>
      <c r="D51" s="50">
        <v>1</v>
      </c>
      <c r="E51" s="50">
        <v>6</v>
      </c>
      <c r="F51" s="50">
        <v>42</v>
      </c>
      <c r="G51" s="50">
        <v>1</v>
      </c>
      <c r="H51" s="50">
        <v>2</v>
      </c>
      <c r="I51" s="50">
        <v>8</v>
      </c>
      <c r="J51" s="50">
        <v>7</v>
      </c>
      <c r="K51" s="50">
        <v>0</v>
      </c>
      <c r="L51" s="50">
        <v>2</v>
      </c>
      <c r="M51" s="50">
        <v>145</v>
      </c>
      <c r="N51" s="50">
        <v>0</v>
      </c>
      <c r="O51" s="15">
        <f t="shared" si="0"/>
        <v>109</v>
      </c>
      <c r="P51" s="15">
        <f t="shared" si="1"/>
        <v>254</v>
      </c>
      <c r="R51" s="8"/>
      <c r="T51"/>
    </row>
    <row r="52" spans="2:20" ht="23.1" customHeight="1" x14ac:dyDescent="0.25">
      <c r="B52" s="24" t="s">
        <v>79</v>
      </c>
      <c r="C52" s="50">
        <v>49</v>
      </c>
      <c r="D52" s="50">
        <v>4</v>
      </c>
      <c r="E52" s="50">
        <v>8</v>
      </c>
      <c r="F52" s="50">
        <v>59</v>
      </c>
      <c r="G52" s="50">
        <v>0</v>
      </c>
      <c r="H52" s="50">
        <v>2</v>
      </c>
      <c r="I52" s="50">
        <v>11</v>
      </c>
      <c r="J52" s="50">
        <v>1</v>
      </c>
      <c r="K52" s="50">
        <v>0</v>
      </c>
      <c r="L52" s="50">
        <v>1</v>
      </c>
      <c r="M52" s="50">
        <v>240</v>
      </c>
      <c r="N52" s="50">
        <v>0</v>
      </c>
      <c r="O52" s="15">
        <f t="shared" si="0"/>
        <v>135</v>
      </c>
      <c r="P52" s="15">
        <f t="shared" si="1"/>
        <v>375</v>
      </c>
      <c r="R52" s="8"/>
      <c r="T52"/>
    </row>
    <row r="53" spans="2:20" ht="23.1" customHeight="1" x14ac:dyDescent="0.25">
      <c r="B53" s="23" t="s">
        <v>80</v>
      </c>
      <c r="C53" s="50">
        <v>43</v>
      </c>
      <c r="D53" s="50">
        <v>5</v>
      </c>
      <c r="E53" s="50">
        <v>11</v>
      </c>
      <c r="F53" s="50">
        <v>49</v>
      </c>
      <c r="G53" s="50">
        <v>2</v>
      </c>
      <c r="H53" s="50">
        <v>3</v>
      </c>
      <c r="I53" s="50">
        <v>17</v>
      </c>
      <c r="J53" s="50">
        <v>3</v>
      </c>
      <c r="K53" s="50">
        <v>4</v>
      </c>
      <c r="L53" s="50">
        <v>0</v>
      </c>
      <c r="M53" s="50">
        <v>320</v>
      </c>
      <c r="N53" s="50">
        <v>0</v>
      </c>
      <c r="O53" s="15">
        <f t="shared" si="0"/>
        <v>137</v>
      </c>
      <c r="P53" s="15">
        <f t="shared" si="1"/>
        <v>457</v>
      </c>
      <c r="R53" s="8"/>
      <c r="T53"/>
    </row>
    <row r="54" spans="2:20" ht="23.1" customHeight="1" x14ac:dyDescent="0.25">
      <c r="B54" s="23" t="s">
        <v>81</v>
      </c>
      <c r="C54" s="50">
        <v>43</v>
      </c>
      <c r="D54" s="50">
        <v>4</v>
      </c>
      <c r="E54" s="50">
        <v>11</v>
      </c>
      <c r="F54" s="50">
        <v>35</v>
      </c>
      <c r="G54" s="50">
        <v>1</v>
      </c>
      <c r="H54" s="50">
        <v>0</v>
      </c>
      <c r="I54" s="50">
        <v>10</v>
      </c>
      <c r="J54" s="50">
        <v>5</v>
      </c>
      <c r="K54" s="50">
        <v>1</v>
      </c>
      <c r="L54" s="50">
        <v>0</v>
      </c>
      <c r="M54" s="50">
        <v>350</v>
      </c>
      <c r="N54" s="50">
        <v>0</v>
      </c>
      <c r="O54" s="15">
        <f t="shared" si="0"/>
        <v>110</v>
      </c>
      <c r="P54" s="15">
        <f t="shared" si="1"/>
        <v>460</v>
      </c>
      <c r="R54" s="8"/>
      <c r="T54"/>
    </row>
    <row r="55" spans="2:20" ht="23.1" customHeight="1" x14ac:dyDescent="0.25">
      <c r="B55" s="23" t="s">
        <v>82</v>
      </c>
      <c r="C55" s="50">
        <v>48</v>
      </c>
      <c r="D55" s="50">
        <v>8</v>
      </c>
      <c r="E55" s="50">
        <v>5</v>
      </c>
      <c r="F55" s="50">
        <v>64</v>
      </c>
      <c r="G55" s="50">
        <v>1</v>
      </c>
      <c r="H55" s="50">
        <v>4</v>
      </c>
      <c r="I55" s="50">
        <v>10</v>
      </c>
      <c r="J55" s="50">
        <v>3</v>
      </c>
      <c r="K55" s="50">
        <v>2</v>
      </c>
      <c r="L55" s="50">
        <v>0</v>
      </c>
      <c r="M55" s="50">
        <v>325</v>
      </c>
      <c r="N55" s="50">
        <v>0</v>
      </c>
      <c r="O55" s="15">
        <f t="shared" si="0"/>
        <v>145</v>
      </c>
      <c r="P55" s="15">
        <f t="shared" si="1"/>
        <v>470</v>
      </c>
      <c r="R55" s="8"/>
      <c r="T55"/>
    </row>
    <row r="56" spans="2:20" ht="23.1" customHeight="1" x14ac:dyDescent="0.25">
      <c r="B56" s="23" t="s">
        <v>83</v>
      </c>
      <c r="C56" s="50">
        <v>50</v>
      </c>
      <c r="D56" s="50">
        <v>3</v>
      </c>
      <c r="E56" s="50">
        <v>3</v>
      </c>
      <c r="F56" s="50">
        <v>54</v>
      </c>
      <c r="G56" s="50">
        <v>4</v>
      </c>
      <c r="H56" s="50">
        <v>4</v>
      </c>
      <c r="I56" s="50">
        <v>10</v>
      </c>
      <c r="J56" s="50">
        <v>5</v>
      </c>
      <c r="K56" s="50">
        <v>1</v>
      </c>
      <c r="L56" s="50">
        <v>2</v>
      </c>
      <c r="M56" s="50">
        <v>300</v>
      </c>
      <c r="N56" s="50">
        <v>0</v>
      </c>
      <c r="O56" s="15">
        <f t="shared" si="0"/>
        <v>136</v>
      </c>
      <c r="P56" s="15">
        <f t="shared" si="1"/>
        <v>436</v>
      </c>
      <c r="R56" s="8"/>
      <c r="T56"/>
    </row>
    <row r="57" spans="2:20" ht="23.1" customHeight="1" x14ac:dyDescent="0.25">
      <c r="B57" s="23" t="s">
        <v>84</v>
      </c>
      <c r="C57" s="50">
        <v>35</v>
      </c>
      <c r="D57" s="50">
        <v>5</v>
      </c>
      <c r="E57" s="50">
        <v>16</v>
      </c>
      <c r="F57" s="50">
        <v>55</v>
      </c>
      <c r="G57" s="50">
        <v>3</v>
      </c>
      <c r="H57" s="50">
        <v>4</v>
      </c>
      <c r="I57" s="50">
        <v>3</v>
      </c>
      <c r="J57" s="50">
        <v>8</v>
      </c>
      <c r="K57" s="50">
        <v>0</v>
      </c>
      <c r="L57" s="50">
        <v>0</v>
      </c>
      <c r="M57" s="50">
        <v>210</v>
      </c>
      <c r="N57" s="50">
        <v>0</v>
      </c>
      <c r="O57" s="15">
        <f t="shared" si="0"/>
        <v>129</v>
      </c>
      <c r="P57" s="15">
        <f t="shared" si="1"/>
        <v>339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2830</v>
      </c>
      <c r="D58" s="16">
        <f t="shared" si="21"/>
        <v>270</v>
      </c>
      <c r="E58" s="16">
        <f t="shared" si="21"/>
        <v>388</v>
      </c>
      <c r="F58" s="16">
        <f t="shared" si="21"/>
        <v>2530</v>
      </c>
      <c r="G58" s="16">
        <f t="shared" si="21"/>
        <v>66</v>
      </c>
      <c r="H58" s="16">
        <f t="shared" si="21"/>
        <v>72</v>
      </c>
      <c r="I58" s="16">
        <f t="shared" si="21"/>
        <v>459</v>
      </c>
      <c r="J58" s="16">
        <f t="shared" si="21"/>
        <v>262</v>
      </c>
      <c r="K58" s="16">
        <f t="shared" si="21"/>
        <v>84</v>
      </c>
      <c r="L58" s="16">
        <f t="shared" si="21"/>
        <v>81</v>
      </c>
      <c r="M58" s="16">
        <f t="shared" si="21"/>
        <v>10335</v>
      </c>
      <c r="N58" s="16">
        <f t="shared" si="21"/>
        <v>0</v>
      </c>
      <c r="O58" s="16">
        <f t="shared" si="21"/>
        <v>7042</v>
      </c>
      <c r="P58" s="16">
        <f t="shared" si="21"/>
        <v>17377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0.16285895148759855</v>
      </c>
      <c r="D59" s="43">
        <f t="shared" si="22"/>
        <v>1.5537779823905163E-2</v>
      </c>
      <c r="E59" s="43">
        <f t="shared" si="22"/>
        <v>2.232836508027853E-2</v>
      </c>
      <c r="F59" s="43">
        <f t="shared" si="22"/>
        <v>0.14559475168325947</v>
      </c>
      <c r="G59" s="43">
        <f t="shared" si="22"/>
        <v>3.798123956954595E-3</v>
      </c>
      <c r="H59" s="43">
        <f t="shared" si="22"/>
        <v>4.1434079530413767E-3</v>
      </c>
      <c r="I59" s="43">
        <f t="shared" si="22"/>
        <v>2.6414225700638776E-2</v>
      </c>
      <c r="J59" s="43">
        <f t="shared" si="22"/>
        <v>1.507740116245612E-2</v>
      </c>
      <c r="K59" s="43">
        <f t="shared" si="22"/>
        <v>4.8339759452149392E-3</v>
      </c>
      <c r="L59" s="43">
        <f t="shared" si="22"/>
        <v>4.6613339471715488E-3</v>
      </c>
      <c r="M59" s="43">
        <f t="shared" si="22"/>
        <v>0.59475168325948091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0.40187446748082933</v>
      </c>
      <c r="D60" s="44">
        <f t="shared" ref="D60:N60" si="23">D58/$O$58</f>
        <v>3.8341380289690426E-2</v>
      </c>
      <c r="E60" s="44">
        <f t="shared" si="23"/>
        <v>5.5097983527406989E-2</v>
      </c>
      <c r="F60" s="44">
        <f t="shared" si="23"/>
        <v>0.3592729338256177</v>
      </c>
      <c r="G60" s="44">
        <f t="shared" si="23"/>
        <v>9.3723374041465492E-3</v>
      </c>
      <c r="H60" s="44">
        <f t="shared" si="23"/>
        <v>1.0224368077250781E-2</v>
      </c>
      <c r="I60" s="44">
        <f t="shared" si="23"/>
        <v>6.5180346492473729E-2</v>
      </c>
      <c r="J60" s="44">
        <f t="shared" si="23"/>
        <v>3.7205339392218123E-2</v>
      </c>
      <c r="K60" s="44">
        <f t="shared" si="23"/>
        <v>1.1928429423459244E-2</v>
      </c>
      <c r="L60" s="44">
        <f t="shared" si="23"/>
        <v>1.1502414086907128E-2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F126"/>
  <sheetViews>
    <sheetView view="pageBreakPreview" topLeftCell="A4" zoomScale="60" workbookViewId="0">
      <selection activeCell="K5" sqref="K5:L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4" t="str">
        <f>'22.07 NATEETE-BUSEGA'!C3:G3</f>
        <v>MCC - C1 - STN10- MASAKA ROAD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163</v>
      </c>
      <c r="E5" s="3"/>
      <c r="F5" s="41" t="s">
        <v>1</v>
      </c>
      <c r="G5" s="62" t="s">
        <v>172</v>
      </c>
      <c r="H5" s="63"/>
      <c r="I5" s="14"/>
      <c r="J5" s="2" t="s">
        <v>5</v>
      </c>
      <c r="K5" s="62" t="s">
        <v>175</v>
      </c>
      <c r="L5" s="63"/>
      <c r="M5" s="10"/>
      <c r="N5" s="10"/>
      <c r="O5" s="3"/>
      <c r="P5" s="3"/>
    </row>
    <row r="6" spans="2:32" ht="23.25" customHeight="1" x14ac:dyDescent="0.25">
      <c r="C6" s="2" t="s">
        <v>4</v>
      </c>
      <c r="D6" s="62" t="s">
        <v>171</v>
      </c>
      <c r="E6" s="63"/>
      <c r="F6" s="2" t="s">
        <v>2</v>
      </c>
      <c r="G6" s="62" t="s">
        <v>170</v>
      </c>
      <c r="H6" s="63"/>
      <c r="J6" s="2" t="s">
        <v>21</v>
      </c>
      <c r="K6" s="62" t="str">
        <f>'22.07 NATEETE-BUSEGA'!K6:L6</f>
        <v>BEATRACE</v>
      </c>
      <c r="L6" s="6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39</v>
      </c>
      <c r="D10" s="50">
        <v>2</v>
      </c>
      <c r="E10" s="50">
        <v>4</v>
      </c>
      <c r="F10" s="50">
        <v>55</v>
      </c>
      <c r="G10" s="50">
        <v>2</v>
      </c>
      <c r="H10" s="50">
        <v>2</v>
      </c>
      <c r="I10" s="50">
        <v>9</v>
      </c>
      <c r="J10" s="50">
        <v>4</v>
      </c>
      <c r="K10" s="50">
        <v>1</v>
      </c>
      <c r="L10" s="50">
        <v>4</v>
      </c>
      <c r="M10" s="50">
        <v>126</v>
      </c>
      <c r="N10" s="50">
        <v>0</v>
      </c>
      <c r="O10" s="15">
        <f t="shared" ref="O10:O57" si="0">SUM(C10:L10,N10)</f>
        <v>122</v>
      </c>
      <c r="P10" s="15">
        <f t="shared" ref="P10:P57" si="1">SUM(C10:N10)</f>
        <v>248</v>
      </c>
      <c r="R10" s="1" t="s">
        <v>6</v>
      </c>
      <c r="S10" s="17">
        <f t="shared" ref="S10:AF10" si="2">SUM(C10:C13)</f>
        <v>216</v>
      </c>
      <c r="T10" s="17">
        <f t="shared" si="2"/>
        <v>31</v>
      </c>
      <c r="U10" s="17">
        <f t="shared" si="2"/>
        <v>26</v>
      </c>
      <c r="V10" s="17">
        <f t="shared" si="2"/>
        <v>337</v>
      </c>
      <c r="W10" s="17">
        <f t="shared" si="2"/>
        <v>7</v>
      </c>
      <c r="X10" s="17">
        <f t="shared" si="2"/>
        <v>8</v>
      </c>
      <c r="Y10" s="17">
        <f t="shared" si="2"/>
        <v>26</v>
      </c>
      <c r="Z10" s="17">
        <f t="shared" si="2"/>
        <v>19</v>
      </c>
      <c r="AA10" s="17">
        <f t="shared" si="2"/>
        <v>6</v>
      </c>
      <c r="AB10" s="17">
        <f t="shared" si="2"/>
        <v>11</v>
      </c>
      <c r="AC10" s="17">
        <f t="shared" si="2"/>
        <v>797</v>
      </c>
      <c r="AD10" s="17">
        <f t="shared" si="2"/>
        <v>0</v>
      </c>
      <c r="AE10" s="31">
        <f t="shared" si="2"/>
        <v>687</v>
      </c>
      <c r="AF10" s="31">
        <f t="shared" si="2"/>
        <v>1484</v>
      </c>
    </row>
    <row r="11" spans="2:32" s="6" customFormat="1" ht="23.1" customHeight="1" x14ac:dyDescent="0.25">
      <c r="B11" s="23" t="s">
        <v>38</v>
      </c>
      <c r="C11" s="50">
        <v>34</v>
      </c>
      <c r="D11" s="50">
        <v>3</v>
      </c>
      <c r="E11" s="50">
        <v>10</v>
      </c>
      <c r="F11" s="50">
        <v>49</v>
      </c>
      <c r="G11" s="50">
        <v>0</v>
      </c>
      <c r="H11" s="50">
        <v>2</v>
      </c>
      <c r="I11" s="50">
        <v>4</v>
      </c>
      <c r="J11" s="50">
        <v>3</v>
      </c>
      <c r="K11" s="50">
        <v>3</v>
      </c>
      <c r="L11" s="50">
        <v>2</v>
      </c>
      <c r="M11" s="50">
        <v>209</v>
      </c>
      <c r="N11" s="50">
        <v>0</v>
      </c>
      <c r="O11" s="15">
        <f t="shared" si="0"/>
        <v>110</v>
      </c>
      <c r="P11" s="15">
        <f t="shared" si="1"/>
        <v>319</v>
      </c>
      <c r="R11" s="1" t="s">
        <v>7</v>
      </c>
      <c r="S11" s="17">
        <f t="shared" ref="S11:AF11" si="3">SUM(C14:C17)</f>
        <v>248</v>
      </c>
      <c r="T11" s="17">
        <f t="shared" si="3"/>
        <v>60</v>
      </c>
      <c r="U11" s="17">
        <f t="shared" si="3"/>
        <v>50</v>
      </c>
      <c r="V11" s="17">
        <f t="shared" si="3"/>
        <v>287</v>
      </c>
      <c r="W11" s="17">
        <f t="shared" si="3"/>
        <v>6</v>
      </c>
      <c r="X11" s="17">
        <f t="shared" si="3"/>
        <v>5</v>
      </c>
      <c r="Y11" s="17">
        <f t="shared" si="3"/>
        <v>20</v>
      </c>
      <c r="Z11" s="17">
        <f t="shared" si="3"/>
        <v>16</v>
      </c>
      <c r="AA11" s="17">
        <f t="shared" si="3"/>
        <v>3</v>
      </c>
      <c r="AB11" s="17">
        <f t="shared" si="3"/>
        <v>2</v>
      </c>
      <c r="AC11" s="17">
        <f t="shared" si="3"/>
        <v>1170</v>
      </c>
      <c r="AD11" s="17">
        <f t="shared" si="3"/>
        <v>0</v>
      </c>
      <c r="AE11" s="31">
        <f t="shared" si="3"/>
        <v>697</v>
      </c>
      <c r="AF11" s="31">
        <f t="shared" si="3"/>
        <v>1867</v>
      </c>
    </row>
    <row r="12" spans="2:32" ht="23.1" customHeight="1" x14ac:dyDescent="0.25">
      <c r="B12" s="23" t="s">
        <v>39</v>
      </c>
      <c r="C12" s="50">
        <v>72</v>
      </c>
      <c r="D12" s="50">
        <v>14</v>
      </c>
      <c r="E12" s="50">
        <v>7</v>
      </c>
      <c r="F12" s="50">
        <v>150</v>
      </c>
      <c r="G12" s="50">
        <v>4</v>
      </c>
      <c r="H12" s="50">
        <v>3</v>
      </c>
      <c r="I12" s="50">
        <v>9</v>
      </c>
      <c r="J12" s="50">
        <v>8</v>
      </c>
      <c r="K12" s="50">
        <v>1</v>
      </c>
      <c r="L12" s="50">
        <v>4</v>
      </c>
      <c r="M12" s="50">
        <v>186</v>
      </c>
      <c r="N12" s="50">
        <v>0</v>
      </c>
      <c r="O12" s="15">
        <f t="shared" si="0"/>
        <v>272</v>
      </c>
      <c r="P12" s="15">
        <f t="shared" si="1"/>
        <v>458</v>
      </c>
      <c r="R12" s="1" t="s">
        <v>8</v>
      </c>
      <c r="S12" s="17">
        <f t="shared" ref="S12:AF12" si="4">SUM(C18:C21)</f>
        <v>358</v>
      </c>
      <c r="T12" s="17">
        <f t="shared" si="4"/>
        <v>47</v>
      </c>
      <c r="U12" s="17">
        <f t="shared" si="4"/>
        <v>20</v>
      </c>
      <c r="V12" s="17">
        <f t="shared" si="4"/>
        <v>527</v>
      </c>
      <c r="W12" s="17">
        <f t="shared" si="4"/>
        <v>4</v>
      </c>
      <c r="X12" s="17">
        <f t="shared" si="4"/>
        <v>7</v>
      </c>
      <c r="Y12" s="17">
        <f t="shared" si="4"/>
        <v>22</v>
      </c>
      <c r="Z12" s="17">
        <f t="shared" si="4"/>
        <v>14</v>
      </c>
      <c r="AA12" s="17">
        <f t="shared" si="4"/>
        <v>5</v>
      </c>
      <c r="AB12" s="17">
        <f t="shared" si="4"/>
        <v>7</v>
      </c>
      <c r="AC12" s="17">
        <f t="shared" si="4"/>
        <v>1092</v>
      </c>
      <c r="AD12" s="17">
        <f t="shared" si="4"/>
        <v>0</v>
      </c>
      <c r="AE12" s="31">
        <f t="shared" si="4"/>
        <v>1011</v>
      </c>
      <c r="AF12" s="31">
        <f t="shared" si="4"/>
        <v>2103</v>
      </c>
    </row>
    <row r="13" spans="2:32" ht="23.1" customHeight="1" x14ac:dyDescent="0.25">
      <c r="B13" s="23" t="s">
        <v>40</v>
      </c>
      <c r="C13" s="50">
        <v>71</v>
      </c>
      <c r="D13" s="50">
        <v>12</v>
      </c>
      <c r="E13" s="50">
        <v>5</v>
      </c>
      <c r="F13" s="50">
        <v>83</v>
      </c>
      <c r="G13" s="50">
        <v>1</v>
      </c>
      <c r="H13" s="50">
        <v>1</v>
      </c>
      <c r="I13" s="50">
        <v>4</v>
      </c>
      <c r="J13" s="50">
        <v>4</v>
      </c>
      <c r="K13" s="50">
        <v>1</v>
      </c>
      <c r="L13" s="50">
        <v>1</v>
      </c>
      <c r="M13" s="50">
        <v>276</v>
      </c>
      <c r="N13" s="50">
        <v>0</v>
      </c>
      <c r="O13" s="15">
        <f t="shared" si="0"/>
        <v>183</v>
      </c>
      <c r="P13" s="15">
        <f t="shared" si="1"/>
        <v>459</v>
      </c>
      <c r="R13" s="1" t="s">
        <v>9</v>
      </c>
      <c r="S13" s="17">
        <f t="shared" ref="S13:AF13" si="5">SUM(C22:C25)</f>
        <v>368</v>
      </c>
      <c r="T13" s="17">
        <f t="shared" si="5"/>
        <v>49</v>
      </c>
      <c r="U13" s="17">
        <f t="shared" si="5"/>
        <v>70</v>
      </c>
      <c r="V13" s="17">
        <f t="shared" si="5"/>
        <v>460</v>
      </c>
      <c r="W13" s="17">
        <f t="shared" si="5"/>
        <v>6</v>
      </c>
      <c r="X13" s="17">
        <f t="shared" si="5"/>
        <v>6</v>
      </c>
      <c r="Y13" s="17">
        <f t="shared" si="5"/>
        <v>50</v>
      </c>
      <c r="Z13" s="17">
        <f t="shared" si="5"/>
        <v>20</v>
      </c>
      <c r="AA13" s="17">
        <f t="shared" si="5"/>
        <v>11</v>
      </c>
      <c r="AB13" s="17">
        <f t="shared" si="5"/>
        <v>14</v>
      </c>
      <c r="AC13" s="17">
        <f t="shared" si="5"/>
        <v>908</v>
      </c>
      <c r="AD13" s="17">
        <f t="shared" si="5"/>
        <v>0</v>
      </c>
      <c r="AE13" s="31">
        <f t="shared" si="5"/>
        <v>1054</v>
      </c>
      <c r="AF13" s="31">
        <f t="shared" si="5"/>
        <v>1962</v>
      </c>
    </row>
    <row r="14" spans="2:32" ht="23.1" customHeight="1" x14ac:dyDescent="0.25">
      <c r="B14" s="23" t="s">
        <v>41</v>
      </c>
      <c r="C14" s="50">
        <v>45</v>
      </c>
      <c r="D14" s="50">
        <v>17</v>
      </c>
      <c r="E14" s="50">
        <v>10</v>
      </c>
      <c r="F14" s="50">
        <v>55</v>
      </c>
      <c r="G14" s="50">
        <v>2</v>
      </c>
      <c r="H14" s="50">
        <v>2</v>
      </c>
      <c r="I14" s="50">
        <v>6</v>
      </c>
      <c r="J14" s="50">
        <v>2</v>
      </c>
      <c r="K14" s="50">
        <v>2</v>
      </c>
      <c r="L14" s="50">
        <v>0</v>
      </c>
      <c r="M14" s="50">
        <v>280</v>
      </c>
      <c r="N14" s="50">
        <v>0</v>
      </c>
      <c r="O14" s="15">
        <f t="shared" si="0"/>
        <v>141</v>
      </c>
      <c r="P14" s="15">
        <f t="shared" si="1"/>
        <v>421</v>
      </c>
      <c r="R14" s="1" t="s">
        <v>10</v>
      </c>
      <c r="S14" s="17">
        <f t="shared" ref="S14:AF14" si="6">SUM(C26:C29)</f>
        <v>382</v>
      </c>
      <c r="T14" s="17">
        <f t="shared" si="6"/>
        <v>17</v>
      </c>
      <c r="U14" s="17">
        <f t="shared" si="6"/>
        <v>29</v>
      </c>
      <c r="V14" s="17">
        <f t="shared" si="6"/>
        <v>403</v>
      </c>
      <c r="W14" s="17">
        <f t="shared" si="6"/>
        <v>3</v>
      </c>
      <c r="X14" s="17">
        <f t="shared" si="6"/>
        <v>7</v>
      </c>
      <c r="Y14" s="17">
        <f t="shared" si="6"/>
        <v>57</v>
      </c>
      <c r="Z14" s="17">
        <f t="shared" si="6"/>
        <v>25</v>
      </c>
      <c r="AA14" s="17">
        <f t="shared" si="6"/>
        <v>11</v>
      </c>
      <c r="AB14" s="17">
        <f t="shared" si="6"/>
        <v>19</v>
      </c>
      <c r="AC14" s="17">
        <f t="shared" si="6"/>
        <v>989</v>
      </c>
      <c r="AD14" s="17">
        <f t="shared" si="6"/>
        <v>0</v>
      </c>
      <c r="AE14" s="31">
        <f t="shared" si="6"/>
        <v>953</v>
      </c>
      <c r="AF14" s="31">
        <f t="shared" si="6"/>
        <v>1942</v>
      </c>
    </row>
    <row r="15" spans="2:32" ht="23.1" customHeight="1" x14ac:dyDescent="0.25">
      <c r="B15" s="23" t="s">
        <v>42</v>
      </c>
      <c r="C15" s="50">
        <v>63</v>
      </c>
      <c r="D15" s="50">
        <v>18</v>
      </c>
      <c r="E15" s="50">
        <v>7</v>
      </c>
      <c r="F15" s="50">
        <v>75</v>
      </c>
      <c r="G15" s="50">
        <v>0</v>
      </c>
      <c r="H15" s="50">
        <v>1</v>
      </c>
      <c r="I15" s="50">
        <v>8</v>
      </c>
      <c r="J15" s="50">
        <v>7</v>
      </c>
      <c r="K15" s="50">
        <v>0</v>
      </c>
      <c r="L15" s="50">
        <v>1</v>
      </c>
      <c r="M15" s="50">
        <v>260</v>
      </c>
      <c r="N15" s="50">
        <v>0</v>
      </c>
      <c r="O15" s="15">
        <f t="shared" si="0"/>
        <v>180</v>
      </c>
      <c r="P15" s="15">
        <f t="shared" si="1"/>
        <v>440</v>
      </c>
      <c r="R15" s="1" t="s">
        <v>11</v>
      </c>
      <c r="S15" s="17">
        <f t="shared" ref="S15:AF15" si="7">SUM(C30:C33)</f>
        <v>170</v>
      </c>
      <c r="T15" s="17">
        <f t="shared" si="7"/>
        <v>24</v>
      </c>
      <c r="U15" s="17">
        <f t="shared" si="7"/>
        <v>20</v>
      </c>
      <c r="V15" s="17">
        <f t="shared" si="7"/>
        <v>216</v>
      </c>
      <c r="W15" s="17">
        <f t="shared" si="7"/>
        <v>5</v>
      </c>
      <c r="X15" s="17">
        <f t="shared" si="7"/>
        <v>9</v>
      </c>
      <c r="Y15" s="17">
        <f t="shared" si="7"/>
        <v>36</v>
      </c>
      <c r="Z15" s="17">
        <f t="shared" si="7"/>
        <v>38</v>
      </c>
      <c r="AA15" s="17">
        <f t="shared" si="7"/>
        <v>10</v>
      </c>
      <c r="AB15" s="17">
        <f t="shared" si="7"/>
        <v>14</v>
      </c>
      <c r="AC15" s="17">
        <f t="shared" si="7"/>
        <v>836</v>
      </c>
      <c r="AD15" s="17">
        <f t="shared" si="7"/>
        <v>0</v>
      </c>
      <c r="AE15" s="31">
        <f t="shared" si="7"/>
        <v>542</v>
      </c>
      <c r="AF15" s="31">
        <f t="shared" si="7"/>
        <v>1378</v>
      </c>
    </row>
    <row r="16" spans="2:32" ht="23.1" customHeight="1" x14ac:dyDescent="0.25">
      <c r="B16" s="23" t="s">
        <v>43</v>
      </c>
      <c r="C16" s="50">
        <v>75</v>
      </c>
      <c r="D16" s="50">
        <v>18</v>
      </c>
      <c r="E16" s="50">
        <v>25</v>
      </c>
      <c r="F16" s="50">
        <v>77</v>
      </c>
      <c r="G16" s="50">
        <v>2</v>
      </c>
      <c r="H16" s="50">
        <v>0</v>
      </c>
      <c r="I16" s="50">
        <v>5</v>
      </c>
      <c r="J16" s="50">
        <v>4</v>
      </c>
      <c r="K16" s="50">
        <v>1</v>
      </c>
      <c r="L16" s="50">
        <v>1</v>
      </c>
      <c r="M16" s="50">
        <v>330</v>
      </c>
      <c r="N16" s="50">
        <v>0</v>
      </c>
      <c r="O16" s="15">
        <f t="shared" si="0"/>
        <v>208</v>
      </c>
      <c r="P16" s="15">
        <f t="shared" si="1"/>
        <v>538</v>
      </c>
      <c r="R16" s="1" t="s">
        <v>12</v>
      </c>
      <c r="S16" s="17">
        <f t="shared" ref="S16:AF16" si="8">SUM(C34:C37)</f>
        <v>193</v>
      </c>
      <c r="T16" s="17">
        <f t="shared" si="8"/>
        <v>29</v>
      </c>
      <c r="U16" s="17">
        <f t="shared" si="8"/>
        <v>39</v>
      </c>
      <c r="V16" s="17">
        <f t="shared" si="8"/>
        <v>226</v>
      </c>
      <c r="W16" s="17">
        <f t="shared" si="8"/>
        <v>5</v>
      </c>
      <c r="X16" s="17">
        <f t="shared" si="8"/>
        <v>4</v>
      </c>
      <c r="Y16" s="17">
        <f t="shared" si="8"/>
        <v>47</v>
      </c>
      <c r="Z16" s="17">
        <f t="shared" si="8"/>
        <v>24</v>
      </c>
      <c r="AA16" s="17">
        <f t="shared" si="8"/>
        <v>11</v>
      </c>
      <c r="AB16" s="17">
        <f t="shared" si="8"/>
        <v>8</v>
      </c>
      <c r="AC16" s="17">
        <f t="shared" si="8"/>
        <v>1069</v>
      </c>
      <c r="AD16" s="17">
        <f t="shared" si="8"/>
        <v>0</v>
      </c>
      <c r="AE16" s="31">
        <f t="shared" si="8"/>
        <v>586</v>
      </c>
      <c r="AF16" s="31">
        <f t="shared" si="8"/>
        <v>1655</v>
      </c>
    </row>
    <row r="17" spans="2:32" ht="23.1" customHeight="1" x14ac:dyDescent="0.25">
      <c r="B17" s="23" t="s">
        <v>44</v>
      </c>
      <c r="C17" s="50">
        <v>65</v>
      </c>
      <c r="D17" s="50">
        <v>7</v>
      </c>
      <c r="E17" s="50">
        <v>8</v>
      </c>
      <c r="F17" s="50">
        <v>80</v>
      </c>
      <c r="G17" s="50">
        <v>2</v>
      </c>
      <c r="H17" s="50">
        <v>2</v>
      </c>
      <c r="I17" s="50">
        <v>1</v>
      </c>
      <c r="J17" s="50">
        <v>3</v>
      </c>
      <c r="K17" s="50">
        <v>0</v>
      </c>
      <c r="L17" s="50">
        <v>0</v>
      </c>
      <c r="M17" s="50">
        <v>300</v>
      </c>
      <c r="N17" s="50">
        <v>0</v>
      </c>
      <c r="O17" s="15">
        <f t="shared" si="0"/>
        <v>168</v>
      </c>
      <c r="P17" s="15">
        <f t="shared" si="1"/>
        <v>468</v>
      </c>
      <c r="R17" s="1" t="s">
        <v>13</v>
      </c>
      <c r="S17" s="17">
        <f t="shared" ref="S17:AF17" si="9">SUM(C38:C41)</f>
        <v>262</v>
      </c>
      <c r="T17" s="17">
        <f t="shared" si="9"/>
        <v>19</v>
      </c>
      <c r="U17" s="17">
        <f t="shared" si="9"/>
        <v>42</v>
      </c>
      <c r="V17" s="17">
        <f t="shared" si="9"/>
        <v>298</v>
      </c>
      <c r="W17" s="17">
        <f t="shared" si="9"/>
        <v>2</v>
      </c>
      <c r="X17" s="17">
        <f t="shared" si="9"/>
        <v>5</v>
      </c>
      <c r="Y17" s="17">
        <f t="shared" si="9"/>
        <v>68</v>
      </c>
      <c r="Z17" s="17">
        <f t="shared" si="9"/>
        <v>34</v>
      </c>
      <c r="AA17" s="17">
        <f t="shared" si="9"/>
        <v>17</v>
      </c>
      <c r="AB17" s="17">
        <f t="shared" si="9"/>
        <v>14</v>
      </c>
      <c r="AC17" s="17">
        <f t="shared" si="9"/>
        <v>734</v>
      </c>
      <c r="AD17" s="17">
        <f t="shared" si="9"/>
        <v>1</v>
      </c>
      <c r="AE17" s="31">
        <f t="shared" si="9"/>
        <v>762</v>
      </c>
      <c r="AF17" s="31">
        <f t="shared" si="9"/>
        <v>1496</v>
      </c>
    </row>
    <row r="18" spans="2:32" ht="23.1" customHeight="1" x14ac:dyDescent="0.25">
      <c r="B18" s="23" t="s">
        <v>45</v>
      </c>
      <c r="C18" s="50">
        <v>20</v>
      </c>
      <c r="D18" s="50">
        <v>12</v>
      </c>
      <c r="E18" s="50">
        <v>9</v>
      </c>
      <c r="F18" s="50">
        <v>82</v>
      </c>
      <c r="G18" s="50">
        <v>0</v>
      </c>
      <c r="H18" s="50">
        <v>2</v>
      </c>
      <c r="I18" s="50">
        <v>4</v>
      </c>
      <c r="J18" s="50">
        <v>5</v>
      </c>
      <c r="K18" s="50">
        <v>1</v>
      </c>
      <c r="L18" s="50">
        <v>1</v>
      </c>
      <c r="M18" s="50">
        <v>327</v>
      </c>
      <c r="N18" s="50">
        <v>0</v>
      </c>
      <c r="O18" s="15">
        <f t="shared" si="0"/>
        <v>136</v>
      </c>
      <c r="P18" s="15">
        <f t="shared" si="1"/>
        <v>463</v>
      </c>
      <c r="R18" s="1" t="s">
        <v>14</v>
      </c>
      <c r="S18" s="17">
        <f t="shared" ref="S18:AF18" si="10">SUM(C42:C45)</f>
        <v>308</v>
      </c>
      <c r="T18" s="17">
        <f t="shared" si="10"/>
        <v>23</v>
      </c>
      <c r="U18" s="17">
        <f t="shared" si="10"/>
        <v>36</v>
      </c>
      <c r="V18" s="17">
        <f t="shared" si="10"/>
        <v>267</v>
      </c>
      <c r="W18" s="17">
        <f t="shared" si="10"/>
        <v>4</v>
      </c>
      <c r="X18" s="17">
        <f t="shared" si="10"/>
        <v>4</v>
      </c>
      <c r="Y18" s="17">
        <f t="shared" si="10"/>
        <v>54</v>
      </c>
      <c r="Z18" s="17">
        <f t="shared" si="10"/>
        <v>31</v>
      </c>
      <c r="AA18" s="17">
        <f t="shared" si="10"/>
        <v>9</v>
      </c>
      <c r="AB18" s="17">
        <f t="shared" si="10"/>
        <v>20</v>
      </c>
      <c r="AC18" s="17">
        <f t="shared" si="10"/>
        <v>673</v>
      </c>
      <c r="AD18" s="17">
        <f t="shared" si="10"/>
        <v>0</v>
      </c>
      <c r="AE18" s="31">
        <f t="shared" si="10"/>
        <v>756</v>
      </c>
      <c r="AF18" s="31">
        <f t="shared" si="10"/>
        <v>1429</v>
      </c>
    </row>
    <row r="19" spans="2:32" ht="23.1" customHeight="1" x14ac:dyDescent="0.25">
      <c r="B19" s="23" t="s">
        <v>46</v>
      </c>
      <c r="C19" s="50">
        <v>101</v>
      </c>
      <c r="D19" s="50">
        <v>8</v>
      </c>
      <c r="E19" s="50">
        <v>3</v>
      </c>
      <c r="F19" s="50">
        <v>100</v>
      </c>
      <c r="G19" s="50">
        <v>2</v>
      </c>
      <c r="H19" s="50">
        <v>4</v>
      </c>
      <c r="I19" s="50">
        <v>2</v>
      </c>
      <c r="J19" s="50">
        <v>3</v>
      </c>
      <c r="K19" s="50">
        <v>0</v>
      </c>
      <c r="L19" s="50">
        <v>5</v>
      </c>
      <c r="M19" s="50">
        <v>245</v>
      </c>
      <c r="N19" s="50">
        <v>0</v>
      </c>
      <c r="O19" s="15">
        <f t="shared" si="0"/>
        <v>228</v>
      </c>
      <c r="P19" s="15">
        <f t="shared" si="1"/>
        <v>473</v>
      </c>
      <c r="R19" s="1" t="s">
        <v>15</v>
      </c>
      <c r="S19" s="17">
        <f t="shared" ref="S19:AF19" si="11">SUM(C46:C49)</f>
        <v>246</v>
      </c>
      <c r="T19" s="17">
        <f t="shared" si="11"/>
        <v>40</v>
      </c>
      <c r="U19" s="17">
        <f t="shared" si="11"/>
        <v>51</v>
      </c>
      <c r="V19" s="17">
        <f t="shared" si="11"/>
        <v>247</v>
      </c>
      <c r="W19" s="17">
        <f t="shared" si="11"/>
        <v>5</v>
      </c>
      <c r="X19" s="17">
        <f t="shared" si="11"/>
        <v>5</v>
      </c>
      <c r="Y19" s="17">
        <f t="shared" si="11"/>
        <v>49</v>
      </c>
      <c r="Z19" s="17">
        <f t="shared" si="11"/>
        <v>30</v>
      </c>
      <c r="AA19" s="17">
        <f t="shared" si="11"/>
        <v>15</v>
      </c>
      <c r="AB19" s="17">
        <f t="shared" si="11"/>
        <v>14</v>
      </c>
      <c r="AC19" s="17">
        <f t="shared" si="11"/>
        <v>855</v>
      </c>
      <c r="AD19" s="17">
        <f t="shared" si="11"/>
        <v>0</v>
      </c>
      <c r="AE19" s="31">
        <f t="shared" si="11"/>
        <v>702</v>
      </c>
      <c r="AF19" s="31">
        <f t="shared" si="11"/>
        <v>1557</v>
      </c>
    </row>
    <row r="20" spans="2:32" ht="23.1" customHeight="1" x14ac:dyDescent="0.25">
      <c r="B20" s="23" t="s">
        <v>47</v>
      </c>
      <c r="C20" s="50">
        <v>85</v>
      </c>
      <c r="D20" s="50">
        <v>12</v>
      </c>
      <c r="E20" s="50">
        <v>5</v>
      </c>
      <c r="F20" s="50">
        <v>110</v>
      </c>
      <c r="G20" s="50">
        <v>1</v>
      </c>
      <c r="H20" s="50">
        <v>0</v>
      </c>
      <c r="I20" s="50">
        <v>7</v>
      </c>
      <c r="J20" s="50">
        <v>1</v>
      </c>
      <c r="K20" s="50">
        <v>0</v>
      </c>
      <c r="L20" s="50">
        <v>1</v>
      </c>
      <c r="M20" s="50">
        <v>250</v>
      </c>
      <c r="N20" s="50">
        <v>0</v>
      </c>
      <c r="O20" s="15">
        <f t="shared" si="0"/>
        <v>222</v>
      </c>
      <c r="P20" s="15">
        <f t="shared" si="1"/>
        <v>472</v>
      </c>
      <c r="R20" s="1" t="s">
        <v>16</v>
      </c>
      <c r="S20" s="17">
        <f t="shared" ref="S20:AF20" si="12">SUM(C50:C53)</f>
        <v>264</v>
      </c>
      <c r="T20" s="17">
        <f t="shared" si="12"/>
        <v>24</v>
      </c>
      <c r="U20" s="17">
        <f t="shared" si="12"/>
        <v>31</v>
      </c>
      <c r="V20" s="17">
        <f t="shared" si="12"/>
        <v>178</v>
      </c>
      <c r="W20" s="17">
        <f t="shared" si="12"/>
        <v>3</v>
      </c>
      <c r="X20" s="17">
        <f t="shared" si="12"/>
        <v>6</v>
      </c>
      <c r="Y20" s="17">
        <f t="shared" si="12"/>
        <v>31</v>
      </c>
      <c r="Z20" s="17">
        <f t="shared" si="12"/>
        <v>34</v>
      </c>
      <c r="AA20" s="17">
        <f t="shared" si="12"/>
        <v>7</v>
      </c>
      <c r="AB20" s="17">
        <f t="shared" si="12"/>
        <v>13</v>
      </c>
      <c r="AC20" s="17">
        <f t="shared" si="12"/>
        <v>1005</v>
      </c>
      <c r="AD20" s="17">
        <f t="shared" si="12"/>
        <v>0</v>
      </c>
      <c r="AE20" s="31">
        <f t="shared" si="12"/>
        <v>591</v>
      </c>
      <c r="AF20" s="31">
        <f t="shared" si="12"/>
        <v>1596</v>
      </c>
    </row>
    <row r="21" spans="2:32" ht="23.1" customHeight="1" x14ac:dyDescent="0.25">
      <c r="B21" s="23" t="s">
        <v>48</v>
      </c>
      <c r="C21" s="50">
        <v>152</v>
      </c>
      <c r="D21" s="50">
        <v>15</v>
      </c>
      <c r="E21" s="50">
        <v>3</v>
      </c>
      <c r="F21" s="50">
        <v>235</v>
      </c>
      <c r="G21" s="50">
        <v>1</v>
      </c>
      <c r="H21" s="50">
        <v>1</v>
      </c>
      <c r="I21" s="50">
        <v>9</v>
      </c>
      <c r="J21" s="50">
        <v>5</v>
      </c>
      <c r="K21" s="50">
        <v>4</v>
      </c>
      <c r="L21" s="50">
        <v>0</v>
      </c>
      <c r="M21" s="50">
        <v>270</v>
      </c>
      <c r="N21" s="50">
        <v>0</v>
      </c>
      <c r="O21" s="15">
        <f t="shared" si="0"/>
        <v>425</v>
      </c>
      <c r="P21" s="15">
        <f t="shared" si="1"/>
        <v>695</v>
      </c>
      <c r="R21" s="36" t="s">
        <v>20</v>
      </c>
      <c r="S21" s="34">
        <f t="shared" ref="S21:AF21" si="13">SUM(C54:C57)</f>
        <v>249</v>
      </c>
      <c r="T21" s="17">
        <f t="shared" si="13"/>
        <v>35</v>
      </c>
      <c r="U21" s="17">
        <f t="shared" si="13"/>
        <v>34</v>
      </c>
      <c r="V21" s="17">
        <f t="shared" si="13"/>
        <v>180</v>
      </c>
      <c r="W21" s="17">
        <f t="shared" si="13"/>
        <v>3</v>
      </c>
      <c r="X21" s="17">
        <f t="shared" si="13"/>
        <v>3</v>
      </c>
      <c r="Y21" s="17">
        <f t="shared" si="13"/>
        <v>29</v>
      </c>
      <c r="Z21" s="17">
        <f t="shared" si="13"/>
        <v>28</v>
      </c>
      <c r="AA21" s="17">
        <f t="shared" si="13"/>
        <v>7</v>
      </c>
      <c r="AB21" s="17">
        <f t="shared" si="13"/>
        <v>7</v>
      </c>
      <c r="AC21" s="17">
        <f t="shared" si="13"/>
        <v>975</v>
      </c>
      <c r="AD21" s="17">
        <f t="shared" si="13"/>
        <v>0</v>
      </c>
      <c r="AE21" s="31">
        <f t="shared" si="13"/>
        <v>575</v>
      </c>
      <c r="AF21" s="31">
        <f t="shared" si="13"/>
        <v>1550</v>
      </c>
    </row>
    <row r="22" spans="2:32" ht="23.1" customHeight="1" x14ac:dyDescent="0.25">
      <c r="B22" s="23" t="s">
        <v>49</v>
      </c>
      <c r="C22" s="50">
        <v>160</v>
      </c>
      <c r="D22" s="50">
        <v>20</v>
      </c>
      <c r="E22" s="50">
        <v>18</v>
      </c>
      <c r="F22" s="50">
        <v>215</v>
      </c>
      <c r="G22" s="50">
        <v>2</v>
      </c>
      <c r="H22" s="50">
        <v>1</v>
      </c>
      <c r="I22" s="50">
        <v>9</v>
      </c>
      <c r="J22" s="50">
        <v>1</v>
      </c>
      <c r="K22" s="50">
        <v>0</v>
      </c>
      <c r="L22" s="50">
        <v>2</v>
      </c>
      <c r="M22" s="50">
        <v>264</v>
      </c>
      <c r="N22" s="50">
        <v>0</v>
      </c>
      <c r="O22" s="15">
        <f t="shared" si="0"/>
        <v>428</v>
      </c>
      <c r="P22" s="15">
        <f t="shared" si="1"/>
        <v>692</v>
      </c>
      <c r="R22" s="38" t="s">
        <v>90</v>
      </c>
      <c r="S22" s="39">
        <f>MAX(S10:S12)</f>
        <v>358</v>
      </c>
      <c r="T22" s="39">
        <f t="shared" ref="T22:AF22" si="14">MAX(T10:T12)</f>
        <v>60</v>
      </c>
      <c r="U22" s="39">
        <f t="shared" si="14"/>
        <v>50</v>
      </c>
      <c r="V22" s="39">
        <f t="shared" si="14"/>
        <v>527</v>
      </c>
      <c r="W22" s="39">
        <f t="shared" si="14"/>
        <v>7</v>
      </c>
      <c r="X22" s="39">
        <f t="shared" si="14"/>
        <v>8</v>
      </c>
      <c r="Y22" s="39">
        <f t="shared" si="14"/>
        <v>26</v>
      </c>
      <c r="Z22" s="39">
        <f t="shared" si="14"/>
        <v>19</v>
      </c>
      <c r="AA22" s="39">
        <f t="shared" si="14"/>
        <v>6</v>
      </c>
      <c r="AB22" s="39">
        <f t="shared" si="14"/>
        <v>11</v>
      </c>
      <c r="AC22" s="39">
        <f t="shared" si="14"/>
        <v>1170</v>
      </c>
      <c r="AD22" s="39">
        <f t="shared" si="14"/>
        <v>0</v>
      </c>
      <c r="AE22" s="40">
        <f t="shared" si="14"/>
        <v>1011</v>
      </c>
      <c r="AF22" s="40">
        <f t="shared" si="14"/>
        <v>2103</v>
      </c>
    </row>
    <row r="23" spans="2:32" ht="23.1" customHeight="1" x14ac:dyDescent="0.25">
      <c r="B23" s="23" t="s">
        <v>50</v>
      </c>
      <c r="C23" s="50">
        <v>85</v>
      </c>
      <c r="D23" s="50">
        <v>13</v>
      </c>
      <c r="E23" s="50">
        <v>15</v>
      </c>
      <c r="F23" s="50">
        <v>120</v>
      </c>
      <c r="G23" s="50">
        <v>2</v>
      </c>
      <c r="H23" s="50">
        <v>3</v>
      </c>
      <c r="I23" s="50">
        <v>13</v>
      </c>
      <c r="J23" s="50">
        <v>8</v>
      </c>
      <c r="K23" s="50">
        <v>1</v>
      </c>
      <c r="L23" s="50">
        <v>2</v>
      </c>
      <c r="M23" s="50">
        <v>218</v>
      </c>
      <c r="N23" s="50">
        <v>0</v>
      </c>
      <c r="O23" s="15">
        <f t="shared" si="0"/>
        <v>262</v>
      </c>
      <c r="P23" s="15">
        <f t="shared" si="1"/>
        <v>480</v>
      </c>
      <c r="R23" s="38" t="s">
        <v>91</v>
      </c>
      <c r="S23" s="39">
        <f>MAX(S13:S18)</f>
        <v>382</v>
      </c>
      <c r="T23" s="39">
        <f t="shared" ref="T23:AF23" si="15">MAX(T13:T18)</f>
        <v>49</v>
      </c>
      <c r="U23" s="39">
        <f t="shared" si="15"/>
        <v>70</v>
      </c>
      <c r="V23" s="39">
        <f t="shared" si="15"/>
        <v>460</v>
      </c>
      <c r="W23" s="39">
        <f t="shared" si="15"/>
        <v>6</v>
      </c>
      <c r="X23" s="39">
        <f t="shared" si="15"/>
        <v>9</v>
      </c>
      <c r="Y23" s="39">
        <f t="shared" si="15"/>
        <v>68</v>
      </c>
      <c r="Z23" s="39">
        <f t="shared" si="15"/>
        <v>38</v>
      </c>
      <c r="AA23" s="39">
        <f t="shared" si="15"/>
        <v>17</v>
      </c>
      <c r="AB23" s="39">
        <f t="shared" si="15"/>
        <v>20</v>
      </c>
      <c r="AC23" s="39">
        <f t="shared" si="15"/>
        <v>1069</v>
      </c>
      <c r="AD23" s="39">
        <f t="shared" si="15"/>
        <v>1</v>
      </c>
      <c r="AE23" s="40">
        <f t="shared" si="15"/>
        <v>1054</v>
      </c>
      <c r="AF23" s="40">
        <f t="shared" si="15"/>
        <v>1962</v>
      </c>
    </row>
    <row r="24" spans="2:32" ht="23.1" customHeight="1" x14ac:dyDescent="0.25">
      <c r="B24" s="23" t="s">
        <v>51</v>
      </c>
      <c r="C24" s="50">
        <v>33</v>
      </c>
      <c r="D24" s="50">
        <v>10</v>
      </c>
      <c r="E24" s="50">
        <v>31</v>
      </c>
      <c r="F24" s="50">
        <v>80</v>
      </c>
      <c r="G24" s="50">
        <v>2</v>
      </c>
      <c r="H24" s="50">
        <v>1</v>
      </c>
      <c r="I24" s="50">
        <v>19</v>
      </c>
      <c r="J24" s="50">
        <v>3</v>
      </c>
      <c r="K24" s="50">
        <v>7</v>
      </c>
      <c r="L24" s="50">
        <v>7</v>
      </c>
      <c r="M24" s="50">
        <v>174</v>
      </c>
      <c r="N24" s="50">
        <v>0</v>
      </c>
      <c r="O24" s="15">
        <f t="shared" si="0"/>
        <v>193</v>
      </c>
      <c r="P24" s="15">
        <f t="shared" si="1"/>
        <v>367</v>
      </c>
      <c r="R24" s="38" t="s">
        <v>92</v>
      </c>
      <c r="S24" s="39">
        <f>MAX(S19:S21)</f>
        <v>264</v>
      </c>
      <c r="T24" s="39">
        <f t="shared" ref="T24:AF24" si="16">MAX(T19:T21)</f>
        <v>40</v>
      </c>
      <c r="U24" s="39">
        <f t="shared" si="16"/>
        <v>51</v>
      </c>
      <c r="V24" s="39">
        <f t="shared" si="16"/>
        <v>247</v>
      </c>
      <c r="W24" s="39">
        <f t="shared" si="16"/>
        <v>5</v>
      </c>
      <c r="X24" s="39">
        <f t="shared" si="16"/>
        <v>6</v>
      </c>
      <c r="Y24" s="39">
        <f t="shared" si="16"/>
        <v>49</v>
      </c>
      <c r="Z24" s="39">
        <f t="shared" si="16"/>
        <v>34</v>
      </c>
      <c r="AA24" s="39">
        <f t="shared" si="16"/>
        <v>15</v>
      </c>
      <c r="AB24" s="39">
        <f t="shared" si="16"/>
        <v>14</v>
      </c>
      <c r="AC24" s="39">
        <f t="shared" si="16"/>
        <v>1005</v>
      </c>
      <c r="AD24" s="39">
        <f t="shared" si="16"/>
        <v>0</v>
      </c>
      <c r="AE24" s="40">
        <f t="shared" si="16"/>
        <v>702</v>
      </c>
      <c r="AF24" s="40">
        <f t="shared" si="16"/>
        <v>1596</v>
      </c>
    </row>
    <row r="25" spans="2:32" ht="23.1" customHeight="1" x14ac:dyDescent="0.25">
      <c r="B25" s="23" t="s">
        <v>52</v>
      </c>
      <c r="C25" s="50">
        <v>90</v>
      </c>
      <c r="D25" s="50">
        <v>6</v>
      </c>
      <c r="E25" s="50">
        <v>6</v>
      </c>
      <c r="F25" s="50">
        <v>45</v>
      </c>
      <c r="G25" s="50">
        <v>0</v>
      </c>
      <c r="H25" s="50">
        <v>1</v>
      </c>
      <c r="I25" s="50">
        <v>9</v>
      </c>
      <c r="J25" s="50">
        <v>8</v>
      </c>
      <c r="K25" s="50">
        <v>3</v>
      </c>
      <c r="L25" s="50">
        <v>3</v>
      </c>
      <c r="M25" s="50">
        <v>252</v>
      </c>
      <c r="N25" s="50">
        <v>0</v>
      </c>
      <c r="O25" s="15">
        <f t="shared" si="0"/>
        <v>171</v>
      </c>
      <c r="P25" s="15">
        <f t="shared" si="1"/>
        <v>423</v>
      </c>
      <c r="R25" s="37" t="s">
        <v>85</v>
      </c>
      <c r="S25" s="35">
        <f t="shared" ref="S25:AF25" si="17">SUM(S10:S12)</f>
        <v>822</v>
      </c>
      <c r="T25" s="16">
        <f t="shared" si="17"/>
        <v>138</v>
      </c>
      <c r="U25" s="16">
        <f t="shared" si="17"/>
        <v>96</v>
      </c>
      <c r="V25" s="16">
        <f t="shared" si="17"/>
        <v>1151</v>
      </c>
      <c r="W25" s="16">
        <f t="shared" si="17"/>
        <v>17</v>
      </c>
      <c r="X25" s="16">
        <f t="shared" si="17"/>
        <v>20</v>
      </c>
      <c r="Y25" s="16">
        <f t="shared" si="17"/>
        <v>68</v>
      </c>
      <c r="Z25" s="16">
        <f t="shared" si="17"/>
        <v>49</v>
      </c>
      <c r="AA25" s="16">
        <f t="shared" si="17"/>
        <v>14</v>
      </c>
      <c r="AB25" s="16">
        <f t="shared" si="17"/>
        <v>20</v>
      </c>
      <c r="AC25" s="16">
        <f t="shared" si="17"/>
        <v>3059</v>
      </c>
      <c r="AD25" s="16">
        <f t="shared" si="17"/>
        <v>0</v>
      </c>
      <c r="AE25" s="32">
        <f t="shared" si="17"/>
        <v>2395</v>
      </c>
      <c r="AF25" s="32">
        <f t="shared" si="17"/>
        <v>5454</v>
      </c>
    </row>
    <row r="26" spans="2:32" ht="23.1" customHeight="1" x14ac:dyDescent="0.25">
      <c r="B26" s="23" t="s">
        <v>53</v>
      </c>
      <c r="C26" s="50">
        <v>120</v>
      </c>
      <c r="D26" s="50">
        <v>7</v>
      </c>
      <c r="E26" s="50">
        <v>10</v>
      </c>
      <c r="F26" s="50">
        <v>120</v>
      </c>
      <c r="G26" s="50">
        <v>0</v>
      </c>
      <c r="H26" s="50">
        <v>2</v>
      </c>
      <c r="I26" s="50">
        <v>10</v>
      </c>
      <c r="J26" s="50">
        <v>3</v>
      </c>
      <c r="K26" s="50">
        <v>1</v>
      </c>
      <c r="L26" s="50">
        <v>3</v>
      </c>
      <c r="M26" s="50">
        <v>245</v>
      </c>
      <c r="N26" s="50">
        <v>0</v>
      </c>
      <c r="O26" s="15">
        <f t="shared" si="0"/>
        <v>276</v>
      </c>
      <c r="P26" s="15">
        <f t="shared" si="1"/>
        <v>521</v>
      </c>
      <c r="R26" s="28" t="s">
        <v>86</v>
      </c>
      <c r="S26" s="16">
        <f t="shared" ref="S26:AF26" si="18">SUM(S13:S18)</f>
        <v>1683</v>
      </c>
      <c r="T26" s="16">
        <f t="shared" si="18"/>
        <v>161</v>
      </c>
      <c r="U26" s="16">
        <f t="shared" si="18"/>
        <v>236</v>
      </c>
      <c r="V26" s="16">
        <f t="shared" si="18"/>
        <v>1870</v>
      </c>
      <c r="W26" s="16">
        <f t="shared" si="18"/>
        <v>25</v>
      </c>
      <c r="X26" s="16">
        <f t="shared" si="18"/>
        <v>35</v>
      </c>
      <c r="Y26" s="16">
        <f t="shared" si="18"/>
        <v>312</v>
      </c>
      <c r="Z26" s="16">
        <f t="shared" si="18"/>
        <v>172</v>
      </c>
      <c r="AA26" s="16">
        <f t="shared" si="18"/>
        <v>69</v>
      </c>
      <c r="AB26" s="16">
        <f t="shared" si="18"/>
        <v>89</v>
      </c>
      <c r="AC26" s="16">
        <f t="shared" si="18"/>
        <v>5209</v>
      </c>
      <c r="AD26" s="16">
        <f t="shared" si="18"/>
        <v>1</v>
      </c>
      <c r="AE26" s="32">
        <f t="shared" si="18"/>
        <v>4653</v>
      </c>
      <c r="AF26" s="32">
        <f t="shared" si="18"/>
        <v>9862</v>
      </c>
    </row>
    <row r="27" spans="2:32" ht="23.1" customHeight="1" x14ac:dyDescent="0.25">
      <c r="B27" s="23" t="s">
        <v>54</v>
      </c>
      <c r="C27" s="50">
        <v>122</v>
      </c>
      <c r="D27" s="50">
        <v>5</v>
      </c>
      <c r="E27" s="50">
        <v>3</v>
      </c>
      <c r="F27" s="50">
        <v>100</v>
      </c>
      <c r="G27" s="50">
        <v>2</v>
      </c>
      <c r="H27" s="50">
        <v>2</v>
      </c>
      <c r="I27" s="50">
        <v>15</v>
      </c>
      <c r="J27" s="50">
        <v>5</v>
      </c>
      <c r="K27" s="50">
        <v>4</v>
      </c>
      <c r="L27" s="50">
        <v>6</v>
      </c>
      <c r="M27" s="50">
        <v>218</v>
      </c>
      <c r="N27" s="50">
        <v>0</v>
      </c>
      <c r="O27" s="15">
        <f t="shared" si="0"/>
        <v>264</v>
      </c>
      <c r="P27" s="15">
        <f t="shared" si="1"/>
        <v>482</v>
      </c>
      <c r="R27" s="29" t="s">
        <v>87</v>
      </c>
      <c r="S27" s="16">
        <f t="shared" ref="S27:AF27" si="19">SUM(S19:S21)</f>
        <v>759</v>
      </c>
      <c r="T27" s="16">
        <f t="shared" si="19"/>
        <v>99</v>
      </c>
      <c r="U27" s="16">
        <f t="shared" si="19"/>
        <v>116</v>
      </c>
      <c r="V27" s="16">
        <f t="shared" si="19"/>
        <v>605</v>
      </c>
      <c r="W27" s="16">
        <f t="shared" si="19"/>
        <v>11</v>
      </c>
      <c r="X27" s="16">
        <f t="shared" si="19"/>
        <v>14</v>
      </c>
      <c r="Y27" s="16">
        <f t="shared" si="19"/>
        <v>109</v>
      </c>
      <c r="Z27" s="16">
        <f t="shared" si="19"/>
        <v>92</v>
      </c>
      <c r="AA27" s="16">
        <f t="shared" si="19"/>
        <v>29</v>
      </c>
      <c r="AB27" s="16">
        <f t="shared" si="19"/>
        <v>34</v>
      </c>
      <c r="AC27" s="16">
        <f t="shared" si="19"/>
        <v>2835</v>
      </c>
      <c r="AD27" s="16">
        <f t="shared" si="19"/>
        <v>0</v>
      </c>
      <c r="AE27" s="32">
        <f t="shared" si="19"/>
        <v>1868</v>
      </c>
      <c r="AF27" s="32">
        <f t="shared" si="19"/>
        <v>4703</v>
      </c>
    </row>
    <row r="28" spans="2:32" ht="23.1" customHeight="1" x14ac:dyDescent="0.25">
      <c r="B28" s="23" t="s">
        <v>55</v>
      </c>
      <c r="C28" s="50">
        <v>65</v>
      </c>
      <c r="D28" s="50">
        <v>0</v>
      </c>
      <c r="E28" s="50">
        <v>10</v>
      </c>
      <c r="F28" s="50">
        <v>92</v>
      </c>
      <c r="G28" s="50">
        <v>0</v>
      </c>
      <c r="H28" s="50">
        <v>2</v>
      </c>
      <c r="I28" s="50">
        <v>13</v>
      </c>
      <c r="J28" s="50">
        <v>9</v>
      </c>
      <c r="K28" s="50">
        <v>2</v>
      </c>
      <c r="L28" s="50">
        <v>7</v>
      </c>
      <c r="M28" s="50">
        <v>245</v>
      </c>
      <c r="N28" s="50">
        <v>0</v>
      </c>
      <c r="O28" s="15">
        <f t="shared" si="0"/>
        <v>200</v>
      </c>
      <c r="P28" s="15">
        <f t="shared" si="1"/>
        <v>445</v>
      </c>
      <c r="R28" s="5" t="s">
        <v>17</v>
      </c>
      <c r="S28" s="16">
        <f t="shared" ref="S28:AF28" si="20">SUM(S10:S21)</f>
        <v>3264</v>
      </c>
      <c r="T28" s="16">
        <f t="shared" si="20"/>
        <v>398</v>
      </c>
      <c r="U28" s="16">
        <f t="shared" si="20"/>
        <v>448</v>
      </c>
      <c r="V28" s="16">
        <f t="shared" si="20"/>
        <v>3626</v>
      </c>
      <c r="W28" s="16">
        <f t="shared" si="20"/>
        <v>53</v>
      </c>
      <c r="X28" s="16">
        <f t="shared" si="20"/>
        <v>69</v>
      </c>
      <c r="Y28" s="16">
        <f t="shared" si="20"/>
        <v>489</v>
      </c>
      <c r="Z28" s="16">
        <f t="shared" si="20"/>
        <v>313</v>
      </c>
      <c r="AA28" s="16">
        <f t="shared" si="20"/>
        <v>112</v>
      </c>
      <c r="AB28" s="16">
        <f t="shared" si="20"/>
        <v>143</v>
      </c>
      <c r="AC28" s="16">
        <f t="shared" si="20"/>
        <v>11103</v>
      </c>
      <c r="AD28" s="16">
        <f t="shared" si="20"/>
        <v>1</v>
      </c>
      <c r="AE28" s="32">
        <f t="shared" si="20"/>
        <v>8916</v>
      </c>
      <c r="AF28" s="32">
        <f t="shared" si="20"/>
        <v>20019</v>
      </c>
    </row>
    <row r="29" spans="2:32" ht="23.1" customHeight="1" x14ac:dyDescent="0.25">
      <c r="B29" s="23" t="s">
        <v>56</v>
      </c>
      <c r="C29" s="50">
        <v>75</v>
      </c>
      <c r="D29" s="50">
        <v>5</v>
      </c>
      <c r="E29" s="50">
        <v>6</v>
      </c>
      <c r="F29" s="50">
        <v>91</v>
      </c>
      <c r="G29" s="50">
        <v>1</v>
      </c>
      <c r="H29" s="50">
        <v>1</v>
      </c>
      <c r="I29" s="50">
        <v>19</v>
      </c>
      <c r="J29" s="50">
        <v>8</v>
      </c>
      <c r="K29" s="50">
        <v>4</v>
      </c>
      <c r="L29" s="50">
        <v>3</v>
      </c>
      <c r="M29" s="50">
        <v>281</v>
      </c>
      <c r="N29" s="50">
        <v>0</v>
      </c>
      <c r="O29" s="15">
        <f t="shared" si="0"/>
        <v>213</v>
      </c>
      <c r="P29" s="15">
        <f t="shared" si="1"/>
        <v>494</v>
      </c>
      <c r="R29"/>
      <c r="S29" s="20"/>
      <c r="T29" s="19"/>
    </row>
    <row r="30" spans="2:32" ht="23.1" customHeight="1" x14ac:dyDescent="0.25">
      <c r="B30" s="23" t="s">
        <v>57</v>
      </c>
      <c r="C30" s="50">
        <v>56</v>
      </c>
      <c r="D30" s="50">
        <v>6</v>
      </c>
      <c r="E30" s="50">
        <v>3</v>
      </c>
      <c r="F30" s="50">
        <v>61</v>
      </c>
      <c r="G30" s="50">
        <v>1</v>
      </c>
      <c r="H30" s="50">
        <v>2</v>
      </c>
      <c r="I30" s="50">
        <v>10</v>
      </c>
      <c r="J30" s="50">
        <v>4</v>
      </c>
      <c r="K30" s="50">
        <v>2</v>
      </c>
      <c r="L30" s="50">
        <v>4</v>
      </c>
      <c r="M30" s="50">
        <v>177</v>
      </c>
      <c r="N30" s="50">
        <v>0</v>
      </c>
      <c r="O30" s="15">
        <f t="shared" si="0"/>
        <v>149</v>
      </c>
      <c r="P30" s="15">
        <f t="shared" si="1"/>
        <v>326</v>
      </c>
    </row>
    <row r="31" spans="2:32" ht="23.1" customHeight="1" x14ac:dyDescent="0.25">
      <c r="B31" s="24" t="s">
        <v>58</v>
      </c>
      <c r="C31" s="50">
        <v>30</v>
      </c>
      <c r="D31" s="50">
        <v>7</v>
      </c>
      <c r="E31" s="50">
        <v>7</v>
      </c>
      <c r="F31" s="50">
        <v>46</v>
      </c>
      <c r="G31" s="50">
        <v>2</v>
      </c>
      <c r="H31" s="50">
        <v>3</v>
      </c>
      <c r="I31" s="50">
        <v>12</v>
      </c>
      <c r="J31" s="50">
        <v>17</v>
      </c>
      <c r="K31" s="50">
        <v>2</v>
      </c>
      <c r="L31" s="50">
        <v>5</v>
      </c>
      <c r="M31" s="50">
        <v>245</v>
      </c>
      <c r="N31" s="50">
        <v>0</v>
      </c>
      <c r="O31" s="15">
        <f t="shared" si="0"/>
        <v>131</v>
      </c>
      <c r="P31" s="15">
        <f t="shared" si="1"/>
        <v>376</v>
      </c>
    </row>
    <row r="32" spans="2:32" ht="23.1" customHeight="1" x14ac:dyDescent="0.25">
      <c r="B32" s="24" t="s">
        <v>59</v>
      </c>
      <c r="C32" s="50">
        <v>34</v>
      </c>
      <c r="D32" s="50">
        <v>7</v>
      </c>
      <c r="E32" s="50">
        <v>3</v>
      </c>
      <c r="F32" s="50">
        <v>47</v>
      </c>
      <c r="G32" s="50">
        <v>1</v>
      </c>
      <c r="H32" s="50">
        <v>3</v>
      </c>
      <c r="I32" s="50">
        <v>9</v>
      </c>
      <c r="J32" s="50">
        <v>5</v>
      </c>
      <c r="K32" s="50">
        <v>4</v>
      </c>
      <c r="L32" s="50">
        <v>3</v>
      </c>
      <c r="M32" s="50">
        <v>179</v>
      </c>
      <c r="N32" s="50">
        <v>0</v>
      </c>
      <c r="O32" s="15">
        <f t="shared" si="0"/>
        <v>116</v>
      </c>
      <c r="P32" s="15">
        <f t="shared" si="1"/>
        <v>295</v>
      </c>
    </row>
    <row r="33" spans="2:20" ht="23.1" customHeight="1" x14ac:dyDescent="0.25">
      <c r="B33" s="23" t="s">
        <v>60</v>
      </c>
      <c r="C33" s="50">
        <v>50</v>
      </c>
      <c r="D33" s="50">
        <v>4</v>
      </c>
      <c r="E33" s="50">
        <v>7</v>
      </c>
      <c r="F33" s="50">
        <v>62</v>
      </c>
      <c r="G33" s="50">
        <v>1</v>
      </c>
      <c r="H33" s="50">
        <v>1</v>
      </c>
      <c r="I33" s="50">
        <v>5</v>
      </c>
      <c r="J33" s="50">
        <v>12</v>
      </c>
      <c r="K33" s="50">
        <v>2</v>
      </c>
      <c r="L33" s="50">
        <v>2</v>
      </c>
      <c r="M33" s="50">
        <v>235</v>
      </c>
      <c r="N33" s="50">
        <v>0</v>
      </c>
      <c r="O33" s="15">
        <f t="shared" si="0"/>
        <v>146</v>
      </c>
      <c r="P33" s="15">
        <f t="shared" si="1"/>
        <v>381</v>
      </c>
    </row>
    <row r="34" spans="2:20" ht="23.1" customHeight="1" x14ac:dyDescent="0.25">
      <c r="B34" s="24" t="s">
        <v>61</v>
      </c>
      <c r="C34" s="50">
        <v>55</v>
      </c>
      <c r="D34" s="50">
        <v>5</v>
      </c>
      <c r="E34" s="50">
        <v>11</v>
      </c>
      <c r="F34" s="50">
        <v>51</v>
      </c>
      <c r="G34" s="50">
        <v>2</v>
      </c>
      <c r="H34" s="50">
        <v>0</v>
      </c>
      <c r="I34" s="50">
        <v>11</v>
      </c>
      <c r="J34" s="50">
        <v>6</v>
      </c>
      <c r="K34" s="50">
        <v>8</v>
      </c>
      <c r="L34" s="50">
        <v>4</v>
      </c>
      <c r="M34" s="50">
        <v>285</v>
      </c>
      <c r="N34" s="50">
        <v>0</v>
      </c>
      <c r="O34" s="15">
        <f t="shared" si="0"/>
        <v>153</v>
      </c>
      <c r="P34" s="15">
        <f t="shared" si="1"/>
        <v>438</v>
      </c>
    </row>
    <row r="35" spans="2:20" ht="23.1" customHeight="1" x14ac:dyDescent="0.25">
      <c r="B35" s="24" t="s">
        <v>62</v>
      </c>
      <c r="C35" s="50">
        <v>48</v>
      </c>
      <c r="D35" s="50">
        <v>11</v>
      </c>
      <c r="E35" s="50">
        <v>6</v>
      </c>
      <c r="F35" s="50">
        <v>60</v>
      </c>
      <c r="G35" s="50">
        <v>0</v>
      </c>
      <c r="H35" s="50">
        <v>1</v>
      </c>
      <c r="I35" s="50">
        <v>12</v>
      </c>
      <c r="J35" s="50">
        <v>3</v>
      </c>
      <c r="K35" s="50">
        <v>0</v>
      </c>
      <c r="L35" s="50">
        <v>1</v>
      </c>
      <c r="M35" s="50">
        <v>350</v>
      </c>
      <c r="N35" s="50">
        <v>0</v>
      </c>
      <c r="O35" s="15">
        <f t="shared" si="0"/>
        <v>142</v>
      </c>
      <c r="P35" s="15">
        <f t="shared" si="1"/>
        <v>492</v>
      </c>
    </row>
    <row r="36" spans="2:20" ht="23.1" customHeight="1" x14ac:dyDescent="0.25">
      <c r="B36" s="24" t="s">
        <v>63</v>
      </c>
      <c r="C36" s="50">
        <v>53</v>
      </c>
      <c r="D36" s="50">
        <v>5</v>
      </c>
      <c r="E36" s="50">
        <v>12</v>
      </c>
      <c r="F36" s="50">
        <v>64</v>
      </c>
      <c r="G36" s="50">
        <v>1</v>
      </c>
      <c r="H36" s="50">
        <v>1</v>
      </c>
      <c r="I36" s="50">
        <v>13</v>
      </c>
      <c r="J36" s="50">
        <v>8</v>
      </c>
      <c r="K36" s="50">
        <v>2</v>
      </c>
      <c r="L36" s="50">
        <v>2</v>
      </c>
      <c r="M36" s="50">
        <v>209</v>
      </c>
      <c r="N36" s="50">
        <v>0</v>
      </c>
      <c r="O36" s="15">
        <f t="shared" si="0"/>
        <v>161</v>
      </c>
      <c r="P36" s="15">
        <f t="shared" si="1"/>
        <v>370</v>
      </c>
    </row>
    <row r="37" spans="2:20" ht="23.1" customHeight="1" x14ac:dyDescent="0.25">
      <c r="B37" s="23" t="s">
        <v>64</v>
      </c>
      <c r="C37" s="50">
        <v>37</v>
      </c>
      <c r="D37" s="50">
        <v>8</v>
      </c>
      <c r="E37" s="50">
        <v>10</v>
      </c>
      <c r="F37" s="50">
        <v>51</v>
      </c>
      <c r="G37" s="50">
        <v>2</v>
      </c>
      <c r="H37" s="50">
        <v>2</v>
      </c>
      <c r="I37" s="50">
        <v>11</v>
      </c>
      <c r="J37" s="50">
        <v>7</v>
      </c>
      <c r="K37" s="50">
        <v>1</v>
      </c>
      <c r="L37" s="50">
        <v>1</v>
      </c>
      <c r="M37" s="50">
        <v>225</v>
      </c>
      <c r="N37" s="50">
        <v>0</v>
      </c>
      <c r="O37" s="15">
        <f t="shared" si="0"/>
        <v>130</v>
      </c>
      <c r="P37" s="15">
        <f t="shared" si="1"/>
        <v>355</v>
      </c>
    </row>
    <row r="38" spans="2:20" ht="23.1" customHeight="1" x14ac:dyDescent="0.25">
      <c r="B38" s="24" t="s">
        <v>65</v>
      </c>
      <c r="C38" s="50">
        <v>61</v>
      </c>
      <c r="D38" s="50">
        <v>5</v>
      </c>
      <c r="E38" s="50">
        <v>12</v>
      </c>
      <c r="F38" s="50">
        <v>55</v>
      </c>
      <c r="G38" s="50">
        <v>0</v>
      </c>
      <c r="H38" s="50">
        <v>1</v>
      </c>
      <c r="I38" s="50">
        <v>13</v>
      </c>
      <c r="J38" s="50">
        <v>9</v>
      </c>
      <c r="K38" s="50">
        <v>2</v>
      </c>
      <c r="L38" s="50">
        <v>3</v>
      </c>
      <c r="M38" s="50">
        <v>250</v>
      </c>
      <c r="N38" s="50">
        <v>1</v>
      </c>
      <c r="O38" s="15">
        <f t="shared" si="0"/>
        <v>162</v>
      </c>
      <c r="P38" s="15">
        <f t="shared" si="1"/>
        <v>412</v>
      </c>
    </row>
    <row r="39" spans="2:20" ht="23.1" customHeight="1" x14ac:dyDescent="0.25">
      <c r="B39" s="24" t="s">
        <v>66</v>
      </c>
      <c r="C39" s="50">
        <v>38</v>
      </c>
      <c r="D39" s="50">
        <v>4</v>
      </c>
      <c r="E39" s="50">
        <v>10</v>
      </c>
      <c r="F39" s="50">
        <v>53</v>
      </c>
      <c r="G39" s="50">
        <v>1</v>
      </c>
      <c r="H39" s="50">
        <v>1</v>
      </c>
      <c r="I39" s="50">
        <v>15</v>
      </c>
      <c r="J39" s="50">
        <v>8</v>
      </c>
      <c r="K39" s="50">
        <v>1</v>
      </c>
      <c r="L39" s="50">
        <v>5</v>
      </c>
      <c r="M39" s="50">
        <v>183</v>
      </c>
      <c r="N39" s="50">
        <v>0</v>
      </c>
      <c r="O39" s="15">
        <f t="shared" si="0"/>
        <v>136</v>
      </c>
      <c r="P39" s="15">
        <f t="shared" si="1"/>
        <v>319</v>
      </c>
    </row>
    <row r="40" spans="2:20" ht="23.1" customHeight="1" x14ac:dyDescent="0.25">
      <c r="B40" s="24" t="s">
        <v>67</v>
      </c>
      <c r="C40" s="50">
        <v>62</v>
      </c>
      <c r="D40" s="50">
        <v>3</v>
      </c>
      <c r="E40" s="50">
        <v>9</v>
      </c>
      <c r="F40" s="50">
        <v>74</v>
      </c>
      <c r="G40" s="50">
        <v>1</v>
      </c>
      <c r="H40" s="50">
        <v>1</v>
      </c>
      <c r="I40" s="50">
        <v>18</v>
      </c>
      <c r="J40" s="50">
        <v>8</v>
      </c>
      <c r="K40" s="50">
        <v>5</v>
      </c>
      <c r="L40" s="50">
        <v>2</v>
      </c>
      <c r="M40" s="50">
        <v>176</v>
      </c>
      <c r="N40" s="50">
        <v>0</v>
      </c>
      <c r="O40" s="15">
        <f t="shared" si="0"/>
        <v>183</v>
      </c>
      <c r="P40" s="15">
        <f t="shared" si="1"/>
        <v>359</v>
      </c>
    </row>
    <row r="41" spans="2:20" ht="23.1" customHeight="1" x14ac:dyDescent="0.25">
      <c r="B41" s="23" t="s">
        <v>68</v>
      </c>
      <c r="C41" s="50">
        <v>101</v>
      </c>
      <c r="D41" s="50">
        <v>7</v>
      </c>
      <c r="E41" s="50">
        <v>11</v>
      </c>
      <c r="F41" s="50">
        <v>116</v>
      </c>
      <c r="G41" s="50">
        <v>0</v>
      </c>
      <c r="H41" s="50">
        <v>2</v>
      </c>
      <c r="I41" s="50">
        <v>22</v>
      </c>
      <c r="J41" s="50">
        <v>9</v>
      </c>
      <c r="K41" s="50">
        <v>9</v>
      </c>
      <c r="L41" s="50">
        <v>4</v>
      </c>
      <c r="M41" s="50">
        <v>125</v>
      </c>
      <c r="N41" s="50">
        <v>0</v>
      </c>
      <c r="O41" s="15">
        <f t="shared" si="0"/>
        <v>281</v>
      </c>
      <c r="P41" s="15">
        <f t="shared" si="1"/>
        <v>406</v>
      </c>
    </row>
    <row r="42" spans="2:20" ht="23.1" customHeight="1" x14ac:dyDescent="0.25">
      <c r="B42" s="24" t="s">
        <v>69</v>
      </c>
      <c r="C42" s="50">
        <v>73</v>
      </c>
      <c r="D42" s="50">
        <v>6</v>
      </c>
      <c r="E42" s="50">
        <v>9</v>
      </c>
      <c r="F42" s="50">
        <v>67</v>
      </c>
      <c r="G42" s="50">
        <v>1</v>
      </c>
      <c r="H42" s="50">
        <v>1</v>
      </c>
      <c r="I42" s="50">
        <v>14</v>
      </c>
      <c r="J42" s="50">
        <v>11</v>
      </c>
      <c r="K42" s="50">
        <v>3</v>
      </c>
      <c r="L42" s="50">
        <v>5</v>
      </c>
      <c r="M42" s="50">
        <v>125</v>
      </c>
      <c r="N42" s="50">
        <v>0</v>
      </c>
      <c r="O42" s="15">
        <f t="shared" si="0"/>
        <v>190</v>
      </c>
      <c r="P42" s="15">
        <f t="shared" si="1"/>
        <v>315</v>
      </c>
    </row>
    <row r="43" spans="2:20" ht="23.1" customHeight="1" x14ac:dyDescent="0.25">
      <c r="B43" s="23" t="s">
        <v>70</v>
      </c>
      <c r="C43" s="50">
        <v>67</v>
      </c>
      <c r="D43" s="50">
        <v>5</v>
      </c>
      <c r="E43" s="50">
        <v>8</v>
      </c>
      <c r="F43" s="50">
        <v>55</v>
      </c>
      <c r="G43" s="50">
        <v>2</v>
      </c>
      <c r="H43" s="50">
        <v>1</v>
      </c>
      <c r="I43" s="50">
        <v>9</v>
      </c>
      <c r="J43" s="50">
        <v>5</v>
      </c>
      <c r="K43" s="50">
        <v>3</v>
      </c>
      <c r="L43" s="50">
        <v>2</v>
      </c>
      <c r="M43" s="50">
        <v>205</v>
      </c>
      <c r="N43" s="50">
        <v>0</v>
      </c>
      <c r="O43" s="15">
        <f t="shared" si="0"/>
        <v>157</v>
      </c>
      <c r="P43" s="15">
        <f t="shared" si="1"/>
        <v>362</v>
      </c>
    </row>
    <row r="44" spans="2:20" ht="23.1" customHeight="1" x14ac:dyDescent="0.25">
      <c r="B44" s="25" t="s">
        <v>71</v>
      </c>
      <c r="C44" s="50">
        <v>63</v>
      </c>
      <c r="D44" s="50">
        <v>6</v>
      </c>
      <c r="E44" s="50">
        <v>13</v>
      </c>
      <c r="F44" s="50">
        <v>60</v>
      </c>
      <c r="G44" s="50">
        <v>0</v>
      </c>
      <c r="H44" s="50">
        <v>1</v>
      </c>
      <c r="I44" s="50">
        <v>13</v>
      </c>
      <c r="J44" s="50">
        <v>9</v>
      </c>
      <c r="K44" s="50">
        <v>2</v>
      </c>
      <c r="L44" s="50">
        <v>4</v>
      </c>
      <c r="M44" s="50">
        <v>183</v>
      </c>
      <c r="N44" s="50">
        <v>0</v>
      </c>
      <c r="O44" s="15">
        <f t="shared" si="0"/>
        <v>171</v>
      </c>
      <c r="P44" s="15">
        <f t="shared" si="1"/>
        <v>354</v>
      </c>
    </row>
    <row r="45" spans="2:20" ht="23.1" customHeight="1" x14ac:dyDescent="0.25">
      <c r="B45" s="23" t="s">
        <v>72</v>
      </c>
      <c r="C45" s="50">
        <v>105</v>
      </c>
      <c r="D45" s="50">
        <v>6</v>
      </c>
      <c r="E45" s="50">
        <v>6</v>
      </c>
      <c r="F45" s="50">
        <v>85</v>
      </c>
      <c r="G45" s="50">
        <v>1</v>
      </c>
      <c r="H45" s="50">
        <v>1</v>
      </c>
      <c r="I45" s="50">
        <v>18</v>
      </c>
      <c r="J45" s="50">
        <v>6</v>
      </c>
      <c r="K45" s="50">
        <v>1</v>
      </c>
      <c r="L45" s="50">
        <v>9</v>
      </c>
      <c r="M45" s="50">
        <v>160</v>
      </c>
      <c r="N45" s="50">
        <v>0</v>
      </c>
      <c r="O45" s="15">
        <f t="shared" si="0"/>
        <v>238</v>
      </c>
      <c r="P45" s="15">
        <f t="shared" si="1"/>
        <v>398</v>
      </c>
    </row>
    <row r="46" spans="2:20" ht="23.1" customHeight="1" x14ac:dyDescent="0.25">
      <c r="B46" s="24" t="s">
        <v>73</v>
      </c>
      <c r="C46" s="50">
        <v>57</v>
      </c>
      <c r="D46" s="50">
        <v>5</v>
      </c>
      <c r="E46" s="50">
        <v>8</v>
      </c>
      <c r="F46" s="50">
        <v>58</v>
      </c>
      <c r="G46" s="50">
        <v>0</v>
      </c>
      <c r="H46" s="50">
        <v>1</v>
      </c>
      <c r="I46" s="50">
        <v>22</v>
      </c>
      <c r="J46" s="50">
        <v>5</v>
      </c>
      <c r="K46" s="50">
        <v>6</v>
      </c>
      <c r="L46" s="50">
        <v>1</v>
      </c>
      <c r="M46" s="50">
        <v>191</v>
      </c>
      <c r="N46" s="50">
        <v>0</v>
      </c>
      <c r="O46" s="15">
        <f t="shared" si="0"/>
        <v>163</v>
      </c>
      <c r="P46" s="15">
        <f t="shared" si="1"/>
        <v>354</v>
      </c>
      <c r="R46" s="8"/>
      <c r="T46"/>
    </row>
    <row r="47" spans="2:20" ht="23.1" customHeight="1" x14ac:dyDescent="0.25">
      <c r="B47" s="24" t="s">
        <v>74</v>
      </c>
      <c r="C47" s="50">
        <v>57</v>
      </c>
      <c r="D47" s="50">
        <v>11</v>
      </c>
      <c r="E47" s="50">
        <v>14</v>
      </c>
      <c r="F47" s="50">
        <v>64</v>
      </c>
      <c r="G47" s="50">
        <v>2</v>
      </c>
      <c r="H47" s="50">
        <v>1</v>
      </c>
      <c r="I47" s="50">
        <v>9</v>
      </c>
      <c r="J47" s="50">
        <v>6</v>
      </c>
      <c r="K47" s="50">
        <v>3</v>
      </c>
      <c r="L47" s="50">
        <v>5</v>
      </c>
      <c r="M47" s="50">
        <v>194</v>
      </c>
      <c r="N47" s="50">
        <v>0</v>
      </c>
      <c r="O47" s="15">
        <f t="shared" si="0"/>
        <v>172</v>
      </c>
      <c r="P47" s="15">
        <f t="shared" si="1"/>
        <v>366</v>
      </c>
      <c r="R47" s="8"/>
      <c r="T47"/>
    </row>
    <row r="48" spans="2:20" ht="23.1" customHeight="1" x14ac:dyDescent="0.25">
      <c r="B48" s="24" t="s">
        <v>75</v>
      </c>
      <c r="C48" s="50">
        <v>71</v>
      </c>
      <c r="D48" s="50">
        <v>13</v>
      </c>
      <c r="E48" s="50">
        <v>12</v>
      </c>
      <c r="F48" s="50">
        <v>48</v>
      </c>
      <c r="G48" s="50">
        <v>0</v>
      </c>
      <c r="H48" s="50">
        <v>1</v>
      </c>
      <c r="I48" s="50">
        <v>11</v>
      </c>
      <c r="J48" s="50">
        <v>15</v>
      </c>
      <c r="K48" s="50">
        <v>2</v>
      </c>
      <c r="L48" s="50">
        <v>4</v>
      </c>
      <c r="M48" s="50">
        <v>270</v>
      </c>
      <c r="N48" s="50">
        <v>0</v>
      </c>
      <c r="O48" s="15">
        <f t="shared" si="0"/>
        <v>177</v>
      </c>
      <c r="P48" s="15">
        <f t="shared" si="1"/>
        <v>447</v>
      </c>
      <c r="R48" s="8"/>
      <c r="T48"/>
    </row>
    <row r="49" spans="2:20" ht="23.1" customHeight="1" x14ac:dyDescent="0.25">
      <c r="B49" s="23" t="s">
        <v>76</v>
      </c>
      <c r="C49" s="50">
        <v>61</v>
      </c>
      <c r="D49" s="50">
        <v>11</v>
      </c>
      <c r="E49" s="50">
        <v>17</v>
      </c>
      <c r="F49" s="50">
        <v>77</v>
      </c>
      <c r="G49" s="50">
        <v>3</v>
      </c>
      <c r="H49" s="50">
        <v>2</v>
      </c>
      <c r="I49" s="50">
        <v>7</v>
      </c>
      <c r="J49" s="50">
        <v>4</v>
      </c>
      <c r="K49" s="50">
        <v>4</v>
      </c>
      <c r="L49" s="50">
        <v>4</v>
      </c>
      <c r="M49" s="50">
        <v>200</v>
      </c>
      <c r="N49" s="50">
        <v>0</v>
      </c>
      <c r="O49" s="15">
        <f t="shared" si="0"/>
        <v>190</v>
      </c>
      <c r="P49" s="15">
        <f t="shared" si="1"/>
        <v>390</v>
      </c>
      <c r="R49" s="8"/>
      <c r="T49"/>
    </row>
    <row r="50" spans="2:20" ht="23.1" customHeight="1" x14ac:dyDescent="0.25">
      <c r="B50" s="24" t="s">
        <v>77</v>
      </c>
      <c r="C50" s="50">
        <v>50</v>
      </c>
      <c r="D50" s="50">
        <v>3</v>
      </c>
      <c r="E50" s="50">
        <v>4</v>
      </c>
      <c r="F50" s="50">
        <v>30</v>
      </c>
      <c r="G50" s="50">
        <v>0</v>
      </c>
      <c r="H50" s="50">
        <v>3</v>
      </c>
      <c r="I50" s="50">
        <v>7</v>
      </c>
      <c r="J50" s="50">
        <v>6</v>
      </c>
      <c r="K50" s="50">
        <v>1</v>
      </c>
      <c r="L50" s="50">
        <v>5</v>
      </c>
      <c r="M50" s="50">
        <v>200</v>
      </c>
      <c r="N50" s="50">
        <v>0</v>
      </c>
      <c r="O50" s="15">
        <f t="shared" si="0"/>
        <v>109</v>
      </c>
      <c r="P50" s="15">
        <f t="shared" si="1"/>
        <v>309</v>
      </c>
      <c r="R50" s="8"/>
      <c r="T50"/>
    </row>
    <row r="51" spans="2:20" ht="23.1" customHeight="1" x14ac:dyDescent="0.25">
      <c r="B51" s="24" t="s">
        <v>78</v>
      </c>
      <c r="C51" s="50">
        <v>62</v>
      </c>
      <c r="D51" s="50">
        <v>8</v>
      </c>
      <c r="E51" s="50">
        <v>10</v>
      </c>
      <c r="F51" s="50">
        <v>52</v>
      </c>
      <c r="G51" s="50">
        <v>2</v>
      </c>
      <c r="H51" s="50">
        <v>2</v>
      </c>
      <c r="I51" s="50">
        <v>8</v>
      </c>
      <c r="J51" s="50">
        <v>11</v>
      </c>
      <c r="K51" s="50">
        <v>2</v>
      </c>
      <c r="L51" s="50">
        <v>7</v>
      </c>
      <c r="M51" s="50">
        <v>200</v>
      </c>
      <c r="N51" s="50">
        <v>0</v>
      </c>
      <c r="O51" s="15">
        <f t="shared" si="0"/>
        <v>164</v>
      </c>
      <c r="P51" s="15">
        <f t="shared" si="1"/>
        <v>364</v>
      </c>
      <c r="R51" s="8"/>
      <c r="T51"/>
    </row>
    <row r="52" spans="2:20" ht="23.1" customHeight="1" x14ac:dyDescent="0.25">
      <c r="B52" s="24" t="s">
        <v>79</v>
      </c>
      <c r="C52" s="50">
        <v>71</v>
      </c>
      <c r="D52" s="50">
        <v>6</v>
      </c>
      <c r="E52" s="50">
        <v>11</v>
      </c>
      <c r="F52" s="50">
        <v>50</v>
      </c>
      <c r="G52" s="50">
        <v>0</v>
      </c>
      <c r="H52" s="50">
        <v>1</v>
      </c>
      <c r="I52" s="50">
        <v>5</v>
      </c>
      <c r="J52" s="50">
        <v>15</v>
      </c>
      <c r="K52" s="50">
        <v>4</v>
      </c>
      <c r="L52" s="50">
        <v>1</v>
      </c>
      <c r="M52" s="50">
        <v>280</v>
      </c>
      <c r="N52" s="50">
        <v>0</v>
      </c>
      <c r="O52" s="15">
        <f t="shared" si="0"/>
        <v>164</v>
      </c>
      <c r="P52" s="15">
        <f t="shared" si="1"/>
        <v>444</v>
      </c>
      <c r="R52" s="8"/>
      <c r="T52"/>
    </row>
    <row r="53" spans="2:20" ht="23.1" customHeight="1" x14ac:dyDescent="0.25">
      <c r="B53" s="23" t="s">
        <v>80</v>
      </c>
      <c r="C53" s="50">
        <v>81</v>
      </c>
      <c r="D53" s="50">
        <v>7</v>
      </c>
      <c r="E53" s="50">
        <v>6</v>
      </c>
      <c r="F53" s="50">
        <v>46</v>
      </c>
      <c r="G53" s="50">
        <v>1</v>
      </c>
      <c r="H53" s="50">
        <v>0</v>
      </c>
      <c r="I53" s="50">
        <v>11</v>
      </c>
      <c r="J53" s="50">
        <v>2</v>
      </c>
      <c r="K53" s="50">
        <v>0</v>
      </c>
      <c r="L53" s="50">
        <v>0</v>
      </c>
      <c r="M53" s="50">
        <v>325</v>
      </c>
      <c r="N53" s="50">
        <v>0</v>
      </c>
      <c r="O53" s="15">
        <f t="shared" si="0"/>
        <v>154</v>
      </c>
      <c r="P53" s="15">
        <f t="shared" si="1"/>
        <v>479</v>
      </c>
      <c r="R53" s="8"/>
      <c r="T53"/>
    </row>
    <row r="54" spans="2:20" ht="23.1" customHeight="1" x14ac:dyDescent="0.25">
      <c r="B54" s="23" t="s">
        <v>81</v>
      </c>
      <c r="C54" s="50">
        <v>64</v>
      </c>
      <c r="D54" s="50">
        <v>7</v>
      </c>
      <c r="E54" s="50">
        <v>12</v>
      </c>
      <c r="F54" s="50">
        <v>42</v>
      </c>
      <c r="G54" s="50">
        <v>0</v>
      </c>
      <c r="H54" s="50">
        <v>2</v>
      </c>
      <c r="I54" s="50">
        <v>4</v>
      </c>
      <c r="J54" s="50">
        <v>7</v>
      </c>
      <c r="K54" s="50">
        <v>1</v>
      </c>
      <c r="L54" s="50">
        <v>2</v>
      </c>
      <c r="M54" s="50">
        <v>300</v>
      </c>
      <c r="N54" s="50">
        <v>0</v>
      </c>
      <c r="O54" s="15">
        <f t="shared" si="0"/>
        <v>141</v>
      </c>
      <c r="P54" s="15">
        <f t="shared" si="1"/>
        <v>441</v>
      </c>
      <c r="R54" s="8"/>
      <c r="T54"/>
    </row>
    <row r="55" spans="2:20" ht="23.1" customHeight="1" x14ac:dyDescent="0.25">
      <c r="B55" s="23" t="s">
        <v>82</v>
      </c>
      <c r="C55" s="50">
        <v>53</v>
      </c>
      <c r="D55" s="50">
        <v>6</v>
      </c>
      <c r="E55" s="50">
        <v>8</v>
      </c>
      <c r="F55" s="50">
        <v>40</v>
      </c>
      <c r="G55" s="50">
        <v>1</v>
      </c>
      <c r="H55" s="50">
        <v>0</v>
      </c>
      <c r="I55" s="50">
        <v>5</v>
      </c>
      <c r="J55" s="50">
        <v>7</v>
      </c>
      <c r="K55" s="50">
        <v>2</v>
      </c>
      <c r="L55" s="50">
        <v>2</v>
      </c>
      <c r="M55" s="50">
        <v>215</v>
      </c>
      <c r="N55" s="50">
        <v>0</v>
      </c>
      <c r="O55" s="15">
        <f t="shared" si="0"/>
        <v>124</v>
      </c>
      <c r="P55" s="15">
        <f t="shared" si="1"/>
        <v>339</v>
      </c>
      <c r="R55" s="8"/>
      <c r="T55"/>
    </row>
    <row r="56" spans="2:20" ht="23.1" customHeight="1" x14ac:dyDescent="0.25">
      <c r="B56" s="23" t="s">
        <v>83</v>
      </c>
      <c r="C56" s="50">
        <v>62</v>
      </c>
      <c r="D56" s="50">
        <v>5</v>
      </c>
      <c r="E56" s="50">
        <v>10</v>
      </c>
      <c r="F56" s="50">
        <v>38</v>
      </c>
      <c r="G56" s="50">
        <v>1</v>
      </c>
      <c r="H56" s="50">
        <v>1</v>
      </c>
      <c r="I56" s="50">
        <v>10</v>
      </c>
      <c r="J56" s="50">
        <v>10</v>
      </c>
      <c r="K56" s="50">
        <v>3</v>
      </c>
      <c r="L56" s="50">
        <v>2</v>
      </c>
      <c r="M56" s="50">
        <v>225</v>
      </c>
      <c r="N56" s="50">
        <v>0</v>
      </c>
      <c r="O56" s="15">
        <f t="shared" si="0"/>
        <v>142</v>
      </c>
      <c r="P56" s="15">
        <f t="shared" si="1"/>
        <v>367</v>
      </c>
      <c r="R56" s="8"/>
      <c r="T56"/>
    </row>
    <row r="57" spans="2:20" ht="23.1" customHeight="1" x14ac:dyDescent="0.25">
      <c r="B57" s="23" t="s">
        <v>84</v>
      </c>
      <c r="C57" s="50">
        <v>70</v>
      </c>
      <c r="D57" s="50">
        <v>17</v>
      </c>
      <c r="E57" s="50">
        <v>4</v>
      </c>
      <c r="F57" s="50">
        <v>60</v>
      </c>
      <c r="G57" s="50">
        <v>1</v>
      </c>
      <c r="H57" s="50">
        <v>0</v>
      </c>
      <c r="I57" s="50">
        <v>10</v>
      </c>
      <c r="J57" s="50">
        <v>4</v>
      </c>
      <c r="K57" s="50">
        <v>1</v>
      </c>
      <c r="L57" s="50">
        <v>1</v>
      </c>
      <c r="M57" s="50">
        <v>235</v>
      </c>
      <c r="N57" s="50"/>
      <c r="O57" s="15">
        <f t="shared" si="0"/>
        <v>168</v>
      </c>
      <c r="P57" s="15">
        <f t="shared" si="1"/>
        <v>403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3264</v>
      </c>
      <c r="D58" s="16">
        <f t="shared" si="21"/>
        <v>398</v>
      </c>
      <c r="E58" s="16">
        <f t="shared" si="21"/>
        <v>448</v>
      </c>
      <c r="F58" s="16">
        <f t="shared" si="21"/>
        <v>3626</v>
      </c>
      <c r="G58" s="16">
        <f t="shared" si="21"/>
        <v>53</v>
      </c>
      <c r="H58" s="16">
        <f t="shared" si="21"/>
        <v>69</v>
      </c>
      <c r="I58" s="16">
        <f t="shared" si="21"/>
        <v>489</v>
      </c>
      <c r="J58" s="16">
        <f t="shared" si="21"/>
        <v>313</v>
      </c>
      <c r="K58" s="16">
        <f t="shared" si="21"/>
        <v>112</v>
      </c>
      <c r="L58" s="16">
        <f t="shared" si="21"/>
        <v>143</v>
      </c>
      <c r="M58" s="16">
        <f t="shared" si="21"/>
        <v>11103</v>
      </c>
      <c r="N58" s="16">
        <f t="shared" si="21"/>
        <v>1</v>
      </c>
      <c r="O58" s="16">
        <f t="shared" si="21"/>
        <v>8916</v>
      </c>
      <c r="P58" s="16">
        <f t="shared" si="21"/>
        <v>20019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0.16304510714820919</v>
      </c>
      <c r="D59" s="43">
        <f t="shared" si="22"/>
        <v>1.9881112942704431E-2</v>
      </c>
      <c r="E59" s="43">
        <f t="shared" si="22"/>
        <v>2.2378740196813029E-2</v>
      </c>
      <c r="F59" s="43">
        <f t="shared" si="22"/>
        <v>0.18112792846795545</v>
      </c>
      <c r="G59" s="43">
        <f t="shared" si="22"/>
        <v>2.6474848893551129E-3</v>
      </c>
      <c r="H59" s="43">
        <f t="shared" si="22"/>
        <v>3.4467256106698635E-3</v>
      </c>
      <c r="I59" s="43">
        <f t="shared" si="22"/>
        <v>2.4426794545182078E-2</v>
      </c>
      <c r="J59" s="43">
        <f t="shared" si="22"/>
        <v>1.5635146610719818E-2</v>
      </c>
      <c r="K59" s="43">
        <f t="shared" si="22"/>
        <v>5.5946850492032572E-3</v>
      </c>
      <c r="L59" s="43">
        <f t="shared" si="22"/>
        <v>7.1432139467505866E-3</v>
      </c>
      <c r="M59" s="43">
        <f t="shared" si="22"/>
        <v>0.55462310804735504</v>
      </c>
      <c r="N59" s="43">
        <f t="shared" si="22"/>
        <v>4.9952545082171936E-5</v>
      </c>
      <c r="R59" s="8"/>
      <c r="T59"/>
    </row>
    <row r="60" spans="2:20" ht="23.1" customHeight="1" x14ac:dyDescent="0.25">
      <c r="B60" s="42" t="s">
        <v>94</v>
      </c>
      <c r="C60" s="44">
        <f>C58/$O$58</f>
        <v>0.36608344549125166</v>
      </c>
      <c r="D60" s="44">
        <f t="shared" ref="D60:N60" si="23">D58/$O$58</f>
        <v>4.4638851502916105E-2</v>
      </c>
      <c r="E60" s="44">
        <f t="shared" si="23"/>
        <v>5.0246747420367881E-2</v>
      </c>
      <c r="F60" s="44">
        <f t="shared" si="23"/>
        <v>0.4066846119336025</v>
      </c>
      <c r="G60" s="44">
        <f t="shared" si="23"/>
        <v>5.9443696724988783E-3</v>
      </c>
      <c r="H60" s="44">
        <f t="shared" si="23"/>
        <v>7.7388963660834451E-3</v>
      </c>
      <c r="I60" s="44">
        <f t="shared" si="23"/>
        <v>5.4845222072678328E-2</v>
      </c>
      <c r="J60" s="44">
        <f t="shared" si="23"/>
        <v>3.5105428443248092E-2</v>
      </c>
      <c r="K60" s="44">
        <f t="shared" si="23"/>
        <v>1.256168685509197E-2</v>
      </c>
      <c r="L60" s="44">
        <f t="shared" si="23"/>
        <v>1.603858232391207E-2</v>
      </c>
      <c r="M60" s="44"/>
      <c r="N60" s="44">
        <f t="shared" si="23"/>
        <v>1.1215791834903544E-4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F126"/>
  <sheetViews>
    <sheetView view="pageBreakPreview" topLeftCell="B19" zoomScale="60" workbookViewId="0">
      <selection activeCell="N57" sqref="N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4" t="str">
        <f>'22.07 BUSEGA-NATEETE'!C3:G3</f>
        <v>MCC - C1 - STN10 - MASAKA ROAD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'23.07 NATEETE-BUSEGA'!D5</f>
        <v>23.07.19</v>
      </c>
      <c r="E5" s="3"/>
      <c r="F5" s="41" t="s">
        <v>1</v>
      </c>
      <c r="G5" s="62" t="str">
        <f>'22.07 NATEETE-BUSEGA'!G5:H5</f>
        <v>GOD'S MERCY SUPERMARKET</v>
      </c>
      <c r="H5" s="63"/>
      <c r="I5" s="14"/>
      <c r="J5" s="2" t="s">
        <v>5</v>
      </c>
      <c r="K5" s="62" t="s">
        <v>176</v>
      </c>
      <c r="L5" s="63"/>
      <c r="M5" s="10"/>
      <c r="N5" s="10"/>
      <c r="O5" s="3"/>
      <c r="P5" s="3"/>
    </row>
    <row r="6" spans="2:32" ht="23.25" customHeight="1" x14ac:dyDescent="0.25">
      <c r="C6" s="2" t="s">
        <v>4</v>
      </c>
      <c r="D6" s="62" t="str">
        <f>'22.07 BUSEGA-NATEETE'!D6:E6</f>
        <v>BUSEGA</v>
      </c>
      <c r="E6" s="63"/>
      <c r="F6" s="2" t="s">
        <v>2</v>
      </c>
      <c r="G6" s="62" t="str">
        <f>'22.07 BUSEGA-NATEETE'!G6:H6</f>
        <v>NATEETE</v>
      </c>
      <c r="H6" s="63"/>
      <c r="J6" s="2" t="s">
        <v>21</v>
      </c>
      <c r="K6" s="62" t="str">
        <f>'22.07 NATEETE-BUSEGA'!K6:L6</f>
        <v>BEATRACE</v>
      </c>
      <c r="L6" s="6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127</v>
      </c>
      <c r="D10" s="50">
        <v>10</v>
      </c>
      <c r="E10" s="50">
        <v>5</v>
      </c>
      <c r="F10" s="50">
        <v>68</v>
      </c>
      <c r="G10" s="50">
        <v>2</v>
      </c>
      <c r="H10" s="50">
        <v>1</v>
      </c>
      <c r="I10" s="50">
        <v>6</v>
      </c>
      <c r="J10" s="50">
        <v>6</v>
      </c>
      <c r="K10" s="50">
        <v>1</v>
      </c>
      <c r="L10" s="50">
        <v>3</v>
      </c>
      <c r="M10" s="50">
        <v>225</v>
      </c>
      <c r="N10" s="50">
        <v>0</v>
      </c>
      <c r="O10" s="15">
        <f t="shared" ref="O10:O57" si="0">SUM(C10:L10,N10)</f>
        <v>229</v>
      </c>
      <c r="P10" s="15">
        <f t="shared" ref="P10:P57" si="1">SUM(C10:N10)</f>
        <v>454</v>
      </c>
      <c r="R10" s="1" t="s">
        <v>6</v>
      </c>
      <c r="S10" s="17">
        <f t="shared" ref="S10:AF10" si="2">SUM(C10:C13)</f>
        <v>433</v>
      </c>
      <c r="T10" s="17">
        <f t="shared" si="2"/>
        <v>34</v>
      </c>
      <c r="U10" s="17">
        <f t="shared" si="2"/>
        <v>41</v>
      </c>
      <c r="V10" s="17">
        <f t="shared" si="2"/>
        <v>269</v>
      </c>
      <c r="W10" s="17">
        <f t="shared" si="2"/>
        <v>10</v>
      </c>
      <c r="X10" s="17">
        <f t="shared" si="2"/>
        <v>4</v>
      </c>
      <c r="Y10" s="17">
        <f t="shared" si="2"/>
        <v>24</v>
      </c>
      <c r="Z10" s="17">
        <f t="shared" si="2"/>
        <v>23</v>
      </c>
      <c r="AA10" s="17">
        <f t="shared" si="2"/>
        <v>6</v>
      </c>
      <c r="AB10" s="17">
        <f t="shared" si="2"/>
        <v>5</v>
      </c>
      <c r="AC10" s="17">
        <f t="shared" si="2"/>
        <v>955</v>
      </c>
      <c r="AD10" s="17">
        <f t="shared" si="2"/>
        <v>0</v>
      </c>
      <c r="AE10" s="31">
        <f t="shared" si="2"/>
        <v>849</v>
      </c>
      <c r="AF10" s="31">
        <f t="shared" si="2"/>
        <v>1804</v>
      </c>
    </row>
    <row r="11" spans="2:32" s="6" customFormat="1" ht="23.1" customHeight="1" x14ac:dyDescent="0.25">
      <c r="B11" s="23" t="s">
        <v>38</v>
      </c>
      <c r="C11" s="50">
        <v>102</v>
      </c>
      <c r="D11" s="50">
        <v>8</v>
      </c>
      <c r="E11" s="50">
        <v>11</v>
      </c>
      <c r="F11" s="50">
        <v>59</v>
      </c>
      <c r="G11" s="50">
        <v>2</v>
      </c>
      <c r="H11" s="50">
        <v>3</v>
      </c>
      <c r="I11" s="50">
        <v>9</v>
      </c>
      <c r="J11" s="50">
        <v>7</v>
      </c>
      <c r="K11" s="50">
        <v>2</v>
      </c>
      <c r="L11" s="50">
        <v>0</v>
      </c>
      <c r="M11" s="50">
        <v>220</v>
      </c>
      <c r="N11" s="50">
        <v>0</v>
      </c>
      <c r="O11" s="15">
        <f t="shared" si="0"/>
        <v>203</v>
      </c>
      <c r="P11" s="15">
        <f t="shared" si="1"/>
        <v>423</v>
      </c>
      <c r="R11" s="1" t="s">
        <v>7</v>
      </c>
      <c r="S11" s="17">
        <f t="shared" ref="S11:AF11" si="3">SUM(C14:C17)</f>
        <v>332</v>
      </c>
      <c r="T11" s="17">
        <f t="shared" si="3"/>
        <v>29</v>
      </c>
      <c r="U11" s="17">
        <f t="shared" si="3"/>
        <v>39</v>
      </c>
      <c r="V11" s="17">
        <f t="shared" si="3"/>
        <v>264</v>
      </c>
      <c r="W11" s="17">
        <f t="shared" si="3"/>
        <v>11</v>
      </c>
      <c r="X11" s="17">
        <f t="shared" si="3"/>
        <v>3</v>
      </c>
      <c r="Y11" s="17">
        <f t="shared" si="3"/>
        <v>21</v>
      </c>
      <c r="Z11" s="17">
        <f t="shared" si="3"/>
        <v>15</v>
      </c>
      <c r="AA11" s="17">
        <f t="shared" si="3"/>
        <v>5</v>
      </c>
      <c r="AB11" s="17">
        <f t="shared" si="3"/>
        <v>13</v>
      </c>
      <c r="AC11" s="17">
        <f t="shared" si="3"/>
        <v>1060</v>
      </c>
      <c r="AD11" s="17">
        <f t="shared" si="3"/>
        <v>0</v>
      </c>
      <c r="AE11" s="31">
        <f t="shared" si="3"/>
        <v>732</v>
      </c>
      <c r="AF11" s="31">
        <f t="shared" si="3"/>
        <v>1792</v>
      </c>
    </row>
    <row r="12" spans="2:32" ht="23.1" customHeight="1" x14ac:dyDescent="0.25">
      <c r="B12" s="23" t="s">
        <v>39</v>
      </c>
      <c r="C12" s="50">
        <v>105</v>
      </c>
      <c r="D12" s="50">
        <v>11</v>
      </c>
      <c r="E12" s="50">
        <v>12</v>
      </c>
      <c r="F12" s="50">
        <v>68</v>
      </c>
      <c r="G12" s="50">
        <v>2</v>
      </c>
      <c r="H12" s="50">
        <v>0</v>
      </c>
      <c r="I12" s="50">
        <v>4</v>
      </c>
      <c r="J12" s="50">
        <v>4</v>
      </c>
      <c r="K12" s="50">
        <v>1</v>
      </c>
      <c r="L12" s="50">
        <v>2</v>
      </c>
      <c r="M12" s="50">
        <v>265</v>
      </c>
      <c r="N12" s="50">
        <v>0</v>
      </c>
      <c r="O12" s="15">
        <f t="shared" si="0"/>
        <v>209</v>
      </c>
      <c r="P12" s="15">
        <f t="shared" si="1"/>
        <v>474</v>
      </c>
      <c r="R12" s="1" t="s">
        <v>8</v>
      </c>
      <c r="S12" s="17">
        <f t="shared" ref="S12:AF12" si="4">SUM(C18:C21)</f>
        <v>316</v>
      </c>
      <c r="T12" s="17">
        <f t="shared" si="4"/>
        <v>37</v>
      </c>
      <c r="U12" s="17">
        <f t="shared" si="4"/>
        <v>32</v>
      </c>
      <c r="V12" s="17">
        <f t="shared" si="4"/>
        <v>244</v>
      </c>
      <c r="W12" s="17">
        <f t="shared" si="4"/>
        <v>2</v>
      </c>
      <c r="X12" s="17">
        <f t="shared" si="4"/>
        <v>2</v>
      </c>
      <c r="Y12" s="17">
        <f t="shared" si="4"/>
        <v>27</v>
      </c>
      <c r="Z12" s="17">
        <f t="shared" si="4"/>
        <v>26</v>
      </c>
      <c r="AA12" s="17">
        <f t="shared" si="4"/>
        <v>6</v>
      </c>
      <c r="AB12" s="17">
        <f t="shared" si="4"/>
        <v>2</v>
      </c>
      <c r="AC12" s="17">
        <f t="shared" si="4"/>
        <v>915</v>
      </c>
      <c r="AD12" s="17">
        <f t="shared" si="4"/>
        <v>0</v>
      </c>
      <c r="AE12" s="31">
        <f t="shared" si="4"/>
        <v>694</v>
      </c>
      <c r="AF12" s="31">
        <f t="shared" si="4"/>
        <v>1609</v>
      </c>
    </row>
    <row r="13" spans="2:32" ht="23.1" customHeight="1" x14ac:dyDescent="0.25">
      <c r="B13" s="23" t="s">
        <v>40</v>
      </c>
      <c r="C13" s="50">
        <v>99</v>
      </c>
      <c r="D13" s="50">
        <v>5</v>
      </c>
      <c r="E13" s="50">
        <v>13</v>
      </c>
      <c r="F13" s="50">
        <v>74</v>
      </c>
      <c r="G13" s="50">
        <v>4</v>
      </c>
      <c r="H13" s="50">
        <v>0</v>
      </c>
      <c r="I13" s="50">
        <v>5</v>
      </c>
      <c r="J13" s="50">
        <v>6</v>
      </c>
      <c r="K13" s="50">
        <v>2</v>
      </c>
      <c r="L13" s="50">
        <v>0</v>
      </c>
      <c r="M13" s="50">
        <v>245</v>
      </c>
      <c r="N13" s="50">
        <v>0</v>
      </c>
      <c r="O13" s="15">
        <f t="shared" si="0"/>
        <v>208</v>
      </c>
      <c r="P13" s="15">
        <f t="shared" si="1"/>
        <v>453</v>
      </c>
      <c r="R13" s="1" t="s">
        <v>9</v>
      </c>
      <c r="S13" s="17">
        <f t="shared" ref="S13:AF13" si="5">SUM(C22:C25)</f>
        <v>296</v>
      </c>
      <c r="T13" s="17">
        <f t="shared" si="5"/>
        <v>25</v>
      </c>
      <c r="U13" s="17">
        <f t="shared" si="5"/>
        <v>35</v>
      </c>
      <c r="V13" s="17">
        <f t="shared" si="5"/>
        <v>232</v>
      </c>
      <c r="W13" s="17">
        <f t="shared" si="5"/>
        <v>0</v>
      </c>
      <c r="X13" s="17">
        <f t="shared" si="5"/>
        <v>3</v>
      </c>
      <c r="Y13" s="17">
        <f t="shared" si="5"/>
        <v>45</v>
      </c>
      <c r="Z13" s="17">
        <f t="shared" si="5"/>
        <v>28</v>
      </c>
      <c r="AA13" s="17">
        <f t="shared" si="5"/>
        <v>0</v>
      </c>
      <c r="AB13" s="17">
        <f t="shared" si="5"/>
        <v>10</v>
      </c>
      <c r="AC13" s="17">
        <f t="shared" si="5"/>
        <v>973</v>
      </c>
      <c r="AD13" s="17">
        <f t="shared" si="5"/>
        <v>0</v>
      </c>
      <c r="AE13" s="31">
        <f t="shared" si="5"/>
        <v>674</v>
      </c>
      <c r="AF13" s="31">
        <f t="shared" si="5"/>
        <v>1647</v>
      </c>
    </row>
    <row r="14" spans="2:32" ht="23.1" customHeight="1" x14ac:dyDescent="0.25">
      <c r="B14" s="23" t="s">
        <v>41</v>
      </c>
      <c r="C14" s="50">
        <v>85</v>
      </c>
      <c r="D14" s="50">
        <v>7</v>
      </c>
      <c r="E14" s="50">
        <v>10</v>
      </c>
      <c r="F14" s="50">
        <v>54</v>
      </c>
      <c r="G14" s="50">
        <v>4</v>
      </c>
      <c r="H14" s="50">
        <v>0</v>
      </c>
      <c r="I14" s="50">
        <v>3</v>
      </c>
      <c r="J14" s="50">
        <v>5</v>
      </c>
      <c r="K14" s="50">
        <v>1</v>
      </c>
      <c r="L14" s="50">
        <v>3</v>
      </c>
      <c r="M14" s="50">
        <v>290</v>
      </c>
      <c r="N14" s="50">
        <v>0</v>
      </c>
      <c r="O14" s="15">
        <f t="shared" si="0"/>
        <v>172</v>
      </c>
      <c r="P14" s="15">
        <f t="shared" si="1"/>
        <v>462</v>
      </c>
      <c r="R14" s="1" t="s">
        <v>10</v>
      </c>
      <c r="S14" s="17">
        <f t="shared" ref="S14:AF14" si="6">SUM(C26:C29)</f>
        <v>320</v>
      </c>
      <c r="T14" s="17">
        <f t="shared" si="6"/>
        <v>21</v>
      </c>
      <c r="U14" s="17">
        <f t="shared" si="6"/>
        <v>33</v>
      </c>
      <c r="V14" s="17">
        <f t="shared" si="6"/>
        <v>267</v>
      </c>
      <c r="W14" s="17">
        <f t="shared" si="6"/>
        <v>1</v>
      </c>
      <c r="X14" s="17">
        <f t="shared" si="6"/>
        <v>4</v>
      </c>
      <c r="Y14" s="17">
        <f t="shared" si="6"/>
        <v>29</v>
      </c>
      <c r="Z14" s="17">
        <f t="shared" si="6"/>
        <v>21</v>
      </c>
      <c r="AA14" s="17">
        <f t="shared" si="6"/>
        <v>4</v>
      </c>
      <c r="AB14" s="17">
        <f t="shared" si="6"/>
        <v>10</v>
      </c>
      <c r="AC14" s="17">
        <f t="shared" si="6"/>
        <v>878</v>
      </c>
      <c r="AD14" s="17">
        <f t="shared" si="6"/>
        <v>0</v>
      </c>
      <c r="AE14" s="31">
        <f t="shared" si="6"/>
        <v>710</v>
      </c>
      <c r="AF14" s="31">
        <f t="shared" si="6"/>
        <v>1588</v>
      </c>
    </row>
    <row r="15" spans="2:32" ht="23.1" customHeight="1" x14ac:dyDescent="0.25">
      <c r="B15" s="23" t="s">
        <v>42</v>
      </c>
      <c r="C15" s="50">
        <v>80</v>
      </c>
      <c r="D15" s="50">
        <v>9</v>
      </c>
      <c r="E15" s="50">
        <v>13</v>
      </c>
      <c r="F15" s="50">
        <v>62</v>
      </c>
      <c r="G15" s="50">
        <v>2</v>
      </c>
      <c r="H15" s="50">
        <v>0</v>
      </c>
      <c r="I15" s="50">
        <v>7</v>
      </c>
      <c r="J15" s="50">
        <v>3</v>
      </c>
      <c r="K15" s="50">
        <v>1</v>
      </c>
      <c r="L15" s="50">
        <v>3</v>
      </c>
      <c r="M15" s="50">
        <v>230</v>
      </c>
      <c r="N15" s="50">
        <v>0</v>
      </c>
      <c r="O15" s="15">
        <f t="shared" si="0"/>
        <v>180</v>
      </c>
      <c r="P15" s="15">
        <f t="shared" si="1"/>
        <v>410</v>
      </c>
      <c r="R15" s="1" t="s">
        <v>11</v>
      </c>
      <c r="S15" s="17">
        <f t="shared" ref="S15:AF15" si="7">SUM(C30:C33)</f>
        <v>248</v>
      </c>
      <c r="T15" s="17">
        <f t="shared" si="7"/>
        <v>22</v>
      </c>
      <c r="U15" s="17">
        <f t="shared" si="7"/>
        <v>31</v>
      </c>
      <c r="V15" s="17">
        <f t="shared" si="7"/>
        <v>273</v>
      </c>
      <c r="W15" s="17">
        <f t="shared" si="7"/>
        <v>3</v>
      </c>
      <c r="X15" s="17">
        <f t="shared" si="7"/>
        <v>4</v>
      </c>
      <c r="Y15" s="17">
        <f t="shared" si="7"/>
        <v>28</v>
      </c>
      <c r="Z15" s="17">
        <f t="shared" si="7"/>
        <v>17</v>
      </c>
      <c r="AA15" s="17">
        <f t="shared" si="7"/>
        <v>5</v>
      </c>
      <c r="AB15" s="17">
        <f t="shared" si="7"/>
        <v>11</v>
      </c>
      <c r="AC15" s="17">
        <f t="shared" si="7"/>
        <v>715</v>
      </c>
      <c r="AD15" s="17">
        <f t="shared" si="7"/>
        <v>0</v>
      </c>
      <c r="AE15" s="31">
        <f t="shared" si="7"/>
        <v>642</v>
      </c>
      <c r="AF15" s="31">
        <f t="shared" si="7"/>
        <v>1357</v>
      </c>
    </row>
    <row r="16" spans="2:32" ht="23.1" customHeight="1" x14ac:dyDescent="0.25">
      <c r="B16" s="23" t="s">
        <v>43</v>
      </c>
      <c r="C16" s="50">
        <v>83</v>
      </c>
      <c r="D16" s="50">
        <v>4</v>
      </c>
      <c r="E16" s="50">
        <v>12</v>
      </c>
      <c r="F16" s="50">
        <v>79</v>
      </c>
      <c r="G16" s="50">
        <v>4</v>
      </c>
      <c r="H16" s="50">
        <v>1</v>
      </c>
      <c r="I16" s="50">
        <v>8</v>
      </c>
      <c r="J16" s="50">
        <v>6</v>
      </c>
      <c r="K16" s="50">
        <v>0</v>
      </c>
      <c r="L16" s="50">
        <v>1</v>
      </c>
      <c r="M16" s="50">
        <v>255</v>
      </c>
      <c r="N16" s="50">
        <v>0</v>
      </c>
      <c r="O16" s="15">
        <f t="shared" si="0"/>
        <v>198</v>
      </c>
      <c r="P16" s="15">
        <f t="shared" si="1"/>
        <v>453</v>
      </c>
      <c r="R16" s="1" t="s">
        <v>12</v>
      </c>
      <c r="S16" s="17">
        <f t="shared" ref="S16:AF16" si="8">SUM(C34:C37)</f>
        <v>255</v>
      </c>
      <c r="T16" s="17">
        <f t="shared" si="8"/>
        <v>25</v>
      </c>
      <c r="U16" s="17">
        <f t="shared" si="8"/>
        <v>34</v>
      </c>
      <c r="V16" s="17">
        <f t="shared" si="8"/>
        <v>245</v>
      </c>
      <c r="W16" s="17">
        <f t="shared" si="8"/>
        <v>8</v>
      </c>
      <c r="X16" s="17">
        <f t="shared" si="8"/>
        <v>14</v>
      </c>
      <c r="Y16" s="17">
        <f t="shared" si="8"/>
        <v>26</v>
      </c>
      <c r="Z16" s="17">
        <f t="shared" si="8"/>
        <v>18</v>
      </c>
      <c r="AA16" s="17">
        <f t="shared" si="8"/>
        <v>21</v>
      </c>
      <c r="AB16" s="17">
        <f t="shared" si="8"/>
        <v>14</v>
      </c>
      <c r="AC16" s="17">
        <f t="shared" si="8"/>
        <v>687</v>
      </c>
      <c r="AD16" s="17">
        <f t="shared" si="8"/>
        <v>0</v>
      </c>
      <c r="AE16" s="31">
        <f t="shared" si="8"/>
        <v>660</v>
      </c>
      <c r="AF16" s="31">
        <f t="shared" si="8"/>
        <v>1347</v>
      </c>
    </row>
    <row r="17" spans="2:32" ht="23.1" customHeight="1" x14ac:dyDescent="0.25">
      <c r="B17" s="23" t="s">
        <v>44</v>
      </c>
      <c r="C17" s="50">
        <v>84</v>
      </c>
      <c r="D17" s="50">
        <v>9</v>
      </c>
      <c r="E17" s="50">
        <v>4</v>
      </c>
      <c r="F17" s="50">
        <v>69</v>
      </c>
      <c r="G17" s="50">
        <v>1</v>
      </c>
      <c r="H17" s="50">
        <v>2</v>
      </c>
      <c r="I17" s="50">
        <v>3</v>
      </c>
      <c r="J17" s="50">
        <v>1</v>
      </c>
      <c r="K17" s="50">
        <v>3</v>
      </c>
      <c r="L17" s="50">
        <v>6</v>
      </c>
      <c r="M17" s="50">
        <v>285</v>
      </c>
      <c r="N17" s="50">
        <v>0</v>
      </c>
      <c r="O17" s="15">
        <f t="shared" si="0"/>
        <v>182</v>
      </c>
      <c r="P17" s="15">
        <f t="shared" si="1"/>
        <v>467</v>
      </c>
      <c r="R17" s="1" t="s">
        <v>13</v>
      </c>
      <c r="S17" s="17">
        <f t="shared" ref="S17:AF17" si="9">SUM(C38:C41)</f>
        <v>300</v>
      </c>
      <c r="T17" s="17">
        <f t="shared" si="9"/>
        <v>30</v>
      </c>
      <c r="U17" s="17">
        <f t="shared" si="9"/>
        <v>22</v>
      </c>
      <c r="V17" s="17">
        <f t="shared" si="9"/>
        <v>355</v>
      </c>
      <c r="W17" s="17">
        <f t="shared" si="9"/>
        <v>15</v>
      </c>
      <c r="X17" s="17">
        <f t="shared" si="9"/>
        <v>17</v>
      </c>
      <c r="Y17" s="17">
        <f t="shared" si="9"/>
        <v>21</v>
      </c>
      <c r="Z17" s="17">
        <f t="shared" si="9"/>
        <v>27</v>
      </c>
      <c r="AA17" s="17">
        <f t="shared" si="9"/>
        <v>16</v>
      </c>
      <c r="AB17" s="17">
        <f t="shared" si="9"/>
        <v>20</v>
      </c>
      <c r="AC17" s="17">
        <f t="shared" si="9"/>
        <v>603</v>
      </c>
      <c r="AD17" s="17">
        <f t="shared" si="9"/>
        <v>0</v>
      </c>
      <c r="AE17" s="31">
        <f t="shared" si="9"/>
        <v>823</v>
      </c>
      <c r="AF17" s="31">
        <f t="shared" si="9"/>
        <v>1426</v>
      </c>
    </row>
    <row r="18" spans="2:32" ht="23.1" customHeight="1" x14ac:dyDescent="0.25">
      <c r="B18" s="23" t="s">
        <v>45</v>
      </c>
      <c r="C18" s="50">
        <v>88</v>
      </c>
      <c r="D18" s="50">
        <v>10</v>
      </c>
      <c r="E18" s="50">
        <v>8</v>
      </c>
      <c r="F18" s="50">
        <v>69</v>
      </c>
      <c r="G18" s="50">
        <v>1</v>
      </c>
      <c r="H18" s="50">
        <v>0</v>
      </c>
      <c r="I18" s="50">
        <v>11</v>
      </c>
      <c r="J18" s="50">
        <v>12</v>
      </c>
      <c r="K18" s="50">
        <v>1</v>
      </c>
      <c r="L18" s="50">
        <v>0</v>
      </c>
      <c r="M18" s="50">
        <v>250</v>
      </c>
      <c r="N18" s="50">
        <v>0</v>
      </c>
      <c r="O18" s="15">
        <f t="shared" si="0"/>
        <v>200</v>
      </c>
      <c r="P18" s="15">
        <f t="shared" si="1"/>
        <v>450</v>
      </c>
      <c r="R18" s="1" t="s">
        <v>14</v>
      </c>
      <c r="S18" s="17">
        <f t="shared" ref="S18:AF18" si="10">SUM(C42:C45)</f>
        <v>335</v>
      </c>
      <c r="T18" s="17">
        <f t="shared" si="10"/>
        <v>32</v>
      </c>
      <c r="U18" s="17">
        <f t="shared" si="10"/>
        <v>80</v>
      </c>
      <c r="V18" s="17">
        <f t="shared" si="10"/>
        <v>370</v>
      </c>
      <c r="W18" s="17">
        <f t="shared" si="10"/>
        <v>27</v>
      </c>
      <c r="X18" s="17">
        <f t="shared" si="10"/>
        <v>19</v>
      </c>
      <c r="Y18" s="17">
        <f t="shared" si="10"/>
        <v>76</v>
      </c>
      <c r="Z18" s="17">
        <f t="shared" si="10"/>
        <v>45</v>
      </c>
      <c r="AA18" s="17">
        <f t="shared" si="10"/>
        <v>19</v>
      </c>
      <c r="AB18" s="17">
        <f t="shared" si="10"/>
        <v>11</v>
      </c>
      <c r="AC18" s="17">
        <f t="shared" si="10"/>
        <v>710</v>
      </c>
      <c r="AD18" s="17">
        <f t="shared" si="10"/>
        <v>0</v>
      </c>
      <c r="AE18" s="31">
        <f t="shared" si="10"/>
        <v>1014</v>
      </c>
      <c r="AF18" s="31">
        <f t="shared" si="10"/>
        <v>1724</v>
      </c>
    </row>
    <row r="19" spans="2:32" ht="23.1" customHeight="1" x14ac:dyDescent="0.25">
      <c r="B19" s="23" t="s">
        <v>46</v>
      </c>
      <c r="C19" s="50">
        <v>73</v>
      </c>
      <c r="D19" s="50">
        <v>5</v>
      </c>
      <c r="E19" s="50">
        <v>11</v>
      </c>
      <c r="F19" s="50">
        <v>65</v>
      </c>
      <c r="G19" s="50">
        <v>1</v>
      </c>
      <c r="H19" s="50">
        <v>0</v>
      </c>
      <c r="I19" s="50">
        <v>6</v>
      </c>
      <c r="J19" s="50">
        <v>3</v>
      </c>
      <c r="K19" s="50">
        <v>0</v>
      </c>
      <c r="L19" s="50">
        <v>0</v>
      </c>
      <c r="M19" s="50">
        <v>220</v>
      </c>
      <c r="N19" s="50">
        <v>0</v>
      </c>
      <c r="O19" s="15">
        <f t="shared" si="0"/>
        <v>164</v>
      </c>
      <c r="P19" s="15">
        <f t="shared" si="1"/>
        <v>384</v>
      </c>
      <c r="R19" s="1" t="s">
        <v>15</v>
      </c>
      <c r="S19" s="17">
        <f t="shared" ref="S19:AF19" si="11">SUM(C46:C49)</f>
        <v>302</v>
      </c>
      <c r="T19" s="17">
        <f t="shared" si="11"/>
        <v>22</v>
      </c>
      <c r="U19" s="17">
        <f t="shared" si="11"/>
        <v>41</v>
      </c>
      <c r="V19" s="17">
        <f t="shared" si="11"/>
        <v>330</v>
      </c>
      <c r="W19" s="17">
        <f t="shared" si="11"/>
        <v>18</v>
      </c>
      <c r="X19" s="17">
        <f t="shared" si="11"/>
        <v>18</v>
      </c>
      <c r="Y19" s="17">
        <f t="shared" si="11"/>
        <v>46</v>
      </c>
      <c r="Z19" s="17">
        <f t="shared" si="11"/>
        <v>46</v>
      </c>
      <c r="AA19" s="17">
        <f t="shared" si="11"/>
        <v>15</v>
      </c>
      <c r="AB19" s="17">
        <f t="shared" si="11"/>
        <v>21</v>
      </c>
      <c r="AC19" s="17">
        <f t="shared" si="11"/>
        <v>665</v>
      </c>
      <c r="AD19" s="17">
        <f t="shared" si="11"/>
        <v>0</v>
      </c>
      <c r="AE19" s="31">
        <f t="shared" si="11"/>
        <v>859</v>
      </c>
      <c r="AF19" s="31">
        <f t="shared" si="11"/>
        <v>1524</v>
      </c>
    </row>
    <row r="20" spans="2:32" ht="23.1" customHeight="1" x14ac:dyDescent="0.25">
      <c r="B20" s="23" t="s">
        <v>47</v>
      </c>
      <c r="C20" s="50">
        <v>76</v>
      </c>
      <c r="D20" s="50">
        <v>8</v>
      </c>
      <c r="E20" s="50">
        <v>6</v>
      </c>
      <c r="F20" s="50">
        <v>57</v>
      </c>
      <c r="G20" s="50">
        <v>0</v>
      </c>
      <c r="H20" s="50">
        <v>0</v>
      </c>
      <c r="I20" s="50">
        <v>4</v>
      </c>
      <c r="J20" s="50">
        <v>6</v>
      </c>
      <c r="K20" s="50">
        <v>4</v>
      </c>
      <c r="L20" s="50">
        <v>0</v>
      </c>
      <c r="M20" s="50">
        <v>205</v>
      </c>
      <c r="N20" s="50">
        <v>0</v>
      </c>
      <c r="O20" s="15">
        <f t="shared" si="0"/>
        <v>161</v>
      </c>
      <c r="P20" s="15">
        <f t="shared" si="1"/>
        <v>366</v>
      </c>
      <c r="R20" s="1" t="s">
        <v>16</v>
      </c>
      <c r="S20" s="17">
        <f t="shared" ref="S20:AF20" si="12">SUM(C50:C53)</f>
        <v>463</v>
      </c>
      <c r="T20" s="17">
        <f t="shared" si="12"/>
        <v>50</v>
      </c>
      <c r="U20" s="17">
        <f t="shared" si="12"/>
        <v>43</v>
      </c>
      <c r="V20" s="17">
        <f t="shared" si="12"/>
        <v>320</v>
      </c>
      <c r="W20" s="17">
        <f t="shared" si="12"/>
        <v>17</v>
      </c>
      <c r="X20" s="17">
        <f t="shared" si="12"/>
        <v>15</v>
      </c>
      <c r="Y20" s="17">
        <f t="shared" si="12"/>
        <v>78</v>
      </c>
      <c r="Z20" s="17">
        <f t="shared" si="12"/>
        <v>47</v>
      </c>
      <c r="AA20" s="17">
        <f t="shared" si="12"/>
        <v>13</v>
      </c>
      <c r="AB20" s="17">
        <f t="shared" si="12"/>
        <v>15</v>
      </c>
      <c r="AC20" s="17">
        <f t="shared" si="12"/>
        <v>700</v>
      </c>
      <c r="AD20" s="17">
        <f t="shared" si="12"/>
        <v>0</v>
      </c>
      <c r="AE20" s="31">
        <f t="shared" si="12"/>
        <v>1061</v>
      </c>
      <c r="AF20" s="31">
        <f t="shared" si="12"/>
        <v>1761</v>
      </c>
    </row>
    <row r="21" spans="2:32" ht="23.1" customHeight="1" x14ac:dyDescent="0.25">
      <c r="B21" s="23" t="s">
        <v>48</v>
      </c>
      <c r="C21" s="50">
        <v>79</v>
      </c>
      <c r="D21" s="50">
        <v>14</v>
      </c>
      <c r="E21" s="50">
        <v>7</v>
      </c>
      <c r="F21" s="50">
        <v>53</v>
      </c>
      <c r="G21" s="50">
        <v>0</v>
      </c>
      <c r="H21" s="50">
        <v>2</v>
      </c>
      <c r="I21" s="50">
        <v>6</v>
      </c>
      <c r="J21" s="50">
        <v>5</v>
      </c>
      <c r="K21" s="50">
        <v>1</v>
      </c>
      <c r="L21" s="50">
        <v>2</v>
      </c>
      <c r="M21" s="50">
        <v>240</v>
      </c>
      <c r="N21" s="50">
        <v>0</v>
      </c>
      <c r="O21" s="15">
        <f t="shared" si="0"/>
        <v>169</v>
      </c>
      <c r="P21" s="15">
        <f t="shared" si="1"/>
        <v>409</v>
      </c>
      <c r="R21" s="36" t="s">
        <v>20</v>
      </c>
      <c r="S21" s="34">
        <f t="shared" ref="S21:AF21" si="13">SUM(C54:C57)</f>
        <v>353</v>
      </c>
      <c r="T21" s="17">
        <f t="shared" si="13"/>
        <v>22</v>
      </c>
      <c r="U21" s="17">
        <f t="shared" si="13"/>
        <v>65</v>
      </c>
      <c r="V21" s="17">
        <f t="shared" si="13"/>
        <v>352</v>
      </c>
      <c r="W21" s="17">
        <f t="shared" si="13"/>
        <v>4</v>
      </c>
      <c r="X21" s="17">
        <f t="shared" si="13"/>
        <v>17</v>
      </c>
      <c r="Y21" s="17">
        <f t="shared" si="13"/>
        <v>84</v>
      </c>
      <c r="Z21" s="17">
        <f t="shared" si="13"/>
        <v>33</v>
      </c>
      <c r="AA21" s="17">
        <f t="shared" si="13"/>
        <v>39</v>
      </c>
      <c r="AB21" s="17">
        <f t="shared" si="13"/>
        <v>18</v>
      </c>
      <c r="AC21" s="17">
        <f t="shared" si="13"/>
        <v>473</v>
      </c>
      <c r="AD21" s="17">
        <f t="shared" si="13"/>
        <v>0</v>
      </c>
      <c r="AE21" s="31">
        <f t="shared" si="13"/>
        <v>987</v>
      </c>
      <c r="AF21" s="31">
        <f t="shared" si="13"/>
        <v>1460</v>
      </c>
    </row>
    <row r="22" spans="2:32" ht="23.1" customHeight="1" x14ac:dyDescent="0.25">
      <c r="B22" s="23" t="s">
        <v>49</v>
      </c>
      <c r="C22" s="50">
        <v>74</v>
      </c>
      <c r="D22" s="50">
        <v>3</v>
      </c>
      <c r="E22" s="50">
        <v>7</v>
      </c>
      <c r="F22" s="50">
        <v>69</v>
      </c>
      <c r="G22" s="50">
        <v>0</v>
      </c>
      <c r="H22" s="50">
        <v>0</v>
      </c>
      <c r="I22" s="50">
        <v>12</v>
      </c>
      <c r="J22" s="50">
        <v>6</v>
      </c>
      <c r="K22" s="50">
        <v>0</v>
      </c>
      <c r="L22" s="50">
        <v>2</v>
      </c>
      <c r="M22" s="50">
        <v>285</v>
      </c>
      <c r="N22" s="50">
        <v>0</v>
      </c>
      <c r="O22" s="15">
        <f t="shared" si="0"/>
        <v>173</v>
      </c>
      <c r="P22" s="15">
        <f t="shared" si="1"/>
        <v>458</v>
      </c>
      <c r="R22" s="38" t="s">
        <v>90</v>
      </c>
      <c r="S22" s="39">
        <f>MAX(S10:S12)</f>
        <v>433</v>
      </c>
      <c r="T22" s="39">
        <f t="shared" ref="T22:AF22" si="14">MAX(T10:T12)</f>
        <v>37</v>
      </c>
      <c r="U22" s="39">
        <f t="shared" si="14"/>
        <v>41</v>
      </c>
      <c r="V22" s="39">
        <f t="shared" si="14"/>
        <v>269</v>
      </c>
      <c r="W22" s="39">
        <f t="shared" si="14"/>
        <v>11</v>
      </c>
      <c r="X22" s="39">
        <f t="shared" si="14"/>
        <v>4</v>
      </c>
      <c r="Y22" s="39">
        <f t="shared" si="14"/>
        <v>27</v>
      </c>
      <c r="Z22" s="39">
        <f t="shared" si="14"/>
        <v>26</v>
      </c>
      <c r="AA22" s="39">
        <f t="shared" si="14"/>
        <v>6</v>
      </c>
      <c r="AB22" s="39">
        <f t="shared" si="14"/>
        <v>13</v>
      </c>
      <c r="AC22" s="39">
        <f t="shared" si="14"/>
        <v>1060</v>
      </c>
      <c r="AD22" s="39">
        <f t="shared" si="14"/>
        <v>0</v>
      </c>
      <c r="AE22" s="40">
        <f t="shared" si="14"/>
        <v>849</v>
      </c>
      <c r="AF22" s="40">
        <f t="shared" si="14"/>
        <v>1804</v>
      </c>
    </row>
    <row r="23" spans="2:32" ht="23.1" customHeight="1" x14ac:dyDescent="0.25">
      <c r="B23" s="23" t="s">
        <v>50</v>
      </c>
      <c r="C23" s="50">
        <v>84</v>
      </c>
      <c r="D23" s="50">
        <v>7</v>
      </c>
      <c r="E23" s="50">
        <v>14</v>
      </c>
      <c r="F23" s="50">
        <v>53</v>
      </c>
      <c r="G23" s="50">
        <v>0</v>
      </c>
      <c r="H23" s="50">
        <v>2</v>
      </c>
      <c r="I23" s="50">
        <v>5</v>
      </c>
      <c r="J23" s="50">
        <v>8</v>
      </c>
      <c r="K23" s="50">
        <v>0</v>
      </c>
      <c r="L23" s="50">
        <v>1</v>
      </c>
      <c r="M23" s="50">
        <v>235</v>
      </c>
      <c r="N23" s="50">
        <v>0</v>
      </c>
      <c r="O23" s="15">
        <f t="shared" si="0"/>
        <v>174</v>
      </c>
      <c r="P23" s="15">
        <f t="shared" si="1"/>
        <v>409</v>
      </c>
      <c r="R23" s="38" t="s">
        <v>91</v>
      </c>
      <c r="S23" s="39">
        <f>MAX(S13:S18)</f>
        <v>335</v>
      </c>
      <c r="T23" s="39">
        <f t="shared" ref="T23:AF23" si="15">MAX(T13:T18)</f>
        <v>32</v>
      </c>
      <c r="U23" s="39">
        <f t="shared" si="15"/>
        <v>80</v>
      </c>
      <c r="V23" s="39">
        <f t="shared" si="15"/>
        <v>370</v>
      </c>
      <c r="W23" s="39">
        <f t="shared" si="15"/>
        <v>27</v>
      </c>
      <c r="X23" s="39">
        <f t="shared" si="15"/>
        <v>19</v>
      </c>
      <c r="Y23" s="39">
        <f t="shared" si="15"/>
        <v>76</v>
      </c>
      <c r="Z23" s="39">
        <f t="shared" si="15"/>
        <v>45</v>
      </c>
      <c r="AA23" s="39">
        <f t="shared" si="15"/>
        <v>21</v>
      </c>
      <c r="AB23" s="39">
        <f t="shared" si="15"/>
        <v>20</v>
      </c>
      <c r="AC23" s="39">
        <f t="shared" si="15"/>
        <v>973</v>
      </c>
      <c r="AD23" s="39">
        <f t="shared" si="15"/>
        <v>0</v>
      </c>
      <c r="AE23" s="40">
        <f t="shared" si="15"/>
        <v>1014</v>
      </c>
      <c r="AF23" s="40">
        <f t="shared" si="15"/>
        <v>1724</v>
      </c>
    </row>
    <row r="24" spans="2:32" ht="23.1" customHeight="1" x14ac:dyDescent="0.25">
      <c r="B24" s="23" t="s">
        <v>51</v>
      </c>
      <c r="C24" s="50">
        <v>79</v>
      </c>
      <c r="D24" s="50">
        <v>8</v>
      </c>
      <c r="E24" s="50">
        <v>9</v>
      </c>
      <c r="F24" s="50">
        <v>56</v>
      </c>
      <c r="G24" s="50">
        <v>0</v>
      </c>
      <c r="H24" s="50">
        <v>1</v>
      </c>
      <c r="I24" s="50">
        <v>16</v>
      </c>
      <c r="J24" s="50">
        <v>6</v>
      </c>
      <c r="K24" s="50">
        <v>0</v>
      </c>
      <c r="L24" s="50">
        <v>5</v>
      </c>
      <c r="M24" s="50">
        <v>225</v>
      </c>
      <c r="N24" s="50">
        <v>0</v>
      </c>
      <c r="O24" s="15">
        <f t="shared" si="0"/>
        <v>180</v>
      </c>
      <c r="P24" s="15">
        <f t="shared" si="1"/>
        <v>405</v>
      </c>
      <c r="R24" s="38" t="s">
        <v>92</v>
      </c>
      <c r="S24" s="39">
        <f>MAX(S19:S21)</f>
        <v>463</v>
      </c>
      <c r="T24" s="39">
        <f t="shared" ref="T24:AF24" si="16">MAX(T19:T21)</f>
        <v>50</v>
      </c>
      <c r="U24" s="39">
        <f t="shared" si="16"/>
        <v>65</v>
      </c>
      <c r="V24" s="39">
        <f t="shared" si="16"/>
        <v>352</v>
      </c>
      <c r="W24" s="39">
        <f t="shared" si="16"/>
        <v>18</v>
      </c>
      <c r="X24" s="39">
        <f t="shared" si="16"/>
        <v>18</v>
      </c>
      <c r="Y24" s="39">
        <f t="shared" si="16"/>
        <v>84</v>
      </c>
      <c r="Z24" s="39">
        <f t="shared" si="16"/>
        <v>47</v>
      </c>
      <c r="AA24" s="39">
        <f t="shared" si="16"/>
        <v>39</v>
      </c>
      <c r="AB24" s="39">
        <f t="shared" si="16"/>
        <v>21</v>
      </c>
      <c r="AC24" s="39">
        <f t="shared" si="16"/>
        <v>700</v>
      </c>
      <c r="AD24" s="39">
        <f t="shared" si="16"/>
        <v>0</v>
      </c>
      <c r="AE24" s="40">
        <f t="shared" si="16"/>
        <v>1061</v>
      </c>
      <c r="AF24" s="40">
        <f t="shared" si="16"/>
        <v>1761</v>
      </c>
    </row>
    <row r="25" spans="2:32" ht="23.1" customHeight="1" x14ac:dyDescent="0.25">
      <c r="B25" s="23" t="s">
        <v>52</v>
      </c>
      <c r="C25" s="50">
        <v>59</v>
      </c>
      <c r="D25" s="50">
        <v>7</v>
      </c>
      <c r="E25" s="50">
        <v>5</v>
      </c>
      <c r="F25" s="50">
        <v>54</v>
      </c>
      <c r="G25" s="50">
        <v>0</v>
      </c>
      <c r="H25" s="50">
        <v>0</v>
      </c>
      <c r="I25" s="50">
        <v>12</v>
      </c>
      <c r="J25" s="50">
        <v>8</v>
      </c>
      <c r="K25" s="50">
        <v>0</v>
      </c>
      <c r="L25" s="50">
        <v>2</v>
      </c>
      <c r="M25" s="50">
        <v>228</v>
      </c>
      <c r="N25" s="50">
        <v>0</v>
      </c>
      <c r="O25" s="15">
        <f t="shared" si="0"/>
        <v>147</v>
      </c>
      <c r="P25" s="15">
        <f t="shared" si="1"/>
        <v>375</v>
      </c>
      <c r="R25" s="37" t="s">
        <v>85</v>
      </c>
      <c r="S25" s="35">
        <f t="shared" ref="S25:AF25" si="17">SUM(S10:S12)</f>
        <v>1081</v>
      </c>
      <c r="T25" s="16">
        <f t="shared" si="17"/>
        <v>100</v>
      </c>
      <c r="U25" s="16">
        <f t="shared" si="17"/>
        <v>112</v>
      </c>
      <c r="V25" s="16">
        <f t="shared" si="17"/>
        <v>777</v>
      </c>
      <c r="W25" s="16">
        <f t="shared" si="17"/>
        <v>23</v>
      </c>
      <c r="X25" s="16">
        <f t="shared" si="17"/>
        <v>9</v>
      </c>
      <c r="Y25" s="16">
        <f t="shared" si="17"/>
        <v>72</v>
      </c>
      <c r="Z25" s="16">
        <f t="shared" si="17"/>
        <v>64</v>
      </c>
      <c r="AA25" s="16">
        <f t="shared" si="17"/>
        <v>17</v>
      </c>
      <c r="AB25" s="16">
        <f t="shared" si="17"/>
        <v>20</v>
      </c>
      <c r="AC25" s="16">
        <f t="shared" si="17"/>
        <v>2930</v>
      </c>
      <c r="AD25" s="16">
        <f t="shared" si="17"/>
        <v>0</v>
      </c>
      <c r="AE25" s="32">
        <f t="shared" si="17"/>
        <v>2275</v>
      </c>
      <c r="AF25" s="32">
        <f t="shared" si="17"/>
        <v>5205</v>
      </c>
    </row>
    <row r="26" spans="2:32" ht="23.1" customHeight="1" x14ac:dyDescent="0.25">
      <c r="B26" s="23" t="s">
        <v>53</v>
      </c>
      <c r="C26" s="50">
        <v>83</v>
      </c>
      <c r="D26" s="50">
        <v>6</v>
      </c>
      <c r="E26" s="50">
        <v>11</v>
      </c>
      <c r="F26" s="50">
        <v>67</v>
      </c>
      <c r="G26" s="50">
        <v>0</v>
      </c>
      <c r="H26" s="50">
        <v>0</v>
      </c>
      <c r="I26" s="50">
        <v>11</v>
      </c>
      <c r="J26" s="50">
        <v>6</v>
      </c>
      <c r="K26" s="50">
        <v>0</v>
      </c>
      <c r="L26" s="50">
        <v>2</v>
      </c>
      <c r="M26" s="50">
        <v>285</v>
      </c>
      <c r="N26" s="50">
        <v>0</v>
      </c>
      <c r="O26" s="15">
        <f t="shared" si="0"/>
        <v>186</v>
      </c>
      <c r="P26" s="15">
        <f t="shared" si="1"/>
        <v>471</v>
      </c>
      <c r="R26" s="28" t="s">
        <v>86</v>
      </c>
      <c r="S26" s="16">
        <f t="shared" ref="S26:AF26" si="18">SUM(S13:S18)</f>
        <v>1754</v>
      </c>
      <c r="T26" s="16">
        <f t="shared" si="18"/>
        <v>155</v>
      </c>
      <c r="U26" s="16">
        <f t="shared" si="18"/>
        <v>235</v>
      </c>
      <c r="V26" s="16">
        <f t="shared" si="18"/>
        <v>1742</v>
      </c>
      <c r="W26" s="16">
        <f t="shared" si="18"/>
        <v>54</v>
      </c>
      <c r="X26" s="16">
        <f t="shared" si="18"/>
        <v>61</v>
      </c>
      <c r="Y26" s="16">
        <f t="shared" si="18"/>
        <v>225</v>
      </c>
      <c r="Z26" s="16">
        <f t="shared" si="18"/>
        <v>156</v>
      </c>
      <c r="AA26" s="16">
        <f t="shared" si="18"/>
        <v>65</v>
      </c>
      <c r="AB26" s="16">
        <f t="shared" si="18"/>
        <v>76</v>
      </c>
      <c r="AC26" s="16">
        <f t="shared" si="18"/>
        <v>4566</v>
      </c>
      <c r="AD26" s="16">
        <f t="shared" si="18"/>
        <v>0</v>
      </c>
      <c r="AE26" s="32">
        <f t="shared" si="18"/>
        <v>4523</v>
      </c>
      <c r="AF26" s="32">
        <f t="shared" si="18"/>
        <v>9089</v>
      </c>
    </row>
    <row r="27" spans="2:32" ht="23.1" customHeight="1" x14ac:dyDescent="0.25">
      <c r="B27" s="23" t="s">
        <v>54</v>
      </c>
      <c r="C27" s="50">
        <v>57</v>
      </c>
      <c r="D27" s="50">
        <v>7</v>
      </c>
      <c r="E27" s="50">
        <v>3</v>
      </c>
      <c r="F27" s="50">
        <v>50</v>
      </c>
      <c r="G27" s="50">
        <v>1</v>
      </c>
      <c r="H27" s="50">
        <v>2</v>
      </c>
      <c r="I27" s="50">
        <v>5</v>
      </c>
      <c r="J27" s="50">
        <v>5</v>
      </c>
      <c r="K27" s="50">
        <v>1</v>
      </c>
      <c r="L27" s="50">
        <v>0</v>
      </c>
      <c r="M27" s="50">
        <v>190</v>
      </c>
      <c r="N27" s="50">
        <v>0</v>
      </c>
      <c r="O27" s="15">
        <f t="shared" si="0"/>
        <v>131</v>
      </c>
      <c r="P27" s="15">
        <f t="shared" si="1"/>
        <v>321</v>
      </c>
      <c r="R27" s="29" t="s">
        <v>87</v>
      </c>
      <c r="S27" s="16">
        <f t="shared" ref="S27:AF27" si="19">SUM(S19:S21)</f>
        <v>1118</v>
      </c>
      <c r="T27" s="16">
        <f t="shared" si="19"/>
        <v>94</v>
      </c>
      <c r="U27" s="16">
        <f t="shared" si="19"/>
        <v>149</v>
      </c>
      <c r="V27" s="16">
        <f t="shared" si="19"/>
        <v>1002</v>
      </c>
      <c r="W27" s="16">
        <f t="shared" si="19"/>
        <v>39</v>
      </c>
      <c r="X27" s="16">
        <f t="shared" si="19"/>
        <v>50</v>
      </c>
      <c r="Y27" s="16">
        <f t="shared" si="19"/>
        <v>208</v>
      </c>
      <c r="Z27" s="16">
        <f t="shared" si="19"/>
        <v>126</v>
      </c>
      <c r="AA27" s="16">
        <f t="shared" si="19"/>
        <v>67</v>
      </c>
      <c r="AB27" s="16">
        <f t="shared" si="19"/>
        <v>54</v>
      </c>
      <c r="AC27" s="16">
        <f t="shared" si="19"/>
        <v>1838</v>
      </c>
      <c r="AD27" s="16">
        <f t="shared" si="19"/>
        <v>0</v>
      </c>
      <c r="AE27" s="32">
        <f t="shared" si="19"/>
        <v>2907</v>
      </c>
      <c r="AF27" s="32">
        <f t="shared" si="19"/>
        <v>4745</v>
      </c>
    </row>
    <row r="28" spans="2:32" ht="23.1" customHeight="1" x14ac:dyDescent="0.25">
      <c r="B28" s="23" t="s">
        <v>55</v>
      </c>
      <c r="C28" s="50">
        <v>70</v>
      </c>
      <c r="D28" s="50">
        <v>5</v>
      </c>
      <c r="E28" s="50">
        <v>11</v>
      </c>
      <c r="F28" s="50">
        <v>60</v>
      </c>
      <c r="G28" s="50">
        <v>0</v>
      </c>
      <c r="H28" s="50">
        <v>1</v>
      </c>
      <c r="I28" s="50">
        <v>5</v>
      </c>
      <c r="J28" s="50">
        <v>7</v>
      </c>
      <c r="K28" s="50">
        <v>2</v>
      </c>
      <c r="L28" s="50">
        <v>3</v>
      </c>
      <c r="M28" s="50">
        <v>246</v>
      </c>
      <c r="N28" s="50">
        <v>0</v>
      </c>
      <c r="O28" s="15">
        <f t="shared" si="0"/>
        <v>164</v>
      </c>
      <c r="P28" s="15">
        <f t="shared" si="1"/>
        <v>410</v>
      </c>
      <c r="R28" s="5" t="s">
        <v>17</v>
      </c>
      <c r="S28" s="16">
        <f t="shared" ref="S28:AF28" si="20">SUM(S10:S21)</f>
        <v>3953</v>
      </c>
      <c r="T28" s="16">
        <f t="shared" si="20"/>
        <v>349</v>
      </c>
      <c r="U28" s="16">
        <f t="shared" si="20"/>
        <v>496</v>
      </c>
      <c r="V28" s="16">
        <f t="shared" si="20"/>
        <v>3521</v>
      </c>
      <c r="W28" s="16">
        <f t="shared" si="20"/>
        <v>116</v>
      </c>
      <c r="X28" s="16">
        <f t="shared" si="20"/>
        <v>120</v>
      </c>
      <c r="Y28" s="16">
        <f t="shared" si="20"/>
        <v>505</v>
      </c>
      <c r="Z28" s="16">
        <f t="shared" si="20"/>
        <v>346</v>
      </c>
      <c r="AA28" s="16">
        <f t="shared" si="20"/>
        <v>149</v>
      </c>
      <c r="AB28" s="16">
        <f t="shared" si="20"/>
        <v>150</v>
      </c>
      <c r="AC28" s="16">
        <f t="shared" si="20"/>
        <v>9334</v>
      </c>
      <c r="AD28" s="16">
        <f t="shared" si="20"/>
        <v>0</v>
      </c>
      <c r="AE28" s="32">
        <f t="shared" si="20"/>
        <v>9705</v>
      </c>
      <c r="AF28" s="32">
        <f t="shared" si="20"/>
        <v>19039</v>
      </c>
    </row>
    <row r="29" spans="2:32" ht="23.1" customHeight="1" x14ac:dyDescent="0.25">
      <c r="B29" s="23" t="s">
        <v>56</v>
      </c>
      <c r="C29" s="50">
        <v>110</v>
      </c>
      <c r="D29" s="50">
        <v>3</v>
      </c>
      <c r="E29" s="50">
        <v>8</v>
      </c>
      <c r="F29" s="50">
        <v>90</v>
      </c>
      <c r="G29" s="50">
        <v>0</v>
      </c>
      <c r="H29" s="50">
        <v>1</v>
      </c>
      <c r="I29" s="50">
        <v>8</v>
      </c>
      <c r="J29" s="50">
        <v>3</v>
      </c>
      <c r="K29" s="50">
        <v>1</v>
      </c>
      <c r="L29" s="50">
        <v>5</v>
      </c>
      <c r="M29" s="50">
        <v>157</v>
      </c>
      <c r="N29" s="50">
        <v>0</v>
      </c>
      <c r="O29" s="15">
        <f t="shared" si="0"/>
        <v>229</v>
      </c>
      <c r="P29" s="15">
        <f t="shared" si="1"/>
        <v>386</v>
      </c>
      <c r="R29"/>
      <c r="S29" s="20"/>
      <c r="T29" s="19"/>
    </row>
    <row r="30" spans="2:32" ht="23.1" customHeight="1" x14ac:dyDescent="0.25">
      <c r="B30" s="23" t="s">
        <v>57</v>
      </c>
      <c r="C30" s="50">
        <v>95</v>
      </c>
      <c r="D30" s="50">
        <v>8</v>
      </c>
      <c r="E30" s="50">
        <v>9</v>
      </c>
      <c r="F30" s="50">
        <v>100</v>
      </c>
      <c r="G30" s="50">
        <v>3</v>
      </c>
      <c r="H30" s="50">
        <v>2</v>
      </c>
      <c r="I30" s="50">
        <v>8</v>
      </c>
      <c r="J30" s="50">
        <v>5</v>
      </c>
      <c r="K30" s="50">
        <v>3</v>
      </c>
      <c r="L30" s="50">
        <v>3</v>
      </c>
      <c r="M30" s="50">
        <v>251</v>
      </c>
      <c r="N30" s="50">
        <v>0</v>
      </c>
      <c r="O30" s="15">
        <f t="shared" si="0"/>
        <v>236</v>
      </c>
      <c r="P30" s="15">
        <f t="shared" si="1"/>
        <v>487</v>
      </c>
    </row>
    <row r="31" spans="2:32" ht="23.1" customHeight="1" x14ac:dyDescent="0.25">
      <c r="B31" s="24" t="s">
        <v>58</v>
      </c>
      <c r="C31" s="50">
        <v>40</v>
      </c>
      <c r="D31" s="50">
        <v>5</v>
      </c>
      <c r="E31" s="50">
        <v>10</v>
      </c>
      <c r="F31" s="50">
        <v>49</v>
      </c>
      <c r="G31" s="50">
        <v>0</v>
      </c>
      <c r="H31" s="50">
        <v>0</v>
      </c>
      <c r="I31" s="50">
        <v>4</v>
      </c>
      <c r="J31" s="50">
        <v>4</v>
      </c>
      <c r="K31" s="50">
        <v>0</v>
      </c>
      <c r="L31" s="50">
        <v>1</v>
      </c>
      <c r="M31" s="50">
        <v>187</v>
      </c>
      <c r="N31" s="50">
        <v>0</v>
      </c>
      <c r="O31" s="15">
        <f t="shared" si="0"/>
        <v>113</v>
      </c>
      <c r="P31" s="15">
        <f t="shared" si="1"/>
        <v>300</v>
      </c>
    </row>
    <row r="32" spans="2:32" ht="23.1" customHeight="1" x14ac:dyDescent="0.25">
      <c r="B32" s="24" t="s">
        <v>59</v>
      </c>
      <c r="C32" s="50">
        <v>55</v>
      </c>
      <c r="D32" s="50">
        <v>3</v>
      </c>
      <c r="E32" s="50">
        <v>5</v>
      </c>
      <c r="F32" s="50">
        <v>43</v>
      </c>
      <c r="G32" s="50">
        <v>0</v>
      </c>
      <c r="H32" s="50">
        <v>2</v>
      </c>
      <c r="I32" s="50">
        <v>9</v>
      </c>
      <c r="J32" s="50">
        <v>4</v>
      </c>
      <c r="K32" s="50">
        <v>0</v>
      </c>
      <c r="L32" s="50">
        <v>4</v>
      </c>
      <c r="M32" s="50">
        <v>148</v>
      </c>
      <c r="N32" s="50">
        <v>0</v>
      </c>
      <c r="O32" s="15">
        <f t="shared" si="0"/>
        <v>125</v>
      </c>
      <c r="P32" s="15">
        <f t="shared" si="1"/>
        <v>273</v>
      </c>
    </row>
    <row r="33" spans="2:20" ht="23.1" customHeight="1" x14ac:dyDescent="0.25">
      <c r="B33" s="23" t="s">
        <v>60</v>
      </c>
      <c r="C33" s="50">
        <v>58</v>
      </c>
      <c r="D33" s="50">
        <v>6</v>
      </c>
      <c r="E33" s="50">
        <v>7</v>
      </c>
      <c r="F33" s="50">
        <v>81</v>
      </c>
      <c r="G33" s="50">
        <v>0</v>
      </c>
      <c r="H33" s="50">
        <v>0</v>
      </c>
      <c r="I33" s="50">
        <v>7</v>
      </c>
      <c r="J33" s="50">
        <v>4</v>
      </c>
      <c r="K33" s="50">
        <v>2</v>
      </c>
      <c r="L33" s="50">
        <v>3</v>
      </c>
      <c r="M33" s="50">
        <v>129</v>
      </c>
      <c r="N33" s="50">
        <v>0</v>
      </c>
      <c r="O33" s="15">
        <f t="shared" si="0"/>
        <v>168</v>
      </c>
      <c r="P33" s="15">
        <f t="shared" si="1"/>
        <v>297</v>
      </c>
    </row>
    <row r="34" spans="2:20" ht="23.1" customHeight="1" x14ac:dyDescent="0.25">
      <c r="B34" s="24" t="s">
        <v>61</v>
      </c>
      <c r="C34" s="50">
        <v>65</v>
      </c>
      <c r="D34" s="50">
        <v>4</v>
      </c>
      <c r="E34" s="50">
        <v>3</v>
      </c>
      <c r="F34" s="50">
        <v>45</v>
      </c>
      <c r="G34" s="50">
        <v>1</v>
      </c>
      <c r="H34" s="50">
        <v>1</v>
      </c>
      <c r="I34" s="50">
        <v>8</v>
      </c>
      <c r="J34" s="50">
        <v>1</v>
      </c>
      <c r="K34" s="50">
        <v>2</v>
      </c>
      <c r="L34" s="50">
        <v>1</v>
      </c>
      <c r="M34" s="50">
        <v>180</v>
      </c>
      <c r="N34" s="50">
        <v>0</v>
      </c>
      <c r="O34" s="15">
        <f t="shared" si="0"/>
        <v>131</v>
      </c>
      <c r="P34" s="15">
        <f t="shared" si="1"/>
        <v>311</v>
      </c>
    </row>
    <row r="35" spans="2:20" ht="23.1" customHeight="1" x14ac:dyDescent="0.25">
      <c r="B35" s="24" t="s">
        <v>62</v>
      </c>
      <c r="C35" s="50">
        <v>75</v>
      </c>
      <c r="D35" s="50">
        <v>7</v>
      </c>
      <c r="E35" s="50">
        <v>5</v>
      </c>
      <c r="F35" s="50">
        <v>80</v>
      </c>
      <c r="G35" s="50">
        <v>0</v>
      </c>
      <c r="H35" s="50">
        <v>5</v>
      </c>
      <c r="I35" s="50">
        <v>7</v>
      </c>
      <c r="J35" s="50">
        <v>8</v>
      </c>
      <c r="K35" s="50">
        <v>3</v>
      </c>
      <c r="L35" s="50">
        <v>5</v>
      </c>
      <c r="M35" s="50">
        <v>161</v>
      </c>
      <c r="N35" s="50">
        <v>0</v>
      </c>
      <c r="O35" s="15">
        <f t="shared" si="0"/>
        <v>195</v>
      </c>
      <c r="P35" s="15">
        <f t="shared" si="1"/>
        <v>356</v>
      </c>
    </row>
    <row r="36" spans="2:20" ht="23.1" customHeight="1" x14ac:dyDescent="0.25">
      <c r="B36" s="24" t="s">
        <v>63</v>
      </c>
      <c r="C36" s="50">
        <v>60</v>
      </c>
      <c r="D36" s="50">
        <v>11</v>
      </c>
      <c r="E36" s="50">
        <v>15</v>
      </c>
      <c r="F36" s="50">
        <v>60</v>
      </c>
      <c r="G36" s="50">
        <v>3</v>
      </c>
      <c r="H36" s="50">
        <v>5</v>
      </c>
      <c r="I36" s="50">
        <v>7</v>
      </c>
      <c r="J36" s="50">
        <v>4</v>
      </c>
      <c r="K36" s="50">
        <v>5</v>
      </c>
      <c r="L36" s="50">
        <v>3</v>
      </c>
      <c r="M36" s="50">
        <v>185</v>
      </c>
      <c r="N36" s="50">
        <v>0</v>
      </c>
      <c r="O36" s="15">
        <f t="shared" si="0"/>
        <v>173</v>
      </c>
      <c r="P36" s="15">
        <f t="shared" si="1"/>
        <v>358</v>
      </c>
    </row>
    <row r="37" spans="2:20" ht="23.1" customHeight="1" x14ac:dyDescent="0.25">
      <c r="B37" s="23" t="s">
        <v>64</v>
      </c>
      <c r="C37" s="50">
        <v>55</v>
      </c>
      <c r="D37" s="50">
        <v>3</v>
      </c>
      <c r="E37" s="50">
        <v>11</v>
      </c>
      <c r="F37" s="50">
        <v>60</v>
      </c>
      <c r="G37" s="50">
        <v>4</v>
      </c>
      <c r="H37" s="50">
        <v>3</v>
      </c>
      <c r="I37" s="50">
        <v>4</v>
      </c>
      <c r="J37" s="50">
        <v>5</v>
      </c>
      <c r="K37" s="50">
        <v>11</v>
      </c>
      <c r="L37" s="50">
        <v>5</v>
      </c>
      <c r="M37" s="50">
        <v>161</v>
      </c>
      <c r="N37" s="50">
        <v>0</v>
      </c>
      <c r="O37" s="15">
        <f t="shared" si="0"/>
        <v>161</v>
      </c>
      <c r="P37" s="15">
        <f t="shared" si="1"/>
        <v>322</v>
      </c>
    </row>
    <row r="38" spans="2:20" ht="23.1" customHeight="1" x14ac:dyDescent="0.25">
      <c r="B38" s="24" t="s">
        <v>65</v>
      </c>
      <c r="C38" s="50">
        <v>80</v>
      </c>
      <c r="D38" s="50">
        <v>3</v>
      </c>
      <c r="E38" s="50">
        <v>4</v>
      </c>
      <c r="F38" s="50">
        <v>90</v>
      </c>
      <c r="G38" s="50">
        <v>4</v>
      </c>
      <c r="H38" s="50">
        <v>4</v>
      </c>
      <c r="I38" s="50">
        <v>5</v>
      </c>
      <c r="J38" s="50">
        <v>10</v>
      </c>
      <c r="K38" s="50">
        <v>5</v>
      </c>
      <c r="L38" s="50">
        <v>6</v>
      </c>
      <c r="M38" s="50">
        <v>175</v>
      </c>
      <c r="N38" s="50">
        <v>0</v>
      </c>
      <c r="O38" s="15">
        <f t="shared" si="0"/>
        <v>211</v>
      </c>
      <c r="P38" s="15">
        <f t="shared" si="1"/>
        <v>386</v>
      </c>
    </row>
    <row r="39" spans="2:20" ht="23.1" customHeight="1" x14ac:dyDescent="0.25">
      <c r="B39" s="24" t="s">
        <v>66</v>
      </c>
      <c r="C39" s="50">
        <v>65</v>
      </c>
      <c r="D39" s="50">
        <v>8</v>
      </c>
      <c r="E39" s="50">
        <v>7</v>
      </c>
      <c r="F39" s="50">
        <v>80</v>
      </c>
      <c r="G39" s="50">
        <v>2</v>
      </c>
      <c r="H39" s="50">
        <v>4</v>
      </c>
      <c r="I39" s="50">
        <v>8</v>
      </c>
      <c r="J39" s="50">
        <v>6</v>
      </c>
      <c r="K39" s="50">
        <v>3</v>
      </c>
      <c r="L39" s="50">
        <v>6</v>
      </c>
      <c r="M39" s="50">
        <v>158</v>
      </c>
      <c r="N39" s="50">
        <v>0</v>
      </c>
      <c r="O39" s="15">
        <f t="shared" si="0"/>
        <v>189</v>
      </c>
      <c r="P39" s="15">
        <f t="shared" si="1"/>
        <v>347</v>
      </c>
    </row>
    <row r="40" spans="2:20" ht="23.1" customHeight="1" x14ac:dyDescent="0.25">
      <c r="B40" s="24" t="s">
        <v>67</v>
      </c>
      <c r="C40" s="50">
        <v>75</v>
      </c>
      <c r="D40" s="50">
        <v>8</v>
      </c>
      <c r="E40" s="50">
        <v>3</v>
      </c>
      <c r="F40" s="50">
        <v>85</v>
      </c>
      <c r="G40" s="50">
        <v>4</v>
      </c>
      <c r="H40" s="50">
        <v>5</v>
      </c>
      <c r="I40" s="50">
        <v>7</v>
      </c>
      <c r="J40" s="50">
        <v>4</v>
      </c>
      <c r="K40" s="50">
        <v>3</v>
      </c>
      <c r="L40" s="50">
        <v>0</v>
      </c>
      <c r="M40" s="50">
        <v>145</v>
      </c>
      <c r="N40" s="50">
        <v>0</v>
      </c>
      <c r="O40" s="15">
        <f t="shared" si="0"/>
        <v>194</v>
      </c>
      <c r="P40" s="15">
        <f t="shared" si="1"/>
        <v>339</v>
      </c>
    </row>
    <row r="41" spans="2:20" ht="23.1" customHeight="1" x14ac:dyDescent="0.25">
      <c r="B41" s="23" t="s">
        <v>68</v>
      </c>
      <c r="C41" s="50">
        <v>80</v>
      </c>
      <c r="D41" s="50">
        <v>11</v>
      </c>
      <c r="E41" s="50">
        <v>8</v>
      </c>
      <c r="F41" s="50">
        <v>100</v>
      </c>
      <c r="G41" s="50">
        <v>5</v>
      </c>
      <c r="H41" s="50">
        <v>4</v>
      </c>
      <c r="I41" s="50">
        <v>1</v>
      </c>
      <c r="J41" s="50">
        <v>7</v>
      </c>
      <c r="K41" s="50">
        <v>5</v>
      </c>
      <c r="L41" s="50">
        <v>8</v>
      </c>
      <c r="M41" s="50">
        <v>125</v>
      </c>
      <c r="N41" s="50">
        <v>0</v>
      </c>
      <c r="O41" s="15">
        <f t="shared" si="0"/>
        <v>229</v>
      </c>
      <c r="P41" s="15">
        <f t="shared" si="1"/>
        <v>354</v>
      </c>
    </row>
    <row r="42" spans="2:20" ht="23.1" customHeight="1" x14ac:dyDescent="0.25">
      <c r="B42" s="24" t="s">
        <v>69</v>
      </c>
      <c r="C42" s="50">
        <v>98</v>
      </c>
      <c r="D42" s="50">
        <v>4</v>
      </c>
      <c r="E42" s="50">
        <v>15</v>
      </c>
      <c r="F42" s="50">
        <v>115</v>
      </c>
      <c r="G42" s="50">
        <v>6</v>
      </c>
      <c r="H42" s="50">
        <v>5</v>
      </c>
      <c r="I42" s="50">
        <v>55</v>
      </c>
      <c r="J42" s="50">
        <v>14</v>
      </c>
      <c r="K42" s="50">
        <v>6</v>
      </c>
      <c r="L42" s="50">
        <v>5</v>
      </c>
      <c r="M42" s="50">
        <v>130</v>
      </c>
      <c r="N42" s="50">
        <v>0</v>
      </c>
      <c r="O42" s="15">
        <f t="shared" si="0"/>
        <v>323</v>
      </c>
      <c r="P42" s="15">
        <f t="shared" si="1"/>
        <v>453</v>
      </c>
    </row>
    <row r="43" spans="2:20" ht="23.1" customHeight="1" x14ac:dyDescent="0.25">
      <c r="B43" s="23" t="s">
        <v>70</v>
      </c>
      <c r="C43" s="50">
        <v>75</v>
      </c>
      <c r="D43" s="50">
        <v>14</v>
      </c>
      <c r="E43" s="50">
        <v>10</v>
      </c>
      <c r="F43" s="50">
        <v>95</v>
      </c>
      <c r="G43" s="50">
        <v>2</v>
      </c>
      <c r="H43" s="50">
        <v>3</v>
      </c>
      <c r="I43" s="50">
        <v>11</v>
      </c>
      <c r="J43" s="50">
        <v>7</v>
      </c>
      <c r="K43" s="50">
        <v>4</v>
      </c>
      <c r="L43" s="50">
        <v>0</v>
      </c>
      <c r="M43" s="50">
        <v>205</v>
      </c>
      <c r="N43" s="50">
        <v>0</v>
      </c>
      <c r="O43" s="15">
        <f t="shared" si="0"/>
        <v>221</v>
      </c>
      <c r="P43" s="15">
        <f t="shared" si="1"/>
        <v>426</v>
      </c>
    </row>
    <row r="44" spans="2:20" ht="23.1" customHeight="1" x14ac:dyDescent="0.25">
      <c r="B44" s="25" t="s">
        <v>71</v>
      </c>
      <c r="C44" s="50">
        <v>85</v>
      </c>
      <c r="D44" s="50">
        <v>8</v>
      </c>
      <c r="E44" s="50">
        <v>35</v>
      </c>
      <c r="F44" s="50">
        <v>70</v>
      </c>
      <c r="G44" s="50">
        <v>4</v>
      </c>
      <c r="H44" s="50">
        <v>3</v>
      </c>
      <c r="I44" s="50">
        <v>3</v>
      </c>
      <c r="J44" s="50">
        <v>9</v>
      </c>
      <c r="K44" s="50">
        <v>6</v>
      </c>
      <c r="L44" s="50">
        <v>2</v>
      </c>
      <c r="M44" s="50">
        <v>180</v>
      </c>
      <c r="N44" s="50">
        <v>0</v>
      </c>
      <c r="O44" s="15">
        <f t="shared" si="0"/>
        <v>225</v>
      </c>
      <c r="P44" s="15">
        <f t="shared" si="1"/>
        <v>405</v>
      </c>
    </row>
    <row r="45" spans="2:20" ht="23.1" customHeight="1" x14ac:dyDescent="0.25">
      <c r="B45" s="23" t="s">
        <v>72</v>
      </c>
      <c r="C45" s="50">
        <v>77</v>
      </c>
      <c r="D45" s="50">
        <v>6</v>
      </c>
      <c r="E45" s="50">
        <v>20</v>
      </c>
      <c r="F45" s="50">
        <v>90</v>
      </c>
      <c r="G45" s="50">
        <v>15</v>
      </c>
      <c r="H45" s="50">
        <v>8</v>
      </c>
      <c r="I45" s="50">
        <v>7</v>
      </c>
      <c r="J45" s="50">
        <v>15</v>
      </c>
      <c r="K45" s="50">
        <v>3</v>
      </c>
      <c r="L45" s="50">
        <v>4</v>
      </c>
      <c r="M45" s="50">
        <v>195</v>
      </c>
      <c r="N45" s="50">
        <v>0</v>
      </c>
      <c r="O45" s="15">
        <f t="shared" si="0"/>
        <v>245</v>
      </c>
      <c r="P45" s="15">
        <f t="shared" si="1"/>
        <v>440</v>
      </c>
    </row>
    <row r="46" spans="2:20" ht="23.1" customHeight="1" x14ac:dyDescent="0.25">
      <c r="B46" s="24" t="s">
        <v>73</v>
      </c>
      <c r="C46" s="50">
        <v>85</v>
      </c>
      <c r="D46" s="50">
        <v>3</v>
      </c>
      <c r="E46" s="50">
        <v>9</v>
      </c>
      <c r="F46" s="50">
        <v>115</v>
      </c>
      <c r="G46" s="50">
        <v>4</v>
      </c>
      <c r="H46" s="50">
        <v>3</v>
      </c>
      <c r="I46" s="50">
        <v>9</v>
      </c>
      <c r="J46" s="50">
        <v>7</v>
      </c>
      <c r="K46" s="50">
        <v>2</v>
      </c>
      <c r="L46" s="50">
        <v>8</v>
      </c>
      <c r="M46" s="50">
        <v>175</v>
      </c>
      <c r="N46" s="50">
        <v>0</v>
      </c>
      <c r="O46" s="15">
        <f t="shared" si="0"/>
        <v>245</v>
      </c>
      <c r="P46" s="15">
        <f t="shared" si="1"/>
        <v>420</v>
      </c>
      <c r="R46" s="8"/>
      <c r="T46"/>
    </row>
    <row r="47" spans="2:20" ht="23.1" customHeight="1" x14ac:dyDescent="0.25">
      <c r="B47" s="24" t="s">
        <v>74</v>
      </c>
      <c r="C47" s="50">
        <v>75</v>
      </c>
      <c r="D47" s="50">
        <v>5</v>
      </c>
      <c r="E47" s="50">
        <v>2</v>
      </c>
      <c r="F47" s="50">
        <v>55</v>
      </c>
      <c r="G47" s="50">
        <v>3</v>
      </c>
      <c r="H47" s="50">
        <v>3</v>
      </c>
      <c r="I47" s="50">
        <v>7</v>
      </c>
      <c r="J47" s="50">
        <v>9</v>
      </c>
      <c r="K47" s="50">
        <v>3</v>
      </c>
      <c r="L47" s="50">
        <v>2</v>
      </c>
      <c r="M47" s="50">
        <v>165</v>
      </c>
      <c r="N47" s="50">
        <v>0</v>
      </c>
      <c r="O47" s="15">
        <f t="shared" si="0"/>
        <v>164</v>
      </c>
      <c r="P47" s="15">
        <f t="shared" si="1"/>
        <v>329</v>
      </c>
      <c r="R47" s="8"/>
      <c r="T47"/>
    </row>
    <row r="48" spans="2:20" ht="23.1" customHeight="1" x14ac:dyDescent="0.25">
      <c r="B48" s="24" t="s">
        <v>75</v>
      </c>
      <c r="C48" s="50">
        <v>65</v>
      </c>
      <c r="D48" s="50">
        <v>9</v>
      </c>
      <c r="E48" s="50">
        <v>10</v>
      </c>
      <c r="F48" s="50">
        <v>85</v>
      </c>
      <c r="G48" s="50">
        <v>7</v>
      </c>
      <c r="H48" s="50">
        <v>7</v>
      </c>
      <c r="I48" s="50">
        <v>11</v>
      </c>
      <c r="J48" s="50">
        <v>20</v>
      </c>
      <c r="K48" s="50">
        <v>6</v>
      </c>
      <c r="L48" s="50">
        <v>5</v>
      </c>
      <c r="M48" s="50">
        <v>165</v>
      </c>
      <c r="N48" s="50">
        <v>0</v>
      </c>
      <c r="O48" s="15">
        <f t="shared" si="0"/>
        <v>225</v>
      </c>
      <c r="P48" s="15">
        <f t="shared" si="1"/>
        <v>390</v>
      </c>
      <c r="R48" s="8"/>
      <c r="T48"/>
    </row>
    <row r="49" spans="2:20" ht="23.1" customHeight="1" x14ac:dyDescent="0.25">
      <c r="B49" s="23" t="s">
        <v>76</v>
      </c>
      <c r="C49" s="50">
        <v>77</v>
      </c>
      <c r="D49" s="50">
        <v>5</v>
      </c>
      <c r="E49" s="50">
        <v>20</v>
      </c>
      <c r="F49" s="50">
        <v>75</v>
      </c>
      <c r="G49" s="50">
        <v>4</v>
      </c>
      <c r="H49" s="50">
        <v>5</v>
      </c>
      <c r="I49" s="50">
        <v>19</v>
      </c>
      <c r="J49" s="50">
        <v>10</v>
      </c>
      <c r="K49" s="50">
        <v>4</v>
      </c>
      <c r="L49" s="50">
        <v>6</v>
      </c>
      <c r="M49" s="50">
        <v>160</v>
      </c>
      <c r="N49" s="50">
        <v>0</v>
      </c>
      <c r="O49" s="15">
        <f t="shared" si="0"/>
        <v>225</v>
      </c>
      <c r="P49" s="15">
        <f t="shared" si="1"/>
        <v>385</v>
      </c>
      <c r="R49" s="8"/>
      <c r="T49"/>
    </row>
    <row r="50" spans="2:20" ht="23.1" customHeight="1" x14ac:dyDescent="0.25">
      <c r="B50" s="24" t="s">
        <v>77</v>
      </c>
      <c r="C50" s="50">
        <v>130</v>
      </c>
      <c r="D50" s="50">
        <v>5</v>
      </c>
      <c r="E50" s="50">
        <v>8</v>
      </c>
      <c r="F50" s="50">
        <v>90</v>
      </c>
      <c r="G50" s="50">
        <v>4</v>
      </c>
      <c r="H50" s="50">
        <v>4</v>
      </c>
      <c r="I50" s="50">
        <v>45</v>
      </c>
      <c r="J50" s="50">
        <v>16</v>
      </c>
      <c r="K50" s="50">
        <v>3</v>
      </c>
      <c r="L50" s="50">
        <v>8</v>
      </c>
      <c r="M50" s="50">
        <v>220</v>
      </c>
      <c r="N50" s="50">
        <v>0</v>
      </c>
      <c r="O50" s="15">
        <f t="shared" si="0"/>
        <v>313</v>
      </c>
      <c r="P50" s="15">
        <f t="shared" si="1"/>
        <v>533</v>
      </c>
      <c r="R50" s="8"/>
      <c r="T50"/>
    </row>
    <row r="51" spans="2:20" ht="23.1" customHeight="1" x14ac:dyDescent="0.25">
      <c r="B51" s="24" t="s">
        <v>78</v>
      </c>
      <c r="C51" s="50">
        <v>70</v>
      </c>
      <c r="D51" s="50">
        <v>9</v>
      </c>
      <c r="E51" s="50">
        <v>12</v>
      </c>
      <c r="F51" s="50">
        <v>65</v>
      </c>
      <c r="G51" s="50">
        <v>3</v>
      </c>
      <c r="H51" s="50">
        <v>4</v>
      </c>
      <c r="I51" s="50">
        <v>7</v>
      </c>
      <c r="J51" s="50">
        <v>8</v>
      </c>
      <c r="K51" s="50">
        <v>6</v>
      </c>
      <c r="L51" s="50">
        <v>2</v>
      </c>
      <c r="M51" s="50">
        <v>185</v>
      </c>
      <c r="N51" s="50">
        <v>0</v>
      </c>
      <c r="O51" s="15">
        <f t="shared" si="0"/>
        <v>186</v>
      </c>
      <c r="P51" s="15">
        <f t="shared" si="1"/>
        <v>371</v>
      </c>
      <c r="R51" s="8"/>
      <c r="T51"/>
    </row>
    <row r="52" spans="2:20" ht="23.1" customHeight="1" x14ac:dyDescent="0.25">
      <c r="B52" s="24" t="s">
        <v>79</v>
      </c>
      <c r="C52" s="50">
        <v>103</v>
      </c>
      <c r="D52" s="50">
        <v>6</v>
      </c>
      <c r="E52" s="50">
        <v>8</v>
      </c>
      <c r="F52" s="50">
        <v>85</v>
      </c>
      <c r="G52" s="50">
        <v>8</v>
      </c>
      <c r="H52" s="50">
        <v>5</v>
      </c>
      <c r="I52" s="50">
        <v>15</v>
      </c>
      <c r="J52" s="50">
        <v>10</v>
      </c>
      <c r="K52" s="50">
        <v>3</v>
      </c>
      <c r="L52" s="50">
        <v>5</v>
      </c>
      <c r="M52" s="50">
        <v>125</v>
      </c>
      <c r="N52" s="50">
        <v>0</v>
      </c>
      <c r="O52" s="15">
        <f t="shared" si="0"/>
        <v>248</v>
      </c>
      <c r="P52" s="15">
        <f t="shared" si="1"/>
        <v>373</v>
      </c>
      <c r="R52" s="8"/>
      <c r="T52"/>
    </row>
    <row r="53" spans="2:20" ht="23.1" customHeight="1" x14ac:dyDescent="0.25">
      <c r="B53" s="23" t="s">
        <v>80</v>
      </c>
      <c r="C53" s="50">
        <v>160</v>
      </c>
      <c r="D53" s="50">
        <v>30</v>
      </c>
      <c r="E53" s="50">
        <v>15</v>
      </c>
      <c r="F53" s="50">
        <v>80</v>
      </c>
      <c r="G53" s="50">
        <v>2</v>
      </c>
      <c r="H53" s="50">
        <v>2</v>
      </c>
      <c r="I53" s="50">
        <v>11</v>
      </c>
      <c r="J53" s="50">
        <v>13</v>
      </c>
      <c r="K53" s="50">
        <v>1</v>
      </c>
      <c r="L53" s="50">
        <v>0</v>
      </c>
      <c r="M53" s="50">
        <v>170</v>
      </c>
      <c r="N53" s="50">
        <v>0</v>
      </c>
      <c r="O53" s="15">
        <f t="shared" si="0"/>
        <v>314</v>
      </c>
      <c r="P53" s="15">
        <f t="shared" si="1"/>
        <v>484</v>
      </c>
      <c r="R53" s="8"/>
      <c r="T53"/>
    </row>
    <row r="54" spans="2:20" ht="23.1" customHeight="1" x14ac:dyDescent="0.25">
      <c r="B54" s="23" t="s">
        <v>81</v>
      </c>
      <c r="C54" s="50">
        <v>77</v>
      </c>
      <c r="D54" s="50">
        <v>3</v>
      </c>
      <c r="E54" s="50">
        <v>8</v>
      </c>
      <c r="F54" s="50">
        <v>77</v>
      </c>
      <c r="G54" s="50">
        <v>0</v>
      </c>
      <c r="H54" s="50">
        <v>3</v>
      </c>
      <c r="I54" s="50">
        <v>6</v>
      </c>
      <c r="J54" s="50">
        <v>4</v>
      </c>
      <c r="K54" s="50">
        <v>1</v>
      </c>
      <c r="L54" s="50">
        <v>0</v>
      </c>
      <c r="M54" s="50">
        <v>112</v>
      </c>
      <c r="N54" s="50">
        <v>0</v>
      </c>
      <c r="O54" s="15">
        <f t="shared" si="0"/>
        <v>179</v>
      </c>
      <c r="P54" s="15">
        <f t="shared" si="1"/>
        <v>291</v>
      </c>
      <c r="R54" s="8"/>
      <c r="T54"/>
    </row>
    <row r="55" spans="2:20" ht="23.1" customHeight="1" x14ac:dyDescent="0.25">
      <c r="B55" s="23" t="s">
        <v>82</v>
      </c>
      <c r="C55" s="50">
        <v>98</v>
      </c>
      <c r="D55" s="50">
        <v>7</v>
      </c>
      <c r="E55" s="50">
        <v>35</v>
      </c>
      <c r="F55" s="50">
        <v>60</v>
      </c>
      <c r="G55" s="50">
        <v>1</v>
      </c>
      <c r="H55" s="50">
        <v>9</v>
      </c>
      <c r="I55" s="50">
        <v>45</v>
      </c>
      <c r="J55" s="50">
        <v>5</v>
      </c>
      <c r="K55" s="50">
        <v>30</v>
      </c>
      <c r="L55" s="50">
        <v>10</v>
      </c>
      <c r="M55" s="50">
        <v>110</v>
      </c>
      <c r="N55" s="50">
        <v>0</v>
      </c>
      <c r="O55" s="15">
        <f t="shared" si="0"/>
        <v>300</v>
      </c>
      <c r="P55" s="15">
        <f t="shared" si="1"/>
        <v>410</v>
      </c>
      <c r="R55" s="8"/>
      <c r="T55"/>
    </row>
    <row r="56" spans="2:20" ht="23.1" customHeight="1" x14ac:dyDescent="0.25">
      <c r="B56" s="23" t="s">
        <v>83</v>
      </c>
      <c r="C56" s="50">
        <v>85</v>
      </c>
      <c r="D56" s="50">
        <v>3</v>
      </c>
      <c r="E56" s="50">
        <v>19</v>
      </c>
      <c r="F56" s="50">
        <v>105</v>
      </c>
      <c r="G56" s="50">
        <v>2</v>
      </c>
      <c r="H56" s="50">
        <v>2</v>
      </c>
      <c r="I56" s="50">
        <v>23</v>
      </c>
      <c r="J56" s="50">
        <v>13</v>
      </c>
      <c r="K56" s="50">
        <v>5</v>
      </c>
      <c r="L56" s="50">
        <v>4</v>
      </c>
      <c r="M56" s="50">
        <v>145</v>
      </c>
      <c r="N56" s="50">
        <v>0</v>
      </c>
      <c r="O56" s="15">
        <f t="shared" si="0"/>
        <v>261</v>
      </c>
      <c r="P56" s="15">
        <f t="shared" si="1"/>
        <v>406</v>
      </c>
      <c r="R56" s="8"/>
      <c r="T56"/>
    </row>
    <row r="57" spans="2:20" ht="23.1" customHeight="1" x14ac:dyDescent="0.25">
      <c r="B57" s="23" t="s">
        <v>84</v>
      </c>
      <c r="C57" s="50">
        <v>93</v>
      </c>
      <c r="D57" s="50">
        <v>9</v>
      </c>
      <c r="E57" s="50">
        <v>3</v>
      </c>
      <c r="F57" s="50">
        <v>110</v>
      </c>
      <c r="G57" s="50">
        <v>1</v>
      </c>
      <c r="H57" s="50">
        <v>3</v>
      </c>
      <c r="I57" s="50">
        <v>10</v>
      </c>
      <c r="J57" s="50">
        <v>11</v>
      </c>
      <c r="K57" s="50">
        <v>3</v>
      </c>
      <c r="L57" s="50">
        <v>4</v>
      </c>
      <c r="M57" s="50">
        <v>106</v>
      </c>
      <c r="N57" s="50">
        <v>0</v>
      </c>
      <c r="O57" s="15">
        <f t="shared" si="0"/>
        <v>247</v>
      </c>
      <c r="P57" s="15">
        <f t="shared" si="1"/>
        <v>353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3953</v>
      </c>
      <c r="D58" s="16">
        <f t="shared" si="21"/>
        <v>349</v>
      </c>
      <c r="E58" s="16">
        <f t="shared" si="21"/>
        <v>496</v>
      </c>
      <c r="F58" s="16">
        <f t="shared" si="21"/>
        <v>3521</v>
      </c>
      <c r="G58" s="16">
        <f t="shared" si="21"/>
        <v>116</v>
      </c>
      <c r="H58" s="16">
        <f t="shared" si="21"/>
        <v>120</v>
      </c>
      <c r="I58" s="16">
        <f t="shared" si="21"/>
        <v>505</v>
      </c>
      <c r="J58" s="16">
        <f t="shared" si="21"/>
        <v>346</v>
      </c>
      <c r="K58" s="16">
        <f t="shared" si="21"/>
        <v>149</v>
      </c>
      <c r="L58" s="16">
        <f t="shared" si="21"/>
        <v>150</v>
      </c>
      <c r="M58" s="16">
        <f t="shared" si="21"/>
        <v>9334</v>
      </c>
      <c r="N58" s="16">
        <f t="shared" si="21"/>
        <v>0</v>
      </c>
      <c r="O58" s="16">
        <f t="shared" si="21"/>
        <v>9705</v>
      </c>
      <c r="P58" s="16">
        <f t="shared" si="21"/>
        <v>19039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0.20762645096906351</v>
      </c>
      <c r="D59" s="43">
        <f t="shared" si="22"/>
        <v>1.8330794684594778E-2</v>
      </c>
      <c r="E59" s="43">
        <f t="shared" si="22"/>
        <v>2.6051788434266504E-2</v>
      </c>
      <c r="F59" s="43">
        <f t="shared" si="22"/>
        <v>0.18493618362308945</v>
      </c>
      <c r="G59" s="43">
        <f t="shared" si="22"/>
        <v>6.0927569725300699E-3</v>
      </c>
      <c r="H59" s="43">
        <f t="shared" si="22"/>
        <v>6.3028520405483479E-3</v>
      </c>
      <c r="I59" s="43">
        <f t="shared" si="22"/>
        <v>2.6524502337307632E-2</v>
      </c>
      <c r="J59" s="43">
        <f t="shared" si="22"/>
        <v>1.8173223383581072E-2</v>
      </c>
      <c r="K59" s="43">
        <f t="shared" si="22"/>
        <v>7.8260412836808659E-3</v>
      </c>
      <c r="L59" s="43">
        <f t="shared" si="22"/>
        <v>7.8785650506854356E-3</v>
      </c>
      <c r="M59" s="43">
        <f t="shared" si="22"/>
        <v>0.49025684122065233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0.40731581658938693</v>
      </c>
      <c r="D60" s="44">
        <f t="shared" ref="D60:N60" si="23">D58/$O$58</f>
        <v>3.5960844925296241E-2</v>
      </c>
      <c r="E60" s="44">
        <f t="shared" si="23"/>
        <v>5.110767645543534E-2</v>
      </c>
      <c r="F60" s="44">
        <f t="shared" si="23"/>
        <v>0.3628026790314271</v>
      </c>
      <c r="G60" s="44">
        <f t="shared" si="23"/>
        <v>1.1952601751674395E-2</v>
      </c>
      <c r="H60" s="44">
        <f t="shared" si="23"/>
        <v>1.2364760432766615E-2</v>
      </c>
      <c r="I60" s="44">
        <f t="shared" si="23"/>
        <v>5.2035033487892839E-2</v>
      </c>
      <c r="J60" s="44">
        <f t="shared" si="23"/>
        <v>3.5651725914477073E-2</v>
      </c>
      <c r="K60" s="44">
        <f t="shared" si="23"/>
        <v>1.5352910870685214E-2</v>
      </c>
      <c r="L60" s="44">
        <f t="shared" si="23"/>
        <v>1.5455950540958269E-2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F126"/>
  <sheetViews>
    <sheetView view="pageBreakPreview" zoomScale="60" workbookViewId="0">
      <selection activeCell="H32" sqref="H3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4" t="str">
        <f>'22.07 NATEETE-BUSEGA'!C3:G3</f>
        <v>MCC - C1 - STN10- MASAKA ROAD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164</v>
      </c>
      <c r="E5" s="3"/>
      <c r="F5" s="41" t="s">
        <v>1</v>
      </c>
      <c r="G5" s="62" t="str">
        <f>'22.07 NATEETE-BUSEGA'!G5:H5</f>
        <v>GOD'S MERCY SUPERMARKET</v>
      </c>
      <c r="H5" s="63"/>
      <c r="I5" s="14"/>
      <c r="J5" s="2" t="s">
        <v>5</v>
      </c>
      <c r="K5" s="62" t="str">
        <f>'22.07 NATEETE-BUSEGA'!K5:L5</f>
        <v>MATHIAS NAKIBINGE</v>
      </c>
      <c r="L5" s="63"/>
      <c r="M5" s="10"/>
      <c r="N5" s="10"/>
      <c r="O5" s="3"/>
      <c r="P5" s="3"/>
    </row>
    <row r="6" spans="2:32" ht="23.25" customHeight="1" x14ac:dyDescent="0.25">
      <c r="C6" s="2" t="s">
        <v>4</v>
      </c>
      <c r="D6" s="62" t="str">
        <f>'22.07 NATEETE-BUSEGA'!D6:E6</f>
        <v>NATEETE</v>
      </c>
      <c r="E6" s="63"/>
      <c r="F6" s="2" t="s">
        <v>2</v>
      </c>
      <c r="G6" s="62" t="str">
        <f>'22.07 NATEETE-BUSEGA'!G6:H6</f>
        <v>BUSEGA</v>
      </c>
      <c r="H6" s="63"/>
      <c r="J6" s="2" t="s">
        <v>21</v>
      </c>
      <c r="K6" s="62" t="str">
        <f>'22.07 NATEETE-BUSEGA'!K6:L6</f>
        <v>BEATRACE</v>
      </c>
      <c r="L6" s="6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84</v>
      </c>
      <c r="D10" s="50">
        <v>8</v>
      </c>
      <c r="E10" s="50">
        <v>3</v>
      </c>
      <c r="F10" s="50">
        <v>107</v>
      </c>
      <c r="G10" s="50">
        <v>1</v>
      </c>
      <c r="H10" s="50">
        <v>0</v>
      </c>
      <c r="I10" s="50">
        <v>11</v>
      </c>
      <c r="J10" s="50">
        <v>2</v>
      </c>
      <c r="K10" s="50">
        <v>2</v>
      </c>
      <c r="L10" s="50">
        <v>3</v>
      </c>
      <c r="M10" s="50">
        <v>68</v>
      </c>
      <c r="N10" s="50">
        <v>0</v>
      </c>
      <c r="O10" s="15">
        <f t="shared" ref="O10:O57" si="0">SUM(C10:L10,N10)</f>
        <v>221</v>
      </c>
      <c r="P10" s="15">
        <f t="shared" ref="P10:P57" si="1">SUM(C10:N10)</f>
        <v>289</v>
      </c>
      <c r="R10" s="1" t="s">
        <v>6</v>
      </c>
      <c r="S10" s="17">
        <f t="shared" ref="S10:AF10" si="2">SUM(C10:C13)</f>
        <v>210</v>
      </c>
      <c r="T10" s="17">
        <f t="shared" si="2"/>
        <v>24</v>
      </c>
      <c r="U10" s="17">
        <f t="shared" si="2"/>
        <v>21</v>
      </c>
      <c r="V10" s="17">
        <f t="shared" si="2"/>
        <v>273</v>
      </c>
      <c r="W10" s="17">
        <f t="shared" si="2"/>
        <v>10</v>
      </c>
      <c r="X10" s="17">
        <f t="shared" si="2"/>
        <v>5</v>
      </c>
      <c r="Y10" s="17">
        <f t="shared" si="2"/>
        <v>33</v>
      </c>
      <c r="Z10" s="17">
        <f t="shared" si="2"/>
        <v>10</v>
      </c>
      <c r="AA10" s="17">
        <f t="shared" si="2"/>
        <v>8</v>
      </c>
      <c r="AB10" s="17">
        <f t="shared" si="2"/>
        <v>5</v>
      </c>
      <c r="AC10" s="17">
        <f t="shared" si="2"/>
        <v>632</v>
      </c>
      <c r="AD10" s="17">
        <f t="shared" si="2"/>
        <v>0</v>
      </c>
      <c r="AE10" s="31">
        <f t="shared" si="2"/>
        <v>599</v>
      </c>
      <c r="AF10" s="31">
        <f t="shared" si="2"/>
        <v>1231</v>
      </c>
    </row>
    <row r="11" spans="2:32" s="6" customFormat="1" ht="23.1" customHeight="1" x14ac:dyDescent="0.25">
      <c r="B11" s="23" t="s">
        <v>38</v>
      </c>
      <c r="C11" s="50">
        <v>61</v>
      </c>
      <c r="D11" s="50">
        <v>3</v>
      </c>
      <c r="E11" s="50">
        <v>4</v>
      </c>
      <c r="F11" s="50">
        <v>65</v>
      </c>
      <c r="G11" s="50">
        <v>0</v>
      </c>
      <c r="H11" s="50">
        <v>3</v>
      </c>
      <c r="I11" s="50">
        <v>8</v>
      </c>
      <c r="J11" s="50">
        <v>2</v>
      </c>
      <c r="K11" s="50">
        <v>3</v>
      </c>
      <c r="L11" s="50">
        <v>0</v>
      </c>
      <c r="M11" s="50">
        <v>109</v>
      </c>
      <c r="N11" s="50">
        <v>0</v>
      </c>
      <c r="O11" s="15">
        <f t="shared" si="0"/>
        <v>149</v>
      </c>
      <c r="P11" s="15">
        <f t="shared" si="1"/>
        <v>258</v>
      </c>
      <c r="R11" s="1" t="s">
        <v>7</v>
      </c>
      <c r="S11" s="17">
        <f t="shared" ref="S11:AF11" si="3">SUM(C14:C17)</f>
        <v>135</v>
      </c>
      <c r="T11" s="17">
        <f t="shared" si="3"/>
        <v>18</v>
      </c>
      <c r="U11" s="17">
        <f t="shared" si="3"/>
        <v>24</v>
      </c>
      <c r="V11" s="17">
        <f t="shared" si="3"/>
        <v>195</v>
      </c>
      <c r="W11" s="17">
        <f t="shared" si="3"/>
        <v>2</v>
      </c>
      <c r="X11" s="17">
        <f t="shared" si="3"/>
        <v>6</v>
      </c>
      <c r="Y11" s="17">
        <f t="shared" si="3"/>
        <v>38</v>
      </c>
      <c r="Z11" s="17">
        <f t="shared" si="3"/>
        <v>14</v>
      </c>
      <c r="AA11" s="17">
        <f t="shared" si="3"/>
        <v>8</v>
      </c>
      <c r="AB11" s="17">
        <f t="shared" si="3"/>
        <v>6</v>
      </c>
      <c r="AC11" s="17">
        <f t="shared" si="3"/>
        <v>1206</v>
      </c>
      <c r="AD11" s="17">
        <f t="shared" si="3"/>
        <v>0</v>
      </c>
      <c r="AE11" s="31">
        <f t="shared" si="3"/>
        <v>446</v>
      </c>
      <c r="AF11" s="31">
        <f t="shared" si="3"/>
        <v>1652</v>
      </c>
    </row>
    <row r="12" spans="2:32" ht="23.1" customHeight="1" x14ac:dyDescent="0.25">
      <c r="B12" s="23" t="s">
        <v>39</v>
      </c>
      <c r="C12" s="50">
        <v>41</v>
      </c>
      <c r="D12" s="50">
        <v>6</v>
      </c>
      <c r="E12" s="50">
        <v>6</v>
      </c>
      <c r="F12" s="50">
        <v>54</v>
      </c>
      <c r="G12" s="50">
        <v>1</v>
      </c>
      <c r="H12" s="50">
        <v>1</v>
      </c>
      <c r="I12" s="50">
        <v>6</v>
      </c>
      <c r="J12" s="50">
        <v>4</v>
      </c>
      <c r="K12" s="50">
        <v>1</v>
      </c>
      <c r="L12" s="50">
        <v>1</v>
      </c>
      <c r="M12" s="50">
        <v>221</v>
      </c>
      <c r="N12" s="50">
        <v>0</v>
      </c>
      <c r="O12" s="15">
        <f t="shared" si="0"/>
        <v>121</v>
      </c>
      <c r="P12" s="15">
        <f t="shared" si="1"/>
        <v>342</v>
      </c>
      <c r="R12" s="1" t="s">
        <v>8</v>
      </c>
      <c r="S12" s="17">
        <f t="shared" ref="S12:AF12" si="4">SUM(C18:C21)</f>
        <v>228</v>
      </c>
      <c r="T12" s="17">
        <f t="shared" si="4"/>
        <v>27</v>
      </c>
      <c r="U12" s="17">
        <f t="shared" si="4"/>
        <v>31</v>
      </c>
      <c r="V12" s="17">
        <f t="shared" si="4"/>
        <v>321</v>
      </c>
      <c r="W12" s="17">
        <f t="shared" si="4"/>
        <v>4</v>
      </c>
      <c r="X12" s="17">
        <f t="shared" si="4"/>
        <v>8</v>
      </c>
      <c r="Y12" s="17">
        <f t="shared" si="4"/>
        <v>39</v>
      </c>
      <c r="Z12" s="17">
        <f t="shared" si="4"/>
        <v>18</v>
      </c>
      <c r="AA12" s="17">
        <f t="shared" si="4"/>
        <v>4</v>
      </c>
      <c r="AB12" s="17">
        <f t="shared" si="4"/>
        <v>7</v>
      </c>
      <c r="AC12" s="17">
        <f t="shared" si="4"/>
        <v>1090</v>
      </c>
      <c r="AD12" s="17">
        <f t="shared" si="4"/>
        <v>0</v>
      </c>
      <c r="AE12" s="31">
        <f t="shared" si="4"/>
        <v>687</v>
      </c>
      <c r="AF12" s="31">
        <f t="shared" si="4"/>
        <v>1777</v>
      </c>
    </row>
    <row r="13" spans="2:32" ht="23.1" customHeight="1" x14ac:dyDescent="0.25">
      <c r="B13" s="23" t="s">
        <v>40</v>
      </c>
      <c r="C13" s="50">
        <v>24</v>
      </c>
      <c r="D13" s="50">
        <v>7</v>
      </c>
      <c r="E13" s="50">
        <v>8</v>
      </c>
      <c r="F13" s="50">
        <v>47</v>
      </c>
      <c r="G13" s="50">
        <v>8</v>
      </c>
      <c r="H13" s="50">
        <v>1</v>
      </c>
      <c r="I13" s="50">
        <v>8</v>
      </c>
      <c r="J13" s="50">
        <v>2</v>
      </c>
      <c r="K13" s="50">
        <v>2</v>
      </c>
      <c r="L13" s="50">
        <v>1</v>
      </c>
      <c r="M13" s="50">
        <v>234</v>
      </c>
      <c r="N13" s="50">
        <v>0</v>
      </c>
      <c r="O13" s="15">
        <f t="shared" si="0"/>
        <v>108</v>
      </c>
      <c r="P13" s="15">
        <f t="shared" si="1"/>
        <v>342</v>
      </c>
      <c r="R13" s="1" t="s">
        <v>9</v>
      </c>
      <c r="S13" s="17">
        <f t="shared" ref="S13:AF13" si="5">SUM(C22:C25)</f>
        <v>170</v>
      </c>
      <c r="T13" s="17">
        <f t="shared" si="5"/>
        <v>20</v>
      </c>
      <c r="U13" s="17">
        <f t="shared" si="5"/>
        <v>45</v>
      </c>
      <c r="V13" s="17">
        <f t="shared" si="5"/>
        <v>235</v>
      </c>
      <c r="W13" s="17">
        <f t="shared" si="5"/>
        <v>7</v>
      </c>
      <c r="X13" s="17">
        <f t="shared" si="5"/>
        <v>4</v>
      </c>
      <c r="Y13" s="17">
        <f t="shared" si="5"/>
        <v>37</v>
      </c>
      <c r="Z13" s="17">
        <f t="shared" si="5"/>
        <v>19</v>
      </c>
      <c r="AA13" s="17">
        <f t="shared" si="5"/>
        <v>9</v>
      </c>
      <c r="AB13" s="17">
        <f t="shared" si="5"/>
        <v>10</v>
      </c>
      <c r="AC13" s="17">
        <f t="shared" si="5"/>
        <v>938</v>
      </c>
      <c r="AD13" s="17">
        <f t="shared" si="5"/>
        <v>0</v>
      </c>
      <c r="AE13" s="31">
        <f t="shared" si="5"/>
        <v>556</v>
      </c>
      <c r="AF13" s="31">
        <f t="shared" si="5"/>
        <v>1494</v>
      </c>
    </row>
    <row r="14" spans="2:32" ht="23.1" customHeight="1" x14ac:dyDescent="0.25">
      <c r="B14" s="23" t="s">
        <v>41</v>
      </c>
      <c r="C14" s="50">
        <v>30</v>
      </c>
      <c r="D14" s="50">
        <v>3</v>
      </c>
      <c r="E14" s="50">
        <v>6</v>
      </c>
      <c r="F14" s="50">
        <v>30</v>
      </c>
      <c r="G14" s="50">
        <v>0</v>
      </c>
      <c r="H14" s="50">
        <v>1</v>
      </c>
      <c r="I14" s="50">
        <v>10</v>
      </c>
      <c r="J14" s="50">
        <v>5</v>
      </c>
      <c r="K14" s="50">
        <v>5</v>
      </c>
      <c r="L14" s="50">
        <v>3</v>
      </c>
      <c r="M14" s="50">
        <v>190</v>
      </c>
      <c r="N14" s="50">
        <v>0</v>
      </c>
      <c r="O14" s="15">
        <f t="shared" si="0"/>
        <v>93</v>
      </c>
      <c r="P14" s="15">
        <f t="shared" si="1"/>
        <v>283</v>
      </c>
      <c r="R14" s="1" t="s">
        <v>10</v>
      </c>
      <c r="S14" s="17">
        <f t="shared" ref="S14:AF14" si="6">SUM(C26:C29)</f>
        <v>220</v>
      </c>
      <c r="T14" s="17">
        <f t="shared" si="6"/>
        <v>22</v>
      </c>
      <c r="U14" s="17">
        <f t="shared" si="6"/>
        <v>30</v>
      </c>
      <c r="V14" s="17">
        <f t="shared" si="6"/>
        <v>234</v>
      </c>
      <c r="W14" s="17">
        <f t="shared" si="6"/>
        <v>5</v>
      </c>
      <c r="X14" s="17">
        <f t="shared" si="6"/>
        <v>9</v>
      </c>
      <c r="Y14" s="17">
        <f t="shared" si="6"/>
        <v>39</v>
      </c>
      <c r="Z14" s="17">
        <f t="shared" si="6"/>
        <v>31</v>
      </c>
      <c r="AA14" s="17">
        <f t="shared" si="6"/>
        <v>12</v>
      </c>
      <c r="AB14" s="17">
        <f t="shared" si="6"/>
        <v>15</v>
      </c>
      <c r="AC14" s="17">
        <f t="shared" si="6"/>
        <v>838</v>
      </c>
      <c r="AD14" s="17">
        <f t="shared" si="6"/>
        <v>0</v>
      </c>
      <c r="AE14" s="31">
        <f t="shared" si="6"/>
        <v>617</v>
      </c>
      <c r="AF14" s="31">
        <f t="shared" si="6"/>
        <v>1455</v>
      </c>
    </row>
    <row r="15" spans="2:32" ht="23.1" customHeight="1" x14ac:dyDescent="0.25">
      <c r="B15" s="23" t="s">
        <v>42</v>
      </c>
      <c r="C15" s="50">
        <v>42</v>
      </c>
      <c r="D15" s="50">
        <v>5</v>
      </c>
      <c r="E15" s="50">
        <v>10</v>
      </c>
      <c r="F15" s="50">
        <v>66</v>
      </c>
      <c r="G15" s="50">
        <v>1</v>
      </c>
      <c r="H15" s="50">
        <v>3</v>
      </c>
      <c r="I15" s="50">
        <v>8</v>
      </c>
      <c r="J15" s="50">
        <v>3</v>
      </c>
      <c r="K15" s="50">
        <v>2</v>
      </c>
      <c r="L15" s="50">
        <v>2</v>
      </c>
      <c r="M15" s="50">
        <v>336</v>
      </c>
      <c r="N15" s="50">
        <v>0</v>
      </c>
      <c r="O15" s="15">
        <f t="shared" si="0"/>
        <v>142</v>
      </c>
      <c r="P15" s="15">
        <f t="shared" si="1"/>
        <v>478</v>
      </c>
      <c r="R15" s="1" t="s">
        <v>11</v>
      </c>
      <c r="S15" s="17">
        <f t="shared" ref="S15:AF15" si="7">SUM(C30:C33)</f>
        <v>255</v>
      </c>
      <c r="T15" s="17">
        <f t="shared" si="7"/>
        <v>29</v>
      </c>
      <c r="U15" s="17">
        <f t="shared" si="7"/>
        <v>31</v>
      </c>
      <c r="V15" s="17">
        <f t="shared" si="7"/>
        <v>297</v>
      </c>
      <c r="W15" s="17">
        <f t="shared" si="7"/>
        <v>6</v>
      </c>
      <c r="X15" s="17">
        <f t="shared" si="7"/>
        <v>4</v>
      </c>
      <c r="Y15" s="17">
        <f t="shared" si="7"/>
        <v>41</v>
      </c>
      <c r="Z15" s="17">
        <f t="shared" si="7"/>
        <v>25</v>
      </c>
      <c r="AA15" s="17">
        <f t="shared" si="7"/>
        <v>9</v>
      </c>
      <c r="AB15" s="17">
        <f t="shared" si="7"/>
        <v>10</v>
      </c>
      <c r="AC15" s="17">
        <f t="shared" si="7"/>
        <v>875</v>
      </c>
      <c r="AD15" s="17">
        <f t="shared" si="7"/>
        <v>0</v>
      </c>
      <c r="AE15" s="31">
        <f t="shared" si="7"/>
        <v>707</v>
      </c>
      <c r="AF15" s="31">
        <f t="shared" si="7"/>
        <v>1582</v>
      </c>
    </row>
    <row r="16" spans="2:32" ht="23.1" customHeight="1" x14ac:dyDescent="0.25">
      <c r="B16" s="23" t="s">
        <v>43</v>
      </c>
      <c r="C16" s="50">
        <v>32</v>
      </c>
      <c r="D16" s="50">
        <v>5</v>
      </c>
      <c r="E16" s="50">
        <v>4</v>
      </c>
      <c r="F16" s="50">
        <v>51</v>
      </c>
      <c r="G16" s="50">
        <v>0</v>
      </c>
      <c r="H16" s="50">
        <v>1</v>
      </c>
      <c r="I16" s="50">
        <v>11</v>
      </c>
      <c r="J16" s="50">
        <v>3</v>
      </c>
      <c r="K16" s="50">
        <v>0</v>
      </c>
      <c r="L16" s="50">
        <v>1</v>
      </c>
      <c r="M16" s="50">
        <v>375</v>
      </c>
      <c r="N16" s="50">
        <v>0</v>
      </c>
      <c r="O16" s="15">
        <f t="shared" si="0"/>
        <v>108</v>
      </c>
      <c r="P16" s="15">
        <f t="shared" si="1"/>
        <v>483</v>
      </c>
      <c r="R16" s="1" t="s">
        <v>12</v>
      </c>
      <c r="S16" s="17">
        <f t="shared" ref="S16:AF16" si="8">SUM(C34:C37)</f>
        <v>220</v>
      </c>
      <c r="T16" s="17">
        <f t="shared" si="8"/>
        <v>26</v>
      </c>
      <c r="U16" s="17">
        <f t="shared" si="8"/>
        <v>32</v>
      </c>
      <c r="V16" s="17">
        <f t="shared" si="8"/>
        <v>299</v>
      </c>
      <c r="W16" s="17">
        <f t="shared" si="8"/>
        <v>4</v>
      </c>
      <c r="X16" s="17">
        <f t="shared" si="8"/>
        <v>4</v>
      </c>
      <c r="Y16" s="17">
        <f t="shared" si="8"/>
        <v>50</v>
      </c>
      <c r="Z16" s="17">
        <f t="shared" si="8"/>
        <v>28</v>
      </c>
      <c r="AA16" s="17">
        <f t="shared" si="8"/>
        <v>3</v>
      </c>
      <c r="AB16" s="17">
        <f t="shared" si="8"/>
        <v>12</v>
      </c>
      <c r="AC16" s="17">
        <f t="shared" si="8"/>
        <v>706</v>
      </c>
      <c r="AD16" s="17">
        <f t="shared" si="8"/>
        <v>0</v>
      </c>
      <c r="AE16" s="31">
        <f t="shared" si="8"/>
        <v>678</v>
      </c>
      <c r="AF16" s="31">
        <f t="shared" si="8"/>
        <v>1384</v>
      </c>
    </row>
    <row r="17" spans="2:32" ht="23.1" customHeight="1" x14ac:dyDescent="0.25">
      <c r="B17" s="23" t="s">
        <v>44</v>
      </c>
      <c r="C17" s="50">
        <v>31</v>
      </c>
      <c r="D17" s="50">
        <v>5</v>
      </c>
      <c r="E17" s="50">
        <v>4</v>
      </c>
      <c r="F17" s="50">
        <v>48</v>
      </c>
      <c r="G17" s="50">
        <v>1</v>
      </c>
      <c r="H17" s="50">
        <v>1</v>
      </c>
      <c r="I17" s="50">
        <v>9</v>
      </c>
      <c r="J17" s="50">
        <v>3</v>
      </c>
      <c r="K17" s="50">
        <v>1</v>
      </c>
      <c r="L17" s="50">
        <v>0</v>
      </c>
      <c r="M17" s="50">
        <v>305</v>
      </c>
      <c r="N17" s="50">
        <v>0</v>
      </c>
      <c r="O17" s="15">
        <f t="shared" si="0"/>
        <v>103</v>
      </c>
      <c r="P17" s="15">
        <f t="shared" si="1"/>
        <v>408</v>
      </c>
      <c r="R17" s="1" t="s">
        <v>13</v>
      </c>
      <c r="S17" s="17">
        <f t="shared" ref="S17:AF17" si="9">SUM(C38:C41)</f>
        <v>259</v>
      </c>
      <c r="T17" s="17">
        <f t="shared" si="9"/>
        <v>38</v>
      </c>
      <c r="U17" s="17">
        <f t="shared" si="9"/>
        <v>33</v>
      </c>
      <c r="V17" s="17">
        <f t="shared" si="9"/>
        <v>313</v>
      </c>
      <c r="W17" s="17">
        <f t="shared" si="9"/>
        <v>4</v>
      </c>
      <c r="X17" s="17">
        <f t="shared" si="9"/>
        <v>8</v>
      </c>
      <c r="Y17" s="17">
        <f t="shared" si="9"/>
        <v>49</v>
      </c>
      <c r="Z17" s="17">
        <f t="shared" si="9"/>
        <v>37</v>
      </c>
      <c r="AA17" s="17">
        <f t="shared" si="9"/>
        <v>16</v>
      </c>
      <c r="AB17" s="17">
        <f t="shared" si="9"/>
        <v>13</v>
      </c>
      <c r="AC17" s="17">
        <f t="shared" si="9"/>
        <v>644</v>
      </c>
      <c r="AD17" s="17">
        <f t="shared" si="9"/>
        <v>0</v>
      </c>
      <c r="AE17" s="31">
        <f t="shared" si="9"/>
        <v>770</v>
      </c>
      <c r="AF17" s="31">
        <f t="shared" si="9"/>
        <v>1414</v>
      </c>
    </row>
    <row r="18" spans="2:32" ht="23.1" customHeight="1" x14ac:dyDescent="0.25">
      <c r="B18" s="23" t="s">
        <v>45</v>
      </c>
      <c r="C18" s="50">
        <v>81</v>
      </c>
      <c r="D18" s="50">
        <v>9</v>
      </c>
      <c r="E18" s="50">
        <v>9</v>
      </c>
      <c r="F18" s="50">
        <v>111</v>
      </c>
      <c r="G18" s="50">
        <v>1</v>
      </c>
      <c r="H18" s="50">
        <v>4</v>
      </c>
      <c r="I18" s="50">
        <v>9</v>
      </c>
      <c r="J18" s="50">
        <v>2</v>
      </c>
      <c r="K18" s="50">
        <v>0</v>
      </c>
      <c r="L18" s="50">
        <v>1</v>
      </c>
      <c r="M18" s="50">
        <v>265</v>
      </c>
      <c r="N18" s="50">
        <v>0</v>
      </c>
      <c r="O18" s="15">
        <f t="shared" si="0"/>
        <v>227</v>
      </c>
      <c r="P18" s="15">
        <f t="shared" si="1"/>
        <v>492</v>
      </c>
      <c r="R18" s="1" t="s">
        <v>14</v>
      </c>
      <c r="S18" s="17">
        <f t="shared" ref="S18:AF18" si="10">SUM(C42:C45)</f>
        <v>202</v>
      </c>
      <c r="T18" s="17">
        <f t="shared" si="10"/>
        <v>25</v>
      </c>
      <c r="U18" s="17">
        <f t="shared" si="10"/>
        <v>50</v>
      </c>
      <c r="V18" s="17">
        <f t="shared" si="10"/>
        <v>198</v>
      </c>
      <c r="W18" s="17">
        <f t="shared" si="10"/>
        <v>8</v>
      </c>
      <c r="X18" s="17">
        <f t="shared" si="10"/>
        <v>5</v>
      </c>
      <c r="Y18" s="17">
        <f t="shared" si="10"/>
        <v>49</v>
      </c>
      <c r="Z18" s="17">
        <f t="shared" si="10"/>
        <v>38</v>
      </c>
      <c r="AA18" s="17">
        <f t="shared" si="10"/>
        <v>12</v>
      </c>
      <c r="AB18" s="17">
        <f t="shared" si="10"/>
        <v>14</v>
      </c>
      <c r="AC18" s="17">
        <f t="shared" si="10"/>
        <v>631</v>
      </c>
      <c r="AD18" s="17">
        <f t="shared" si="10"/>
        <v>0</v>
      </c>
      <c r="AE18" s="31">
        <f t="shared" si="10"/>
        <v>601</v>
      </c>
      <c r="AF18" s="31">
        <f t="shared" si="10"/>
        <v>1232</v>
      </c>
    </row>
    <row r="19" spans="2:32" ht="23.1" customHeight="1" x14ac:dyDescent="0.25">
      <c r="B19" s="23" t="s">
        <v>46</v>
      </c>
      <c r="C19" s="50">
        <v>63</v>
      </c>
      <c r="D19" s="50">
        <v>5</v>
      </c>
      <c r="E19" s="50">
        <v>8</v>
      </c>
      <c r="F19" s="50">
        <v>71</v>
      </c>
      <c r="G19" s="50">
        <v>1</v>
      </c>
      <c r="H19" s="50">
        <v>3</v>
      </c>
      <c r="I19" s="50">
        <v>5</v>
      </c>
      <c r="J19" s="50">
        <v>6</v>
      </c>
      <c r="K19" s="50">
        <v>0</v>
      </c>
      <c r="L19" s="50">
        <v>2</v>
      </c>
      <c r="M19" s="50">
        <v>235</v>
      </c>
      <c r="N19" s="50">
        <v>0</v>
      </c>
      <c r="O19" s="15">
        <f t="shared" si="0"/>
        <v>164</v>
      </c>
      <c r="P19" s="15">
        <f t="shared" si="1"/>
        <v>399</v>
      </c>
      <c r="R19" s="1" t="s">
        <v>15</v>
      </c>
      <c r="S19" s="17">
        <f t="shared" ref="S19:AF19" si="11">SUM(C46:C49)</f>
        <v>219</v>
      </c>
      <c r="T19" s="17">
        <f t="shared" si="11"/>
        <v>25</v>
      </c>
      <c r="U19" s="17">
        <f t="shared" si="11"/>
        <v>37</v>
      </c>
      <c r="V19" s="17">
        <f t="shared" si="11"/>
        <v>164</v>
      </c>
      <c r="W19" s="17">
        <f t="shared" si="11"/>
        <v>4</v>
      </c>
      <c r="X19" s="17">
        <f t="shared" si="11"/>
        <v>4</v>
      </c>
      <c r="Y19" s="17">
        <f t="shared" si="11"/>
        <v>39</v>
      </c>
      <c r="Z19" s="17">
        <f t="shared" si="11"/>
        <v>37</v>
      </c>
      <c r="AA19" s="17">
        <f t="shared" si="11"/>
        <v>12</v>
      </c>
      <c r="AB19" s="17">
        <f t="shared" si="11"/>
        <v>16</v>
      </c>
      <c r="AC19" s="17">
        <f t="shared" si="11"/>
        <v>828</v>
      </c>
      <c r="AD19" s="17">
        <f t="shared" si="11"/>
        <v>1</v>
      </c>
      <c r="AE19" s="31">
        <f t="shared" si="11"/>
        <v>558</v>
      </c>
      <c r="AF19" s="31">
        <f t="shared" si="11"/>
        <v>1386</v>
      </c>
    </row>
    <row r="20" spans="2:32" ht="23.1" customHeight="1" x14ac:dyDescent="0.25">
      <c r="B20" s="23" t="s">
        <v>47</v>
      </c>
      <c r="C20" s="50">
        <v>44</v>
      </c>
      <c r="D20" s="50">
        <v>8</v>
      </c>
      <c r="E20" s="50">
        <v>5</v>
      </c>
      <c r="F20" s="50">
        <v>67</v>
      </c>
      <c r="G20" s="50">
        <v>0</v>
      </c>
      <c r="H20" s="50">
        <v>0</v>
      </c>
      <c r="I20" s="50">
        <v>10</v>
      </c>
      <c r="J20" s="50">
        <v>1</v>
      </c>
      <c r="K20" s="50">
        <v>2</v>
      </c>
      <c r="L20" s="50">
        <v>1</v>
      </c>
      <c r="M20" s="50">
        <v>300</v>
      </c>
      <c r="N20" s="50">
        <v>0</v>
      </c>
      <c r="O20" s="15">
        <f t="shared" si="0"/>
        <v>138</v>
      </c>
      <c r="P20" s="15">
        <f t="shared" si="1"/>
        <v>438</v>
      </c>
      <c r="R20" s="1" t="s">
        <v>16</v>
      </c>
      <c r="S20" s="17">
        <f t="shared" ref="S20:AF20" si="12">SUM(C50:C53)</f>
        <v>211</v>
      </c>
      <c r="T20" s="17">
        <f t="shared" si="12"/>
        <v>27</v>
      </c>
      <c r="U20" s="17">
        <f t="shared" si="12"/>
        <v>39</v>
      </c>
      <c r="V20" s="17">
        <f t="shared" si="12"/>
        <v>151</v>
      </c>
      <c r="W20" s="17">
        <f t="shared" si="12"/>
        <v>3</v>
      </c>
      <c r="X20" s="17">
        <f t="shared" si="12"/>
        <v>7</v>
      </c>
      <c r="Y20" s="17">
        <f t="shared" si="12"/>
        <v>49</v>
      </c>
      <c r="Z20" s="17">
        <f t="shared" si="12"/>
        <v>28</v>
      </c>
      <c r="AA20" s="17">
        <f t="shared" si="12"/>
        <v>12</v>
      </c>
      <c r="AB20" s="17">
        <f t="shared" si="12"/>
        <v>13</v>
      </c>
      <c r="AC20" s="17">
        <f t="shared" si="12"/>
        <v>915</v>
      </c>
      <c r="AD20" s="17">
        <f t="shared" si="12"/>
        <v>0</v>
      </c>
      <c r="AE20" s="31">
        <f t="shared" si="12"/>
        <v>540</v>
      </c>
      <c r="AF20" s="31">
        <f t="shared" si="12"/>
        <v>1455</v>
      </c>
    </row>
    <row r="21" spans="2:32" ht="23.1" customHeight="1" x14ac:dyDescent="0.25">
      <c r="B21" s="23" t="s">
        <v>48</v>
      </c>
      <c r="C21" s="50">
        <v>40</v>
      </c>
      <c r="D21" s="50">
        <v>5</v>
      </c>
      <c r="E21" s="50">
        <v>9</v>
      </c>
      <c r="F21" s="50">
        <v>72</v>
      </c>
      <c r="G21" s="50">
        <v>2</v>
      </c>
      <c r="H21" s="50">
        <v>1</v>
      </c>
      <c r="I21" s="50">
        <v>15</v>
      </c>
      <c r="J21" s="50">
        <v>9</v>
      </c>
      <c r="K21" s="50">
        <v>2</v>
      </c>
      <c r="L21" s="50">
        <v>3</v>
      </c>
      <c r="M21" s="50">
        <v>290</v>
      </c>
      <c r="N21" s="50">
        <v>0</v>
      </c>
      <c r="O21" s="15">
        <f t="shared" si="0"/>
        <v>158</v>
      </c>
      <c r="P21" s="15">
        <f t="shared" si="1"/>
        <v>448</v>
      </c>
      <c r="R21" s="36" t="s">
        <v>20</v>
      </c>
      <c r="S21" s="34">
        <f t="shared" ref="S21:AF21" si="13">SUM(C54:C57)</f>
        <v>251</v>
      </c>
      <c r="T21" s="17">
        <f t="shared" si="13"/>
        <v>21</v>
      </c>
      <c r="U21" s="17">
        <f t="shared" si="13"/>
        <v>38</v>
      </c>
      <c r="V21" s="17">
        <f t="shared" si="13"/>
        <v>159</v>
      </c>
      <c r="W21" s="17">
        <f t="shared" si="13"/>
        <v>2</v>
      </c>
      <c r="X21" s="17">
        <f t="shared" si="13"/>
        <v>2</v>
      </c>
      <c r="Y21" s="17">
        <f t="shared" si="13"/>
        <v>22</v>
      </c>
      <c r="Z21" s="17">
        <f t="shared" si="13"/>
        <v>25</v>
      </c>
      <c r="AA21" s="17">
        <f t="shared" si="13"/>
        <v>11</v>
      </c>
      <c r="AB21" s="17">
        <f t="shared" si="13"/>
        <v>12</v>
      </c>
      <c r="AC21" s="17">
        <f t="shared" si="13"/>
        <v>951</v>
      </c>
      <c r="AD21" s="17">
        <f t="shared" si="13"/>
        <v>0</v>
      </c>
      <c r="AE21" s="31">
        <f t="shared" si="13"/>
        <v>543</v>
      </c>
      <c r="AF21" s="31">
        <f t="shared" si="13"/>
        <v>1494</v>
      </c>
    </row>
    <row r="22" spans="2:32" ht="23.1" customHeight="1" x14ac:dyDescent="0.25">
      <c r="B22" s="23" t="s">
        <v>49</v>
      </c>
      <c r="C22" s="50">
        <v>32</v>
      </c>
      <c r="D22" s="50">
        <v>7</v>
      </c>
      <c r="E22" s="50">
        <v>9</v>
      </c>
      <c r="F22" s="50">
        <v>44</v>
      </c>
      <c r="G22" s="50">
        <v>2</v>
      </c>
      <c r="H22" s="50">
        <v>1</v>
      </c>
      <c r="I22" s="50">
        <v>11</v>
      </c>
      <c r="J22" s="50">
        <v>5</v>
      </c>
      <c r="K22" s="50">
        <v>2</v>
      </c>
      <c r="L22" s="50">
        <v>2</v>
      </c>
      <c r="M22" s="50">
        <v>259</v>
      </c>
      <c r="N22" s="50">
        <v>0</v>
      </c>
      <c r="O22" s="15">
        <f t="shared" si="0"/>
        <v>115</v>
      </c>
      <c r="P22" s="15">
        <f t="shared" si="1"/>
        <v>374</v>
      </c>
      <c r="R22" s="38" t="s">
        <v>90</v>
      </c>
      <c r="S22" s="39">
        <f>MAX(S10:S12)</f>
        <v>228</v>
      </c>
      <c r="T22" s="39">
        <f t="shared" ref="T22:AF22" si="14">MAX(T10:T12)</f>
        <v>27</v>
      </c>
      <c r="U22" s="39">
        <f t="shared" si="14"/>
        <v>31</v>
      </c>
      <c r="V22" s="39">
        <f t="shared" si="14"/>
        <v>321</v>
      </c>
      <c r="W22" s="39">
        <f t="shared" si="14"/>
        <v>10</v>
      </c>
      <c r="X22" s="39">
        <f t="shared" si="14"/>
        <v>8</v>
      </c>
      <c r="Y22" s="39">
        <f t="shared" si="14"/>
        <v>39</v>
      </c>
      <c r="Z22" s="39">
        <f t="shared" si="14"/>
        <v>18</v>
      </c>
      <c r="AA22" s="39">
        <f t="shared" si="14"/>
        <v>8</v>
      </c>
      <c r="AB22" s="39">
        <f t="shared" si="14"/>
        <v>7</v>
      </c>
      <c r="AC22" s="39">
        <f t="shared" si="14"/>
        <v>1206</v>
      </c>
      <c r="AD22" s="39">
        <f t="shared" si="14"/>
        <v>0</v>
      </c>
      <c r="AE22" s="40">
        <f t="shared" si="14"/>
        <v>687</v>
      </c>
      <c r="AF22" s="40">
        <f t="shared" si="14"/>
        <v>1777</v>
      </c>
    </row>
    <row r="23" spans="2:32" ht="23.1" customHeight="1" x14ac:dyDescent="0.25">
      <c r="B23" s="23" t="s">
        <v>50</v>
      </c>
      <c r="C23" s="50">
        <v>51</v>
      </c>
      <c r="D23" s="50">
        <v>5</v>
      </c>
      <c r="E23" s="50">
        <v>16</v>
      </c>
      <c r="F23" s="50">
        <v>76</v>
      </c>
      <c r="G23" s="50">
        <v>1</v>
      </c>
      <c r="H23" s="50">
        <v>1</v>
      </c>
      <c r="I23" s="50">
        <v>13</v>
      </c>
      <c r="J23" s="50">
        <v>2</v>
      </c>
      <c r="K23" s="50">
        <v>2</v>
      </c>
      <c r="L23" s="50">
        <v>0</v>
      </c>
      <c r="M23" s="50">
        <v>259</v>
      </c>
      <c r="N23" s="50">
        <v>0</v>
      </c>
      <c r="O23" s="15">
        <f t="shared" si="0"/>
        <v>167</v>
      </c>
      <c r="P23" s="15">
        <f t="shared" si="1"/>
        <v>426</v>
      </c>
      <c r="R23" s="38" t="s">
        <v>91</v>
      </c>
      <c r="S23" s="39">
        <f>MAX(S13:S18)</f>
        <v>259</v>
      </c>
      <c r="T23" s="39">
        <f t="shared" ref="T23:AF23" si="15">MAX(T13:T18)</f>
        <v>38</v>
      </c>
      <c r="U23" s="39">
        <f t="shared" si="15"/>
        <v>50</v>
      </c>
      <c r="V23" s="39">
        <f t="shared" si="15"/>
        <v>313</v>
      </c>
      <c r="W23" s="39">
        <f t="shared" si="15"/>
        <v>8</v>
      </c>
      <c r="X23" s="39">
        <f t="shared" si="15"/>
        <v>9</v>
      </c>
      <c r="Y23" s="39">
        <f t="shared" si="15"/>
        <v>50</v>
      </c>
      <c r="Z23" s="39">
        <f t="shared" si="15"/>
        <v>38</v>
      </c>
      <c r="AA23" s="39">
        <f t="shared" si="15"/>
        <v>16</v>
      </c>
      <c r="AB23" s="39">
        <f t="shared" si="15"/>
        <v>15</v>
      </c>
      <c r="AC23" s="39">
        <f t="shared" si="15"/>
        <v>938</v>
      </c>
      <c r="AD23" s="39">
        <f t="shared" si="15"/>
        <v>0</v>
      </c>
      <c r="AE23" s="40">
        <f t="shared" si="15"/>
        <v>770</v>
      </c>
      <c r="AF23" s="40">
        <f t="shared" si="15"/>
        <v>1582</v>
      </c>
    </row>
    <row r="24" spans="2:32" ht="23.1" customHeight="1" x14ac:dyDescent="0.25">
      <c r="B24" s="23" t="s">
        <v>51</v>
      </c>
      <c r="C24" s="50">
        <v>37</v>
      </c>
      <c r="D24" s="50">
        <v>3</v>
      </c>
      <c r="E24" s="50">
        <v>7</v>
      </c>
      <c r="F24" s="50">
        <v>50</v>
      </c>
      <c r="G24" s="50">
        <v>1</v>
      </c>
      <c r="H24" s="50">
        <v>0</v>
      </c>
      <c r="I24" s="50">
        <v>9</v>
      </c>
      <c r="J24" s="50">
        <v>4</v>
      </c>
      <c r="K24" s="50">
        <v>1</v>
      </c>
      <c r="L24" s="50">
        <v>8</v>
      </c>
      <c r="M24" s="50">
        <v>220</v>
      </c>
      <c r="N24" s="50">
        <v>0</v>
      </c>
      <c r="O24" s="15">
        <f t="shared" si="0"/>
        <v>120</v>
      </c>
      <c r="P24" s="15">
        <f t="shared" si="1"/>
        <v>340</v>
      </c>
      <c r="R24" s="38" t="s">
        <v>92</v>
      </c>
      <c r="S24" s="39">
        <f>MAX(S19:S21)</f>
        <v>251</v>
      </c>
      <c r="T24" s="39">
        <f t="shared" ref="T24:AF24" si="16">MAX(T19:T21)</f>
        <v>27</v>
      </c>
      <c r="U24" s="39">
        <f t="shared" si="16"/>
        <v>39</v>
      </c>
      <c r="V24" s="39">
        <f t="shared" si="16"/>
        <v>164</v>
      </c>
      <c r="W24" s="39">
        <f t="shared" si="16"/>
        <v>4</v>
      </c>
      <c r="X24" s="39">
        <f t="shared" si="16"/>
        <v>7</v>
      </c>
      <c r="Y24" s="39">
        <f t="shared" si="16"/>
        <v>49</v>
      </c>
      <c r="Z24" s="39">
        <f t="shared" si="16"/>
        <v>37</v>
      </c>
      <c r="AA24" s="39">
        <f t="shared" si="16"/>
        <v>12</v>
      </c>
      <c r="AB24" s="39">
        <f t="shared" si="16"/>
        <v>16</v>
      </c>
      <c r="AC24" s="39">
        <f t="shared" si="16"/>
        <v>951</v>
      </c>
      <c r="AD24" s="39">
        <f t="shared" si="16"/>
        <v>1</v>
      </c>
      <c r="AE24" s="40">
        <f t="shared" si="16"/>
        <v>558</v>
      </c>
      <c r="AF24" s="40">
        <f t="shared" si="16"/>
        <v>1494</v>
      </c>
    </row>
    <row r="25" spans="2:32" ht="23.1" customHeight="1" x14ac:dyDescent="0.25">
      <c r="B25" s="23" t="s">
        <v>52</v>
      </c>
      <c r="C25" s="50">
        <v>50</v>
      </c>
      <c r="D25" s="50">
        <v>5</v>
      </c>
      <c r="E25" s="50">
        <v>13</v>
      </c>
      <c r="F25" s="50">
        <v>65</v>
      </c>
      <c r="G25" s="50">
        <v>3</v>
      </c>
      <c r="H25" s="50">
        <v>2</v>
      </c>
      <c r="I25" s="50">
        <v>4</v>
      </c>
      <c r="J25" s="50">
        <v>8</v>
      </c>
      <c r="K25" s="50">
        <v>4</v>
      </c>
      <c r="L25" s="50">
        <v>0</v>
      </c>
      <c r="M25" s="50">
        <v>200</v>
      </c>
      <c r="N25" s="50">
        <v>0</v>
      </c>
      <c r="O25" s="15">
        <f t="shared" si="0"/>
        <v>154</v>
      </c>
      <c r="P25" s="15">
        <f t="shared" si="1"/>
        <v>354</v>
      </c>
      <c r="R25" s="37" t="s">
        <v>85</v>
      </c>
      <c r="S25" s="35">
        <f t="shared" ref="S25:AF25" si="17">SUM(S10:S12)</f>
        <v>573</v>
      </c>
      <c r="T25" s="16">
        <f t="shared" si="17"/>
        <v>69</v>
      </c>
      <c r="U25" s="16">
        <f t="shared" si="17"/>
        <v>76</v>
      </c>
      <c r="V25" s="16">
        <f t="shared" si="17"/>
        <v>789</v>
      </c>
      <c r="W25" s="16">
        <f t="shared" si="17"/>
        <v>16</v>
      </c>
      <c r="X25" s="16">
        <f t="shared" si="17"/>
        <v>19</v>
      </c>
      <c r="Y25" s="16">
        <f t="shared" si="17"/>
        <v>110</v>
      </c>
      <c r="Z25" s="16">
        <f t="shared" si="17"/>
        <v>42</v>
      </c>
      <c r="AA25" s="16">
        <f t="shared" si="17"/>
        <v>20</v>
      </c>
      <c r="AB25" s="16">
        <f t="shared" si="17"/>
        <v>18</v>
      </c>
      <c r="AC25" s="16">
        <f t="shared" si="17"/>
        <v>2928</v>
      </c>
      <c r="AD25" s="16">
        <f t="shared" si="17"/>
        <v>0</v>
      </c>
      <c r="AE25" s="32">
        <f t="shared" si="17"/>
        <v>1732</v>
      </c>
      <c r="AF25" s="32">
        <f t="shared" si="17"/>
        <v>4660</v>
      </c>
    </row>
    <row r="26" spans="2:32" ht="23.1" customHeight="1" x14ac:dyDescent="0.25">
      <c r="B26" s="23" t="s">
        <v>53</v>
      </c>
      <c r="C26" s="50">
        <v>51</v>
      </c>
      <c r="D26" s="50">
        <v>4</v>
      </c>
      <c r="E26" s="50">
        <v>10</v>
      </c>
      <c r="F26" s="50">
        <v>63</v>
      </c>
      <c r="G26" s="50">
        <v>0</v>
      </c>
      <c r="H26" s="50">
        <v>2</v>
      </c>
      <c r="I26" s="50">
        <v>10</v>
      </c>
      <c r="J26" s="50">
        <v>10</v>
      </c>
      <c r="K26" s="50">
        <v>5</v>
      </c>
      <c r="L26" s="50">
        <v>4</v>
      </c>
      <c r="M26" s="50">
        <v>204</v>
      </c>
      <c r="N26" s="50">
        <v>0</v>
      </c>
      <c r="O26" s="15">
        <f t="shared" si="0"/>
        <v>159</v>
      </c>
      <c r="P26" s="15">
        <f t="shared" si="1"/>
        <v>363</v>
      </c>
      <c r="R26" s="28" t="s">
        <v>86</v>
      </c>
      <c r="S26" s="16">
        <f t="shared" ref="S26:AF26" si="18">SUM(S13:S18)</f>
        <v>1326</v>
      </c>
      <c r="T26" s="16">
        <f t="shared" si="18"/>
        <v>160</v>
      </c>
      <c r="U26" s="16">
        <f t="shared" si="18"/>
        <v>221</v>
      </c>
      <c r="V26" s="16">
        <f t="shared" si="18"/>
        <v>1576</v>
      </c>
      <c r="W26" s="16">
        <f t="shared" si="18"/>
        <v>34</v>
      </c>
      <c r="X26" s="16">
        <f t="shared" si="18"/>
        <v>34</v>
      </c>
      <c r="Y26" s="16">
        <f t="shared" si="18"/>
        <v>265</v>
      </c>
      <c r="Z26" s="16">
        <f t="shared" si="18"/>
        <v>178</v>
      </c>
      <c r="AA26" s="16">
        <f t="shared" si="18"/>
        <v>61</v>
      </c>
      <c r="AB26" s="16">
        <f t="shared" si="18"/>
        <v>74</v>
      </c>
      <c r="AC26" s="16">
        <f t="shared" si="18"/>
        <v>4632</v>
      </c>
      <c r="AD26" s="16">
        <f t="shared" si="18"/>
        <v>0</v>
      </c>
      <c r="AE26" s="32">
        <f t="shared" si="18"/>
        <v>3929</v>
      </c>
      <c r="AF26" s="32">
        <f t="shared" si="18"/>
        <v>8561</v>
      </c>
    </row>
    <row r="27" spans="2:32" ht="23.1" customHeight="1" x14ac:dyDescent="0.25">
      <c r="B27" s="23" t="s">
        <v>54</v>
      </c>
      <c r="C27" s="50">
        <v>46</v>
      </c>
      <c r="D27" s="50">
        <v>6</v>
      </c>
      <c r="E27" s="50">
        <v>10</v>
      </c>
      <c r="F27" s="50">
        <v>48</v>
      </c>
      <c r="G27" s="50">
        <v>1</v>
      </c>
      <c r="H27" s="50">
        <v>0</v>
      </c>
      <c r="I27" s="50">
        <v>9</v>
      </c>
      <c r="J27" s="50">
        <v>11</v>
      </c>
      <c r="K27" s="50">
        <v>3</v>
      </c>
      <c r="L27" s="50">
        <v>5</v>
      </c>
      <c r="M27" s="50">
        <v>225</v>
      </c>
      <c r="N27" s="50">
        <v>0</v>
      </c>
      <c r="O27" s="15">
        <f t="shared" si="0"/>
        <v>139</v>
      </c>
      <c r="P27" s="15">
        <f t="shared" si="1"/>
        <v>364</v>
      </c>
      <c r="R27" s="29" t="s">
        <v>87</v>
      </c>
      <c r="S27" s="16">
        <f t="shared" ref="S27:AF27" si="19">SUM(S19:S21)</f>
        <v>681</v>
      </c>
      <c r="T27" s="16">
        <f t="shared" si="19"/>
        <v>73</v>
      </c>
      <c r="U27" s="16">
        <f t="shared" si="19"/>
        <v>114</v>
      </c>
      <c r="V27" s="16">
        <f t="shared" si="19"/>
        <v>474</v>
      </c>
      <c r="W27" s="16">
        <f t="shared" si="19"/>
        <v>9</v>
      </c>
      <c r="X27" s="16">
        <f t="shared" si="19"/>
        <v>13</v>
      </c>
      <c r="Y27" s="16">
        <f t="shared" si="19"/>
        <v>110</v>
      </c>
      <c r="Z27" s="16">
        <f t="shared" si="19"/>
        <v>90</v>
      </c>
      <c r="AA27" s="16">
        <f t="shared" si="19"/>
        <v>35</v>
      </c>
      <c r="AB27" s="16">
        <f t="shared" si="19"/>
        <v>41</v>
      </c>
      <c r="AC27" s="16">
        <f t="shared" si="19"/>
        <v>2694</v>
      </c>
      <c r="AD27" s="16">
        <f t="shared" si="19"/>
        <v>1</v>
      </c>
      <c r="AE27" s="32">
        <f t="shared" si="19"/>
        <v>1641</v>
      </c>
      <c r="AF27" s="32">
        <f t="shared" si="19"/>
        <v>4335</v>
      </c>
    </row>
    <row r="28" spans="2:32" ht="23.1" customHeight="1" x14ac:dyDescent="0.25">
      <c r="B28" s="23" t="s">
        <v>55</v>
      </c>
      <c r="C28" s="50">
        <v>48</v>
      </c>
      <c r="D28" s="50">
        <v>5</v>
      </c>
      <c r="E28" s="50">
        <v>6</v>
      </c>
      <c r="F28" s="50">
        <v>57</v>
      </c>
      <c r="G28" s="50">
        <v>2</v>
      </c>
      <c r="H28" s="50">
        <v>4</v>
      </c>
      <c r="I28" s="50">
        <v>10</v>
      </c>
      <c r="J28" s="50">
        <v>5</v>
      </c>
      <c r="K28" s="50">
        <v>2</v>
      </c>
      <c r="L28" s="50">
        <v>2</v>
      </c>
      <c r="M28" s="50">
        <v>224</v>
      </c>
      <c r="N28" s="50">
        <v>0</v>
      </c>
      <c r="O28" s="15">
        <f t="shared" si="0"/>
        <v>141</v>
      </c>
      <c r="P28" s="15">
        <f t="shared" si="1"/>
        <v>365</v>
      </c>
      <c r="R28" s="5" t="s">
        <v>17</v>
      </c>
      <c r="S28" s="16">
        <f t="shared" ref="S28:AF28" si="20">SUM(S10:S21)</f>
        <v>2580</v>
      </c>
      <c r="T28" s="16">
        <f t="shared" si="20"/>
        <v>302</v>
      </c>
      <c r="U28" s="16">
        <f t="shared" si="20"/>
        <v>411</v>
      </c>
      <c r="V28" s="16">
        <f t="shared" si="20"/>
        <v>2839</v>
      </c>
      <c r="W28" s="16">
        <f t="shared" si="20"/>
        <v>59</v>
      </c>
      <c r="X28" s="16">
        <f t="shared" si="20"/>
        <v>66</v>
      </c>
      <c r="Y28" s="16">
        <f t="shared" si="20"/>
        <v>485</v>
      </c>
      <c r="Z28" s="16">
        <f t="shared" si="20"/>
        <v>310</v>
      </c>
      <c r="AA28" s="16">
        <f t="shared" si="20"/>
        <v>116</v>
      </c>
      <c r="AB28" s="16">
        <f t="shared" si="20"/>
        <v>133</v>
      </c>
      <c r="AC28" s="16">
        <f t="shared" si="20"/>
        <v>10254</v>
      </c>
      <c r="AD28" s="16">
        <f t="shared" si="20"/>
        <v>1</v>
      </c>
      <c r="AE28" s="32">
        <f t="shared" si="20"/>
        <v>7302</v>
      </c>
      <c r="AF28" s="32">
        <f t="shared" si="20"/>
        <v>17556</v>
      </c>
    </row>
    <row r="29" spans="2:32" ht="23.1" customHeight="1" x14ac:dyDescent="0.25">
      <c r="B29" s="23" t="s">
        <v>56</v>
      </c>
      <c r="C29" s="50">
        <v>75</v>
      </c>
      <c r="D29" s="50">
        <v>7</v>
      </c>
      <c r="E29" s="50">
        <v>4</v>
      </c>
      <c r="F29" s="50">
        <v>66</v>
      </c>
      <c r="G29" s="50">
        <v>2</v>
      </c>
      <c r="H29" s="50">
        <v>3</v>
      </c>
      <c r="I29" s="50">
        <v>10</v>
      </c>
      <c r="J29" s="50">
        <v>5</v>
      </c>
      <c r="K29" s="50">
        <v>2</v>
      </c>
      <c r="L29" s="50">
        <v>4</v>
      </c>
      <c r="M29" s="50">
        <v>185</v>
      </c>
      <c r="N29" s="50">
        <v>0</v>
      </c>
      <c r="O29" s="15">
        <f t="shared" si="0"/>
        <v>178</v>
      </c>
      <c r="P29" s="15">
        <f t="shared" si="1"/>
        <v>363</v>
      </c>
      <c r="R29"/>
      <c r="S29" s="20"/>
      <c r="T29" s="19"/>
    </row>
    <row r="30" spans="2:32" ht="23.1" customHeight="1" x14ac:dyDescent="0.25">
      <c r="B30" s="23" t="s">
        <v>57</v>
      </c>
      <c r="C30" s="50">
        <v>51</v>
      </c>
      <c r="D30" s="50">
        <v>6</v>
      </c>
      <c r="E30" s="50">
        <v>4</v>
      </c>
      <c r="F30" s="50">
        <v>67</v>
      </c>
      <c r="G30" s="50">
        <v>2</v>
      </c>
      <c r="H30" s="50">
        <v>0</v>
      </c>
      <c r="I30" s="50">
        <v>11</v>
      </c>
      <c r="J30" s="50">
        <v>9</v>
      </c>
      <c r="K30" s="50">
        <v>5</v>
      </c>
      <c r="L30" s="50">
        <v>2</v>
      </c>
      <c r="M30" s="50">
        <v>175</v>
      </c>
      <c r="N30" s="50">
        <v>0</v>
      </c>
      <c r="O30" s="15">
        <f t="shared" si="0"/>
        <v>157</v>
      </c>
      <c r="P30" s="15">
        <f t="shared" si="1"/>
        <v>332</v>
      </c>
    </row>
    <row r="31" spans="2:32" ht="23.1" customHeight="1" x14ac:dyDescent="0.25">
      <c r="B31" s="24" t="s">
        <v>58</v>
      </c>
      <c r="C31" s="50">
        <v>57</v>
      </c>
      <c r="D31" s="50">
        <v>9</v>
      </c>
      <c r="E31" s="50">
        <v>12</v>
      </c>
      <c r="F31" s="50">
        <v>59</v>
      </c>
      <c r="G31" s="50">
        <v>0</v>
      </c>
      <c r="H31" s="50">
        <v>2</v>
      </c>
      <c r="I31" s="50">
        <v>13</v>
      </c>
      <c r="J31" s="50">
        <v>4</v>
      </c>
      <c r="K31" s="50">
        <v>0</v>
      </c>
      <c r="L31" s="50">
        <v>3</v>
      </c>
      <c r="M31" s="50">
        <v>235</v>
      </c>
      <c r="N31" s="50">
        <v>0</v>
      </c>
      <c r="O31" s="15">
        <f t="shared" si="0"/>
        <v>159</v>
      </c>
      <c r="P31" s="15">
        <f t="shared" si="1"/>
        <v>394</v>
      </c>
    </row>
    <row r="32" spans="2:32" ht="23.1" customHeight="1" x14ac:dyDescent="0.25">
      <c r="B32" s="24" t="s">
        <v>59</v>
      </c>
      <c r="C32" s="50">
        <v>80</v>
      </c>
      <c r="D32" s="50">
        <v>5</v>
      </c>
      <c r="E32" s="50">
        <v>5</v>
      </c>
      <c r="F32" s="50">
        <v>110</v>
      </c>
      <c r="G32" s="50">
        <v>4</v>
      </c>
      <c r="H32" s="50">
        <v>1</v>
      </c>
      <c r="I32" s="50">
        <v>10</v>
      </c>
      <c r="J32" s="50">
        <v>5</v>
      </c>
      <c r="K32" s="50">
        <v>3</v>
      </c>
      <c r="L32" s="50">
        <v>3</v>
      </c>
      <c r="M32" s="50">
        <v>270</v>
      </c>
      <c r="N32" s="50">
        <v>0</v>
      </c>
      <c r="O32" s="15">
        <f t="shared" si="0"/>
        <v>226</v>
      </c>
      <c r="P32" s="15">
        <f t="shared" si="1"/>
        <v>496</v>
      </c>
    </row>
    <row r="33" spans="2:20" ht="23.1" customHeight="1" x14ac:dyDescent="0.25">
      <c r="B33" s="23" t="s">
        <v>60</v>
      </c>
      <c r="C33" s="50">
        <v>67</v>
      </c>
      <c r="D33" s="50">
        <v>9</v>
      </c>
      <c r="E33" s="50">
        <v>10</v>
      </c>
      <c r="F33" s="50">
        <v>61</v>
      </c>
      <c r="G33" s="50">
        <v>0</v>
      </c>
      <c r="H33" s="50">
        <v>1</v>
      </c>
      <c r="I33" s="50">
        <v>7</v>
      </c>
      <c r="J33" s="50">
        <v>7</v>
      </c>
      <c r="K33" s="50">
        <v>1</v>
      </c>
      <c r="L33" s="50">
        <v>2</v>
      </c>
      <c r="M33" s="50">
        <v>195</v>
      </c>
      <c r="N33" s="50">
        <v>0</v>
      </c>
      <c r="O33" s="15">
        <f t="shared" si="0"/>
        <v>165</v>
      </c>
      <c r="P33" s="15">
        <f t="shared" si="1"/>
        <v>360</v>
      </c>
    </row>
    <row r="34" spans="2:20" ht="23.1" customHeight="1" x14ac:dyDescent="0.25">
      <c r="B34" s="24" t="s">
        <v>61</v>
      </c>
      <c r="C34" s="50">
        <v>81</v>
      </c>
      <c r="D34" s="50">
        <v>2</v>
      </c>
      <c r="E34" s="50">
        <v>10</v>
      </c>
      <c r="F34" s="50">
        <v>122</v>
      </c>
      <c r="G34" s="50">
        <v>1</v>
      </c>
      <c r="H34" s="50">
        <v>0</v>
      </c>
      <c r="I34" s="50">
        <v>9</v>
      </c>
      <c r="J34" s="50">
        <v>6</v>
      </c>
      <c r="K34" s="50">
        <v>0</v>
      </c>
      <c r="L34" s="50">
        <v>3</v>
      </c>
      <c r="M34" s="50">
        <v>170</v>
      </c>
      <c r="N34" s="50">
        <v>0</v>
      </c>
      <c r="O34" s="15">
        <f t="shared" si="0"/>
        <v>234</v>
      </c>
      <c r="P34" s="15">
        <f t="shared" si="1"/>
        <v>404</v>
      </c>
    </row>
    <row r="35" spans="2:20" ht="23.1" customHeight="1" x14ac:dyDescent="0.25">
      <c r="B35" s="24" t="s">
        <v>62</v>
      </c>
      <c r="C35" s="50">
        <v>54</v>
      </c>
      <c r="D35" s="50">
        <v>14</v>
      </c>
      <c r="E35" s="50">
        <v>11</v>
      </c>
      <c r="F35" s="50">
        <v>68</v>
      </c>
      <c r="G35" s="50">
        <v>2</v>
      </c>
      <c r="H35" s="50">
        <v>1</v>
      </c>
      <c r="I35" s="50">
        <v>13</v>
      </c>
      <c r="J35" s="50">
        <v>7</v>
      </c>
      <c r="K35" s="50">
        <v>3</v>
      </c>
      <c r="L35" s="50">
        <v>4</v>
      </c>
      <c r="M35" s="50">
        <v>143</v>
      </c>
      <c r="N35" s="50">
        <v>0</v>
      </c>
      <c r="O35" s="15">
        <f t="shared" si="0"/>
        <v>177</v>
      </c>
      <c r="P35" s="15">
        <f t="shared" si="1"/>
        <v>320</v>
      </c>
    </row>
    <row r="36" spans="2:20" ht="23.1" customHeight="1" x14ac:dyDescent="0.25">
      <c r="B36" s="24" t="s">
        <v>63</v>
      </c>
      <c r="C36" s="50">
        <v>46</v>
      </c>
      <c r="D36" s="50">
        <v>6</v>
      </c>
      <c r="E36" s="50">
        <v>3</v>
      </c>
      <c r="F36" s="50">
        <v>55</v>
      </c>
      <c r="G36" s="50">
        <v>0</v>
      </c>
      <c r="H36" s="50">
        <v>2</v>
      </c>
      <c r="I36" s="50">
        <v>12</v>
      </c>
      <c r="J36" s="50">
        <v>6</v>
      </c>
      <c r="K36" s="50">
        <v>0</v>
      </c>
      <c r="L36" s="50">
        <v>1</v>
      </c>
      <c r="M36" s="50">
        <v>184</v>
      </c>
      <c r="N36" s="50">
        <v>0</v>
      </c>
      <c r="O36" s="15">
        <f t="shared" si="0"/>
        <v>131</v>
      </c>
      <c r="P36" s="15">
        <f t="shared" si="1"/>
        <v>315</v>
      </c>
    </row>
    <row r="37" spans="2:20" ht="23.1" customHeight="1" x14ac:dyDescent="0.25">
      <c r="B37" s="23" t="s">
        <v>64</v>
      </c>
      <c r="C37" s="50">
        <v>39</v>
      </c>
      <c r="D37" s="50">
        <v>4</v>
      </c>
      <c r="E37" s="50">
        <v>8</v>
      </c>
      <c r="F37" s="50">
        <v>54</v>
      </c>
      <c r="G37" s="50">
        <v>1</v>
      </c>
      <c r="H37" s="50">
        <v>1</v>
      </c>
      <c r="I37" s="50">
        <v>16</v>
      </c>
      <c r="J37" s="50">
        <v>9</v>
      </c>
      <c r="K37" s="50">
        <v>0</v>
      </c>
      <c r="L37" s="50">
        <v>4</v>
      </c>
      <c r="M37" s="50">
        <v>209</v>
      </c>
      <c r="N37" s="50">
        <v>0</v>
      </c>
      <c r="O37" s="15">
        <f t="shared" si="0"/>
        <v>136</v>
      </c>
      <c r="P37" s="15">
        <f t="shared" si="1"/>
        <v>345</v>
      </c>
    </row>
    <row r="38" spans="2:20" ht="23.1" customHeight="1" x14ac:dyDescent="0.25">
      <c r="B38" s="24" t="s">
        <v>65</v>
      </c>
      <c r="C38" s="50">
        <v>46</v>
      </c>
      <c r="D38" s="50">
        <v>14</v>
      </c>
      <c r="E38" s="50">
        <v>11</v>
      </c>
      <c r="F38" s="50">
        <v>61</v>
      </c>
      <c r="G38" s="50">
        <v>1</v>
      </c>
      <c r="H38" s="50">
        <v>2</v>
      </c>
      <c r="I38" s="50">
        <v>10</v>
      </c>
      <c r="J38" s="50">
        <v>12</v>
      </c>
      <c r="K38" s="50">
        <v>3</v>
      </c>
      <c r="L38" s="50">
        <v>4</v>
      </c>
      <c r="M38" s="50">
        <v>204</v>
      </c>
      <c r="N38" s="50">
        <v>0</v>
      </c>
      <c r="O38" s="15">
        <f t="shared" si="0"/>
        <v>164</v>
      </c>
      <c r="P38" s="15">
        <f t="shared" si="1"/>
        <v>368</v>
      </c>
    </row>
    <row r="39" spans="2:20" ht="23.1" customHeight="1" x14ac:dyDescent="0.25">
      <c r="B39" s="24" t="s">
        <v>66</v>
      </c>
      <c r="C39" s="50">
        <v>60</v>
      </c>
      <c r="D39" s="50">
        <v>8</v>
      </c>
      <c r="E39" s="50">
        <v>4</v>
      </c>
      <c r="F39" s="50">
        <v>82</v>
      </c>
      <c r="G39" s="50">
        <v>1</v>
      </c>
      <c r="H39" s="50">
        <v>1</v>
      </c>
      <c r="I39" s="50">
        <v>14</v>
      </c>
      <c r="J39" s="50">
        <v>10</v>
      </c>
      <c r="K39" s="50">
        <v>2</v>
      </c>
      <c r="L39" s="50">
        <v>3</v>
      </c>
      <c r="M39" s="50">
        <v>135</v>
      </c>
      <c r="N39" s="50">
        <v>0</v>
      </c>
      <c r="O39" s="15">
        <f t="shared" si="0"/>
        <v>185</v>
      </c>
      <c r="P39" s="15">
        <f t="shared" si="1"/>
        <v>320</v>
      </c>
    </row>
    <row r="40" spans="2:20" ht="23.1" customHeight="1" x14ac:dyDescent="0.25">
      <c r="B40" s="24" t="s">
        <v>67</v>
      </c>
      <c r="C40" s="50">
        <v>63</v>
      </c>
      <c r="D40" s="50">
        <v>10</v>
      </c>
      <c r="E40" s="50">
        <v>7</v>
      </c>
      <c r="F40" s="50">
        <v>65</v>
      </c>
      <c r="G40" s="50">
        <v>0</v>
      </c>
      <c r="H40" s="50">
        <v>3</v>
      </c>
      <c r="I40" s="50">
        <v>15</v>
      </c>
      <c r="J40" s="50">
        <v>8</v>
      </c>
      <c r="K40" s="50">
        <v>4</v>
      </c>
      <c r="L40" s="50">
        <v>2</v>
      </c>
      <c r="M40" s="50">
        <v>160</v>
      </c>
      <c r="N40" s="50">
        <v>0</v>
      </c>
      <c r="O40" s="15">
        <f t="shared" si="0"/>
        <v>177</v>
      </c>
      <c r="P40" s="15">
        <f t="shared" si="1"/>
        <v>337</v>
      </c>
    </row>
    <row r="41" spans="2:20" ht="23.1" customHeight="1" x14ac:dyDescent="0.25">
      <c r="B41" s="23" t="s">
        <v>68</v>
      </c>
      <c r="C41" s="50">
        <v>90</v>
      </c>
      <c r="D41" s="50">
        <v>6</v>
      </c>
      <c r="E41" s="50">
        <v>11</v>
      </c>
      <c r="F41" s="50">
        <v>105</v>
      </c>
      <c r="G41" s="50">
        <v>2</v>
      </c>
      <c r="H41" s="50">
        <v>2</v>
      </c>
      <c r="I41" s="50">
        <v>10</v>
      </c>
      <c r="J41" s="50">
        <v>7</v>
      </c>
      <c r="K41" s="50">
        <v>7</v>
      </c>
      <c r="L41" s="50">
        <v>4</v>
      </c>
      <c r="M41" s="50">
        <v>145</v>
      </c>
      <c r="N41" s="50">
        <v>0</v>
      </c>
      <c r="O41" s="15">
        <f t="shared" si="0"/>
        <v>244</v>
      </c>
      <c r="P41" s="15">
        <f t="shared" si="1"/>
        <v>389</v>
      </c>
    </row>
    <row r="42" spans="2:20" ht="23.1" customHeight="1" x14ac:dyDescent="0.25">
      <c r="B42" s="24" t="s">
        <v>69</v>
      </c>
      <c r="C42" s="50">
        <v>65</v>
      </c>
      <c r="D42" s="50">
        <v>10</v>
      </c>
      <c r="E42" s="50">
        <v>6</v>
      </c>
      <c r="F42" s="50">
        <v>50</v>
      </c>
      <c r="G42" s="50">
        <v>4</v>
      </c>
      <c r="H42" s="50">
        <v>0</v>
      </c>
      <c r="I42" s="50">
        <v>18</v>
      </c>
      <c r="J42" s="50">
        <v>13</v>
      </c>
      <c r="K42" s="50">
        <v>5</v>
      </c>
      <c r="L42" s="50">
        <v>3</v>
      </c>
      <c r="M42" s="50">
        <v>171</v>
      </c>
      <c r="N42" s="50">
        <v>0</v>
      </c>
      <c r="O42" s="15">
        <f t="shared" si="0"/>
        <v>174</v>
      </c>
      <c r="P42" s="15">
        <f t="shared" si="1"/>
        <v>345</v>
      </c>
    </row>
    <row r="43" spans="2:20" ht="23.1" customHeight="1" x14ac:dyDescent="0.25">
      <c r="B43" s="23" t="s">
        <v>70</v>
      </c>
      <c r="C43" s="50">
        <v>45</v>
      </c>
      <c r="D43" s="50">
        <v>2</v>
      </c>
      <c r="E43" s="50">
        <v>13</v>
      </c>
      <c r="F43" s="50">
        <v>55</v>
      </c>
      <c r="G43" s="50">
        <v>3</v>
      </c>
      <c r="H43" s="50">
        <v>1</v>
      </c>
      <c r="I43" s="50">
        <v>13</v>
      </c>
      <c r="J43" s="50">
        <v>13</v>
      </c>
      <c r="K43" s="50">
        <v>5</v>
      </c>
      <c r="L43" s="50">
        <v>3</v>
      </c>
      <c r="M43" s="50">
        <v>160</v>
      </c>
      <c r="N43" s="50">
        <v>0</v>
      </c>
      <c r="O43" s="15">
        <f t="shared" si="0"/>
        <v>153</v>
      </c>
      <c r="P43" s="15">
        <f t="shared" si="1"/>
        <v>313</v>
      </c>
    </row>
    <row r="44" spans="2:20" ht="23.1" customHeight="1" x14ac:dyDescent="0.25">
      <c r="B44" s="25" t="s">
        <v>71</v>
      </c>
      <c r="C44" s="50">
        <v>42</v>
      </c>
      <c r="D44" s="50">
        <v>10</v>
      </c>
      <c r="E44" s="50">
        <v>19</v>
      </c>
      <c r="F44" s="50">
        <v>48</v>
      </c>
      <c r="G44" s="50">
        <v>0</v>
      </c>
      <c r="H44" s="50">
        <v>1</v>
      </c>
      <c r="I44" s="50">
        <v>8</v>
      </c>
      <c r="J44" s="50">
        <v>6</v>
      </c>
      <c r="K44" s="50">
        <v>2</v>
      </c>
      <c r="L44" s="50">
        <v>4</v>
      </c>
      <c r="M44" s="50">
        <v>165</v>
      </c>
      <c r="N44" s="50">
        <v>0</v>
      </c>
      <c r="O44" s="15">
        <f t="shared" si="0"/>
        <v>140</v>
      </c>
      <c r="P44" s="15">
        <f t="shared" si="1"/>
        <v>305</v>
      </c>
    </row>
    <row r="45" spans="2:20" ht="23.1" customHeight="1" x14ac:dyDescent="0.25">
      <c r="B45" s="23" t="s">
        <v>72</v>
      </c>
      <c r="C45" s="50">
        <v>50</v>
      </c>
      <c r="D45" s="50">
        <v>3</v>
      </c>
      <c r="E45" s="50">
        <v>12</v>
      </c>
      <c r="F45" s="50">
        <v>45</v>
      </c>
      <c r="G45" s="50">
        <v>1</v>
      </c>
      <c r="H45" s="50">
        <v>3</v>
      </c>
      <c r="I45" s="50">
        <v>10</v>
      </c>
      <c r="J45" s="50">
        <v>6</v>
      </c>
      <c r="K45" s="50">
        <v>0</v>
      </c>
      <c r="L45" s="50">
        <v>4</v>
      </c>
      <c r="M45" s="50">
        <v>135</v>
      </c>
      <c r="N45" s="50">
        <v>0</v>
      </c>
      <c r="O45" s="15">
        <f t="shared" si="0"/>
        <v>134</v>
      </c>
      <c r="P45" s="15">
        <f t="shared" si="1"/>
        <v>269</v>
      </c>
    </row>
    <row r="46" spans="2:20" ht="23.1" customHeight="1" x14ac:dyDescent="0.25">
      <c r="B46" s="24" t="s">
        <v>73</v>
      </c>
      <c r="C46" s="50">
        <v>48</v>
      </c>
      <c r="D46" s="50">
        <v>5</v>
      </c>
      <c r="E46" s="50">
        <v>8</v>
      </c>
      <c r="F46" s="50">
        <v>35</v>
      </c>
      <c r="G46" s="50">
        <v>1</v>
      </c>
      <c r="H46" s="50">
        <v>2</v>
      </c>
      <c r="I46" s="50">
        <v>8</v>
      </c>
      <c r="J46" s="50">
        <v>3</v>
      </c>
      <c r="K46" s="50">
        <v>2</v>
      </c>
      <c r="L46" s="50">
        <v>6</v>
      </c>
      <c r="M46" s="50">
        <v>161</v>
      </c>
      <c r="N46" s="50">
        <v>0</v>
      </c>
      <c r="O46" s="15">
        <f t="shared" si="0"/>
        <v>118</v>
      </c>
      <c r="P46" s="15">
        <f t="shared" si="1"/>
        <v>279</v>
      </c>
      <c r="R46" s="8"/>
      <c r="T46"/>
    </row>
    <row r="47" spans="2:20" ht="23.1" customHeight="1" x14ac:dyDescent="0.25">
      <c r="B47" s="24" t="s">
        <v>74</v>
      </c>
      <c r="C47" s="50">
        <v>56</v>
      </c>
      <c r="D47" s="50">
        <v>4</v>
      </c>
      <c r="E47" s="50">
        <v>10</v>
      </c>
      <c r="F47" s="50">
        <v>44</v>
      </c>
      <c r="G47" s="50">
        <v>2</v>
      </c>
      <c r="H47" s="50">
        <v>2</v>
      </c>
      <c r="I47" s="50">
        <v>10</v>
      </c>
      <c r="J47" s="50">
        <v>5</v>
      </c>
      <c r="K47" s="50">
        <v>6</v>
      </c>
      <c r="L47" s="50">
        <v>6</v>
      </c>
      <c r="M47" s="50">
        <v>193</v>
      </c>
      <c r="N47" s="50">
        <v>0</v>
      </c>
      <c r="O47" s="15">
        <f t="shared" si="0"/>
        <v>145</v>
      </c>
      <c r="P47" s="15">
        <f t="shared" si="1"/>
        <v>338</v>
      </c>
      <c r="R47" s="8"/>
      <c r="T47"/>
    </row>
    <row r="48" spans="2:20" ht="23.1" customHeight="1" x14ac:dyDescent="0.25">
      <c r="B48" s="24" t="s">
        <v>75</v>
      </c>
      <c r="C48" s="50">
        <v>55</v>
      </c>
      <c r="D48" s="50">
        <v>5</v>
      </c>
      <c r="E48" s="50">
        <v>12</v>
      </c>
      <c r="F48" s="50">
        <v>42</v>
      </c>
      <c r="G48" s="50">
        <v>0</v>
      </c>
      <c r="H48" s="50">
        <v>0</v>
      </c>
      <c r="I48" s="50">
        <v>7</v>
      </c>
      <c r="J48" s="50">
        <v>8</v>
      </c>
      <c r="K48" s="50">
        <v>2</v>
      </c>
      <c r="L48" s="50">
        <v>1</v>
      </c>
      <c r="M48" s="50">
        <v>290</v>
      </c>
      <c r="N48" s="50">
        <v>0</v>
      </c>
      <c r="O48" s="15">
        <f t="shared" si="0"/>
        <v>132</v>
      </c>
      <c r="P48" s="15">
        <f t="shared" si="1"/>
        <v>422</v>
      </c>
      <c r="R48" s="8"/>
      <c r="T48"/>
    </row>
    <row r="49" spans="2:20" ht="23.1" customHeight="1" x14ac:dyDescent="0.25">
      <c r="B49" s="23" t="s">
        <v>76</v>
      </c>
      <c r="C49" s="50">
        <v>60</v>
      </c>
      <c r="D49" s="50">
        <v>11</v>
      </c>
      <c r="E49" s="50">
        <v>7</v>
      </c>
      <c r="F49" s="50">
        <v>43</v>
      </c>
      <c r="G49" s="50">
        <v>1</v>
      </c>
      <c r="H49" s="50">
        <v>0</v>
      </c>
      <c r="I49" s="50">
        <v>14</v>
      </c>
      <c r="J49" s="50">
        <v>21</v>
      </c>
      <c r="K49" s="50">
        <v>2</v>
      </c>
      <c r="L49" s="50">
        <v>3</v>
      </c>
      <c r="M49" s="50">
        <v>184</v>
      </c>
      <c r="N49" s="50">
        <v>1</v>
      </c>
      <c r="O49" s="15">
        <f t="shared" si="0"/>
        <v>163</v>
      </c>
      <c r="P49" s="15">
        <f t="shared" si="1"/>
        <v>347</v>
      </c>
      <c r="R49" s="8"/>
      <c r="T49"/>
    </row>
    <row r="50" spans="2:20" ht="23.1" customHeight="1" x14ac:dyDescent="0.25">
      <c r="B50" s="24" t="s">
        <v>77</v>
      </c>
      <c r="C50" s="50">
        <v>49</v>
      </c>
      <c r="D50" s="50">
        <v>6</v>
      </c>
      <c r="E50" s="50">
        <v>11</v>
      </c>
      <c r="F50" s="50">
        <v>64</v>
      </c>
      <c r="G50" s="50">
        <v>0</v>
      </c>
      <c r="H50" s="50">
        <v>1</v>
      </c>
      <c r="I50" s="50">
        <v>11</v>
      </c>
      <c r="J50" s="50">
        <v>10</v>
      </c>
      <c r="K50" s="50">
        <v>4</v>
      </c>
      <c r="L50" s="50">
        <v>6</v>
      </c>
      <c r="M50" s="50">
        <v>220</v>
      </c>
      <c r="N50" s="50">
        <v>0</v>
      </c>
      <c r="O50" s="15">
        <f t="shared" si="0"/>
        <v>162</v>
      </c>
      <c r="P50" s="15">
        <f t="shared" si="1"/>
        <v>382</v>
      </c>
      <c r="R50" s="8"/>
      <c r="T50"/>
    </row>
    <row r="51" spans="2:20" ht="23.1" customHeight="1" x14ac:dyDescent="0.25">
      <c r="B51" s="24" t="s">
        <v>78</v>
      </c>
      <c r="C51" s="50">
        <v>55</v>
      </c>
      <c r="D51" s="50">
        <v>6</v>
      </c>
      <c r="E51" s="50">
        <v>8</v>
      </c>
      <c r="F51" s="50">
        <v>43</v>
      </c>
      <c r="G51" s="50">
        <v>2</v>
      </c>
      <c r="H51" s="50">
        <v>4</v>
      </c>
      <c r="I51" s="50">
        <v>15</v>
      </c>
      <c r="J51" s="50">
        <v>5</v>
      </c>
      <c r="K51" s="50">
        <v>4</v>
      </c>
      <c r="L51" s="50">
        <v>2</v>
      </c>
      <c r="M51" s="50">
        <v>235</v>
      </c>
      <c r="N51" s="50">
        <v>0</v>
      </c>
      <c r="O51" s="15">
        <f t="shared" si="0"/>
        <v>144</v>
      </c>
      <c r="P51" s="15">
        <f t="shared" si="1"/>
        <v>379</v>
      </c>
      <c r="R51" s="8"/>
      <c r="T51"/>
    </row>
    <row r="52" spans="2:20" ht="23.1" customHeight="1" x14ac:dyDescent="0.25">
      <c r="B52" s="24" t="s">
        <v>79</v>
      </c>
      <c r="C52" s="50">
        <v>40</v>
      </c>
      <c r="D52" s="50">
        <v>5</v>
      </c>
      <c r="E52" s="50">
        <v>12</v>
      </c>
      <c r="F52" s="50">
        <v>19</v>
      </c>
      <c r="G52" s="50">
        <v>1</v>
      </c>
      <c r="H52" s="50">
        <v>2</v>
      </c>
      <c r="I52" s="50">
        <v>8</v>
      </c>
      <c r="J52" s="50">
        <v>7</v>
      </c>
      <c r="K52" s="50">
        <v>2</v>
      </c>
      <c r="L52" s="50">
        <v>2</v>
      </c>
      <c r="M52" s="50">
        <v>205</v>
      </c>
      <c r="N52" s="50">
        <v>0</v>
      </c>
      <c r="O52" s="15">
        <f t="shared" si="0"/>
        <v>98</v>
      </c>
      <c r="P52" s="15">
        <f t="shared" si="1"/>
        <v>303</v>
      </c>
      <c r="R52" s="8"/>
      <c r="T52"/>
    </row>
    <row r="53" spans="2:20" ht="23.1" customHeight="1" x14ac:dyDescent="0.25">
      <c r="B53" s="23" t="s">
        <v>80</v>
      </c>
      <c r="C53" s="50">
        <v>67</v>
      </c>
      <c r="D53" s="50">
        <v>10</v>
      </c>
      <c r="E53" s="50">
        <v>8</v>
      </c>
      <c r="F53" s="50">
        <v>25</v>
      </c>
      <c r="G53" s="50">
        <v>0</v>
      </c>
      <c r="H53" s="50">
        <v>0</v>
      </c>
      <c r="I53" s="50">
        <v>15</v>
      </c>
      <c r="J53" s="50">
        <v>6</v>
      </c>
      <c r="K53" s="50">
        <v>2</v>
      </c>
      <c r="L53" s="50">
        <v>3</v>
      </c>
      <c r="M53" s="50">
        <v>255</v>
      </c>
      <c r="N53" s="50">
        <v>0</v>
      </c>
      <c r="O53" s="15">
        <f t="shared" si="0"/>
        <v>136</v>
      </c>
      <c r="P53" s="15">
        <f t="shared" si="1"/>
        <v>391</v>
      </c>
      <c r="R53" s="8"/>
      <c r="T53"/>
    </row>
    <row r="54" spans="2:20" ht="23.1" customHeight="1" x14ac:dyDescent="0.25">
      <c r="B54" s="23" t="s">
        <v>81</v>
      </c>
      <c r="C54" s="50">
        <v>40</v>
      </c>
      <c r="D54" s="50">
        <v>6</v>
      </c>
      <c r="E54" s="50">
        <v>9</v>
      </c>
      <c r="F54" s="50">
        <v>47</v>
      </c>
      <c r="G54" s="50">
        <v>0</v>
      </c>
      <c r="H54" s="50">
        <v>0</v>
      </c>
      <c r="I54" s="50">
        <v>7</v>
      </c>
      <c r="J54" s="50">
        <v>3</v>
      </c>
      <c r="K54" s="50">
        <v>1</v>
      </c>
      <c r="L54" s="50">
        <v>3</v>
      </c>
      <c r="M54" s="50">
        <v>300</v>
      </c>
      <c r="N54" s="50">
        <v>0</v>
      </c>
      <c r="O54" s="15">
        <f t="shared" si="0"/>
        <v>116</v>
      </c>
      <c r="P54" s="15">
        <f t="shared" si="1"/>
        <v>416</v>
      </c>
      <c r="R54" s="8"/>
      <c r="T54"/>
    </row>
    <row r="55" spans="2:20" ht="23.1" customHeight="1" x14ac:dyDescent="0.25">
      <c r="B55" s="23" t="s">
        <v>82</v>
      </c>
      <c r="C55" s="50">
        <v>83</v>
      </c>
      <c r="D55" s="50">
        <v>4</v>
      </c>
      <c r="E55" s="50">
        <v>11</v>
      </c>
      <c r="F55" s="50">
        <v>50</v>
      </c>
      <c r="G55" s="50">
        <v>1</v>
      </c>
      <c r="H55" s="50">
        <v>2</v>
      </c>
      <c r="I55" s="50">
        <v>6</v>
      </c>
      <c r="J55" s="50">
        <v>6</v>
      </c>
      <c r="K55" s="50">
        <v>3</v>
      </c>
      <c r="L55" s="50">
        <v>3</v>
      </c>
      <c r="M55" s="50">
        <v>215</v>
      </c>
      <c r="N55" s="50">
        <v>0</v>
      </c>
      <c r="O55" s="15">
        <f t="shared" si="0"/>
        <v>169</v>
      </c>
      <c r="P55" s="15">
        <f t="shared" si="1"/>
        <v>384</v>
      </c>
      <c r="R55" s="8"/>
      <c r="T55"/>
    </row>
    <row r="56" spans="2:20" ht="23.1" customHeight="1" x14ac:dyDescent="0.25">
      <c r="B56" s="23" t="s">
        <v>83</v>
      </c>
      <c r="C56" s="50">
        <v>73</v>
      </c>
      <c r="D56" s="50">
        <v>6</v>
      </c>
      <c r="E56" s="50">
        <v>10</v>
      </c>
      <c r="F56" s="50">
        <v>29</v>
      </c>
      <c r="G56" s="50">
        <v>1</v>
      </c>
      <c r="H56" s="50">
        <v>0</v>
      </c>
      <c r="I56" s="50">
        <v>3</v>
      </c>
      <c r="J56" s="50">
        <v>9</v>
      </c>
      <c r="K56" s="50">
        <v>5</v>
      </c>
      <c r="L56" s="50">
        <v>4</v>
      </c>
      <c r="M56" s="50">
        <v>240</v>
      </c>
      <c r="N56" s="50">
        <v>0</v>
      </c>
      <c r="O56" s="15">
        <f t="shared" si="0"/>
        <v>140</v>
      </c>
      <c r="P56" s="15">
        <f t="shared" si="1"/>
        <v>380</v>
      </c>
      <c r="R56" s="8"/>
      <c r="T56"/>
    </row>
    <row r="57" spans="2:20" ht="23.1" customHeight="1" x14ac:dyDescent="0.25">
      <c r="B57" s="23" t="s">
        <v>84</v>
      </c>
      <c r="C57" s="50">
        <v>55</v>
      </c>
      <c r="D57" s="50">
        <v>5</v>
      </c>
      <c r="E57" s="50">
        <v>8</v>
      </c>
      <c r="F57" s="50">
        <v>33</v>
      </c>
      <c r="G57" s="50">
        <v>0</v>
      </c>
      <c r="H57" s="50">
        <v>0</v>
      </c>
      <c r="I57" s="50">
        <v>6</v>
      </c>
      <c r="J57" s="50">
        <v>7</v>
      </c>
      <c r="K57" s="50">
        <v>2</v>
      </c>
      <c r="L57" s="50">
        <v>2</v>
      </c>
      <c r="M57" s="50">
        <v>196</v>
      </c>
      <c r="N57" s="50">
        <v>0</v>
      </c>
      <c r="O57" s="15">
        <f t="shared" si="0"/>
        <v>118</v>
      </c>
      <c r="P57" s="15">
        <f t="shared" si="1"/>
        <v>314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2580</v>
      </c>
      <c r="D58" s="16">
        <f t="shared" si="21"/>
        <v>302</v>
      </c>
      <c r="E58" s="16">
        <f t="shared" si="21"/>
        <v>411</v>
      </c>
      <c r="F58" s="16">
        <f t="shared" si="21"/>
        <v>2839</v>
      </c>
      <c r="G58" s="16">
        <f t="shared" si="21"/>
        <v>59</v>
      </c>
      <c r="H58" s="16">
        <f t="shared" si="21"/>
        <v>66</v>
      </c>
      <c r="I58" s="16">
        <f t="shared" si="21"/>
        <v>485</v>
      </c>
      <c r="J58" s="16">
        <f t="shared" si="21"/>
        <v>310</v>
      </c>
      <c r="K58" s="16">
        <f t="shared" si="21"/>
        <v>116</v>
      </c>
      <c r="L58" s="16">
        <f t="shared" si="21"/>
        <v>133</v>
      </c>
      <c r="M58" s="16">
        <f t="shared" si="21"/>
        <v>10254</v>
      </c>
      <c r="N58" s="16">
        <f t="shared" si="21"/>
        <v>1</v>
      </c>
      <c r="O58" s="16">
        <f t="shared" si="21"/>
        <v>7302</v>
      </c>
      <c r="P58" s="16">
        <f t="shared" si="21"/>
        <v>17556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0.1469583048530417</v>
      </c>
      <c r="D59" s="43">
        <f t="shared" si="22"/>
        <v>1.7202096149464569E-2</v>
      </c>
      <c r="E59" s="43">
        <f t="shared" si="22"/>
        <v>2.3410799726589201E-2</v>
      </c>
      <c r="F59" s="43">
        <f t="shared" si="22"/>
        <v>0.16171109592162225</v>
      </c>
      <c r="G59" s="43">
        <f t="shared" si="22"/>
        <v>3.3606744133059924E-3</v>
      </c>
      <c r="H59" s="43">
        <f t="shared" si="22"/>
        <v>3.7593984962406013E-3</v>
      </c>
      <c r="I59" s="43">
        <f t="shared" si="22"/>
        <v>2.7625882889040783E-2</v>
      </c>
      <c r="J59" s="43">
        <f t="shared" si="22"/>
        <v>1.7657780815675553E-2</v>
      </c>
      <c r="K59" s="43">
        <f t="shared" si="22"/>
        <v>6.607427660059239E-3</v>
      </c>
      <c r="L59" s="43">
        <f t="shared" si="22"/>
        <v>7.575757575757576E-3</v>
      </c>
      <c r="M59" s="43">
        <f t="shared" si="22"/>
        <v>0.58407382091592619</v>
      </c>
      <c r="N59" s="43">
        <f t="shared" si="22"/>
        <v>5.6960583276372748E-5</v>
      </c>
      <c r="R59" s="8"/>
      <c r="T59"/>
    </row>
    <row r="60" spans="2:20" ht="23.1" customHeight="1" x14ac:dyDescent="0.25">
      <c r="B60" s="42" t="s">
        <v>94</v>
      </c>
      <c r="C60" s="44">
        <f>C58/$O$58</f>
        <v>0.35332785538208711</v>
      </c>
      <c r="D60" s="44">
        <f t="shared" ref="D60:N60" si="23">D58/$O$58</f>
        <v>4.1358531909066007E-2</v>
      </c>
      <c r="E60" s="44">
        <f t="shared" si="23"/>
        <v>5.6285949055053408E-2</v>
      </c>
      <c r="F60" s="44">
        <f t="shared" si="23"/>
        <v>0.38879758970145167</v>
      </c>
      <c r="G60" s="44">
        <f t="shared" si="23"/>
        <v>8.0799780881950153E-3</v>
      </c>
      <c r="H60" s="44">
        <f t="shared" si="23"/>
        <v>9.0386195562859491E-3</v>
      </c>
      <c r="I60" s="44">
        <f t="shared" si="23"/>
        <v>6.6420158860586137E-2</v>
      </c>
      <c r="J60" s="44">
        <f t="shared" si="23"/>
        <v>4.245412215831279E-2</v>
      </c>
      <c r="K60" s="44">
        <f t="shared" si="23"/>
        <v>1.5886058614078335E-2</v>
      </c>
      <c r="L60" s="44">
        <f t="shared" si="23"/>
        <v>1.8214187893727744E-2</v>
      </c>
      <c r="M60" s="44"/>
      <c r="N60" s="44">
        <f t="shared" si="23"/>
        <v>1.3694878115584771E-4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F126"/>
  <sheetViews>
    <sheetView view="pageBreakPreview" topLeftCell="B19" zoomScale="60" workbookViewId="0">
      <selection activeCell="S59" sqref="S5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4" t="str">
        <f>'22.07 BUSEGA-NATEETE'!C3:G3</f>
        <v>MCC - C1 - STN10 - MASAKA ROAD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'24.07 NATEETE-BUSEGA'!D5</f>
        <v>24.07.19</v>
      </c>
      <c r="E5" s="3"/>
      <c r="F5" s="41" t="s">
        <v>1</v>
      </c>
      <c r="G5" s="62" t="str">
        <f>'22.07 NATEETE-BUSEGA'!G5:H5</f>
        <v>GOD'S MERCY SUPERMARKET</v>
      </c>
      <c r="H5" s="63"/>
      <c r="I5" s="14"/>
      <c r="J5" s="2" t="s">
        <v>5</v>
      </c>
      <c r="K5" s="62" t="str">
        <f>'22.07 NATEETE-BUSEGA'!K5:L5</f>
        <v>MATHIAS NAKIBINGE</v>
      </c>
      <c r="L5" s="63"/>
      <c r="M5" s="10"/>
      <c r="N5" s="10"/>
      <c r="O5" s="3"/>
      <c r="P5" s="3"/>
    </row>
    <row r="6" spans="2:32" ht="23.25" customHeight="1" x14ac:dyDescent="0.25">
      <c r="C6" s="2" t="s">
        <v>4</v>
      </c>
      <c r="D6" s="62" t="str">
        <f>'22.07 BUSEGA-NATEETE'!D6:E6</f>
        <v>BUSEGA</v>
      </c>
      <c r="E6" s="63"/>
      <c r="F6" s="2" t="s">
        <v>2</v>
      </c>
      <c r="G6" s="62" t="str">
        <f>'22.07 BUSEGA-NATEETE'!G6:H6</f>
        <v>NATEETE</v>
      </c>
      <c r="H6" s="63"/>
      <c r="J6" s="2" t="s">
        <v>21</v>
      </c>
      <c r="K6" s="62" t="str">
        <f>'22.07 NATEETE-BUSEGA'!K6:L6</f>
        <v>BEATRACE</v>
      </c>
      <c r="L6" s="6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105</v>
      </c>
      <c r="D10" s="50">
        <v>9</v>
      </c>
      <c r="E10" s="50">
        <v>8</v>
      </c>
      <c r="F10" s="50">
        <v>60</v>
      </c>
      <c r="G10" s="50">
        <v>2</v>
      </c>
      <c r="H10" s="50">
        <v>1</v>
      </c>
      <c r="I10" s="50">
        <v>6</v>
      </c>
      <c r="J10" s="50">
        <v>4</v>
      </c>
      <c r="K10" s="50">
        <v>0</v>
      </c>
      <c r="L10" s="50">
        <v>1</v>
      </c>
      <c r="M10" s="50">
        <v>330</v>
      </c>
      <c r="N10" s="50">
        <v>0</v>
      </c>
      <c r="O10" s="15">
        <f t="shared" ref="O10:O57" si="0">SUM(C10:L10,N10)</f>
        <v>196</v>
      </c>
      <c r="P10" s="15">
        <f t="shared" ref="P10:P57" si="1">SUM(C10:N10)</f>
        <v>526</v>
      </c>
      <c r="R10" s="1" t="s">
        <v>6</v>
      </c>
      <c r="S10" s="17">
        <f t="shared" ref="S10:AF10" si="2">SUM(C10:C13)</f>
        <v>416</v>
      </c>
      <c r="T10" s="17">
        <f t="shared" si="2"/>
        <v>40</v>
      </c>
      <c r="U10" s="17">
        <f t="shared" si="2"/>
        <v>36</v>
      </c>
      <c r="V10" s="17">
        <f t="shared" si="2"/>
        <v>248</v>
      </c>
      <c r="W10" s="17">
        <f t="shared" si="2"/>
        <v>9</v>
      </c>
      <c r="X10" s="17">
        <f t="shared" si="2"/>
        <v>1</v>
      </c>
      <c r="Y10" s="17">
        <f t="shared" si="2"/>
        <v>22</v>
      </c>
      <c r="Z10" s="17">
        <f t="shared" si="2"/>
        <v>28</v>
      </c>
      <c r="AA10" s="17">
        <f t="shared" si="2"/>
        <v>4</v>
      </c>
      <c r="AB10" s="17">
        <f t="shared" si="2"/>
        <v>6</v>
      </c>
      <c r="AC10" s="17">
        <f t="shared" si="2"/>
        <v>1069</v>
      </c>
      <c r="AD10" s="17">
        <f t="shared" si="2"/>
        <v>0</v>
      </c>
      <c r="AE10" s="31">
        <f t="shared" si="2"/>
        <v>810</v>
      </c>
      <c r="AF10" s="31">
        <f t="shared" si="2"/>
        <v>1879</v>
      </c>
    </row>
    <row r="11" spans="2:32" s="6" customFormat="1" ht="23.1" customHeight="1" x14ac:dyDescent="0.25">
      <c r="B11" s="23" t="s">
        <v>38</v>
      </c>
      <c r="C11" s="50">
        <v>110</v>
      </c>
      <c r="D11" s="50">
        <v>11</v>
      </c>
      <c r="E11" s="50">
        <v>9</v>
      </c>
      <c r="F11" s="50">
        <v>72</v>
      </c>
      <c r="G11" s="50">
        <v>3</v>
      </c>
      <c r="H11" s="50">
        <v>0</v>
      </c>
      <c r="I11" s="50">
        <v>3</v>
      </c>
      <c r="J11" s="50">
        <v>10</v>
      </c>
      <c r="K11" s="50">
        <v>0</v>
      </c>
      <c r="L11" s="50">
        <v>1</v>
      </c>
      <c r="M11" s="50">
        <v>285</v>
      </c>
      <c r="N11" s="50">
        <v>0</v>
      </c>
      <c r="O11" s="15">
        <f t="shared" si="0"/>
        <v>219</v>
      </c>
      <c r="P11" s="15">
        <f t="shared" si="1"/>
        <v>504</v>
      </c>
      <c r="R11" s="1" t="s">
        <v>7</v>
      </c>
      <c r="S11" s="17">
        <f t="shared" ref="S11:AF11" si="3">SUM(C14:C17)</f>
        <v>352</v>
      </c>
      <c r="T11" s="17">
        <f t="shared" si="3"/>
        <v>23</v>
      </c>
      <c r="U11" s="17">
        <f t="shared" si="3"/>
        <v>46</v>
      </c>
      <c r="V11" s="17">
        <f t="shared" si="3"/>
        <v>245</v>
      </c>
      <c r="W11" s="17">
        <f t="shared" si="3"/>
        <v>12</v>
      </c>
      <c r="X11" s="17">
        <f t="shared" si="3"/>
        <v>2</v>
      </c>
      <c r="Y11" s="17">
        <f t="shared" si="3"/>
        <v>36</v>
      </c>
      <c r="Z11" s="17">
        <f t="shared" si="3"/>
        <v>30</v>
      </c>
      <c r="AA11" s="17">
        <f t="shared" si="3"/>
        <v>8</v>
      </c>
      <c r="AB11" s="17">
        <f t="shared" si="3"/>
        <v>5</v>
      </c>
      <c r="AC11" s="17">
        <f t="shared" si="3"/>
        <v>995</v>
      </c>
      <c r="AD11" s="17">
        <f t="shared" si="3"/>
        <v>0</v>
      </c>
      <c r="AE11" s="31">
        <f t="shared" si="3"/>
        <v>759</v>
      </c>
      <c r="AF11" s="31">
        <f t="shared" si="3"/>
        <v>1754</v>
      </c>
    </row>
    <row r="12" spans="2:32" ht="23.1" customHeight="1" x14ac:dyDescent="0.25">
      <c r="B12" s="23" t="s">
        <v>39</v>
      </c>
      <c r="C12" s="50">
        <v>114</v>
      </c>
      <c r="D12" s="50">
        <v>13</v>
      </c>
      <c r="E12" s="50">
        <v>9</v>
      </c>
      <c r="F12" s="50">
        <v>57</v>
      </c>
      <c r="G12" s="50">
        <v>2</v>
      </c>
      <c r="H12" s="50">
        <v>0</v>
      </c>
      <c r="I12" s="50">
        <v>6</v>
      </c>
      <c r="J12" s="50">
        <v>8</v>
      </c>
      <c r="K12" s="50">
        <v>2</v>
      </c>
      <c r="L12" s="50">
        <v>0</v>
      </c>
      <c r="M12" s="50">
        <v>158</v>
      </c>
      <c r="N12" s="50">
        <v>0</v>
      </c>
      <c r="O12" s="15">
        <f t="shared" si="0"/>
        <v>211</v>
      </c>
      <c r="P12" s="15">
        <f t="shared" si="1"/>
        <v>369</v>
      </c>
      <c r="R12" s="1" t="s">
        <v>8</v>
      </c>
      <c r="S12" s="17">
        <f t="shared" ref="S12:AF12" si="4">SUM(C18:C21)</f>
        <v>348</v>
      </c>
      <c r="T12" s="17">
        <f t="shared" si="4"/>
        <v>32</v>
      </c>
      <c r="U12" s="17">
        <f t="shared" si="4"/>
        <v>38</v>
      </c>
      <c r="V12" s="17">
        <f t="shared" si="4"/>
        <v>268</v>
      </c>
      <c r="W12" s="17">
        <f t="shared" si="4"/>
        <v>9</v>
      </c>
      <c r="X12" s="17">
        <f t="shared" si="4"/>
        <v>2</v>
      </c>
      <c r="Y12" s="17">
        <f t="shared" si="4"/>
        <v>37</v>
      </c>
      <c r="Z12" s="17">
        <f t="shared" si="4"/>
        <v>30</v>
      </c>
      <c r="AA12" s="17">
        <f t="shared" si="4"/>
        <v>11</v>
      </c>
      <c r="AB12" s="17">
        <f t="shared" si="4"/>
        <v>10</v>
      </c>
      <c r="AC12" s="17">
        <f t="shared" si="4"/>
        <v>893</v>
      </c>
      <c r="AD12" s="17">
        <f t="shared" si="4"/>
        <v>0</v>
      </c>
      <c r="AE12" s="31">
        <f t="shared" si="4"/>
        <v>785</v>
      </c>
      <c r="AF12" s="31">
        <f t="shared" si="4"/>
        <v>1678</v>
      </c>
    </row>
    <row r="13" spans="2:32" ht="23.1" customHeight="1" x14ac:dyDescent="0.25">
      <c r="B13" s="23" t="s">
        <v>40</v>
      </c>
      <c r="C13" s="50">
        <v>87</v>
      </c>
      <c r="D13" s="50">
        <v>7</v>
      </c>
      <c r="E13" s="50">
        <v>10</v>
      </c>
      <c r="F13" s="50">
        <v>59</v>
      </c>
      <c r="G13" s="50">
        <v>2</v>
      </c>
      <c r="H13" s="50">
        <v>0</v>
      </c>
      <c r="I13" s="50">
        <v>7</v>
      </c>
      <c r="J13" s="50">
        <v>6</v>
      </c>
      <c r="K13" s="50">
        <v>2</v>
      </c>
      <c r="L13" s="50">
        <v>4</v>
      </c>
      <c r="M13" s="50">
        <v>296</v>
      </c>
      <c r="N13" s="50">
        <v>0</v>
      </c>
      <c r="O13" s="15">
        <f t="shared" si="0"/>
        <v>184</v>
      </c>
      <c r="P13" s="15">
        <f t="shared" si="1"/>
        <v>480</v>
      </c>
      <c r="R13" s="1" t="s">
        <v>9</v>
      </c>
      <c r="S13" s="17">
        <f t="shared" ref="S13:AF13" si="5">SUM(C22:C25)</f>
        <v>276</v>
      </c>
      <c r="T13" s="17">
        <f t="shared" si="5"/>
        <v>31</v>
      </c>
      <c r="U13" s="17">
        <f t="shared" si="5"/>
        <v>41</v>
      </c>
      <c r="V13" s="17">
        <f t="shared" si="5"/>
        <v>202</v>
      </c>
      <c r="W13" s="17">
        <f t="shared" si="5"/>
        <v>3</v>
      </c>
      <c r="X13" s="17">
        <f t="shared" si="5"/>
        <v>3</v>
      </c>
      <c r="Y13" s="17">
        <f t="shared" si="5"/>
        <v>38</v>
      </c>
      <c r="Z13" s="17">
        <f t="shared" si="5"/>
        <v>47</v>
      </c>
      <c r="AA13" s="17">
        <f t="shared" si="5"/>
        <v>11</v>
      </c>
      <c r="AB13" s="17">
        <f t="shared" si="5"/>
        <v>7</v>
      </c>
      <c r="AC13" s="17">
        <f t="shared" si="5"/>
        <v>818</v>
      </c>
      <c r="AD13" s="17">
        <f t="shared" si="5"/>
        <v>0</v>
      </c>
      <c r="AE13" s="31">
        <f t="shared" si="5"/>
        <v>659</v>
      </c>
      <c r="AF13" s="31">
        <f t="shared" si="5"/>
        <v>1477</v>
      </c>
    </row>
    <row r="14" spans="2:32" ht="23.1" customHeight="1" x14ac:dyDescent="0.25">
      <c r="B14" s="23" t="s">
        <v>41</v>
      </c>
      <c r="C14" s="50">
        <v>104</v>
      </c>
      <c r="D14" s="50">
        <v>3</v>
      </c>
      <c r="E14" s="50">
        <v>13</v>
      </c>
      <c r="F14" s="50">
        <v>58</v>
      </c>
      <c r="G14" s="50">
        <v>3</v>
      </c>
      <c r="H14" s="50">
        <v>2</v>
      </c>
      <c r="I14" s="50">
        <v>5</v>
      </c>
      <c r="J14" s="50">
        <v>9</v>
      </c>
      <c r="K14" s="50">
        <v>3</v>
      </c>
      <c r="L14" s="50">
        <v>1</v>
      </c>
      <c r="M14" s="50">
        <v>256</v>
      </c>
      <c r="N14" s="50">
        <v>0</v>
      </c>
      <c r="O14" s="15">
        <f t="shared" si="0"/>
        <v>201</v>
      </c>
      <c r="P14" s="15">
        <f t="shared" si="1"/>
        <v>457</v>
      </c>
      <c r="R14" s="1" t="s">
        <v>10</v>
      </c>
      <c r="S14" s="17">
        <f t="shared" ref="S14:AF14" si="6">SUM(C26:C29)</f>
        <v>272</v>
      </c>
      <c r="T14" s="17">
        <f t="shared" si="6"/>
        <v>42</v>
      </c>
      <c r="U14" s="17">
        <f t="shared" si="6"/>
        <v>44</v>
      </c>
      <c r="V14" s="17">
        <f t="shared" si="6"/>
        <v>297</v>
      </c>
      <c r="W14" s="17">
        <f t="shared" si="6"/>
        <v>5</v>
      </c>
      <c r="X14" s="17">
        <f t="shared" si="6"/>
        <v>3</v>
      </c>
      <c r="Y14" s="17">
        <f t="shared" si="6"/>
        <v>40</v>
      </c>
      <c r="Z14" s="17">
        <f t="shared" si="6"/>
        <v>30</v>
      </c>
      <c r="AA14" s="17">
        <f t="shared" si="6"/>
        <v>11</v>
      </c>
      <c r="AB14" s="17">
        <f t="shared" si="6"/>
        <v>8</v>
      </c>
      <c r="AC14" s="17">
        <f t="shared" si="6"/>
        <v>884</v>
      </c>
      <c r="AD14" s="17">
        <f t="shared" si="6"/>
        <v>0</v>
      </c>
      <c r="AE14" s="31">
        <f t="shared" si="6"/>
        <v>752</v>
      </c>
      <c r="AF14" s="31">
        <f t="shared" si="6"/>
        <v>1636</v>
      </c>
    </row>
    <row r="15" spans="2:32" ht="23.1" customHeight="1" x14ac:dyDescent="0.25">
      <c r="B15" s="23" t="s">
        <v>42</v>
      </c>
      <c r="C15" s="50">
        <v>94</v>
      </c>
      <c r="D15" s="50">
        <v>7</v>
      </c>
      <c r="E15" s="50">
        <v>9</v>
      </c>
      <c r="F15" s="50">
        <v>62</v>
      </c>
      <c r="G15" s="50">
        <v>5</v>
      </c>
      <c r="H15" s="50">
        <v>0</v>
      </c>
      <c r="I15" s="50">
        <v>14</v>
      </c>
      <c r="J15" s="50">
        <v>8</v>
      </c>
      <c r="K15" s="50">
        <v>2</v>
      </c>
      <c r="L15" s="50">
        <v>1</v>
      </c>
      <c r="M15" s="50">
        <v>235</v>
      </c>
      <c r="N15" s="50">
        <v>0</v>
      </c>
      <c r="O15" s="15">
        <f t="shared" si="0"/>
        <v>202</v>
      </c>
      <c r="P15" s="15">
        <f t="shared" si="1"/>
        <v>437</v>
      </c>
      <c r="R15" s="1" t="s">
        <v>11</v>
      </c>
      <c r="S15" s="17">
        <f t="shared" ref="S15:AF15" si="7">SUM(C30:C33)</f>
        <v>283</v>
      </c>
      <c r="T15" s="17">
        <f t="shared" si="7"/>
        <v>33</v>
      </c>
      <c r="U15" s="17">
        <f t="shared" si="7"/>
        <v>39</v>
      </c>
      <c r="V15" s="17">
        <f t="shared" si="7"/>
        <v>275</v>
      </c>
      <c r="W15" s="17">
        <f t="shared" si="7"/>
        <v>2</v>
      </c>
      <c r="X15" s="17">
        <f t="shared" si="7"/>
        <v>6</v>
      </c>
      <c r="Y15" s="17">
        <f t="shared" si="7"/>
        <v>28</v>
      </c>
      <c r="Z15" s="17">
        <f t="shared" si="7"/>
        <v>25</v>
      </c>
      <c r="AA15" s="17">
        <f t="shared" si="7"/>
        <v>6</v>
      </c>
      <c r="AB15" s="17">
        <f t="shared" si="7"/>
        <v>3</v>
      </c>
      <c r="AC15" s="17">
        <f t="shared" si="7"/>
        <v>766</v>
      </c>
      <c r="AD15" s="17">
        <f t="shared" si="7"/>
        <v>0</v>
      </c>
      <c r="AE15" s="31">
        <f t="shared" si="7"/>
        <v>700</v>
      </c>
      <c r="AF15" s="31">
        <f t="shared" si="7"/>
        <v>1466</v>
      </c>
    </row>
    <row r="16" spans="2:32" ht="23.1" customHeight="1" x14ac:dyDescent="0.25">
      <c r="B16" s="23" t="s">
        <v>43</v>
      </c>
      <c r="C16" s="50">
        <v>87</v>
      </c>
      <c r="D16" s="50">
        <v>8</v>
      </c>
      <c r="E16" s="50">
        <v>8</v>
      </c>
      <c r="F16" s="50">
        <v>62</v>
      </c>
      <c r="G16" s="50">
        <v>1</v>
      </c>
      <c r="H16" s="50">
        <v>0</v>
      </c>
      <c r="I16" s="50">
        <v>7</v>
      </c>
      <c r="J16" s="50">
        <v>4</v>
      </c>
      <c r="K16" s="50">
        <v>3</v>
      </c>
      <c r="L16" s="50">
        <v>2</v>
      </c>
      <c r="M16" s="50">
        <v>236</v>
      </c>
      <c r="N16" s="50">
        <v>0</v>
      </c>
      <c r="O16" s="15">
        <f t="shared" si="0"/>
        <v>182</v>
      </c>
      <c r="P16" s="15">
        <f t="shared" si="1"/>
        <v>418</v>
      </c>
      <c r="R16" s="1" t="s">
        <v>12</v>
      </c>
      <c r="S16" s="17">
        <f t="shared" ref="S16:AF16" si="8">SUM(C34:C37)</f>
        <v>390</v>
      </c>
      <c r="T16" s="17">
        <f t="shared" si="8"/>
        <v>36</v>
      </c>
      <c r="U16" s="17">
        <f t="shared" si="8"/>
        <v>31</v>
      </c>
      <c r="V16" s="17">
        <f t="shared" si="8"/>
        <v>288</v>
      </c>
      <c r="W16" s="17">
        <f t="shared" si="8"/>
        <v>9</v>
      </c>
      <c r="X16" s="17">
        <f t="shared" si="8"/>
        <v>9</v>
      </c>
      <c r="Y16" s="17">
        <f t="shared" si="8"/>
        <v>41</v>
      </c>
      <c r="Z16" s="17">
        <f t="shared" si="8"/>
        <v>48</v>
      </c>
      <c r="AA16" s="17">
        <f t="shared" si="8"/>
        <v>6</v>
      </c>
      <c r="AB16" s="17">
        <f t="shared" si="8"/>
        <v>9</v>
      </c>
      <c r="AC16" s="17">
        <f t="shared" si="8"/>
        <v>889</v>
      </c>
      <c r="AD16" s="17">
        <f t="shared" si="8"/>
        <v>0</v>
      </c>
      <c r="AE16" s="31">
        <f t="shared" si="8"/>
        <v>867</v>
      </c>
      <c r="AF16" s="31">
        <f t="shared" si="8"/>
        <v>1756</v>
      </c>
    </row>
    <row r="17" spans="2:32" ht="23.1" customHeight="1" x14ac:dyDescent="0.25">
      <c r="B17" s="23" t="s">
        <v>44</v>
      </c>
      <c r="C17" s="50">
        <v>67</v>
      </c>
      <c r="D17" s="50">
        <v>5</v>
      </c>
      <c r="E17" s="50">
        <v>16</v>
      </c>
      <c r="F17" s="50">
        <v>63</v>
      </c>
      <c r="G17" s="50">
        <v>3</v>
      </c>
      <c r="H17" s="50">
        <v>0</v>
      </c>
      <c r="I17" s="50">
        <v>10</v>
      </c>
      <c r="J17" s="50">
        <v>9</v>
      </c>
      <c r="K17" s="50">
        <v>0</v>
      </c>
      <c r="L17" s="50">
        <v>1</v>
      </c>
      <c r="M17" s="50">
        <v>268</v>
      </c>
      <c r="N17" s="50">
        <v>0</v>
      </c>
      <c r="O17" s="15">
        <f t="shared" si="0"/>
        <v>174</v>
      </c>
      <c r="P17" s="15">
        <f t="shared" si="1"/>
        <v>442</v>
      </c>
      <c r="R17" s="1" t="s">
        <v>13</v>
      </c>
      <c r="S17" s="17">
        <f t="shared" ref="S17:AF17" si="9">SUM(C38:C41)</f>
        <v>276</v>
      </c>
      <c r="T17" s="17">
        <f t="shared" si="9"/>
        <v>24</v>
      </c>
      <c r="U17" s="17">
        <f t="shared" si="9"/>
        <v>27</v>
      </c>
      <c r="V17" s="17">
        <f t="shared" si="9"/>
        <v>297</v>
      </c>
      <c r="W17" s="17">
        <f t="shared" si="9"/>
        <v>4</v>
      </c>
      <c r="X17" s="17">
        <f t="shared" si="9"/>
        <v>5</v>
      </c>
      <c r="Y17" s="17">
        <f t="shared" si="9"/>
        <v>67</v>
      </c>
      <c r="Z17" s="17">
        <f t="shared" si="9"/>
        <v>68</v>
      </c>
      <c r="AA17" s="17">
        <f t="shared" si="9"/>
        <v>15</v>
      </c>
      <c r="AB17" s="17">
        <f t="shared" si="9"/>
        <v>10</v>
      </c>
      <c r="AC17" s="17">
        <f t="shared" si="9"/>
        <v>778</v>
      </c>
      <c r="AD17" s="17">
        <f t="shared" si="9"/>
        <v>0</v>
      </c>
      <c r="AE17" s="31">
        <f t="shared" si="9"/>
        <v>793</v>
      </c>
      <c r="AF17" s="31">
        <f t="shared" si="9"/>
        <v>1571</v>
      </c>
    </row>
    <row r="18" spans="2:32" ht="23.1" customHeight="1" x14ac:dyDescent="0.25">
      <c r="B18" s="23" t="s">
        <v>45</v>
      </c>
      <c r="C18" s="50">
        <v>79</v>
      </c>
      <c r="D18" s="50">
        <v>8</v>
      </c>
      <c r="E18" s="50">
        <v>11</v>
      </c>
      <c r="F18" s="50">
        <v>78</v>
      </c>
      <c r="G18" s="50">
        <v>1</v>
      </c>
      <c r="H18" s="50">
        <v>0</v>
      </c>
      <c r="I18" s="50">
        <v>7</v>
      </c>
      <c r="J18" s="50">
        <v>4</v>
      </c>
      <c r="K18" s="50">
        <v>4</v>
      </c>
      <c r="L18" s="50">
        <v>1</v>
      </c>
      <c r="M18" s="50">
        <v>315</v>
      </c>
      <c r="N18" s="50">
        <v>0</v>
      </c>
      <c r="O18" s="15">
        <f t="shared" si="0"/>
        <v>193</v>
      </c>
      <c r="P18" s="15">
        <f t="shared" si="1"/>
        <v>508</v>
      </c>
      <c r="R18" s="1" t="s">
        <v>14</v>
      </c>
      <c r="S18" s="17">
        <f t="shared" ref="S18:AF18" si="10">SUM(C42:C45)</f>
        <v>267</v>
      </c>
      <c r="T18" s="17">
        <f t="shared" si="10"/>
        <v>34</v>
      </c>
      <c r="U18" s="17">
        <f t="shared" si="10"/>
        <v>36</v>
      </c>
      <c r="V18" s="17">
        <f t="shared" si="10"/>
        <v>236</v>
      </c>
      <c r="W18" s="17">
        <f t="shared" si="10"/>
        <v>11</v>
      </c>
      <c r="X18" s="17">
        <f t="shared" si="10"/>
        <v>9</v>
      </c>
      <c r="Y18" s="17">
        <f t="shared" si="10"/>
        <v>34</v>
      </c>
      <c r="Z18" s="17">
        <f t="shared" si="10"/>
        <v>52</v>
      </c>
      <c r="AA18" s="17">
        <f t="shared" si="10"/>
        <v>19</v>
      </c>
      <c r="AB18" s="17">
        <f t="shared" si="10"/>
        <v>174</v>
      </c>
      <c r="AC18" s="17">
        <f t="shared" si="10"/>
        <v>607</v>
      </c>
      <c r="AD18" s="17">
        <f t="shared" si="10"/>
        <v>0</v>
      </c>
      <c r="AE18" s="31">
        <f t="shared" si="10"/>
        <v>872</v>
      </c>
      <c r="AF18" s="31">
        <f t="shared" si="10"/>
        <v>1479</v>
      </c>
    </row>
    <row r="19" spans="2:32" ht="23.1" customHeight="1" x14ac:dyDescent="0.25">
      <c r="B19" s="23" t="s">
        <v>46</v>
      </c>
      <c r="C19" s="50">
        <v>108</v>
      </c>
      <c r="D19" s="50">
        <v>10</v>
      </c>
      <c r="E19" s="50">
        <v>10</v>
      </c>
      <c r="F19" s="50">
        <v>78</v>
      </c>
      <c r="G19" s="50">
        <v>2</v>
      </c>
      <c r="H19" s="50">
        <v>0</v>
      </c>
      <c r="I19" s="50">
        <v>7</v>
      </c>
      <c r="J19" s="50">
        <v>7</v>
      </c>
      <c r="K19" s="50">
        <v>2</v>
      </c>
      <c r="L19" s="50">
        <v>3</v>
      </c>
      <c r="M19" s="50">
        <v>213</v>
      </c>
      <c r="N19" s="50">
        <v>0</v>
      </c>
      <c r="O19" s="15">
        <f t="shared" si="0"/>
        <v>227</v>
      </c>
      <c r="P19" s="15">
        <f t="shared" si="1"/>
        <v>440</v>
      </c>
      <c r="R19" s="1" t="s">
        <v>15</v>
      </c>
      <c r="S19" s="17">
        <f t="shared" ref="S19:AF19" si="11">SUM(C46:C49)</f>
        <v>238</v>
      </c>
      <c r="T19" s="17">
        <f t="shared" si="11"/>
        <v>8</v>
      </c>
      <c r="U19" s="17">
        <f t="shared" si="11"/>
        <v>43</v>
      </c>
      <c r="V19" s="17">
        <f t="shared" si="11"/>
        <v>242</v>
      </c>
      <c r="W19" s="17">
        <f t="shared" si="11"/>
        <v>2</v>
      </c>
      <c r="X19" s="17">
        <f t="shared" si="11"/>
        <v>12</v>
      </c>
      <c r="Y19" s="17">
        <f t="shared" si="11"/>
        <v>46</v>
      </c>
      <c r="Z19" s="17">
        <f t="shared" si="11"/>
        <v>29</v>
      </c>
      <c r="AA19" s="17">
        <f t="shared" si="11"/>
        <v>12</v>
      </c>
      <c r="AB19" s="17">
        <f t="shared" si="11"/>
        <v>11</v>
      </c>
      <c r="AC19" s="17">
        <f t="shared" si="11"/>
        <v>744</v>
      </c>
      <c r="AD19" s="17">
        <f t="shared" si="11"/>
        <v>0</v>
      </c>
      <c r="AE19" s="31">
        <f t="shared" si="11"/>
        <v>643</v>
      </c>
      <c r="AF19" s="31">
        <f t="shared" si="11"/>
        <v>1387</v>
      </c>
    </row>
    <row r="20" spans="2:32" ht="23.1" customHeight="1" x14ac:dyDescent="0.25">
      <c r="B20" s="23" t="s">
        <v>47</v>
      </c>
      <c r="C20" s="50">
        <v>74</v>
      </c>
      <c r="D20" s="50">
        <v>5</v>
      </c>
      <c r="E20" s="50">
        <v>6</v>
      </c>
      <c r="F20" s="50">
        <v>61</v>
      </c>
      <c r="G20" s="50">
        <v>1</v>
      </c>
      <c r="H20" s="50">
        <v>0</v>
      </c>
      <c r="I20" s="50">
        <v>11</v>
      </c>
      <c r="J20" s="50">
        <v>12</v>
      </c>
      <c r="K20" s="50">
        <v>3</v>
      </c>
      <c r="L20" s="50">
        <v>3</v>
      </c>
      <c r="M20" s="50">
        <v>197</v>
      </c>
      <c r="N20" s="50">
        <v>0</v>
      </c>
      <c r="O20" s="15">
        <f t="shared" si="0"/>
        <v>176</v>
      </c>
      <c r="P20" s="15">
        <f t="shared" si="1"/>
        <v>373</v>
      </c>
      <c r="R20" s="1" t="s">
        <v>16</v>
      </c>
      <c r="S20" s="17">
        <f t="shared" ref="S20:AF20" si="12">SUM(C50:C53)</f>
        <v>284</v>
      </c>
      <c r="T20" s="17">
        <f t="shared" si="12"/>
        <v>34</v>
      </c>
      <c r="U20" s="17">
        <f t="shared" si="12"/>
        <v>64</v>
      </c>
      <c r="V20" s="17">
        <f t="shared" si="12"/>
        <v>271</v>
      </c>
      <c r="W20" s="17">
        <f t="shared" si="12"/>
        <v>8</v>
      </c>
      <c r="X20" s="17">
        <f t="shared" si="12"/>
        <v>11</v>
      </c>
      <c r="Y20" s="17">
        <f t="shared" si="12"/>
        <v>75</v>
      </c>
      <c r="Z20" s="17">
        <f t="shared" si="12"/>
        <v>56</v>
      </c>
      <c r="AA20" s="17">
        <f t="shared" si="12"/>
        <v>10</v>
      </c>
      <c r="AB20" s="17">
        <f t="shared" si="12"/>
        <v>15</v>
      </c>
      <c r="AC20" s="17">
        <f t="shared" si="12"/>
        <v>735</v>
      </c>
      <c r="AD20" s="17">
        <f t="shared" si="12"/>
        <v>0</v>
      </c>
      <c r="AE20" s="31">
        <f t="shared" si="12"/>
        <v>828</v>
      </c>
      <c r="AF20" s="31">
        <f t="shared" si="12"/>
        <v>1563</v>
      </c>
    </row>
    <row r="21" spans="2:32" ht="23.1" customHeight="1" x14ac:dyDescent="0.25">
      <c r="B21" s="23" t="s">
        <v>48</v>
      </c>
      <c r="C21" s="50">
        <v>87</v>
      </c>
      <c r="D21" s="50">
        <v>9</v>
      </c>
      <c r="E21" s="50">
        <v>11</v>
      </c>
      <c r="F21" s="50">
        <v>51</v>
      </c>
      <c r="G21" s="50">
        <v>5</v>
      </c>
      <c r="H21" s="50">
        <v>2</v>
      </c>
      <c r="I21" s="50">
        <v>12</v>
      </c>
      <c r="J21" s="50">
        <v>7</v>
      </c>
      <c r="K21" s="50">
        <v>2</v>
      </c>
      <c r="L21" s="50">
        <v>3</v>
      </c>
      <c r="M21" s="50">
        <v>168</v>
      </c>
      <c r="N21" s="50">
        <v>0</v>
      </c>
      <c r="O21" s="15">
        <f t="shared" si="0"/>
        <v>189</v>
      </c>
      <c r="P21" s="15">
        <f t="shared" si="1"/>
        <v>357</v>
      </c>
      <c r="R21" s="36" t="s">
        <v>20</v>
      </c>
      <c r="S21" s="34">
        <f t="shared" ref="S21:AF21" si="13">SUM(C54:C57)</f>
        <v>288</v>
      </c>
      <c r="T21" s="17">
        <f t="shared" si="13"/>
        <v>52</v>
      </c>
      <c r="U21" s="17">
        <f t="shared" si="13"/>
        <v>30</v>
      </c>
      <c r="V21" s="17">
        <f t="shared" si="13"/>
        <v>293</v>
      </c>
      <c r="W21" s="17">
        <f t="shared" si="13"/>
        <v>10</v>
      </c>
      <c r="X21" s="17">
        <f t="shared" si="13"/>
        <v>23</v>
      </c>
      <c r="Y21" s="17">
        <f t="shared" si="13"/>
        <v>34</v>
      </c>
      <c r="Z21" s="17">
        <f t="shared" si="13"/>
        <v>39</v>
      </c>
      <c r="AA21" s="17">
        <f t="shared" si="13"/>
        <v>17</v>
      </c>
      <c r="AB21" s="17">
        <f t="shared" si="13"/>
        <v>17</v>
      </c>
      <c r="AC21" s="17">
        <f t="shared" si="13"/>
        <v>685</v>
      </c>
      <c r="AD21" s="17">
        <f t="shared" si="13"/>
        <v>0</v>
      </c>
      <c r="AE21" s="31">
        <f t="shared" si="13"/>
        <v>803</v>
      </c>
      <c r="AF21" s="31">
        <f t="shared" si="13"/>
        <v>1488</v>
      </c>
    </row>
    <row r="22" spans="2:32" ht="23.1" customHeight="1" x14ac:dyDescent="0.25">
      <c r="B22" s="23" t="s">
        <v>49</v>
      </c>
      <c r="C22" s="50">
        <v>85</v>
      </c>
      <c r="D22" s="50">
        <v>7</v>
      </c>
      <c r="E22" s="50">
        <v>10</v>
      </c>
      <c r="F22" s="50">
        <v>60</v>
      </c>
      <c r="G22" s="50">
        <v>0</v>
      </c>
      <c r="H22" s="50">
        <v>0</v>
      </c>
      <c r="I22" s="50">
        <v>10</v>
      </c>
      <c r="J22" s="50">
        <v>11</v>
      </c>
      <c r="K22" s="50">
        <v>3</v>
      </c>
      <c r="L22" s="50">
        <v>1</v>
      </c>
      <c r="M22" s="50">
        <v>230</v>
      </c>
      <c r="N22" s="50">
        <v>0</v>
      </c>
      <c r="O22" s="15">
        <f t="shared" si="0"/>
        <v>187</v>
      </c>
      <c r="P22" s="15">
        <f t="shared" si="1"/>
        <v>417</v>
      </c>
      <c r="R22" s="38" t="s">
        <v>90</v>
      </c>
      <c r="S22" s="39">
        <f>MAX(S10:S12)</f>
        <v>416</v>
      </c>
      <c r="T22" s="39">
        <f t="shared" ref="T22:AF22" si="14">MAX(T10:T12)</f>
        <v>40</v>
      </c>
      <c r="U22" s="39">
        <f t="shared" si="14"/>
        <v>46</v>
      </c>
      <c r="V22" s="39">
        <f t="shared" si="14"/>
        <v>268</v>
      </c>
      <c r="W22" s="39">
        <f t="shared" si="14"/>
        <v>12</v>
      </c>
      <c r="X22" s="39">
        <f t="shared" si="14"/>
        <v>2</v>
      </c>
      <c r="Y22" s="39">
        <f t="shared" si="14"/>
        <v>37</v>
      </c>
      <c r="Z22" s="39">
        <f t="shared" si="14"/>
        <v>30</v>
      </c>
      <c r="AA22" s="39">
        <f t="shared" si="14"/>
        <v>11</v>
      </c>
      <c r="AB22" s="39">
        <f t="shared" si="14"/>
        <v>10</v>
      </c>
      <c r="AC22" s="39">
        <f t="shared" si="14"/>
        <v>1069</v>
      </c>
      <c r="AD22" s="39">
        <f t="shared" si="14"/>
        <v>0</v>
      </c>
      <c r="AE22" s="40">
        <f t="shared" si="14"/>
        <v>810</v>
      </c>
      <c r="AF22" s="40">
        <f t="shared" si="14"/>
        <v>1879</v>
      </c>
    </row>
    <row r="23" spans="2:32" ht="23.1" customHeight="1" x14ac:dyDescent="0.25">
      <c r="B23" s="23" t="s">
        <v>50</v>
      </c>
      <c r="C23" s="50">
        <v>69</v>
      </c>
      <c r="D23" s="50">
        <v>11</v>
      </c>
      <c r="E23" s="50">
        <v>9</v>
      </c>
      <c r="F23" s="50">
        <v>39</v>
      </c>
      <c r="G23" s="50">
        <v>0</v>
      </c>
      <c r="H23" s="50">
        <v>1</v>
      </c>
      <c r="I23" s="50">
        <v>2</v>
      </c>
      <c r="J23" s="50">
        <v>9</v>
      </c>
      <c r="K23" s="50">
        <v>1</v>
      </c>
      <c r="L23" s="50">
        <v>3</v>
      </c>
      <c r="M23" s="50">
        <v>190</v>
      </c>
      <c r="N23" s="50">
        <v>0</v>
      </c>
      <c r="O23" s="15">
        <f t="shared" si="0"/>
        <v>144</v>
      </c>
      <c r="P23" s="15">
        <f t="shared" si="1"/>
        <v>334</v>
      </c>
      <c r="R23" s="38" t="s">
        <v>91</v>
      </c>
      <c r="S23" s="39">
        <f>MAX(S13:S18)</f>
        <v>390</v>
      </c>
      <c r="T23" s="39">
        <f t="shared" ref="T23:AF23" si="15">MAX(T13:T18)</f>
        <v>42</v>
      </c>
      <c r="U23" s="39">
        <f t="shared" si="15"/>
        <v>44</v>
      </c>
      <c r="V23" s="39">
        <f t="shared" si="15"/>
        <v>297</v>
      </c>
      <c r="W23" s="39">
        <f t="shared" si="15"/>
        <v>11</v>
      </c>
      <c r="X23" s="39">
        <f t="shared" si="15"/>
        <v>9</v>
      </c>
      <c r="Y23" s="39">
        <f t="shared" si="15"/>
        <v>67</v>
      </c>
      <c r="Z23" s="39">
        <f t="shared" si="15"/>
        <v>68</v>
      </c>
      <c r="AA23" s="39">
        <f t="shared" si="15"/>
        <v>19</v>
      </c>
      <c r="AB23" s="39">
        <f t="shared" si="15"/>
        <v>174</v>
      </c>
      <c r="AC23" s="39">
        <f t="shared" si="15"/>
        <v>889</v>
      </c>
      <c r="AD23" s="39">
        <f t="shared" si="15"/>
        <v>0</v>
      </c>
      <c r="AE23" s="40">
        <f t="shared" si="15"/>
        <v>872</v>
      </c>
      <c r="AF23" s="40">
        <f t="shared" si="15"/>
        <v>1756</v>
      </c>
    </row>
    <row r="24" spans="2:32" ht="23.1" customHeight="1" x14ac:dyDescent="0.25">
      <c r="B24" s="23" t="s">
        <v>51</v>
      </c>
      <c r="C24" s="50">
        <v>51</v>
      </c>
      <c r="D24" s="50">
        <v>6</v>
      </c>
      <c r="E24" s="50">
        <v>17</v>
      </c>
      <c r="F24" s="50">
        <v>56</v>
      </c>
      <c r="G24" s="50">
        <v>3</v>
      </c>
      <c r="H24" s="50">
        <v>1</v>
      </c>
      <c r="I24" s="50">
        <v>9</v>
      </c>
      <c r="J24" s="50">
        <v>14</v>
      </c>
      <c r="K24" s="50">
        <v>4</v>
      </c>
      <c r="L24" s="50">
        <v>2</v>
      </c>
      <c r="M24" s="50">
        <v>195</v>
      </c>
      <c r="N24" s="50">
        <v>0</v>
      </c>
      <c r="O24" s="15">
        <f t="shared" si="0"/>
        <v>163</v>
      </c>
      <c r="P24" s="15">
        <f t="shared" si="1"/>
        <v>358</v>
      </c>
      <c r="R24" s="38" t="s">
        <v>92</v>
      </c>
      <c r="S24" s="39">
        <f>MAX(S19:S21)</f>
        <v>288</v>
      </c>
      <c r="T24" s="39">
        <f t="shared" ref="T24:AF24" si="16">MAX(T19:T21)</f>
        <v>52</v>
      </c>
      <c r="U24" s="39">
        <f t="shared" si="16"/>
        <v>64</v>
      </c>
      <c r="V24" s="39">
        <f t="shared" si="16"/>
        <v>293</v>
      </c>
      <c r="W24" s="39">
        <f t="shared" si="16"/>
        <v>10</v>
      </c>
      <c r="X24" s="39">
        <f t="shared" si="16"/>
        <v>23</v>
      </c>
      <c r="Y24" s="39">
        <f t="shared" si="16"/>
        <v>75</v>
      </c>
      <c r="Z24" s="39">
        <f t="shared" si="16"/>
        <v>56</v>
      </c>
      <c r="AA24" s="39">
        <f t="shared" si="16"/>
        <v>17</v>
      </c>
      <c r="AB24" s="39">
        <f t="shared" si="16"/>
        <v>17</v>
      </c>
      <c r="AC24" s="39">
        <f t="shared" si="16"/>
        <v>744</v>
      </c>
      <c r="AD24" s="39">
        <f t="shared" si="16"/>
        <v>0</v>
      </c>
      <c r="AE24" s="40">
        <f t="shared" si="16"/>
        <v>828</v>
      </c>
      <c r="AF24" s="40">
        <f t="shared" si="16"/>
        <v>1563</v>
      </c>
    </row>
    <row r="25" spans="2:32" ht="23.1" customHeight="1" x14ac:dyDescent="0.25">
      <c r="B25" s="23" t="s">
        <v>52</v>
      </c>
      <c r="C25" s="50">
        <v>71</v>
      </c>
      <c r="D25" s="50">
        <v>7</v>
      </c>
      <c r="E25" s="50">
        <v>5</v>
      </c>
      <c r="F25" s="50">
        <v>47</v>
      </c>
      <c r="G25" s="50">
        <v>0</v>
      </c>
      <c r="H25" s="50">
        <v>1</v>
      </c>
      <c r="I25" s="50">
        <v>17</v>
      </c>
      <c r="J25" s="50">
        <v>13</v>
      </c>
      <c r="K25" s="50">
        <v>3</v>
      </c>
      <c r="L25" s="50">
        <v>1</v>
      </c>
      <c r="M25" s="50">
        <v>203</v>
      </c>
      <c r="N25" s="50">
        <v>0</v>
      </c>
      <c r="O25" s="15">
        <f t="shared" si="0"/>
        <v>165</v>
      </c>
      <c r="P25" s="15">
        <f t="shared" si="1"/>
        <v>368</v>
      </c>
      <c r="R25" s="37" t="s">
        <v>85</v>
      </c>
      <c r="S25" s="35">
        <f t="shared" ref="S25:AF25" si="17">SUM(S10:S12)</f>
        <v>1116</v>
      </c>
      <c r="T25" s="16">
        <f t="shared" si="17"/>
        <v>95</v>
      </c>
      <c r="U25" s="16">
        <f t="shared" si="17"/>
        <v>120</v>
      </c>
      <c r="V25" s="16">
        <f t="shared" si="17"/>
        <v>761</v>
      </c>
      <c r="W25" s="16">
        <f t="shared" si="17"/>
        <v>30</v>
      </c>
      <c r="X25" s="16">
        <f t="shared" si="17"/>
        <v>5</v>
      </c>
      <c r="Y25" s="16">
        <f t="shared" si="17"/>
        <v>95</v>
      </c>
      <c r="Z25" s="16">
        <f t="shared" si="17"/>
        <v>88</v>
      </c>
      <c r="AA25" s="16">
        <f t="shared" si="17"/>
        <v>23</v>
      </c>
      <c r="AB25" s="16">
        <f t="shared" si="17"/>
        <v>21</v>
      </c>
      <c r="AC25" s="16">
        <f t="shared" si="17"/>
        <v>2957</v>
      </c>
      <c r="AD25" s="16">
        <f t="shared" si="17"/>
        <v>0</v>
      </c>
      <c r="AE25" s="32">
        <f t="shared" si="17"/>
        <v>2354</v>
      </c>
      <c r="AF25" s="32">
        <f t="shared" si="17"/>
        <v>5311</v>
      </c>
    </row>
    <row r="26" spans="2:32" ht="23.1" customHeight="1" x14ac:dyDescent="0.25">
      <c r="B26" s="23" t="s">
        <v>53</v>
      </c>
      <c r="C26" s="50">
        <v>89</v>
      </c>
      <c r="D26" s="50">
        <v>15</v>
      </c>
      <c r="E26" s="50">
        <v>6</v>
      </c>
      <c r="F26" s="50">
        <v>59</v>
      </c>
      <c r="G26" s="50">
        <v>1</v>
      </c>
      <c r="H26" s="50">
        <v>1</v>
      </c>
      <c r="I26" s="50">
        <v>13</v>
      </c>
      <c r="J26" s="50">
        <v>5</v>
      </c>
      <c r="K26" s="50">
        <v>6</v>
      </c>
      <c r="L26" s="50">
        <v>4</v>
      </c>
      <c r="M26" s="50">
        <v>276</v>
      </c>
      <c r="N26" s="50">
        <v>0</v>
      </c>
      <c r="O26" s="15">
        <f t="shared" si="0"/>
        <v>199</v>
      </c>
      <c r="P26" s="15">
        <f t="shared" si="1"/>
        <v>475</v>
      </c>
      <c r="R26" s="28" t="s">
        <v>86</v>
      </c>
      <c r="S26" s="16">
        <f t="shared" ref="S26:AF26" si="18">SUM(S13:S18)</f>
        <v>1764</v>
      </c>
      <c r="T26" s="16">
        <f t="shared" si="18"/>
        <v>200</v>
      </c>
      <c r="U26" s="16">
        <f t="shared" si="18"/>
        <v>218</v>
      </c>
      <c r="V26" s="16">
        <f t="shared" si="18"/>
        <v>1595</v>
      </c>
      <c r="W26" s="16">
        <f t="shared" si="18"/>
        <v>34</v>
      </c>
      <c r="X26" s="16">
        <f t="shared" si="18"/>
        <v>35</v>
      </c>
      <c r="Y26" s="16">
        <f t="shared" si="18"/>
        <v>248</v>
      </c>
      <c r="Z26" s="16">
        <f t="shared" si="18"/>
        <v>270</v>
      </c>
      <c r="AA26" s="16">
        <f t="shared" si="18"/>
        <v>68</v>
      </c>
      <c r="AB26" s="16">
        <f t="shared" si="18"/>
        <v>211</v>
      </c>
      <c r="AC26" s="16">
        <f t="shared" si="18"/>
        <v>4742</v>
      </c>
      <c r="AD26" s="16">
        <f t="shared" si="18"/>
        <v>0</v>
      </c>
      <c r="AE26" s="32">
        <f t="shared" si="18"/>
        <v>4643</v>
      </c>
      <c r="AF26" s="32">
        <f t="shared" si="18"/>
        <v>9385</v>
      </c>
    </row>
    <row r="27" spans="2:32" ht="23.1" customHeight="1" x14ac:dyDescent="0.25">
      <c r="B27" s="23" t="s">
        <v>54</v>
      </c>
      <c r="C27" s="50">
        <v>63</v>
      </c>
      <c r="D27" s="50">
        <v>11</v>
      </c>
      <c r="E27" s="50">
        <v>11</v>
      </c>
      <c r="F27" s="50">
        <v>57</v>
      </c>
      <c r="G27" s="50">
        <v>0</v>
      </c>
      <c r="H27" s="50">
        <v>1</v>
      </c>
      <c r="I27" s="50">
        <v>11</v>
      </c>
      <c r="J27" s="50">
        <v>8</v>
      </c>
      <c r="K27" s="50">
        <v>1</v>
      </c>
      <c r="L27" s="50">
        <v>0</v>
      </c>
      <c r="M27" s="50">
        <v>240</v>
      </c>
      <c r="N27" s="50">
        <v>0</v>
      </c>
      <c r="O27" s="15">
        <f t="shared" si="0"/>
        <v>163</v>
      </c>
      <c r="P27" s="15">
        <f t="shared" si="1"/>
        <v>403</v>
      </c>
      <c r="R27" s="29" t="s">
        <v>87</v>
      </c>
      <c r="S27" s="16">
        <f t="shared" ref="S27:AF27" si="19">SUM(S19:S21)</f>
        <v>810</v>
      </c>
      <c r="T27" s="16">
        <f t="shared" si="19"/>
        <v>94</v>
      </c>
      <c r="U27" s="16">
        <f t="shared" si="19"/>
        <v>137</v>
      </c>
      <c r="V27" s="16">
        <f t="shared" si="19"/>
        <v>806</v>
      </c>
      <c r="W27" s="16">
        <f t="shared" si="19"/>
        <v>20</v>
      </c>
      <c r="X27" s="16">
        <f t="shared" si="19"/>
        <v>46</v>
      </c>
      <c r="Y27" s="16">
        <f t="shared" si="19"/>
        <v>155</v>
      </c>
      <c r="Z27" s="16">
        <f t="shared" si="19"/>
        <v>124</v>
      </c>
      <c r="AA27" s="16">
        <f t="shared" si="19"/>
        <v>39</v>
      </c>
      <c r="AB27" s="16">
        <f t="shared" si="19"/>
        <v>43</v>
      </c>
      <c r="AC27" s="16">
        <f t="shared" si="19"/>
        <v>2164</v>
      </c>
      <c r="AD27" s="16">
        <f t="shared" si="19"/>
        <v>0</v>
      </c>
      <c r="AE27" s="32">
        <f t="shared" si="19"/>
        <v>2274</v>
      </c>
      <c r="AF27" s="32">
        <f t="shared" si="19"/>
        <v>4438</v>
      </c>
    </row>
    <row r="28" spans="2:32" ht="23.1" customHeight="1" x14ac:dyDescent="0.25">
      <c r="B28" s="23" t="s">
        <v>55</v>
      </c>
      <c r="C28" s="50">
        <v>48</v>
      </c>
      <c r="D28" s="50">
        <v>10</v>
      </c>
      <c r="E28" s="50">
        <v>13</v>
      </c>
      <c r="F28" s="50">
        <v>46</v>
      </c>
      <c r="G28" s="50">
        <v>2</v>
      </c>
      <c r="H28" s="50">
        <v>0</v>
      </c>
      <c r="I28" s="50">
        <v>9</v>
      </c>
      <c r="J28" s="50">
        <v>9</v>
      </c>
      <c r="K28" s="50">
        <v>0</v>
      </c>
      <c r="L28" s="50">
        <v>2</v>
      </c>
      <c r="M28" s="50">
        <v>215</v>
      </c>
      <c r="N28" s="50">
        <v>0</v>
      </c>
      <c r="O28" s="15">
        <f t="shared" si="0"/>
        <v>139</v>
      </c>
      <c r="P28" s="15">
        <f t="shared" si="1"/>
        <v>354</v>
      </c>
      <c r="R28" s="5" t="s">
        <v>17</v>
      </c>
      <c r="S28" s="16">
        <f t="shared" ref="S28:AF28" si="20">SUM(S10:S21)</f>
        <v>3690</v>
      </c>
      <c r="T28" s="16">
        <f t="shared" si="20"/>
        <v>389</v>
      </c>
      <c r="U28" s="16">
        <f t="shared" si="20"/>
        <v>475</v>
      </c>
      <c r="V28" s="16">
        <f t="shared" si="20"/>
        <v>3162</v>
      </c>
      <c r="W28" s="16">
        <f t="shared" si="20"/>
        <v>84</v>
      </c>
      <c r="X28" s="16">
        <f t="shared" si="20"/>
        <v>86</v>
      </c>
      <c r="Y28" s="16">
        <f t="shared" si="20"/>
        <v>498</v>
      </c>
      <c r="Z28" s="16">
        <f t="shared" si="20"/>
        <v>482</v>
      </c>
      <c r="AA28" s="16">
        <f t="shared" si="20"/>
        <v>130</v>
      </c>
      <c r="AB28" s="16">
        <f t="shared" si="20"/>
        <v>275</v>
      </c>
      <c r="AC28" s="16">
        <f t="shared" si="20"/>
        <v>9863</v>
      </c>
      <c r="AD28" s="16">
        <f t="shared" si="20"/>
        <v>0</v>
      </c>
      <c r="AE28" s="32">
        <f t="shared" si="20"/>
        <v>9271</v>
      </c>
      <c r="AF28" s="32">
        <f t="shared" si="20"/>
        <v>19134</v>
      </c>
    </row>
    <row r="29" spans="2:32" ht="23.1" customHeight="1" x14ac:dyDescent="0.25">
      <c r="B29" s="23" t="s">
        <v>56</v>
      </c>
      <c r="C29" s="50">
        <v>72</v>
      </c>
      <c r="D29" s="50">
        <v>6</v>
      </c>
      <c r="E29" s="50">
        <v>14</v>
      </c>
      <c r="F29" s="50">
        <v>135</v>
      </c>
      <c r="G29" s="50">
        <v>2</v>
      </c>
      <c r="H29" s="50">
        <v>1</v>
      </c>
      <c r="I29" s="50">
        <v>7</v>
      </c>
      <c r="J29" s="50">
        <v>8</v>
      </c>
      <c r="K29" s="50">
        <v>4</v>
      </c>
      <c r="L29" s="50">
        <v>2</v>
      </c>
      <c r="M29" s="50">
        <v>153</v>
      </c>
      <c r="N29" s="50">
        <v>0</v>
      </c>
      <c r="O29" s="15">
        <f t="shared" si="0"/>
        <v>251</v>
      </c>
      <c r="P29" s="15">
        <f t="shared" si="1"/>
        <v>404</v>
      </c>
      <c r="R29"/>
      <c r="S29" s="20"/>
      <c r="T29" s="19"/>
    </row>
    <row r="30" spans="2:32" ht="23.1" customHeight="1" x14ac:dyDescent="0.25">
      <c r="B30" s="23" t="s">
        <v>57</v>
      </c>
      <c r="C30" s="50">
        <v>99</v>
      </c>
      <c r="D30" s="50">
        <v>8</v>
      </c>
      <c r="E30" s="50">
        <v>9</v>
      </c>
      <c r="F30" s="50">
        <v>75</v>
      </c>
      <c r="G30" s="50">
        <v>1</v>
      </c>
      <c r="H30" s="50">
        <v>1</v>
      </c>
      <c r="I30" s="50">
        <v>8</v>
      </c>
      <c r="J30" s="50">
        <v>8</v>
      </c>
      <c r="K30" s="50">
        <v>3</v>
      </c>
      <c r="L30" s="50">
        <v>0</v>
      </c>
      <c r="M30" s="50">
        <v>272</v>
      </c>
      <c r="N30" s="50">
        <v>0</v>
      </c>
      <c r="O30" s="15">
        <f t="shared" si="0"/>
        <v>212</v>
      </c>
      <c r="P30" s="15">
        <f t="shared" si="1"/>
        <v>484</v>
      </c>
    </row>
    <row r="31" spans="2:32" ht="23.1" customHeight="1" x14ac:dyDescent="0.25">
      <c r="B31" s="24" t="s">
        <v>58</v>
      </c>
      <c r="C31" s="50">
        <v>50</v>
      </c>
      <c r="D31" s="50">
        <v>12</v>
      </c>
      <c r="E31" s="50">
        <v>11</v>
      </c>
      <c r="F31" s="50">
        <v>58</v>
      </c>
      <c r="G31" s="50">
        <v>1</v>
      </c>
      <c r="H31" s="50">
        <v>0</v>
      </c>
      <c r="I31" s="50">
        <v>7</v>
      </c>
      <c r="J31" s="50">
        <v>6</v>
      </c>
      <c r="K31" s="50">
        <v>1</v>
      </c>
      <c r="L31" s="50">
        <v>0</v>
      </c>
      <c r="M31" s="50">
        <v>230</v>
      </c>
      <c r="N31" s="50">
        <v>0</v>
      </c>
      <c r="O31" s="15">
        <f t="shared" si="0"/>
        <v>146</v>
      </c>
      <c r="P31" s="15">
        <f t="shared" si="1"/>
        <v>376</v>
      </c>
    </row>
    <row r="32" spans="2:32" ht="23.1" customHeight="1" x14ac:dyDescent="0.25">
      <c r="B32" s="24" t="s">
        <v>59</v>
      </c>
      <c r="C32" s="50">
        <v>73</v>
      </c>
      <c r="D32" s="50">
        <v>4</v>
      </c>
      <c r="E32" s="50">
        <v>8</v>
      </c>
      <c r="F32" s="50">
        <v>90</v>
      </c>
      <c r="G32" s="50">
        <v>0</v>
      </c>
      <c r="H32" s="50">
        <v>0</v>
      </c>
      <c r="I32" s="50">
        <v>4</v>
      </c>
      <c r="J32" s="50">
        <v>6</v>
      </c>
      <c r="K32" s="50">
        <v>0</v>
      </c>
      <c r="L32" s="50">
        <v>3</v>
      </c>
      <c r="M32" s="50">
        <v>104</v>
      </c>
      <c r="N32" s="50">
        <v>0</v>
      </c>
      <c r="O32" s="15">
        <f t="shared" si="0"/>
        <v>188</v>
      </c>
      <c r="P32" s="15">
        <f t="shared" si="1"/>
        <v>292</v>
      </c>
    </row>
    <row r="33" spans="2:20" ht="23.1" customHeight="1" x14ac:dyDescent="0.25">
      <c r="B33" s="23" t="s">
        <v>60</v>
      </c>
      <c r="C33" s="50">
        <v>61</v>
      </c>
      <c r="D33" s="50">
        <v>9</v>
      </c>
      <c r="E33" s="50">
        <v>11</v>
      </c>
      <c r="F33" s="50">
        <v>52</v>
      </c>
      <c r="G33" s="50">
        <v>0</v>
      </c>
      <c r="H33" s="50">
        <v>5</v>
      </c>
      <c r="I33" s="50">
        <v>9</v>
      </c>
      <c r="J33" s="50">
        <v>5</v>
      </c>
      <c r="K33" s="50">
        <v>2</v>
      </c>
      <c r="L33" s="50">
        <v>0</v>
      </c>
      <c r="M33" s="50">
        <v>160</v>
      </c>
      <c r="N33" s="50">
        <v>0</v>
      </c>
      <c r="O33" s="15">
        <f t="shared" si="0"/>
        <v>154</v>
      </c>
      <c r="P33" s="15">
        <f t="shared" si="1"/>
        <v>314</v>
      </c>
    </row>
    <row r="34" spans="2:20" ht="23.1" customHeight="1" x14ac:dyDescent="0.25">
      <c r="B34" s="24" t="s">
        <v>61</v>
      </c>
      <c r="C34" s="50">
        <v>73</v>
      </c>
      <c r="D34" s="50">
        <v>8</v>
      </c>
      <c r="E34" s="50">
        <v>7</v>
      </c>
      <c r="F34" s="50">
        <v>69</v>
      </c>
      <c r="G34" s="50">
        <v>2</v>
      </c>
      <c r="H34" s="50">
        <v>1</v>
      </c>
      <c r="I34" s="50">
        <v>6</v>
      </c>
      <c r="J34" s="50">
        <v>8</v>
      </c>
      <c r="K34" s="50">
        <v>0</v>
      </c>
      <c r="L34" s="50">
        <v>2</v>
      </c>
      <c r="M34" s="50">
        <v>261</v>
      </c>
      <c r="N34" s="50">
        <v>0</v>
      </c>
      <c r="O34" s="15">
        <f t="shared" si="0"/>
        <v>176</v>
      </c>
      <c r="P34" s="15">
        <f t="shared" si="1"/>
        <v>437</v>
      </c>
    </row>
    <row r="35" spans="2:20" ht="23.1" customHeight="1" x14ac:dyDescent="0.25">
      <c r="B35" s="24" t="s">
        <v>62</v>
      </c>
      <c r="C35" s="50">
        <v>87</v>
      </c>
      <c r="D35" s="50">
        <v>13</v>
      </c>
      <c r="E35" s="50">
        <v>9</v>
      </c>
      <c r="F35" s="50">
        <v>82</v>
      </c>
      <c r="G35" s="50">
        <v>1</v>
      </c>
      <c r="H35" s="50">
        <v>3</v>
      </c>
      <c r="I35" s="50">
        <v>16</v>
      </c>
      <c r="J35" s="50">
        <v>21</v>
      </c>
      <c r="K35" s="50">
        <v>1</v>
      </c>
      <c r="L35" s="50">
        <v>0</v>
      </c>
      <c r="M35" s="50">
        <v>265</v>
      </c>
      <c r="N35" s="50">
        <v>0</v>
      </c>
      <c r="O35" s="15">
        <f t="shared" si="0"/>
        <v>233</v>
      </c>
      <c r="P35" s="15">
        <f t="shared" si="1"/>
        <v>498</v>
      </c>
    </row>
    <row r="36" spans="2:20" ht="23.1" customHeight="1" x14ac:dyDescent="0.25">
      <c r="B36" s="24" t="s">
        <v>63</v>
      </c>
      <c r="C36" s="50">
        <v>90</v>
      </c>
      <c r="D36" s="50">
        <v>8</v>
      </c>
      <c r="E36" s="50">
        <v>7</v>
      </c>
      <c r="F36" s="50">
        <v>77</v>
      </c>
      <c r="G36" s="50">
        <v>3</v>
      </c>
      <c r="H36" s="50">
        <v>1</v>
      </c>
      <c r="I36" s="50">
        <v>11</v>
      </c>
      <c r="J36" s="50">
        <v>7</v>
      </c>
      <c r="K36" s="50">
        <v>3</v>
      </c>
      <c r="L36" s="50">
        <v>3</v>
      </c>
      <c r="M36" s="50">
        <v>243</v>
      </c>
      <c r="N36" s="50">
        <v>0</v>
      </c>
      <c r="O36" s="15">
        <f t="shared" si="0"/>
        <v>210</v>
      </c>
      <c r="P36" s="15">
        <f t="shared" si="1"/>
        <v>453</v>
      </c>
    </row>
    <row r="37" spans="2:20" ht="23.1" customHeight="1" x14ac:dyDescent="0.25">
      <c r="B37" s="23" t="s">
        <v>64</v>
      </c>
      <c r="C37" s="50">
        <v>140</v>
      </c>
      <c r="D37" s="50">
        <v>7</v>
      </c>
      <c r="E37" s="50">
        <v>8</v>
      </c>
      <c r="F37" s="50">
        <v>60</v>
      </c>
      <c r="G37" s="50">
        <v>3</v>
      </c>
      <c r="H37" s="50">
        <v>4</v>
      </c>
      <c r="I37" s="50">
        <v>8</v>
      </c>
      <c r="J37" s="50">
        <v>12</v>
      </c>
      <c r="K37" s="50">
        <v>2</v>
      </c>
      <c r="L37" s="50">
        <v>4</v>
      </c>
      <c r="M37" s="50">
        <v>120</v>
      </c>
      <c r="N37" s="50">
        <v>0</v>
      </c>
      <c r="O37" s="15">
        <f t="shared" si="0"/>
        <v>248</v>
      </c>
      <c r="P37" s="15">
        <f t="shared" si="1"/>
        <v>368</v>
      </c>
    </row>
    <row r="38" spans="2:20" ht="23.1" customHeight="1" x14ac:dyDescent="0.25">
      <c r="B38" s="24" t="s">
        <v>65</v>
      </c>
      <c r="C38" s="50">
        <v>70</v>
      </c>
      <c r="D38" s="50">
        <v>12</v>
      </c>
      <c r="E38" s="50">
        <v>6</v>
      </c>
      <c r="F38" s="50">
        <v>67</v>
      </c>
      <c r="G38" s="50">
        <v>2</v>
      </c>
      <c r="H38" s="50">
        <v>1</v>
      </c>
      <c r="I38" s="50">
        <v>5</v>
      </c>
      <c r="J38" s="50">
        <v>6</v>
      </c>
      <c r="K38" s="50">
        <v>8</v>
      </c>
      <c r="L38" s="50">
        <v>0</v>
      </c>
      <c r="M38" s="50">
        <v>257</v>
      </c>
      <c r="N38" s="50">
        <v>0</v>
      </c>
      <c r="O38" s="15">
        <f t="shared" si="0"/>
        <v>177</v>
      </c>
      <c r="P38" s="15">
        <f t="shared" si="1"/>
        <v>434</v>
      </c>
    </row>
    <row r="39" spans="2:20" ht="23.1" customHeight="1" x14ac:dyDescent="0.25">
      <c r="B39" s="24" t="s">
        <v>66</v>
      </c>
      <c r="C39" s="50">
        <v>78</v>
      </c>
      <c r="D39" s="50">
        <v>5</v>
      </c>
      <c r="E39" s="50">
        <v>4</v>
      </c>
      <c r="F39" s="50">
        <v>93</v>
      </c>
      <c r="G39" s="50">
        <v>0</v>
      </c>
      <c r="H39" s="50">
        <v>2</v>
      </c>
      <c r="I39" s="50">
        <v>8</v>
      </c>
      <c r="J39" s="50">
        <v>30</v>
      </c>
      <c r="K39" s="50">
        <v>0</v>
      </c>
      <c r="L39" s="50">
        <v>0</v>
      </c>
      <c r="M39" s="50">
        <v>180</v>
      </c>
      <c r="N39" s="50">
        <v>0</v>
      </c>
      <c r="O39" s="15">
        <f t="shared" si="0"/>
        <v>220</v>
      </c>
      <c r="P39" s="15">
        <f t="shared" si="1"/>
        <v>400</v>
      </c>
    </row>
    <row r="40" spans="2:20" ht="23.1" customHeight="1" x14ac:dyDescent="0.25">
      <c r="B40" s="24" t="s">
        <v>67</v>
      </c>
      <c r="C40" s="50">
        <v>51</v>
      </c>
      <c r="D40" s="50">
        <v>3</v>
      </c>
      <c r="E40" s="50">
        <v>5</v>
      </c>
      <c r="F40" s="50">
        <v>63</v>
      </c>
      <c r="G40" s="50">
        <v>0</v>
      </c>
      <c r="H40" s="50">
        <v>2</v>
      </c>
      <c r="I40" s="50">
        <v>9</v>
      </c>
      <c r="J40" s="50">
        <v>13</v>
      </c>
      <c r="K40" s="50">
        <v>3</v>
      </c>
      <c r="L40" s="50">
        <v>4</v>
      </c>
      <c r="M40" s="50">
        <v>168</v>
      </c>
      <c r="N40" s="50">
        <v>0</v>
      </c>
      <c r="O40" s="15">
        <f t="shared" si="0"/>
        <v>153</v>
      </c>
      <c r="P40" s="15">
        <f t="shared" si="1"/>
        <v>321</v>
      </c>
    </row>
    <row r="41" spans="2:20" ht="23.1" customHeight="1" x14ac:dyDescent="0.25">
      <c r="B41" s="23" t="s">
        <v>68</v>
      </c>
      <c r="C41" s="50">
        <v>77</v>
      </c>
      <c r="D41" s="50">
        <v>4</v>
      </c>
      <c r="E41" s="50">
        <v>12</v>
      </c>
      <c r="F41" s="50">
        <v>74</v>
      </c>
      <c r="G41" s="50">
        <v>2</v>
      </c>
      <c r="H41" s="50">
        <v>0</v>
      </c>
      <c r="I41" s="50">
        <v>45</v>
      </c>
      <c r="J41" s="50">
        <v>19</v>
      </c>
      <c r="K41" s="50">
        <v>4</v>
      </c>
      <c r="L41" s="50">
        <v>6</v>
      </c>
      <c r="M41" s="50">
        <v>173</v>
      </c>
      <c r="N41" s="50">
        <v>0</v>
      </c>
      <c r="O41" s="15">
        <f t="shared" si="0"/>
        <v>243</v>
      </c>
      <c r="P41" s="15">
        <f t="shared" si="1"/>
        <v>416</v>
      </c>
    </row>
    <row r="42" spans="2:20" ht="23.1" customHeight="1" x14ac:dyDescent="0.25">
      <c r="B42" s="24" t="s">
        <v>69</v>
      </c>
      <c r="C42" s="50">
        <v>75</v>
      </c>
      <c r="D42" s="50">
        <v>14</v>
      </c>
      <c r="E42" s="50">
        <v>16</v>
      </c>
      <c r="F42" s="50">
        <v>83</v>
      </c>
      <c r="G42" s="50">
        <v>4</v>
      </c>
      <c r="H42" s="50">
        <v>4</v>
      </c>
      <c r="I42" s="50">
        <v>9</v>
      </c>
      <c r="J42" s="50">
        <v>15</v>
      </c>
      <c r="K42" s="50">
        <v>8</v>
      </c>
      <c r="L42" s="50">
        <v>6</v>
      </c>
      <c r="M42" s="50">
        <v>235</v>
      </c>
      <c r="N42" s="50">
        <v>0</v>
      </c>
      <c r="O42" s="15">
        <f t="shared" si="0"/>
        <v>234</v>
      </c>
      <c r="P42" s="15">
        <f t="shared" si="1"/>
        <v>469</v>
      </c>
    </row>
    <row r="43" spans="2:20" ht="23.1" customHeight="1" x14ac:dyDescent="0.25">
      <c r="B43" s="23" t="s">
        <v>70</v>
      </c>
      <c r="C43" s="50">
        <v>59</v>
      </c>
      <c r="D43" s="50">
        <v>13</v>
      </c>
      <c r="E43" s="50">
        <v>13</v>
      </c>
      <c r="F43" s="50">
        <v>52</v>
      </c>
      <c r="G43" s="50">
        <v>2</v>
      </c>
      <c r="H43" s="50">
        <v>2</v>
      </c>
      <c r="I43" s="50">
        <v>11</v>
      </c>
      <c r="J43" s="50">
        <v>11</v>
      </c>
      <c r="K43" s="50">
        <v>2</v>
      </c>
      <c r="L43" s="50">
        <v>1</v>
      </c>
      <c r="M43" s="50">
        <v>192</v>
      </c>
      <c r="N43" s="50">
        <v>0</v>
      </c>
      <c r="O43" s="15">
        <f t="shared" si="0"/>
        <v>166</v>
      </c>
      <c r="P43" s="15">
        <f t="shared" si="1"/>
        <v>358</v>
      </c>
    </row>
    <row r="44" spans="2:20" ht="23.1" customHeight="1" x14ac:dyDescent="0.25">
      <c r="B44" s="25" t="s">
        <v>71</v>
      </c>
      <c r="C44" s="50">
        <v>60</v>
      </c>
      <c r="D44" s="50">
        <v>3</v>
      </c>
      <c r="E44" s="50">
        <v>4</v>
      </c>
      <c r="F44" s="50">
        <v>48</v>
      </c>
      <c r="G44" s="50">
        <v>1</v>
      </c>
      <c r="H44" s="50">
        <v>2</v>
      </c>
      <c r="I44" s="50">
        <v>6</v>
      </c>
      <c r="J44" s="50">
        <v>10</v>
      </c>
      <c r="K44" s="50">
        <v>2</v>
      </c>
      <c r="L44" s="50">
        <v>5</v>
      </c>
      <c r="M44" s="50">
        <v>180</v>
      </c>
      <c r="N44" s="50">
        <v>0</v>
      </c>
      <c r="O44" s="15">
        <f t="shared" si="0"/>
        <v>141</v>
      </c>
      <c r="P44" s="15">
        <f t="shared" si="1"/>
        <v>321</v>
      </c>
    </row>
    <row r="45" spans="2:20" ht="23.1" customHeight="1" x14ac:dyDescent="0.25">
      <c r="B45" s="23" t="s">
        <v>72</v>
      </c>
      <c r="C45" s="50">
        <v>73</v>
      </c>
      <c r="D45" s="50">
        <v>4</v>
      </c>
      <c r="E45" s="50">
        <v>3</v>
      </c>
      <c r="F45" s="50">
        <v>53</v>
      </c>
      <c r="G45" s="50">
        <v>4</v>
      </c>
      <c r="H45" s="50">
        <v>1</v>
      </c>
      <c r="I45" s="50">
        <v>8</v>
      </c>
      <c r="J45" s="50">
        <v>16</v>
      </c>
      <c r="K45" s="50">
        <v>7</v>
      </c>
      <c r="L45" s="50">
        <v>162</v>
      </c>
      <c r="M45" s="50">
        <v>0</v>
      </c>
      <c r="N45" s="50">
        <v>0</v>
      </c>
      <c r="O45" s="15">
        <f t="shared" si="0"/>
        <v>331</v>
      </c>
      <c r="P45" s="15">
        <f t="shared" si="1"/>
        <v>331</v>
      </c>
    </row>
    <row r="46" spans="2:20" ht="23.1" customHeight="1" x14ac:dyDescent="0.25">
      <c r="B46" s="24" t="s">
        <v>73</v>
      </c>
      <c r="C46" s="50">
        <v>40</v>
      </c>
      <c r="D46" s="50">
        <v>2</v>
      </c>
      <c r="E46" s="50">
        <v>14</v>
      </c>
      <c r="F46" s="50">
        <v>43</v>
      </c>
      <c r="G46" s="50">
        <v>0</v>
      </c>
      <c r="H46" s="50">
        <v>3</v>
      </c>
      <c r="I46" s="50">
        <v>14</v>
      </c>
      <c r="J46" s="50">
        <v>7</v>
      </c>
      <c r="K46" s="50">
        <v>2</v>
      </c>
      <c r="L46" s="50">
        <v>1</v>
      </c>
      <c r="M46" s="50">
        <v>205</v>
      </c>
      <c r="N46" s="50">
        <v>0</v>
      </c>
      <c r="O46" s="15">
        <f t="shared" si="0"/>
        <v>126</v>
      </c>
      <c r="P46" s="15">
        <f t="shared" si="1"/>
        <v>331</v>
      </c>
      <c r="R46" s="8"/>
      <c r="T46"/>
    </row>
    <row r="47" spans="2:20" ht="23.1" customHeight="1" x14ac:dyDescent="0.25">
      <c r="B47" s="24" t="s">
        <v>74</v>
      </c>
      <c r="C47" s="50">
        <v>70</v>
      </c>
      <c r="D47" s="50">
        <v>1</v>
      </c>
      <c r="E47" s="50">
        <v>5</v>
      </c>
      <c r="F47" s="50">
        <v>65</v>
      </c>
      <c r="G47" s="50">
        <v>1</v>
      </c>
      <c r="H47" s="50">
        <v>2</v>
      </c>
      <c r="I47" s="50">
        <v>21</v>
      </c>
      <c r="J47" s="50">
        <v>9</v>
      </c>
      <c r="K47" s="50">
        <v>7</v>
      </c>
      <c r="L47" s="50">
        <v>5</v>
      </c>
      <c r="M47" s="50">
        <v>177</v>
      </c>
      <c r="N47" s="50">
        <v>0</v>
      </c>
      <c r="O47" s="15">
        <f t="shared" si="0"/>
        <v>186</v>
      </c>
      <c r="P47" s="15">
        <f t="shared" si="1"/>
        <v>363</v>
      </c>
      <c r="R47" s="8"/>
      <c r="T47"/>
    </row>
    <row r="48" spans="2:20" ht="23.1" customHeight="1" x14ac:dyDescent="0.25">
      <c r="B48" s="24" t="s">
        <v>75</v>
      </c>
      <c r="C48" s="50">
        <v>49</v>
      </c>
      <c r="D48" s="50">
        <v>0</v>
      </c>
      <c r="E48" s="50">
        <v>8</v>
      </c>
      <c r="F48" s="50">
        <v>72</v>
      </c>
      <c r="G48" s="50">
        <v>0</v>
      </c>
      <c r="H48" s="50">
        <v>2</v>
      </c>
      <c r="I48" s="50">
        <v>3</v>
      </c>
      <c r="J48" s="50">
        <v>4</v>
      </c>
      <c r="K48" s="50">
        <v>2</v>
      </c>
      <c r="L48" s="50">
        <v>1</v>
      </c>
      <c r="M48" s="50">
        <v>215</v>
      </c>
      <c r="N48" s="50">
        <v>0</v>
      </c>
      <c r="O48" s="15">
        <f t="shared" si="0"/>
        <v>141</v>
      </c>
      <c r="P48" s="15">
        <f t="shared" si="1"/>
        <v>356</v>
      </c>
      <c r="R48" s="8"/>
      <c r="T48"/>
    </row>
    <row r="49" spans="2:20" ht="23.1" customHeight="1" x14ac:dyDescent="0.25">
      <c r="B49" s="23" t="s">
        <v>76</v>
      </c>
      <c r="C49" s="50">
        <v>79</v>
      </c>
      <c r="D49" s="50">
        <v>5</v>
      </c>
      <c r="E49" s="50">
        <v>16</v>
      </c>
      <c r="F49" s="50">
        <v>62</v>
      </c>
      <c r="G49" s="50">
        <v>1</v>
      </c>
      <c r="H49" s="50">
        <v>5</v>
      </c>
      <c r="I49" s="50">
        <v>8</v>
      </c>
      <c r="J49" s="50">
        <v>9</v>
      </c>
      <c r="K49" s="50">
        <v>1</v>
      </c>
      <c r="L49" s="50">
        <v>4</v>
      </c>
      <c r="M49" s="50">
        <v>147</v>
      </c>
      <c r="N49" s="50">
        <v>0</v>
      </c>
      <c r="O49" s="15">
        <f t="shared" si="0"/>
        <v>190</v>
      </c>
      <c r="P49" s="15">
        <f t="shared" si="1"/>
        <v>337</v>
      </c>
      <c r="R49" s="8"/>
      <c r="T49"/>
    </row>
    <row r="50" spans="2:20" ht="23.1" customHeight="1" x14ac:dyDescent="0.25">
      <c r="B50" s="24" t="s">
        <v>77</v>
      </c>
      <c r="C50" s="50">
        <v>105</v>
      </c>
      <c r="D50" s="50">
        <v>4</v>
      </c>
      <c r="E50" s="50">
        <v>6</v>
      </c>
      <c r="F50" s="50">
        <v>90</v>
      </c>
      <c r="G50" s="50">
        <v>0</v>
      </c>
      <c r="H50" s="50">
        <v>2</v>
      </c>
      <c r="I50" s="50">
        <v>9</v>
      </c>
      <c r="J50" s="50">
        <v>5</v>
      </c>
      <c r="K50" s="50">
        <v>4</v>
      </c>
      <c r="L50" s="50">
        <v>5</v>
      </c>
      <c r="M50" s="50">
        <v>183</v>
      </c>
      <c r="N50" s="50">
        <v>0</v>
      </c>
      <c r="O50" s="15">
        <f t="shared" si="0"/>
        <v>230</v>
      </c>
      <c r="P50" s="15">
        <f t="shared" si="1"/>
        <v>413</v>
      </c>
      <c r="R50" s="8"/>
      <c r="T50"/>
    </row>
    <row r="51" spans="2:20" ht="23.1" customHeight="1" x14ac:dyDescent="0.25">
      <c r="B51" s="24" t="s">
        <v>78</v>
      </c>
      <c r="C51" s="50">
        <v>85</v>
      </c>
      <c r="D51" s="50">
        <v>11</v>
      </c>
      <c r="E51" s="50">
        <v>48</v>
      </c>
      <c r="F51" s="50">
        <v>80</v>
      </c>
      <c r="G51" s="50">
        <v>1</v>
      </c>
      <c r="H51" s="50">
        <v>6</v>
      </c>
      <c r="I51" s="50">
        <v>23</v>
      </c>
      <c r="J51" s="50">
        <v>9</v>
      </c>
      <c r="K51" s="50">
        <v>2</v>
      </c>
      <c r="L51" s="50">
        <v>4</v>
      </c>
      <c r="M51" s="50">
        <v>176</v>
      </c>
      <c r="N51" s="50">
        <v>0</v>
      </c>
      <c r="O51" s="15">
        <f t="shared" si="0"/>
        <v>269</v>
      </c>
      <c r="P51" s="15">
        <f t="shared" si="1"/>
        <v>445</v>
      </c>
      <c r="R51" s="8"/>
      <c r="T51"/>
    </row>
    <row r="52" spans="2:20" ht="23.1" customHeight="1" x14ac:dyDescent="0.25">
      <c r="B52" s="24" t="s">
        <v>79</v>
      </c>
      <c r="C52" s="50">
        <v>48</v>
      </c>
      <c r="D52" s="50">
        <v>8</v>
      </c>
      <c r="E52" s="50">
        <v>9</v>
      </c>
      <c r="F52" s="50">
        <v>51</v>
      </c>
      <c r="G52" s="50">
        <v>2</v>
      </c>
      <c r="H52" s="50">
        <v>2</v>
      </c>
      <c r="I52" s="50">
        <v>34</v>
      </c>
      <c r="J52" s="50">
        <v>35</v>
      </c>
      <c r="K52" s="50">
        <v>2</v>
      </c>
      <c r="L52" s="50">
        <v>3</v>
      </c>
      <c r="M52" s="50">
        <v>182</v>
      </c>
      <c r="N52" s="50">
        <v>0</v>
      </c>
      <c r="O52" s="15">
        <f t="shared" si="0"/>
        <v>194</v>
      </c>
      <c r="P52" s="15">
        <f t="shared" si="1"/>
        <v>376</v>
      </c>
      <c r="R52" s="8"/>
      <c r="T52"/>
    </row>
    <row r="53" spans="2:20" ht="23.1" customHeight="1" x14ac:dyDescent="0.25">
      <c r="B53" s="23" t="s">
        <v>80</v>
      </c>
      <c r="C53" s="50">
        <v>46</v>
      </c>
      <c r="D53" s="50">
        <v>11</v>
      </c>
      <c r="E53" s="50">
        <v>1</v>
      </c>
      <c r="F53" s="50">
        <v>50</v>
      </c>
      <c r="G53" s="50">
        <v>5</v>
      </c>
      <c r="H53" s="50">
        <v>1</v>
      </c>
      <c r="I53" s="50">
        <v>9</v>
      </c>
      <c r="J53" s="50">
        <v>7</v>
      </c>
      <c r="K53" s="50">
        <v>2</v>
      </c>
      <c r="L53" s="50">
        <v>3</v>
      </c>
      <c r="M53" s="50">
        <v>194</v>
      </c>
      <c r="N53" s="50">
        <v>0</v>
      </c>
      <c r="O53" s="15">
        <f t="shared" si="0"/>
        <v>135</v>
      </c>
      <c r="P53" s="15">
        <f t="shared" si="1"/>
        <v>329</v>
      </c>
      <c r="R53" s="8"/>
      <c r="T53"/>
    </row>
    <row r="54" spans="2:20" ht="23.1" customHeight="1" x14ac:dyDescent="0.25">
      <c r="B54" s="23" t="s">
        <v>81</v>
      </c>
      <c r="C54" s="50">
        <v>60</v>
      </c>
      <c r="D54" s="50">
        <v>18</v>
      </c>
      <c r="E54" s="50">
        <v>4</v>
      </c>
      <c r="F54" s="50">
        <v>90</v>
      </c>
      <c r="G54" s="50">
        <v>1</v>
      </c>
      <c r="H54" s="50">
        <v>5</v>
      </c>
      <c r="I54" s="50">
        <v>13</v>
      </c>
      <c r="J54" s="50">
        <v>5</v>
      </c>
      <c r="K54" s="50">
        <v>3</v>
      </c>
      <c r="L54" s="50">
        <v>1</v>
      </c>
      <c r="M54" s="50">
        <v>196</v>
      </c>
      <c r="N54" s="50">
        <v>0</v>
      </c>
      <c r="O54" s="15">
        <f t="shared" si="0"/>
        <v>200</v>
      </c>
      <c r="P54" s="15">
        <f t="shared" si="1"/>
        <v>396</v>
      </c>
      <c r="R54" s="8"/>
      <c r="T54"/>
    </row>
    <row r="55" spans="2:20" ht="23.1" customHeight="1" x14ac:dyDescent="0.25">
      <c r="B55" s="23" t="s">
        <v>82</v>
      </c>
      <c r="C55" s="50">
        <v>73</v>
      </c>
      <c r="D55" s="50">
        <v>16</v>
      </c>
      <c r="E55" s="50">
        <v>8</v>
      </c>
      <c r="F55" s="50">
        <v>68</v>
      </c>
      <c r="G55" s="50">
        <v>3</v>
      </c>
      <c r="H55" s="50">
        <v>6</v>
      </c>
      <c r="I55" s="50">
        <v>4</v>
      </c>
      <c r="J55" s="50">
        <v>13</v>
      </c>
      <c r="K55" s="50">
        <v>4</v>
      </c>
      <c r="L55" s="50">
        <v>3</v>
      </c>
      <c r="M55" s="50">
        <v>187</v>
      </c>
      <c r="N55" s="50">
        <v>0</v>
      </c>
      <c r="O55" s="15">
        <f t="shared" si="0"/>
        <v>198</v>
      </c>
      <c r="P55" s="15">
        <f t="shared" si="1"/>
        <v>385</v>
      </c>
      <c r="R55" s="8"/>
      <c r="T55"/>
    </row>
    <row r="56" spans="2:20" ht="23.1" customHeight="1" x14ac:dyDescent="0.25">
      <c r="B56" s="23" t="s">
        <v>83</v>
      </c>
      <c r="C56" s="50">
        <v>82</v>
      </c>
      <c r="D56" s="50">
        <v>12</v>
      </c>
      <c r="E56" s="50">
        <v>11</v>
      </c>
      <c r="F56" s="50">
        <v>57</v>
      </c>
      <c r="G56" s="50">
        <v>2</v>
      </c>
      <c r="H56" s="50">
        <v>9</v>
      </c>
      <c r="I56" s="50">
        <v>11</v>
      </c>
      <c r="J56" s="50">
        <v>18</v>
      </c>
      <c r="K56" s="50">
        <v>8</v>
      </c>
      <c r="L56" s="50">
        <v>10</v>
      </c>
      <c r="M56" s="50">
        <v>145</v>
      </c>
      <c r="N56" s="50">
        <v>0</v>
      </c>
      <c r="O56" s="15">
        <f t="shared" si="0"/>
        <v>220</v>
      </c>
      <c r="P56" s="15">
        <f t="shared" si="1"/>
        <v>365</v>
      </c>
      <c r="R56" s="8"/>
      <c r="T56"/>
    </row>
    <row r="57" spans="2:20" ht="23.1" customHeight="1" x14ac:dyDescent="0.25">
      <c r="B57" s="23" t="s">
        <v>84</v>
      </c>
      <c r="C57" s="50">
        <v>73</v>
      </c>
      <c r="D57" s="50">
        <v>6</v>
      </c>
      <c r="E57" s="50">
        <v>7</v>
      </c>
      <c r="F57" s="50">
        <v>78</v>
      </c>
      <c r="G57" s="50">
        <v>4</v>
      </c>
      <c r="H57" s="50">
        <v>3</v>
      </c>
      <c r="I57" s="50">
        <v>6</v>
      </c>
      <c r="J57" s="50">
        <v>3</v>
      </c>
      <c r="K57" s="50">
        <v>2</v>
      </c>
      <c r="L57" s="50">
        <v>3</v>
      </c>
      <c r="M57" s="50">
        <v>157</v>
      </c>
      <c r="N57" s="50">
        <v>0</v>
      </c>
      <c r="O57" s="15">
        <f t="shared" si="0"/>
        <v>185</v>
      </c>
      <c r="P57" s="15">
        <f t="shared" si="1"/>
        <v>342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3690</v>
      </c>
      <c r="D58" s="16">
        <f t="shared" si="21"/>
        <v>389</v>
      </c>
      <c r="E58" s="16">
        <f t="shared" si="21"/>
        <v>475</v>
      </c>
      <c r="F58" s="16">
        <f t="shared" si="21"/>
        <v>3162</v>
      </c>
      <c r="G58" s="16">
        <f t="shared" si="21"/>
        <v>84</v>
      </c>
      <c r="H58" s="16">
        <f t="shared" si="21"/>
        <v>86</v>
      </c>
      <c r="I58" s="16">
        <f t="shared" si="21"/>
        <v>498</v>
      </c>
      <c r="J58" s="16">
        <f t="shared" si="21"/>
        <v>482</v>
      </c>
      <c r="K58" s="16">
        <f t="shared" si="21"/>
        <v>130</v>
      </c>
      <c r="L58" s="16">
        <f t="shared" si="21"/>
        <v>275</v>
      </c>
      <c r="M58" s="16">
        <f t="shared" si="21"/>
        <v>9863</v>
      </c>
      <c r="N58" s="16">
        <f t="shared" si="21"/>
        <v>0</v>
      </c>
      <c r="O58" s="16">
        <f t="shared" si="21"/>
        <v>9271</v>
      </c>
      <c r="P58" s="16">
        <f t="shared" si="21"/>
        <v>19134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0.19285042333019756</v>
      </c>
      <c r="D59" s="43">
        <f t="shared" si="22"/>
        <v>2.0330302080066896E-2</v>
      </c>
      <c r="E59" s="43">
        <f t="shared" si="22"/>
        <v>2.4824918992369605E-2</v>
      </c>
      <c r="F59" s="43">
        <f t="shared" si="22"/>
        <v>0.16525556600815303</v>
      </c>
      <c r="G59" s="43">
        <f t="shared" si="22"/>
        <v>4.3900909375979933E-3</v>
      </c>
      <c r="H59" s="43">
        <f t="shared" si="22"/>
        <v>4.4946169123027072E-3</v>
      </c>
      <c r="I59" s="43">
        <f t="shared" si="22"/>
        <v>2.6026967701473815E-2</v>
      </c>
      <c r="J59" s="43">
        <f t="shared" si="22"/>
        <v>2.5190759903836103E-2</v>
      </c>
      <c r="K59" s="43">
        <f t="shared" si="22"/>
        <v>6.7941883558064178E-3</v>
      </c>
      <c r="L59" s="43">
        <f t="shared" si="22"/>
        <v>1.4372321521898192E-2</v>
      </c>
      <c r="M59" s="43">
        <f t="shared" si="22"/>
        <v>0.51546984425629772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0.39801531657857836</v>
      </c>
      <c r="D60" s="44">
        <f t="shared" ref="D60:N60" si="23">D58/$O$58</f>
        <v>4.1958796246359613E-2</v>
      </c>
      <c r="E60" s="44">
        <f t="shared" si="23"/>
        <v>5.1235033976917269E-2</v>
      </c>
      <c r="F60" s="44">
        <f t="shared" si="23"/>
        <v>0.34106353144213136</v>
      </c>
      <c r="G60" s="44">
        <f t="shared" si="23"/>
        <v>9.0605112717074745E-3</v>
      </c>
      <c r="H60" s="44">
        <f t="shared" si="23"/>
        <v>9.2762377305576522E-3</v>
      </c>
      <c r="I60" s="44">
        <f t="shared" si="23"/>
        <v>5.3715888253694319E-2</v>
      </c>
      <c r="J60" s="44">
        <f t="shared" si="23"/>
        <v>5.199007658289289E-2</v>
      </c>
      <c r="K60" s="44">
        <f t="shared" si="23"/>
        <v>1.4022219825261568E-2</v>
      </c>
      <c r="L60" s="44">
        <f t="shared" si="23"/>
        <v>2.9662388091899472E-2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F126"/>
  <sheetViews>
    <sheetView view="pageBreakPreview" zoomScale="60" workbookViewId="0">
      <selection activeCell="N57" sqref="N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4" t="str">
        <f>'22.07 NATEETE-BUSEGA'!C3:G3</f>
        <v>MCC - C1 - STN10- MASAKA ROAD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165</v>
      </c>
      <c r="E5" s="3"/>
      <c r="F5" s="41" t="s">
        <v>1</v>
      </c>
      <c r="G5" s="62" t="str">
        <f>'24.07 BUSEGA-NATEETE'!G5:H5</f>
        <v>GOD'S MERCY SUPERMARKET</v>
      </c>
      <c r="H5" s="63"/>
      <c r="I5" s="14"/>
      <c r="J5" s="2" t="s">
        <v>5</v>
      </c>
      <c r="K5" s="62" t="str">
        <f>'24.07 BUSEGA-NATEETE'!K5:L5</f>
        <v>MATHIAS NAKIBINGE</v>
      </c>
      <c r="L5" s="63"/>
      <c r="M5" s="10"/>
      <c r="N5" s="10"/>
      <c r="O5" s="3"/>
      <c r="P5" s="3"/>
    </row>
    <row r="6" spans="2:32" ht="23.25" customHeight="1" x14ac:dyDescent="0.25">
      <c r="C6" s="2" t="s">
        <v>4</v>
      </c>
      <c r="D6" s="62" t="str">
        <f>'22.07 NATEETE-BUSEGA'!D6:E6</f>
        <v>NATEETE</v>
      </c>
      <c r="E6" s="63"/>
      <c r="F6" s="2" t="s">
        <v>2</v>
      </c>
      <c r="G6" s="62" t="str">
        <f>'22.07 NATEETE-BUSEGA'!G6:H6</f>
        <v>BUSEGA</v>
      </c>
      <c r="H6" s="63"/>
      <c r="J6" s="2" t="s">
        <v>21</v>
      </c>
      <c r="K6" s="62" t="s">
        <v>180</v>
      </c>
      <c r="L6" s="6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75</v>
      </c>
      <c r="D10" s="50">
        <v>16</v>
      </c>
      <c r="E10" s="50">
        <v>3</v>
      </c>
      <c r="F10" s="50">
        <v>80</v>
      </c>
      <c r="G10" s="50">
        <v>9</v>
      </c>
      <c r="H10" s="50">
        <v>0</v>
      </c>
      <c r="I10" s="50">
        <v>12</v>
      </c>
      <c r="J10" s="50">
        <v>1</v>
      </c>
      <c r="K10" s="50">
        <v>0</v>
      </c>
      <c r="L10" s="50">
        <v>3</v>
      </c>
      <c r="M10" s="50">
        <v>150</v>
      </c>
      <c r="N10" s="50">
        <v>0</v>
      </c>
      <c r="O10" s="15">
        <f t="shared" ref="O10:O57" si="0">SUM(C10:L10,N10)</f>
        <v>199</v>
      </c>
      <c r="P10" s="15">
        <f t="shared" ref="P10:P57" si="1">SUM(C10:N10)</f>
        <v>349</v>
      </c>
      <c r="R10" s="1" t="s">
        <v>6</v>
      </c>
      <c r="S10" s="17">
        <f t="shared" ref="S10:AF10" si="2">SUM(C10:C13)</f>
        <v>241</v>
      </c>
      <c r="T10" s="17">
        <f t="shared" si="2"/>
        <v>28</v>
      </c>
      <c r="U10" s="17">
        <f t="shared" si="2"/>
        <v>17</v>
      </c>
      <c r="V10" s="17">
        <f t="shared" si="2"/>
        <v>277</v>
      </c>
      <c r="W10" s="17">
        <f t="shared" si="2"/>
        <v>23</v>
      </c>
      <c r="X10" s="17">
        <f t="shared" si="2"/>
        <v>7</v>
      </c>
      <c r="Y10" s="17">
        <f t="shared" si="2"/>
        <v>35</v>
      </c>
      <c r="Z10" s="17">
        <f t="shared" si="2"/>
        <v>16</v>
      </c>
      <c r="AA10" s="17">
        <f t="shared" si="2"/>
        <v>4</v>
      </c>
      <c r="AB10" s="17">
        <f t="shared" si="2"/>
        <v>8</v>
      </c>
      <c r="AC10" s="17">
        <f t="shared" si="2"/>
        <v>670</v>
      </c>
      <c r="AD10" s="17">
        <f t="shared" si="2"/>
        <v>0</v>
      </c>
      <c r="AE10" s="31">
        <f t="shared" si="2"/>
        <v>656</v>
      </c>
      <c r="AF10" s="31">
        <f t="shared" si="2"/>
        <v>1326</v>
      </c>
    </row>
    <row r="11" spans="2:32" s="6" customFormat="1" ht="23.1" customHeight="1" x14ac:dyDescent="0.25">
      <c r="B11" s="23" t="s">
        <v>38</v>
      </c>
      <c r="C11" s="50">
        <v>63</v>
      </c>
      <c r="D11" s="50">
        <v>3</v>
      </c>
      <c r="E11" s="50">
        <v>5</v>
      </c>
      <c r="F11" s="50">
        <v>63</v>
      </c>
      <c r="G11" s="50">
        <v>4</v>
      </c>
      <c r="H11" s="50">
        <v>2</v>
      </c>
      <c r="I11" s="50">
        <v>8</v>
      </c>
      <c r="J11" s="50">
        <v>2</v>
      </c>
      <c r="K11" s="50">
        <v>2</v>
      </c>
      <c r="L11" s="50">
        <v>0</v>
      </c>
      <c r="M11" s="50">
        <v>165</v>
      </c>
      <c r="N11" s="50">
        <v>0</v>
      </c>
      <c r="O11" s="15">
        <f t="shared" si="0"/>
        <v>152</v>
      </c>
      <c r="P11" s="15">
        <f t="shared" si="1"/>
        <v>317</v>
      </c>
      <c r="R11" s="1" t="s">
        <v>7</v>
      </c>
      <c r="S11" s="17">
        <f t="shared" ref="S11:AF11" si="3">SUM(C14:C17)</f>
        <v>121</v>
      </c>
      <c r="T11" s="17">
        <f t="shared" si="3"/>
        <v>21</v>
      </c>
      <c r="U11" s="17">
        <f t="shared" si="3"/>
        <v>17</v>
      </c>
      <c r="V11" s="17">
        <f t="shared" si="3"/>
        <v>214</v>
      </c>
      <c r="W11" s="17">
        <f t="shared" si="3"/>
        <v>5</v>
      </c>
      <c r="X11" s="17">
        <f t="shared" si="3"/>
        <v>8</v>
      </c>
      <c r="Y11" s="17">
        <f t="shared" si="3"/>
        <v>28</v>
      </c>
      <c r="Z11" s="17">
        <f t="shared" si="3"/>
        <v>20</v>
      </c>
      <c r="AA11" s="17">
        <f t="shared" si="3"/>
        <v>6</v>
      </c>
      <c r="AB11" s="17">
        <f t="shared" si="3"/>
        <v>6</v>
      </c>
      <c r="AC11" s="17">
        <f t="shared" si="3"/>
        <v>679</v>
      </c>
      <c r="AD11" s="17">
        <f t="shared" si="3"/>
        <v>0</v>
      </c>
      <c r="AE11" s="31">
        <f t="shared" si="3"/>
        <v>446</v>
      </c>
      <c r="AF11" s="31">
        <f t="shared" si="3"/>
        <v>1125</v>
      </c>
    </row>
    <row r="12" spans="2:32" ht="23.1" customHeight="1" x14ac:dyDescent="0.25">
      <c r="B12" s="23" t="s">
        <v>39</v>
      </c>
      <c r="C12" s="50">
        <v>50</v>
      </c>
      <c r="D12" s="50">
        <v>4</v>
      </c>
      <c r="E12" s="50">
        <v>4</v>
      </c>
      <c r="F12" s="50">
        <v>78</v>
      </c>
      <c r="G12" s="50">
        <v>4</v>
      </c>
      <c r="H12" s="50">
        <v>3</v>
      </c>
      <c r="I12" s="50">
        <v>9</v>
      </c>
      <c r="J12" s="50">
        <v>7</v>
      </c>
      <c r="K12" s="50">
        <v>1</v>
      </c>
      <c r="L12" s="50">
        <v>3</v>
      </c>
      <c r="M12" s="50">
        <v>190</v>
      </c>
      <c r="N12" s="50">
        <v>0</v>
      </c>
      <c r="O12" s="15">
        <f t="shared" si="0"/>
        <v>163</v>
      </c>
      <c r="P12" s="15">
        <f t="shared" si="1"/>
        <v>353</v>
      </c>
      <c r="R12" s="1" t="s">
        <v>8</v>
      </c>
      <c r="S12" s="17">
        <f t="shared" ref="S12:AF12" si="4">SUM(C18:C21)</f>
        <v>153</v>
      </c>
      <c r="T12" s="17">
        <f t="shared" si="4"/>
        <v>16</v>
      </c>
      <c r="U12" s="17">
        <f t="shared" si="4"/>
        <v>30</v>
      </c>
      <c r="V12" s="17">
        <f t="shared" si="4"/>
        <v>225</v>
      </c>
      <c r="W12" s="17">
        <f t="shared" si="4"/>
        <v>11</v>
      </c>
      <c r="X12" s="17">
        <f t="shared" si="4"/>
        <v>4</v>
      </c>
      <c r="Y12" s="17">
        <f t="shared" si="4"/>
        <v>26</v>
      </c>
      <c r="Z12" s="17">
        <f t="shared" si="4"/>
        <v>10</v>
      </c>
      <c r="AA12" s="17">
        <f t="shared" si="4"/>
        <v>6</v>
      </c>
      <c r="AB12" s="17">
        <f t="shared" si="4"/>
        <v>7</v>
      </c>
      <c r="AC12" s="17">
        <f t="shared" si="4"/>
        <v>800</v>
      </c>
      <c r="AD12" s="17">
        <f t="shared" si="4"/>
        <v>0</v>
      </c>
      <c r="AE12" s="31">
        <f t="shared" si="4"/>
        <v>488</v>
      </c>
      <c r="AF12" s="31">
        <f t="shared" si="4"/>
        <v>1288</v>
      </c>
    </row>
    <row r="13" spans="2:32" ht="23.1" customHeight="1" x14ac:dyDescent="0.25">
      <c r="B13" s="23" t="s">
        <v>40</v>
      </c>
      <c r="C13" s="50">
        <v>53</v>
      </c>
      <c r="D13" s="50">
        <v>5</v>
      </c>
      <c r="E13" s="50">
        <v>5</v>
      </c>
      <c r="F13" s="50">
        <v>56</v>
      </c>
      <c r="G13" s="50">
        <v>6</v>
      </c>
      <c r="H13" s="50">
        <v>2</v>
      </c>
      <c r="I13" s="50">
        <v>6</v>
      </c>
      <c r="J13" s="50">
        <v>6</v>
      </c>
      <c r="K13" s="50">
        <v>1</v>
      </c>
      <c r="L13" s="50">
        <v>2</v>
      </c>
      <c r="M13" s="50">
        <v>165</v>
      </c>
      <c r="N13" s="50">
        <v>0</v>
      </c>
      <c r="O13" s="15">
        <f t="shared" si="0"/>
        <v>142</v>
      </c>
      <c r="P13" s="15">
        <f t="shared" si="1"/>
        <v>307</v>
      </c>
      <c r="R13" s="1" t="s">
        <v>9</v>
      </c>
      <c r="S13" s="17">
        <f t="shared" ref="S13:AF13" si="5">SUM(C22:C25)</f>
        <v>189</v>
      </c>
      <c r="T13" s="17">
        <f t="shared" si="5"/>
        <v>15</v>
      </c>
      <c r="U13" s="17">
        <f t="shared" si="5"/>
        <v>22</v>
      </c>
      <c r="V13" s="17">
        <f t="shared" si="5"/>
        <v>247</v>
      </c>
      <c r="W13" s="17">
        <f t="shared" si="5"/>
        <v>7</v>
      </c>
      <c r="X13" s="17">
        <f t="shared" si="5"/>
        <v>3</v>
      </c>
      <c r="Y13" s="17">
        <f t="shared" si="5"/>
        <v>38</v>
      </c>
      <c r="Z13" s="17">
        <f t="shared" si="5"/>
        <v>24</v>
      </c>
      <c r="AA13" s="17">
        <f t="shared" si="5"/>
        <v>4</v>
      </c>
      <c r="AB13" s="17">
        <f t="shared" si="5"/>
        <v>5</v>
      </c>
      <c r="AC13" s="17">
        <f t="shared" si="5"/>
        <v>785</v>
      </c>
      <c r="AD13" s="17">
        <f t="shared" si="5"/>
        <v>0</v>
      </c>
      <c r="AE13" s="31">
        <f t="shared" si="5"/>
        <v>554</v>
      </c>
      <c r="AF13" s="31">
        <f t="shared" si="5"/>
        <v>1339</v>
      </c>
    </row>
    <row r="14" spans="2:32" ht="23.1" customHeight="1" x14ac:dyDescent="0.25">
      <c r="B14" s="23" t="s">
        <v>41</v>
      </c>
      <c r="C14" s="50">
        <v>22</v>
      </c>
      <c r="D14" s="50">
        <v>8</v>
      </c>
      <c r="E14" s="50">
        <v>5</v>
      </c>
      <c r="F14" s="50">
        <v>42</v>
      </c>
      <c r="G14" s="50">
        <v>2</v>
      </c>
      <c r="H14" s="50">
        <v>3</v>
      </c>
      <c r="I14" s="50">
        <v>10</v>
      </c>
      <c r="J14" s="50">
        <v>1</v>
      </c>
      <c r="K14" s="50">
        <v>2</v>
      </c>
      <c r="L14" s="50">
        <v>0</v>
      </c>
      <c r="M14" s="50">
        <v>190</v>
      </c>
      <c r="N14" s="50">
        <v>0</v>
      </c>
      <c r="O14" s="15">
        <f t="shared" si="0"/>
        <v>95</v>
      </c>
      <c r="P14" s="15">
        <f t="shared" si="1"/>
        <v>285</v>
      </c>
      <c r="R14" s="1" t="s">
        <v>10</v>
      </c>
      <c r="S14" s="17">
        <f t="shared" ref="S14:AF14" si="6">SUM(C26:C29)</f>
        <v>273</v>
      </c>
      <c r="T14" s="17">
        <f t="shared" si="6"/>
        <v>20</v>
      </c>
      <c r="U14" s="17">
        <f t="shared" si="6"/>
        <v>26</v>
      </c>
      <c r="V14" s="17">
        <f t="shared" si="6"/>
        <v>285</v>
      </c>
      <c r="W14" s="17">
        <f t="shared" si="6"/>
        <v>21</v>
      </c>
      <c r="X14" s="17">
        <f t="shared" si="6"/>
        <v>8</v>
      </c>
      <c r="Y14" s="17">
        <f t="shared" si="6"/>
        <v>31</v>
      </c>
      <c r="Z14" s="17">
        <f t="shared" si="6"/>
        <v>27</v>
      </c>
      <c r="AA14" s="17">
        <f t="shared" si="6"/>
        <v>6</v>
      </c>
      <c r="AB14" s="17">
        <f t="shared" si="6"/>
        <v>13</v>
      </c>
      <c r="AC14" s="17">
        <f t="shared" si="6"/>
        <v>720</v>
      </c>
      <c r="AD14" s="17">
        <f t="shared" si="6"/>
        <v>0</v>
      </c>
      <c r="AE14" s="31">
        <f t="shared" si="6"/>
        <v>710</v>
      </c>
      <c r="AF14" s="31">
        <f t="shared" si="6"/>
        <v>1430</v>
      </c>
    </row>
    <row r="15" spans="2:32" ht="23.1" customHeight="1" x14ac:dyDescent="0.25">
      <c r="B15" s="23" t="s">
        <v>42</v>
      </c>
      <c r="C15" s="50">
        <v>35</v>
      </c>
      <c r="D15" s="50">
        <v>6</v>
      </c>
      <c r="E15" s="50">
        <v>1</v>
      </c>
      <c r="F15" s="50">
        <v>51</v>
      </c>
      <c r="G15" s="50">
        <v>1</v>
      </c>
      <c r="H15" s="50">
        <v>3</v>
      </c>
      <c r="I15" s="50">
        <v>3</v>
      </c>
      <c r="J15" s="50">
        <v>5</v>
      </c>
      <c r="K15" s="50">
        <v>2</v>
      </c>
      <c r="L15" s="50">
        <v>3</v>
      </c>
      <c r="M15" s="50">
        <v>175</v>
      </c>
      <c r="N15" s="50">
        <v>0</v>
      </c>
      <c r="O15" s="15">
        <f t="shared" si="0"/>
        <v>110</v>
      </c>
      <c r="P15" s="15">
        <f t="shared" si="1"/>
        <v>285</v>
      </c>
      <c r="R15" s="1" t="s">
        <v>11</v>
      </c>
      <c r="S15" s="17">
        <f t="shared" ref="S15:AF15" si="7">SUM(C30:C33)</f>
        <v>177</v>
      </c>
      <c r="T15" s="17">
        <f t="shared" si="7"/>
        <v>21</v>
      </c>
      <c r="U15" s="17">
        <f t="shared" si="7"/>
        <v>33</v>
      </c>
      <c r="V15" s="17">
        <f t="shared" si="7"/>
        <v>217</v>
      </c>
      <c r="W15" s="17">
        <f t="shared" si="7"/>
        <v>3</v>
      </c>
      <c r="X15" s="17">
        <f t="shared" si="7"/>
        <v>9</v>
      </c>
      <c r="Y15" s="17">
        <f t="shared" si="7"/>
        <v>48</v>
      </c>
      <c r="Z15" s="17">
        <f t="shared" si="7"/>
        <v>24</v>
      </c>
      <c r="AA15" s="17">
        <f t="shared" si="7"/>
        <v>10</v>
      </c>
      <c r="AB15" s="17">
        <f t="shared" si="7"/>
        <v>21</v>
      </c>
      <c r="AC15" s="17">
        <f t="shared" si="7"/>
        <v>745</v>
      </c>
      <c r="AD15" s="17">
        <f t="shared" si="7"/>
        <v>0</v>
      </c>
      <c r="AE15" s="31">
        <f t="shared" si="7"/>
        <v>563</v>
      </c>
      <c r="AF15" s="31">
        <f t="shared" si="7"/>
        <v>1308</v>
      </c>
    </row>
    <row r="16" spans="2:32" ht="23.1" customHeight="1" x14ac:dyDescent="0.25">
      <c r="B16" s="23" t="s">
        <v>43</v>
      </c>
      <c r="C16" s="50">
        <v>33</v>
      </c>
      <c r="D16" s="50">
        <v>2</v>
      </c>
      <c r="E16" s="50">
        <v>6</v>
      </c>
      <c r="F16" s="50">
        <v>75</v>
      </c>
      <c r="G16" s="50">
        <v>1</v>
      </c>
      <c r="H16" s="50">
        <v>1</v>
      </c>
      <c r="I16" s="50">
        <v>7</v>
      </c>
      <c r="J16" s="50">
        <v>6</v>
      </c>
      <c r="K16" s="50">
        <v>1</v>
      </c>
      <c r="L16" s="50">
        <v>1</v>
      </c>
      <c r="M16" s="50">
        <v>214</v>
      </c>
      <c r="N16" s="50">
        <v>0</v>
      </c>
      <c r="O16" s="15">
        <f t="shared" si="0"/>
        <v>133</v>
      </c>
      <c r="P16" s="15">
        <f t="shared" si="1"/>
        <v>347</v>
      </c>
      <c r="R16" s="1" t="s">
        <v>12</v>
      </c>
      <c r="S16" s="17">
        <f t="shared" ref="S16:AF16" si="8">SUM(C34:C37)</f>
        <v>193</v>
      </c>
      <c r="T16" s="17">
        <f t="shared" si="8"/>
        <v>16</v>
      </c>
      <c r="U16" s="17">
        <f t="shared" si="8"/>
        <v>19</v>
      </c>
      <c r="V16" s="17">
        <f t="shared" si="8"/>
        <v>199</v>
      </c>
      <c r="W16" s="17">
        <f t="shared" si="8"/>
        <v>7</v>
      </c>
      <c r="X16" s="17">
        <f t="shared" si="8"/>
        <v>5</v>
      </c>
      <c r="Y16" s="17">
        <f t="shared" si="8"/>
        <v>33</v>
      </c>
      <c r="Z16" s="17">
        <f t="shared" si="8"/>
        <v>24</v>
      </c>
      <c r="AA16" s="17">
        <f t="shared" si="8"/>
        <v>4</v>
      </c>
      <c r="AB16" s="17">
        <f t="shared" si="8"/>
        <v>12</v>
      </c>
      <c r="AC16" s="17">
        <f t="shared" si="8"/>
        <v>555</v>
      </c>
      <c r="AD16" s="17">
        <f t="shared" si="8"/>
        <v>0</v>
      </c>
      <c r="AE16" s="31">
        <f t="shared" si="8"/>
        <v>512</v>
      </c>
      <c r="AF16" s="31">
        <f t="shared" si="8"/>
        <v>1067</v>
      </c>
    </row>
    <row r="17" spans="2:32" ht="23.1" customHeight="1" x14ac:dyDescent="0.25">
      <c r="B17" s="23" t="s">
        <v>44</v>
      </c>
      <c r="C17" s="50">
        <v>31</v>
      </c>
      <c r="D17" s="50">
        <v>5</v>
      </c>
      <c r="E17" s="50">
        <v>5</v>
      </c>
      <c r="F17" s="50">
        <v>46</v>
      </c>
      <c r="G17" s="50">
        <v>1</v>
      </c>
      <c r="H17" s="50">
        <v>1</v>
      </c>
      <c r="I17" s="50">
        <v>8</v>
      </c>
      <c r="J17" s="50">
        <v>8</v>
      </c>
      <c r="K17" s="50">
        <v>1</v>
      </c>
      <c r="L17" s="50">
        <v>2</v>
      </c>
      <c r="M17" s="50">
        <v>100</v>
      </c>
      <c r="N17" s="50">
        <v>0</v>
      </c>
      <c r="O17" s="15">
        <f t="shared" si="0"/>
        <v>108</v>
      </c>
      <c r="P17" s="15">
        <f t="shared" si="1"/>
        <v>208</v>
      </c>
      <c r="R17" s="1" t="s">
        <v>13</v>
      </c>
      <c r="S17" s="17">
        <f t="shared" ref="S17:AF17" si="9">SUM(C38:C41)</f>
        <v>168</v>
      </c>
      <c r="T17" s="17">
        <f t="shared" si="9"/>
        <v>22</v>
      </c>
      <c r="U17" s="17">
        <f t="shared" si="9"/>
        <v>34</v>
      </c>
      <c r="V17" s="17">
        <f t="shared" si="9"/>
        <v>170</v>
      </c>
      <c r="W17" s="17">
        <f t="shared" si="9"/>
        <v>17</v>
      </c>
      <c r="X17" s="17">
        <f t="shared" si="9"/>
        <v>4</v>
      </c>
      <c r="Y17" s="17">
        <f t="shared" si="9"/>
        <v>37</v>
      </c>
      <c r="Z17" s="17">
        <f t="shared" si="9"/>
        <v>19</v>
      </c>
      <c r="AA17" s="17">
        <f t="shared" si="9"/>
        <v>6</v>
      </c>
      <c r="AB17" s="17">
        <f t="shared" si="9"/>
        <v>8</v>
      </c>
      <c r="AC17" s="17">
        <f t="shared" si="9"/>
        <v>765</v>
      </c>
      <c r="AD17" s="17">
        <f t="shared" si="9"/>
        <v>0</v>
      </c>
      <c r="AE17" s="31">
        <f t="shared" si="9"/>
        <v>485</v>
      </c>
      <c r="AF17" s="31">
        <f t="shared" si="9"/>
        <v>1250</v>
      </c>
    </row>
    <row r="18" spans="2:32" ht="23.1" customHeight="1" x14ac:dyDescent="0.25">
      <c r="B18" s="23" t="s">
        <v>45</v>
      </c>
      <c r="C18" s="50">
        <v>30</v>
      </c>
      <c r="D18" s="50">
        <v>5</v>
      </c>
      <c r="E18" s="50">
        <v>7</v>
      </c>
      <c r="F18" s="50">
        <v>51</v>
      </c>
      <c r="G18" s="50">
        <v>3</v>
      </c>
      <c r="H18" s="50">
        <v>2</v>
      </c>
      <c r="I18" s="50">
        <v>10</v>
      </c>
      <c r="J18" s="50">
        <v>6</v>
      </c>
      <c r="K18" s="50">
        <v>2</v>
      </c>
      <c r="L18" s="50">
        <v>1</v>
      </c>
      <c r="M18" s="50">
        <v>240</v>
      </c>
      <c r="N18" s="50">
        <v>0</v>
      </c>
      <c r="O18" s="15">
        <f t="shared" si="0"/>
        <v>117</v>
      </c>
      <c r="P18" s="15">
        <f t="shared" si="1"/>
        <v>357</v>
      </c>
      <c r="R18" s="1" t="s">
        <v>14</v>
      </c>
      <c r="S18" s="17">
        <f t="shared" ref="S18:AF18" si="10">SUM(C42:C45)</f>
        <v>209</v>
      </c>
      <c r="T18" s="17">
        <f t="shared" si="10"/>
        <v>24</v>
      </c>
      <c r="U18" s="17">
        <f t="shared" si="10"/>
        <v>24</v>
      </c>
      <c r="V18" s="17">
        <f t="shared" si="10"/>
        <v>282</v>
      </c>
      <c r="W18" s="17">
        <f t="shared" si="10"/>
        <v>13</v>
      </c>
      <c r="X18" s="17">
        <f t="shared" si="10"/>
        <v>7</v>
      </c>
      <c r="Y18" s="17">
        <f t="shared" si="10"/>
        <v>40</v>
      </c>
      <c r="Z18" s="17">
        <f t="shared" si="10"/>
        <v>23</v>
      </c>
      <c r="AA18" s="17">
        <f t="shared" si="10"/>
        <v>15</v>
      </c>
      <c r="AB18" s="17">
        <f t="shared" si="10"/>
        <v>13</v>
      </c>
      <c r="AC18" s="17">
        <f t="shared" si="10"/>
        <v>585</v>
      </c>
      <c r="AD18" s="17">
        <f t="shared" si="10"/>
        <v>0</v>
      </c>
      <c r="AE18" s="31">
        <f t="shared" si="10"/>
        <v>650</v>
      </c>
      <c r="AF18" s="31">
        <f t="shared" si="10"/>
        <v>1235</v>
      </c>
    </row>
    <row r="19" spans="2:32" ht="23.1" customHeight="1" x14ac:dyDescent="0.25">
      <c r="B19" s="23" t="s">
        <v>46</v>
      </c>
      <c r="C19" s="50">
        <v>38</v>
      </c>
      <c r="D19" s="50">
        <v>6</v>
      </c>
      <c r="E19" s="50">
        <v>7</v>
      </c>
      <c r="F19" s="50">
        <v>56</v>
      </c>
      <c r="G19" s="50">
        <v>2</v>
      </c>
      <c r="H19" s="50">
        <v>0</v>
      </c>
      <c r="I19" s="50">
        <v>3</v>
      </c>
      <c r="J19" s="50">
        <v>1</v>
      </c>
      <c r="K19" s="50">
        <v>1</v>
      </c>
      <c r="L19" s="50">
        <v>2</v>
      </c>
      <c r="M19" s="50">
        <v>150</v>
      </c>
      <c r="N19" s="50">
        <v>0</v>
      </c>
      <c r="O19" s="15">
        <f t="shared" si="0"/>
        <v>116</v>
      </c>
      <c r="P19" s="15">
        <f t="shared" si="1"/>
        <v>266</v>
      </c>
      <c r="R19" s="1" t="s">
        <v>15</v>
      </c>
      <c r="S19" s="17">
        <f t="shared" ref="S19:AF19" si="11">SUM(C46:C49)</f>
        <v>279</v>
      </c>
      <c r="T19" s="17">
        <f t="shared" si="11"/>
        <v>29</v>
      </c>
      <c r="U19" s="17">
        <f t="shared" si="11"/>
        <v>43</v>
      </c>
      <c r="V19" s="17">
        <f t="shared" si="11"/>
        <v>297</v>
      </c>
      <c r="W19" s="17">
        <f t="shared" si="11"/>
        <v>23</v>
      </c>
      <c r="X19" s="17">
        <f t="shared" si="11"/>
        <v>4</v>
      </c>
      <c r="Y19" s="17">
        <f t="shared" si="11"/>
        <v>30</v>
      </c>
      <c r="Z19" s="17">
        <f t="shared" si="11"/>
        <v>10</v>
      </c>
      <c r="AA19" s="17">
        <f t="shared" si="11"/>
        <v>2</v>
      </c>
      <c r="AB19" s="17">
        <f t="shared" si="11"/>
        <v>18</v>
      </c>
      <c r="AC19" s="17">
        <f t="shared" si="11"/>
        <v>780</v>
      </c>
      <c r="AD19" s="17">
        <f t="shared" si="11"/>
        <v>0</v>
      </c>
      <c r="AE19" s="31">
        <f t="shared" si="11"/>
        <v>735</v>
      </c>
      <c r="AF19" s="31">
        <f t="shared" si="11"/>
        <v>1515</v>
      </c>
    </row>
    <row r="20" spans="2:32" ht="23.1" customHeight="1" x14ac:dyDescent="0.25">
      <c r="B20" s="23" t="s">
        <v>47</v>
      </c>
      <c r="C20" s="50">
        <v>33</v>
      </c>
      <c r="D20" s="50">
        <v>2</v>
      </c>
      <c r="E20" s="50">
        <v>5</v>
      </c>
      <c r="F20" s="50">
        <v>55</v>
      </c>
      <c r="G20" s="50">
        <v>2</v>
      </c>
      <c r="H20" s="50">
        <v>1</v>
      </c>
      <c r="I20" s="50">
        <v>8</v>
      </c>
      <c r="J20" s="50">
        <v>2</v>
      </c>
      <c r="K20" s="50">
        <v>2</v>
      </c>
      <c r="L20" s="50">
        <v>3</v>
      </c>
      <c r="M20" s="50">
        <v>165</v>
      </c>
      <c r="N20" s="50">
        <v>0</v>
      </c>
      <c r="O20" s="15">
        <f t="shared" si="0"/>
        <v>113</v>
      </c>
      <c r="P20" s="15">
        <f t="shared" si="1"/>
        <v>278</v>
      </c>
      <c r="R20" s="1" t="s">
        <v>16</v>
      </c>
      <c r="S20" s="17">
        <f t="shared" ref="S20:AF20" si="12">SUM(C50:C53)</f>
        <v>214</v>
      </c>
      <c r="T20" s="17">
        <f t="shared" si="12"/>
        <v>29</v>
      </c>
      <c r="U20" s="17">
        <f t="shared" si="12"/>
        <v>18</v>
      </c>
      <c r="V20" s="17">
        <f t="shared" si="12"/>
        <v>149</v>
      </c>
      <c r="W20" s="17">
        <f t="shared" si="12"/>
        <v>4</v>
      </c>
      <c r="X20" s="17">
        <f t="shared" si="12"/>
        <v>1</v>
      </c>
      <c r="Y20" s="17">
        <f t="shared" si="12"/>
        <v>34</v>
      </c>
      <c r="Z20" s="17">
        <f t="shared" si="12"/>
        <v>19</v>
      </c>
      <c r="AA20" s="17">
        <f t="shared" si="12"/>
        <v>13</v>
      </c>
      <c r="AB20" s="17">
        <f t="shared" si="12"/>
        <v>15</v>
      </c>
      <c r="AC20" s="17">
        <f t="shared" si="12"/>
        <v>1040</v>
      </c>
      <c r="AD20" s="17">
        <f t="shared" si="12"/>
        <v>0</v>
      </c>
      <c r="AE20" s="31">
        <f t="shared" si="12"/>
        <v>496</v>
      </c>
      <c r="AF20" s="31">
        <f t="shared" si="12"/>
        <v>1536</v>
      </c>
    </row>
    <row r="21" spans="2:32" ht="23.1" customHeight="1" x14ac:dyDescent="0.25">
      <c r="B21" s="23" t="s">
        <v>48</v>
      </c>
      <c r="C21" s="50">
        <v>52</v>
      </c>
      <c r="D21" s="50">
        <v>3</v>
      </c>
      <c r="E21" s="50">
        <v>11</v>
      </c>
      <c r="F21" s="50">
        <v>63</v>
      </c>
      <c r="G21" s="50">
        <v>4</v>
      </c>
      <c r="H21" s="50">
        <v>1</v>
      </c>
      <c r="I21" s="50">
        <v>5</v>
      </c>
      <c r="J21" s="50">
        <v>1</v>
      </c>
      <c r="K21" s="50">
        <v>1</v>
      </c>
      <c r="L21" s="50">
        <v>1</v>
      </c>
      <c r="M21" s="50">
        <v>245</v>
      </c>
      <c r="N21" s="50">
        <v>0</v>
      </c>
      <c r="O21" s="15">
        <f t="shared" si="0"/>
        <v>142</v>
      </c>
      <c r="P21" s="15">
        <f t="shared" si="1"/>
        <v>387</v>
      </c>
      <c r="R21" s="36" t="s">
        <v>20</v>
      </c>
      <c r="S21" s="34">
        <f t="shared" ref="S21:AF21" si="13">SUM(C54:C57)</f>
        <v>228</v>
      </c>
      <c r="T21" s="17">
        <f t="shared" si="13"/>
        <v>33</v>
      </c>
      <c r="U21" s="17">
        <f t="shared" si="13"/>
        <v>36</v>
      </c>
      <c r="V21" s="17">
        <f t="shared" si="13"/>
        <v>123</v>
      </c>
      <c r="W21" s="17">
        <f t="shared" si="13"/>
        <v>2</v>
      </c>
      <c r="X21" s="17">
        <f t="shared" si="13"/>
        <v>2</v>
      </c>
      <c r="Y21" s="17">
        <f t="shared" si="13"/>
        <v>26</v>
      </c>
      <c r="Z21" s="17">
        <f t="shared" si="13"/>
        <v>26</v>
      </c>
      <c r="AA21" s="17">
        <f t="shared" si="13"/>
        <v>11</v>
      </c>
      <c r="AB21" s="17">
        <f t="shared" si="13"/>
        <v>11</v>
      </c>
      <c r="AC21" s="17">
        <f t="shared" si="13"/>
        <v>1155</v>
      </c>
      <c r="AD21" s="17">
        <f t="shared" si="13"/>
        <v>0</v>
      </c>
      <c r="AE21" s="31">
        <f t="shared" si="13"/>
        <v>498</v>
      </c>
      <c r="AF21" s="31">
        <f t="shared" si="13"/>
        <v>1653</v>
      </c>
    </row>
    <row r="22" spans="2:32" ht="23.1" customHeight="1" x14ac:dyDescent="0.25">
      <c r="B22" s="23" t="s">
        <v>49</v>
      </c>
      <c r="C22" s="50">
        <v>60</v>
      </c>
      <c r="D22" s="50">
        <v>2</v>
      </c>
      <c r="E22" s="50">
        <v>7</v>
      </c>
      <c r="F22" s="50">
        <v>62</v>
      </c>
      <c r="G22" s="50">
        <v>1</v>
      </c>
      <c r="H22" s="50">
        <v>1</v>
      </c>
      <c r="I22" s="50">
        <v>8</v>
      </c>
      <c r="J22" s="50">
        <v>6</v>
      </c>
      <c r="K22" s="50">
        <v>0</v>
      </c>
      <c r="L22" s="50">
        <v>2</v>
      </c>
      <c r="M22" s="50">
        <v>210</v>
      </c>
      <c r="N22" s="50">
        <v>0</v>
      </c>
      <c r="O22" s="15">
        <f t="shared" si="0"/>
        <v>149</v>
      </c>
      <c r="P22" s="15">
        <f t="shared" si="1"/>
        <v>359</v>
      </c>
      <c r="R22" s="38" t="s">
        <v>90</v>
      </c>
      <c r="S22" s="39">
        <f>MAX(S10:S12)</f>
        <v>241</v>
      </c>
      <c r="T22" s="39">
        <f t="shared" ref="T22:AF22" si="14">MAX(T10:T12)</f>
        <v>28</v>
      </c>
      <c r="U22" s="39">
        <f t="shared" si="14"/>
        <v>30</v>
      </c>
      <c r="V22" s="39">
        <f t="shared" si="14"/>
        <v>277</v>
      </c>
      <c r="W22" s="39">
        <f t="shared" si="14"/>
        <v>23</v>
      </c>
      <c r="X22" s="39">
        <f t="shared" si="14"/>
        <v>8</v>
      </c>
      <c r="Y22" s="39">
        <f t="shared" si="14"/>
        <v>35</v>
      </c>
      <c r="Z22" s="39">
        <f t="shared" si="14"/>
        <v>20</v>
      </c>
      <c r="AA22" s="39">
        <f t="shared" si="14"/>
        <v>6</v>
      </c>
      <c r="AB22" s="39">
        <f t="shared" si="14"/>
        <v>8</v>
      </c>
      <c r="AC22" s="39">
        <f t="shared" si="14"/>
        <v>800</v>
      </c>
      <c r="AD22" s="39">
        <f t="shared" si="14"/>
        <v>0</v>
      </c>
      <c r="AE22" s="40">
        <f t="shared" si="14"/>
        <v>656</v>
      </c>
      <c r="AF22" s="40">
        <f t="shared" si="14"/>
        <v>1326</v>
      </c>
    </row>
    <row r="23" spans="2:32" ht="23.1" customHeight="1" x14ac:dyDescent="0.25">
      <c r="B23" s="23" t="s">
        <v>50</v>
      </c>
      <c r="C23" s="50">
        <v>48</v>
      </c>
      <c r="D23" s="50">
        <v>7</v>
      </c>
      <c r="E23" s="50">
        <v>4</v>
      </c>
      <c r="F23" s="50">
        <v>50</v>
      </c>
      <c r="G23" s="50">
        <v>1</v>
      </c>
      <c r="H23" s="50">
        <v>0</v>
      </c>
      <c r="I23" s="50">
        <v>10</v>
      </c>
      <c r="J23" s="50">
        <v>7</v>
      </c>
      <c r="K23" s="50">
        <v>3</v>
      </c>
      <c r="L23" s="50">
        <v>1</v>
      </c>
      <c r="M23" s="50">
        <v>225</v>
      </c>
      <c r="N23" s="50">
        <v>0</v>
      </c>
      <c r="O23" s="15">
        <f t="shared" si="0"/>
        <v>131</v>
      </c>
      <c r="P23" s="15">
        <f t="shared" si="1"/>
        <v>356</v>
      </c>
      <c r="R23" s="38" t="s">
        <v>91</v>
      </c>
      <c r="S23" s="39">
        <f>MAX(S13:S18)</f>
        <v>273</v>
      </c>
      <c r="T23" s="39">
        <f t="shared" ref="T23:AF23" si="15">MAX(T13:T18)</f>
        <v>24</v>
      </c>
      <c r="U23" s="39">
        <f t="shared" si="15"/>
        <v>34</v>
      </c>
      <c r="V23" s="39">
        <f t="shared" si="15"/>
        <v>285</v>
      </c>
      <c r="W23" s="39">
        <f t="shared" si="15"/>
        <v>21</v>
      </c>
      <c r="X23" s="39">
        <f t="shared" si="15"/>
        <v>9</v>
      </c>
      <c r="Y23" s="39">
        <f t="shared" si="15"/>
        <v>48</v>
      </c>
      <c r="Z23" s="39">
        <f t="shared" si="15"/>
        <v>27</v>
      </c>
      <c r="AA23" s="39">
        <f t="shared" si="15"/>
        <v>15</v>
      </c>
      <c r="AB23" s="39">
        <f t="shared" si="15"/>
        <v>21</v>
      </c>
      <c r="AC23" s="39">
        <f t="shared" si="15"/>
        <v>785</v>
      </c>
      <c r="AD23" s="39">
        <f t="shared" si="15"/>
        <v>0</v>
      </c>
      <c r="AE23" s="40">
        <f t="shared" si="15"/>
        <v>710</v>
      </c>
      <c r="AF23" s="40">
        <f t="shared" si="15"/>
        <v>1430</v>
      </c>
    </row>
    <row r="24" spans="2:32" ht="23.1" customHeight="1" x14ac:dyDescent="0.25">
      <c r="B24" s="23" t="s">
        <v>51</v>
      </c>
      <c r="C24" s="50">
        <v>45</v>
      </c>
      <c r="D24" s="50">
        <v>5</v>
      </c>
      <c r="E24" s="50">
        <v>7</v>
      </c>
      <c r="F24" s="50">
        <v>83</v>
      </c>
      <c r="G24" s="50">
        <v>2</v>
      </c>
      <c r="H24" s="50">
        <v>0</v>
      </c>
      <c r="I24" s="50">
        <v>11</v>
      </c>
      <c r="J24" s="50">
        <v>8</v>
      </c>
      <c r="K24" s="50">
        <v>0</v>
      </c>
      <c r="L24" s="50">
        <v>1</v>
      </c>
      <c r="M24" s="50">
        <v>160</v>
      </c>
      <c r="N24" s="50">
        <v>0</v>
      </c>
      <c r="O24" s="15">
        <f t="shared" si="0"/>
        <v>162</v>
      </c>
      <c r="P24" s="15">
        <f t="shared" si="1"/>
        <v>322</v>
      </c>
      <c r="R24" s="38" t="s">
        <v>92</v>
      </c>
      <c r="S24" s="39">
        <f>MAX(S19:S21)</f>
        <v>279</v>
      </c>
      <c r="T24" s="39">
        <f t="shared" ref="T24:AF24" si="16">MAX(T19:T21)</f>
        <v>33</v>
      </c>
      <c r="U24" s="39">
        <f t="shared" si="16"/>
        <v>43</v>
      </c>
      <c r="V24" s="39">
        <f t="shared" si="16"/>
        <v>297</v>
      </c>
      <c r="W24" s="39">
        <f t="shared" si="16"/>
        <v>23</v>
      </c>
      <c r="X24" s="39">
        <f t="shared" si="16"/>
        <v>4</v>
      </c>
      <c r="Y24" s="39">
        <f t="shared" si="16"/>
        <v>34</v>
      </c>
      <c r="Z24" s="39">
        <f t="shared" si="16"/>
        <v>26</v>
      </c>
      <c r="AA24" s="39">
        <f t="shared" si="16"/>
        <v>13</v>
      </c>
      <c r="AB24" s="39">
        <f t="shared" si="16"/>
        <v>18</v>
      </c>
      <c r="AC24" s="39">
        <f t="shared" si="16"/>
        <v>1155</v>
      </c>
      <c r="AD24" s="39">
        <f t="shared" si="16"/>
        <v>0</v>
      </c>
      <c r="AE24" s="40">
        <f t="shared" si="16"/>
        <v>735</v>
      </c>
      <c r="AF24" s="40">
        <f t="shared" si="16"/>
        <v>1653</v>
      </c>
    </row>
    <row r="25" spans="2:32" ht="23.1" customHeight="1" x14ac:dyDescent="0.25">
      <c r="B25" s="23" t="s">
        <v>52</v>
      </c>
      <c r="C25" s="50">
        <v>36</v>
      </c>
      <c r="D25" s="50">
        <v>1</v>
      </c>
      <c r="E25" s="50">
        <v>4</v>
      </c>
      <c r="F25" s="50">
        <v>52</v>
      </c>
      <c r="G25" s="50">
        <v>3</v>
      </c>
      <c r="H25" s="50">
        <v>2</v>
      </c>
      <c r="I25" s="50">
        <v>9</v>
      </c>
      <c r="J25" s="50">
        <v>3</v>
      </c>
      <c r="K25" s="50">
        <v>1</v>
      </c>
      <c r="L25" s="50">
        <v>1</v>
      </c>
      <c r="M25" s="50">
        <v>190</v>
      </c>
      <c r="N25" s="50">
        <v>0</v>
      </c>
      <c r="O25" s="15">
        <f t="shared" si="0"/>
        <v>112</v>
      </c>
      <c r="P25" s="15">
        <f t="shared" si="1"/>
        <v>302</v>
      </c>
      <c r="R25" s="37" t="s">
        <v>85</v>
      </c>
      <c r="S25" s="35">
        <f t="shared" ref="S25:AF25" si="17">SUM(S10:S12)</f>
        <v>515</v>
      </c>
      <c r="T25" s="16">
        <f t="shared" si="17"/>
        <v>65</v>
      </c>
      <c r="U25" s="16">
        <f t="shared" si="17"/>
        <v>64</v>
      </c>
      <c r="V25" s="16">
        <f t="shared" si="17"/>
        <v>716</v>
      </c>
      <c r="W25" s="16">
        <f t="shared" si="17"/>
        <v>39</v>
      </c>
      <c r="X25" s="16">
        <f t="shared" si="17"/>
        <v>19</v>
      </c>
      <c r="Y25" s="16">
        <f t="shared" si="17"/>
        <v>89</v>
      </c>
      <c r="Z25" s="16">
        <f t="shared" si="17"/>
        <v>46</v>
      </c>
      <c r="AA25" s="16">
        <f t="shared" si="17"/>
        <v>16</v>
      </c>
      <c r="AB25" s="16">
        <f t="shared" si="17"/>
        <v>21</v>
      </c>
      <c r="AC25" s="16">
        <f t="shared" si="17"/>
        <v>2149</v>
      </c>
      <c r="AD25" s="16">
        <f t="shared" si="17"/>
        <v>0</v>
      </c>
      <c r="AE25" s="32">
        <f t="shared" si="17"/>
        <v>1590</v>
      </c>
      <c r="AF25" s="32">
        <f t="shared" si="17"/>
        <v>3739</v>
      </c>
    </row>
    <row r="26" spans="2:32" ht="23.1" customHeight="1" x14ac:dyDescent="0.25">
      <c r="B26" s="23" t="s">
        <v>53</v>
      </c>
      <c r="C26" s="50">
        <v>60</v>
      </c>
      <c r="D26" s="50">
        <v>8</v>
      </c>
      <c r="E26" s="50">
        <v>9</v>
      </c>
      <c r="F26" s="50">
        <v>83</v>
      </c>
      <c r="G26" s="50">
        <v>2</v>
      </c>
      <c r="H26" s="50">
        <v>3</v>
      </c>
      <c r="I26" s="50">
        <v>8</v>
      </c>
      <c r="J26" s="50">
        <v>3</v>
      </c>
      <c r="K26" s="50">
        <v>4</v>
      </c>
      <c r="L26" s="50">
        <v>3</v>
      </c>
      <c r="M26" s="50">
        <v>185</v>
      </c>
      <c r="N26" s="50">
        <v>0</v>
      </c>
      <c r="O26" s="15">
        <f t="shared" si="0"/>
        <v>183</v>
      </c>
      <c r="P26" s="15">
        <f t="shared" si="1"/>
        <v>368</v>
      </c>
      <c r="R26" s="28" t="s">
        <v>86</v>
      </c>
      <c r="S26" s="16">
        <f t="shared" ref="S26:AF26" si="18">SUM(S13:S18)</f>
        <v>1209</v>
      </c>
      <c r="T26" s="16">
        <f t="shared" si="18"/>
        <v>118</v>
      </c>
      <c r="U26" s="16">
        <f t="shared" si="18"/>
        <v>158</v>
      </c>
      <c r="V26" s="16">
        <f t="shared" si="18"/>
        <v>1400</v>
      </c>
      <c r="W26" s="16">
        <f t="shared" si="18"/>
        <v>68</v>
      </c>
      <c r="X26" s="16">
        <f t="shared" si="18"/>
        <v>36</v>
      </c>
      <c r="Y26" s="16">
        <f t="shared" si="18"/>
        <v>227</v>
      </c>
      <c r="Z26" s="16">
        <f t="shared" si="18"/>
        <v>141</v>
      </c>
      <c r="AA26" s="16">
        <f t="shared" si="18"/>
        <v>45</v>
      </c>
      <c r="AB26" s="16">
        <f t="shared" si="18"/>
        <v>72</v>
      </c>
      <c r="AC26" s="16">
        <f t="shared" si="18"/>
        <v>4155</v>
      </c>
      <c r="AD26" s="16">
        <f t="shared" si="18"/>
        <v>0</v>
      </c>
      <c r="AE26" s="32">
        <f t="shared" si="18"/>
        <v>3474</v>
      </c>
      <c r="AF26" s="32">
        <f t="shared" si="18"/>
        <v>7629</v>
      </c>
    </row>
    <row r="27" spans="2:32" ht="23.1" customHeight="1" x14ac:dyDescent="0.25">
      <c r="B27" s="23" t="s">
        <v>54</v>
      </c>
      <c r="C27" s="50">
        <v>75</v>
      </c>
      <c r="D27" s="50">
        <v>6</v>
      </c>
      <c r="E27" s="50">
        <v>7</v>
      </c>
      <c r="F27" s="50">
        <v>77</v>
      </c>
      <c r="G27" s="50">
        <v>7</v>
      </c>
      <c r="H27" s="50">
        <v>1</v>
      </c>
      <c r="I27" s="50">
        <v>5</v>
      </c>
      <c r="J27" s="50">
        <v>3</v>
      </c>
      <c r="K27" s="50">
        <v>1</v>
      </c>
      <c r="L27" s="50">
        <v>1</v>
      </c>
      <c r="M27" s="50">
        <v>165</v>
      </c>
      <c r="N27" s="50">
        <v>0</v>
      </c>
      <c r="O27" s="15">
        <f t="shared" si="0"/>
        <v>183</v>
      </c>
      <c r="P27" s="15">
        <f t="shared" si="1"/>
        <v>348</v>
      </c>
      <c r="R27" s="29" t="s">
        <v>87</v>
      </c>
      <c r="S27" s="16">
        <f t="shared" ref="S27:AF27" si="19">SUM(S19:S21)</f>
        <v>721</v>
      </c>
      <c r="T27" s="16">
        <f t="shared" si="19"/>
        <v>91</v>
      </c>
      <c r="U27" s="16">
        <f t="shared" si="19"/>
        <v>97</v>
      </c>
      <c r="V27" s="16">
        <f t="shared" si="19"/>
        <v>569</v>
      </c>
      <c r="W27" s="16">
        <f t="shared" si="19"/>
        <v>29</v>
      </c>
      <c r="X27" s="16">
        <f t="shared" si="19"/>
        <v>7</v>
      </c>
      <c r="Y27" s="16">
        <f t="shared" si="19"/>
        <v>90</v>
      </c>
      <c r="Z27" s="16">
        <f t="shared" si="19"/>
        <v>55</v>
      </c>
      <c r="AA27" s="16">
        <f t="shared" si="19"/>
        <v>26</v>
      </c>
      <c r="AB27" s="16">
        <f t="shared" si="19"/>
        <v>44</v>
      </c>
      <c r="AC27" s="16">
        <f t="shared" si="19"/>
        <v>2975</v>
      </c>
      <c r="AD27" s="16">
        <f t="shared" si="19"/>
        <v>0</v>
      </c>
      <c r="AE27" s="32">
        <f t="shared" si="19"/>
        <v>1729</v>
      </c>
      <c r="AF27" s="32">
        <f t="shared" si="19"/>
        <v>4704</v>
      </c>
    </row>
    <row r="28" spans="2:32" ht="23.1" customHeight="1" x14ac:dyDescent="0.25">
      <c r="B28" s="23" t="s">
        <v>55</v>
      </c>
      <c r="C28" s="50">
        <v>75</v>
      </c>
      <c r="D28" s="50">
        <v>3</v>
      </c>
      <c r="E28" s="50">
        <v>6</v>
      </c>
      <c r="F28" s="50">
        <v>66</v>
      </c>
      <c r="G28" s="50">
        <v>10</v>
      </c>
      <c r="H28" s="50">
        <v>2</v>
      </c>
      <c r="I28" s="50">
        <v>7</v>
      </c>
      <c r="J28" s="50">
        <v>15</v>
      </c>
      <c r="K28" s="50">
        <v>0</v>
      </c>
      <c r="L28" s="50">
        <v>4</v>
      </c>
      <c r="M28" s="50">
        <v>190</v>
      </c>
      <c r="N28" s="50">
        <v>0</v>
      </c>
      <c r="O28" s="15">
        <f t="shared" si="0"/>
        <v>188</v>
      </c>
      <c r="P28" s="15">
        <f t="shared" si="1"/>
        <v>378</v>
      </c>
      <c r="R28" s="5" t="s">
        <v>17</v>
      </c>
      <c r="S28" s="16">
        <f t="shared" ref="S28:AF28" si="20">SUM(S10:S21)</f>
        <v>2445</v>
      </c>
      <c r="T28" s="16">
        <f t="shared" si="20"/>
        <v>274</v>
      </c>
      <c r="U28" s="16">
        <f t="shared" si="20"/>
        <v>319</v>
      </c>
      <c r="V28" s="16">
        <f t="shared" si="20"/>
        <v>2685</v>
      </c>
      <c r="W28" s="16">
        <f t="shared" si="20"/>
        <v>136</v>
      </c>
      <c r="X28" s="16">
        <f t="shared" si="20"/>
        <v>62</v>
      </c>
      <c r="Y28" s="16">
        <f t="shared" si="20"/>
        <v>406</v>
      </c>
      <c r="Z28" s="16">
        <f t="shared" si="20"/>
        <v>242</v>
      </c>
      <c r="AA28" s="16">
        <f t="shared" si="20"/>
        <v>87</v>
      </c>
      <c r="AB28" s="16">
        <f t="shared" si="20"/>
        <v>137</v>
      </c>
      <c r="AC28" s="16">
        <f t="shared" si="20"/>
        <v>9279</v>
      </c>
      <c r="AD28" s="16">
        <f t="shared" si="20"/>
        <v>0</v>
      </c>
      <c r="AE28" s="32">
        <f t="shared" si="20"/>
        <v>6793</v>
      </c>
      <c r="AF28" s="32">
        <f t="shared" si="20"/>
        <v>16072</v>
      </c>
    </row>
    <row r="29" spans="2:32" ht="23.1" customHeight="1" x14ac:dyDescent="0.25">
      <c r="B29" s="23" t="s">
        <v>56</v>
      </c>
      <c r="C29" s="50">
        <v>63</v>
      </c>
      <c r="D29" s="50">
        <v>3</v>
      </c>
      <c r="E29" s="50">
        <v>4</v>
      </c>
      <c r="F29" s="50">
        <v>59</v>
      </c>
      <c r="G29" s="50">
        <v>2</v>
      </c>
      <c r="H29" s="50">
        <v>2</v>
      </c>
      <c r="I29" s="50">
        <v>11</v>
      </c>
      <c r="J29" s="50">
        <v>6</v>
      </c>
      <c r="K29" s="50">
        <v>1</v>
      </c>
      <c r="L29" s="50">
        <v>5</v>
      </c>
      <c r="M29" s="50">
        <v>180</v>
      </c>
      <c r="N29" s="50">
        <v>0</v>
      </c>
      <c r="O29" s="15">
        <f t="shared" si="0"/>
        <v>156</v>
      </c>
      <c r="P29" s="15">
        <f t="shared" si="1"/>
        <v>336</v>
      </c>
      <c r="R29"/>
      <c r="S29" s="20"/>
      <c r="T29" s="19"/>
    </row>
    <row r="30" spans="2:32" ht="23.1" customHeight="1" x14ac:dyDescent="0.25">
      <c r="B30" s="23" t="s">
        <v>57</v>
      </c>
      <c r="C30" s="50">
        <v>57</v>
      </c>
      <c r="D30" s="50">
        <v>6</v>
      </c>
      <c r="E30" s="50">
        <v>9</v>
      </c>
      <c r="F30" s="50">
        <v>65</v>
      </c>
      <c r="G30" s="50">
        <v>2</v>
      </c>
      <c r="H30" s="50">
        <v>4</v>
      </c>
      <c r="I30" s="50">
        <v>15</v>
      </c>
      <c r="J30" s="50">
        <v>4</v>
      </c>
      <c r="K30" s="50">
        <v>5</v>
      </c>
      <c r="L30" s="50">
        <v>3</v>
      </c>
      <c r="M30" s="50">
        <v>175</v>
      </c>
      <c r="N30" s="50">
        <v>0</v>
      </c>
      <c r="O30" s="15">
        <f t="shared" si="0"/>
        <v>170</v>
      </c>
      <c r="P30" s="15">
        <f t="shared" si="1"/>
        <v>345</v>
      </c>
    </row>
    <row r="31" spans="2:32" ht="23.1" customHeight="1" x14ac:dyDescent="0.25">
      <c r="B31" s="24" t="s">
        <v>58</v>
      </c>
      <c r="C31" s="50">
        <v>33</v>
      </c>
      <c r="D31" s="50">
        <v>6</v>
      </c>
      <c r="E31" s="50">
        <v>5</v>
      </c>
      <c r="F31" s="50">
        <v>42</v>
      </c>
      <c r="G31" s="50">
        <v>0</v>
      </c>
      <c r="H31" s="50">
        <v>2</v>
      </c>
      <c r="I31" s="50">
        <v>7</v>
      </c>
      <c r="J31" s="50">
        <v>8</v>
      </c>
      <c r="K31" s="50">
        <v>2</v>
      </c>
      <c r="L31" s="50">
        <v>4</v>
      </c>
      <c r="M31" s="50">
        <v>235</v>
      </c>
      <c r="N31" s="50">
        <v>0</v>
      </c>
      <c r="O31" s="15">
        <f t="shared" si="0"/>
        <v>109</v>
      </c>
      <c r="P31" s="15">
        <f t="shared" si="1"/>
        <v>344</v>
      </c>
    </row>
    <row r="32" spans="2:32" ht="23.1" customHeight="1" x14ac:dyDescent="0.25">
      <c r="B32" s="24" t="s">
        <v>59</v>
      </c>
      <c r="C32" s="50">
        <v>47</v>
      </c>
      <c r="D32" s="50">
        <v>5</v>
      </c>
      <c r="E32" s="50">
        <v>7</v>
      </c>
      <c r="F32" s="50">
        <v>54</v>
      </c>
      <c r="G32" s="50">
        <v>0</v>
      </c>
      <c r="H32" s="50">
        <v>1</v>
      </c>
      <c r="I32" s="50">
        <v>14</v>
      </c>
      <c r="J32" s="50">
        <v>5</v>
      </c>
      <c r="K32" s="50">
        <v>2</v>
      </c>
      <c r="L32" s="50">
        <v>6</v>
      </c>
      <c r="M32" s="50">
        <v>200</v>
      </c>
      <c r="N32" s="50">
        <v>0</v>
      </c>
      <c r="O32" s="15">
        <f t="shared" si="0"/>
        <v>141</v>
      </c>
      <c r="P32" s="15">
        <f t="shared" si="1"/>
        <v>341</v>
      </c>
    </row>
    <row r="33" spans="2:20" ht="23.1" customHeight="1" x14ac:dyDescent="0.25">
      <c r="B33" s="23" t="s">
        <v>60</v>
      </c>
      <c r="C33" s="50">
        <v>40</v>
      </c>
      <c r="D33" s="50">
        <v>4</v>
      </c>
      <c r="E33" s="50">
        <v>12</v>
      </c>
      <c r="F33" s="50">
        <v>56</v>
      </c>
      <c r="G33" s="50">
        <v>1</v>
      </c>
      <c r="H33" s="50">
        <v>2</v>
      </c>
      <c r="I33" s="50">
        <v>12</v>
      </c>
      <c r="J33" s="50">
        <v>7</v>
      </c>
      <c r="K33" s="50">
        <v>1</v>
      </c>
      <c r="L33" s="50">
        <v>8</v>
      </c>
      <c r="M33" s="50">
        <v>135</v>
      </c>
      <c r="N33" s="50">
        <v>0</v>
      </c>
      <c r="O33" s="15">
        <f t="shared" si="0"/>
        <v>143</v>
      </c>
      <c r="P33" s="15">
        <f t="shared" si="1"/>
        <v>278</v>
      </c>
    </row>
    <row r="34" spans="2:20" ht="23.1" customHeight="1" x14ac:dyDescent="0.25">
      <c r="B34" s="24" t="s">
        <v>61</v>
      </c>
      <c r="C34" s="50">
        <v>60</v>
      </c>
      <c r="D34" s="50">
        <v>6</v>
      </c>
      <c r="E34" s="50">
        <v>10</v>
      </c>
      <c r="F34" s="50">
        <v>58</v>
      </c>
      <c r="G34" s="50">
        <v>2</v>
      </c>
      <c r="H34" s="50">
        <v>0</v>
      </c>
      <c r="I34" s="50">
        <v>15</v>
      </c>
      <c r="J34" s="50">
        <v>5</v>
      </c>
      <c r="K34" s="50">
        <v>0</v>
      </c>
      <c r="L34" s="50">
        <v>2</v>
      </c>
      <c r="M34" s="50">
        <v>130</v>
      </c>
      <c r="N34" s="50">
        <v>0</v>
      </c>
      <c r="O34" s="15">
        <f t="shared" si="0"/>
        <v>158</v>
      </c>
      <c r="P34" s="15">
        <f t="shared" si="1"/>
        <v>288</v>
      </c>
    </row>
    <row r="35" spans="2:20" ht="23.1" customHeight="1" x14ac:dyDescent="0.25">
      <c r="B35" s="24" t="s">
        <v>62</v>
      </c>
      <c r="C35" s="50">
        <v>46</v>
      </c>
      <c r="D35" s="50">
        <v>3</v>
      </c>
      <c r="E35" s="50">
        <v>4</v>
      </c>
      <c r="F35" s="50">
        <v>33</v>
      </c>
      <c r="G35" s="50">
        <v>4</v>
      </c>
      <c r="H35" s="50">
        <v>3</v>
      </c>
      <c r="I35" s="50">
        <v>3</v>
      </c>
      <c r="J35" s="50">
        <v>8</v>
      </c>
      <c r="K35" s="50">
        <v>0</v>
      </c>
      <c r="L35" s="50">
        <v>3</v>
      </c>
      <c r="M35" s="50">
        <v>145</v>
      </c>
      <c r="N35" s="50">
        <v>0</v>
      </c>
      <c r="O35" s="15">
        <f t="shared" si="0"/>
        <v>107</v>
      </c>
      <c r="P35" s="15">
        <f t="shared" si="1"/>
        <v>252</v>
      </c>
    </row>
    <row r="36" spans="2:20" ht="23.1" customHeight="1" x14ac:dyDescent="0.25">
      <c r="B36" s="24" t="s">
        <v>63</v>
      </c>
      <c r="C36" s="50">
        <v>37</v>
      </c>
      <c r="D36" s="50">
        <v>4</v>
      </c>
      <c r="E36" s="50">
        <v>4</v>
      </c>
      <c r="F36" s="50">
        <v>46</v>
      </c>
      <c r="G36" s="50">
        <v>1</v>
      </c>
      <c r="H36" s="50">
        <v>0</v>
      </c>
      <c r="I36" s="50">
        <v>6</v>
      </c>
      <c r="J36" s="50">
        <v>7</v>
      </c>
      <c r="K36" s="50">
        <v>3</v>
      </c>
      <c r="L36" s="50">
        <v>2</v>
      </c>
      <c r="M36" s="50">
        <v>135</v>
      </c>
      <c r="N36" s="50">
        <v>0</v>
      </c>
      <c r="O36" s="15">
        <f t="shared" si="0"/>
        <v>110</v>
      </c>
      <c r="P36" s="15">
        <f t="shared" si="1"/>
        <v>245</v>
      </c>
    </row>
    <row r="37" spans="2:20" ht="23.1" customHeight="1" x14ac:dyDescent="0.25">
      <c r="B37" s="23" t="s">
        <v>64</v>
      </c>
      <c r="C37" s="50">
        <v>50</v>
      </c>
      <c r="D37" s="50">
        <v>3</v>
      </c>
      <c r="E37" s="50">
        <v>1</v>
      </c>
      <c r="F37" s="50">
        <v>62</v>
      </c>
      <c r="G37" s="50">
        <v>0</v>
      </c>
      <c r="H37" s="50">
        <v>2</v>
      </c>
      <c r="I37" s="50">
        <v>9</v>
      </c>
      <c r="J37" s="50">
        <v>4</v>
      </c>
      <c r="K37" s="50">
        <v>1</v>
      </c>
      <c r="L37" s="50">
        <v>5</v>
      </c>
      <c r="M37" s="50">
        <v>145</v>
      </c>
      <c r="N37" s="50">
        <v>0</v>
      </c>
      <c r="O37" s="15">
        <f t="shared" si="0"/>
        <v>137</v>
      </c>
      <c r="P37" s="15">
        <f t="shared" si="1"/>
        <v>282</v>
      </c>
    </row>
    <row r="38" spans="2:20" ht="23.1" customHeight="1" x14ac:dyDescent="0.25">
      <c r="B38" s="24" t="s">
        <v>65</v>
      </c>
      <c r="C38" s="50">
        <v>38</v>
      </c>
      <c r="D38" s="50">
        <v>5</v>
      </c>
      <c r="E38" s="50">
        <v>7</v>
      </c>
      <c r="F38" s="50">
        <v>43</v>
      </c>
      <c r="G38" s="50">
        <v>2</v>
      </c>
      <c r="H38" s="50">
        <v>1</v>
      </c>
      <c r="I38" s="50">
        <v>10</v>
      </c>
      <c r="J38" s="50">
        <v>3</v>
      </c>
      <c r="K38" s="50">
        <v>1</v>
      </c>
      <c r="L38" s="50">
        <v>0</v>
      </c>
      <c r="M38" s="50">
        <v>160</v>
      </c>
      <c r="N38" s="50">
        <v>0</v>
      </c>
      <c r="O38" s="15">
        <f t="shared" si="0"/>
        <v>110</v>
      </c>
      <c r="P38" s="15">
        <f t="shared" si="1"/>
        <v>270</v>
      </c>
    </row>
    <row r="39" spans="2:20" ht="23.1" customHeight="1" x14ac:dyDescent="0.25">
      <c r="B39" s="24" t="s">
        <v>66</v>
      </c>
      <c r="C39" s="50">
        <v>33</v>
      </c>
      <c r="D39" s="50">
        <v>4</v>
      </c>
      <c r="E39" s="50">
        <v>7</v>
      </c>
      <c r="F39" s="50">
        <v>46</v>
      </c>
      <c r="G39" s="50">
        <v>3</v>
      </c>
      <c r="H39" s="50">
        <v>1</v>
      </c>
      <c r="I39" s="50">
        <v>11</v>
      </c>
      <c r="J39" s="50">
        <v>5</v>
      </c>
      <c r="K39" s="50">
        <v>2</v>
      </c>
      <c r="L39" s="50">
        <v>2</v>
      </c>
      <c r="M39" s="50">
        <v>165</v>
      </c>
      <c r="N39" s="50">
        <v>0</v>
      </c>
      <c r="O39" s="15">
        <f t="shared" si="0"/>
        <v>114</v>
      </c>
      <c r="P39" s="15">
        <f t="shared" si="1"/>
        <v>279</v>
      </c>
    </row>
    <row r="40" spans="2:20" ht="23.1" customHeight="1" x14ac:dyDescent="0.25">
      <c r="B40" s="24" t="s">
        <v>67</v>
      </c>
      <c r="C40" s="50">
        <v>45</v>
      </c>
      <c r="D40" s="50">
        <v>10</v>
      </c>
      <c r="E40" s="50">
        <v>13</v>
      </c>
      <c r="F40" s="50">
        <v>40</v>
      </c>
      <c r="G40" s="50">
        <v>12</v>
      </c>
      <c r="H40" s="50">
        <v>1</v>
      </c>
      <c r="I40" s="50">
        <v>9</v>
      </c>
      <c r="J40" s="50">
        <v>5</v>
      </c>
      <c r="K40" s="50">
        <v>1</v>
      </c>
      <c r="L40" s="50">
        <v>5</v>
      </c>
      <c r="M40" s="50">
        <v>235</v>
      </c>
      <c r="N40" s="50">
        <v>0</v>
      </c>
      <c r="O40" s="15">
        <f t="shared" si="0"/>
        <v>141</v>
      </c>
      <c r="P40" s="15">
        <f t="shared" si="1"/>
        <v>376</v>
      </c>
    </row>
    <row r="41" spans="2:20" ht="23.1" customHeight="1" x14ac:dyDescent="0.25">
      <c r="B41" s="23" t="s">
        <v>68</v>
      </c>
      <c r="C41" s="50">
        <v>52</v>
      </c>
      <c r="D41" s="50">
        <v>3</v>
      </c>
      <c r="E41" s="50">
        <v>7</v>
      </c>
      <c r="F41" s="50">
        <v>41</v>
      </c>
      <c r="G41" s="50">
        <v>0</v>
      </c>
      <c r="H41" s="50">
        <v>1</v>
      </c>
      <c r="I41" s="50">
        <v>7</v>
      </c>
      <c r="J41" s="50">
        <v>6</v>
      </c>
      <c r="K41" s="50">
        <v>2</v>
      </c>
      <c r="L41" s="50">
        <v>1</v>
      </c>
      <c r="M41" s="50">
        <v>205</v>
      </c>
      <c r="N41" s="50">
        <v>0</v>
      </c>
      <c r="O41" s="15">
        <f t="shared" si="0"/>
        <v>120</v>
      </c>
      <c r="P41" s="15">
        <f t="shared" si="1"/>
        <v>325</v>
      </c>
    </row>
    <row r="42" spans="2:20" ht="23.1" customHeight="1" x14ac:dyDescent="0.25">
      <c r="B42" s="24" t="s">
        <v>69</v>
      </c>
      <c r="C42" s="50">
        <v>47</v>
      </c>
      <c r="D42" s="50">
        <v>6</v>
      </c>
      <c r="E42" s="50">
        <v>5</v>
      </c>
      <c r="F42" s="50">
        <v>54</v>
      </c>
      <c r="G42" s="50">
        <v>1</v>
      </c>
      <c r="H42" s="50">
        <v>1</v>
      </c>
      <c r="I42" s="50">
        <v>11</v>
      </c>
      <c r="J42" s="50">
        <v>8</v>
      </c>
      <c r="K42" s="50">
        <v>7</v>
      </c>
      <c r="L42" s="50">
        <v>7</v>
      </c>
      <c r="M42" s="50">
        <v>150</v>
      </c>
      <c r="N42" s="50">
        <v>0</v>
      </c>
      <c r="O42" s="15">
        <f t="shared" si="0"/>
        <v>147</v>
      </c>
      <c r="P42" s="15">
        <f t="shared" si="1"/>
        <v>297</v>
      </c>
    </row>
    <row r="43" spans="2:20" ht="23.1" customHeight="1" x14ac:dyDescent="0.25">
      <c r="B43" s="23" t="s">
        <v>70</v>
      </c>
      <c r="C43" s="50">
        <v>50</v>
      </c>
      <c r="D43" s="50">
        <v>9</v>
      </c>
      <c r="E43" s="50">
        <v>7</v>
      </c>
      <c r="F43" s="50">
        <v>73</v>
      </c>
      <c r="G43" s="50">
        <v>3</v>
      </c>
      <c r="H43" s="50">
        <v>1</v>
      </c>
      <c r="I43" s="50">
        <v>6</v>
      </c>
      <c r="J43" s="50">
        <v>7</v>
      </c>
      <c r="K43" s="50">
        <v>1</v>
      </c>
      <c r="L43" s="50">
        <v>1</v>
      </c>
      <c r="M43" s="50">
        <v>140</v>
      </c>
      <c r="N43" s="50">
        <v>0</v>
      </c>
      <c r="O43" s="15">
        <f t="shared" si="0"/>
        <v>158</v>
      </c>
      <c r="P43" s="15">
        <f t="shared" si="1"/>
        <v>298</v>
      </c>
    </row>
    <row r="44" spans="2:20" ht="23.1" customHeight="1" x14ac:dyDescent="0.25">
      <c r="B44" s="25" t="s">
        <v>71</v>
      </c>
      <c r="C44" s="50">
        <v>60</v>
      </c>
      <c r="D44" s="50">
        <v>4</v>
      </c>
      <c r="E44" s="50">
        <v>5</v>
      </c>
      <c r="F44" s="50">
        <v>82</v>
      </c>
      <c r="G44" s="50">
        <v>5</v>
      </c>
      <c r="H44" s="50">
        <v>3</v>
      </c>
      <c r="I44" s="50">
        <v>12</v>
      </c>
      <c r="J44" s="50">
        <v>3</v>
      </c>
      <c r="K44" s="50">
        <v>4</v>
      </c>
      <c r="L44" s="50">
        <v>3</v>
      </c>
      <c r="M44" s="50">
        <v>155</v>
      </c>
      <c r="N44" s="50">
        <v>0</v>
      </c>
      <c r="O44" s="15">
        <f t="shared" si="0"/>
        <v>181</v>
      </c>
      <c r="P44" s="15">
        <f t="shared" si="1"/>
        <v>336</v>
      </c>
    </row>
    <row r="45" spans="2:20" ht="23.1" customHeight="1" x14ac:dyDescent="0.25">
      <c r="B45" s="23" t="s">
        <v>72</v>
      </c>
      <c r="C45" s="50">
        <v>52</v>
      </c>
      <c r="D45" s="50">
        <v>5</v>
      </c>
      <c r="E45" s="50">
        <v>7</v>
      </c>
      <c r="F45" s="50">
        <v>73</v>
      </c>
      <c r="G45" s="50">
        <v>4</v>
      </c>
      <c r="H45" s="50">
        <v>2</v>
      </c>
      <c r="I45" s="50">
        <v>11</v>
      </c>
      <c r="J45" s="50">
        <v>5</v>
      </c>
      <c r="K45" s="50">
        <v>3</v>
      </c>
      <c r="L45" s="50">
        <v>2</v>
      </c>
      <c r="M45" s="50">
        <v>140</v>
      </c>
      <c r="N45" s="50">
        <v>0</v>
      </c>
      <c r="O45" s="15">
        <f t="shared" si="0"/>
        <v>164</v>
      </c>
      <c r="P45" s="15">
        <f t="shared" si="1"/>
        <v>304</v>
      </c>
    </row>
    <row r="46" spans="2:20" ht="23.1" customHeight="1" x14ac:dyDescent="0.25">
      <c r="B46" s="24" t="s">
        <v>73</v>
      </c>
      <c r="C46" s="50">
        <v>54</v>
      </c>
      <c r="D46" s="50">
        <v>9</v>
      </c>
      <c r="E46" s="50">
        <v>7</v>
      </c>
      <c r="F46" s="50">
        <v>66</v>
      </c>
      <c r="G46" s="50">
        <v>9</v>
      </c>
      <c r="H46" s="50">
        <v>0</v>
      </c>
      <c r="I46" s="50">
        <v>4</v>
      </c>
      <c r="J46" s="50">
        <v>1</v>
      </c>
      <c r="K46" s="50">
        <v>0</v>
      </c>
      <c r="L46" s="50">
        <v>4</v>
      </c>
      <c r="M46" s="50">
        <v>65</v>
      </c>
      <c r="N46" s="50">
        <v>0</v>
      </c>
      <c r="O46" s="15">
        <f t="shared" si="0"/>
        <v>154</v>
      </c>
      <c r="P46" s="15">
        <f t="shared" si="1"/>
        <v>219</v>
      </c>
      <c r="R46" s="8"/>
      <c r="T46"/>
    </row>
    <row r="47" spans="2:20" ht="23.1" customHeight="1" x14ac:dyDescent="0.25">
      <c r="B47" s="24" t="s">
        <v>74</v>
      </c>
      <c r="C47" s="50">
        <v>75</v>
      </c>
      <c r="D47" s="50">
        <v>7</v>
      </c>
      <c r="E47" s="50">
        <v>14</v>
      </c>
      <c r="F47" s="50">
        <v>81</v>
      </c>
      <c r="G47" s="50">
        <v>11</v>
      </c>
      <c r="H47" s="50">
        <v>2</v>
      </c>
      <c r="I47" s="50">
        <v>11</v>
      </c>
      <c r="J47" s="50">
        <v>4</v>
      </c>
      <c r="K47" s="50">
        <v>1</v>
      </c>
      <c r="L47" s="50">
        <v>6</v>
      </c>
      <c r="M47" s="50">
        <v>185</v>
      </c>
      <c r="N47" s="50">
        <v>0</v>
      </c>
      <c r="O47" s="15">
        <f t="shared" si="0"/>
        <v>212</v>
      </c>
      <c r="P47" s="15">
        <f t="shared" si="1"/>
        <v>397</v>
      </c>
      <c r="R47" s="8"/>
      <c r="T47"/>
    </row>
    <row r="48" spans="2:20" ht="23.1" customHeight="1" x14ac:dyDescent="0.25">
      <c r="B48" s="24" t="s">
        <v>75</v>
      </c>
      <c r="C48" s="50">
        <v>61</v>
      </c>
      <c r="D48" s="50">
        <v>7</v>
      </c>
      <c r="E48" s="50">
        <v>10</v>
      </c>
      <c r="F48" s="50">
        <v>63</v>
      </c>
      <c r="G48" s="50">
        <v>0</v>
      </c>
      <c r="H48" s="50">
        <v>0</v>
      </c>
      <c r="I48" s="50">
        <v>9</v>
      </c>
      <c r="J48" s="50">
        <v>3</v>
      </c>
      <c r="K48" s="50">
        <v>1</v>
      </c>
      <c r="L48" s="50">
        <v>5</v>
      </c>
      <c r="M48" s="50">
        <v>300</v>
      </c>
      <c r="N48" s="50">
        <v>0</v>
      </c>
      <c r="O48" s="15">
        <f t="shared" si="0"/>
        <v>159</v>
      </c>
      <c r="P48" s="15">
        <f t="shared" si="1"/>
        <v>459</v>
      </c>
      <c r="R48" s="8"/>
      <c r="T48"/>
    </row>
    <row r="49" spans="2:20" ht="23.1" customHeight="1" x14ac:dyDescent="0.25">
      <c r="B49" s="23" t="s">
        <v>76</v>
      </c>
      <c r="C49" s="50">
        <v>89</v>
      </c>
      <c r="D49" s="50">
        <v>6</v>
      </c>
      <c r="E49" s="50">
        <v>12</v>
      </c>
      <c r="F49" s="50">
        <v>87</v>
      </c>
      <c r="G49" s="50">
        <v>3</v>
      </c>
      <c r="H49" s="50">
        <v>2</v>
      </c>
      <c r="I49" s="50">
        <v>6</v>
      </c>
      <c r="J49" s="50">
        <v>2</v>
      </c>
      <c r="K49" s="50">
        <v>0</v>
      </c>
      <c r="L49" s="50">
        <v>3</v>
      </c>
      <c r="M49" s="50">
        <v>230</v>
      </c>
      <c r="N49" s="50">
        <v>0</v>
      </c>
      <c r="O49" s="15">
        <f t="shared" si="0"/>
        <v>210</v>
      </c>
      <c r="P49" s="15">
        <f t="shared" si="1"/>
        <v>440</v>
      </c>
      <c r="R49" s="8"/>
      <c r="T49"/>
    </row>
    <row r="50" spans="2:20" ht="23.1" customHeight="1" x14ac:dyDescent="0.25">
      <c r="B50" s="24" t="s">
        <v>77</v>
      </c>
      <c r="C50" s="50">
        <v>67</v>
      </c>
      <c r="D50" s="50">
        <v>6</v>
      </c>
      <c r="E50" s="50">
        <v>5</v>
      </c>
      <c r="F50" s="50">
        <v>41</v>
      </c>
      <c r="G50" s="50">
        <v>0</v>
      </c>
      <c r="H50" s="50">
        <v>1</v>
      </c>
      <c r="I50" s="50">
        <v>13</v>
      </c>
      <c r="J50" s="50">
        <v>7</v>
      </c>
      <c r="K50" s="50">
        <v>4</v>
      </c>
      <c r="L50" s="50">
        <v>4</v>
      </c>
      <c r="M50" s="50">
        <v>265</v>
      </c>
      <c r="N50" s="50">
        <v>0</v>
      </c>
      <c r="O50" s="15">
        <f t="shared" si="0"/>
        <v>148</v>
      </c>
      <c r="P50" s="15">
        <f t="shared" si="1"/>
        <v>413</v>
      </c>
      <c r="R50" s="8"/>
      <c r="T50"/>
    </row>
    <row r="51" spans="2:20" ht="23.1" customHeight="1" x14ac:dyDescent="0.25">
      <c r="B51" s="24" t="s">
        <v>78</v>
      </c>
      <c r="C51" s="50">
        <v>51</v>
      </c>
      <c r="D51" s="50">
        <v>10</v>
      </c>
      <c r="E51" s="50">
        <v>7</v>
      </c>
      <c r="F51" s="50">
        <v>35</v>
      </c>
      <c r="G51" s="50">
        <v>1</v>
      </c>
      <c r="H51" s="50">
        <v>0</v>
      </c>
      <c r="I51" s="50">
        <v>5</v>
      </c>
      <c r="J51" s="50">
        <v>4</v>
      </c>
      <c r="K51" s="50">
        <v>6</v>
      </c>
      <c r="L51" s="50">
        <v>7</v>
      </c>
      <c r="M51" s="50">
        <v>235</v>
      </c>
      <c r="N51" s="50">
        <v>0</v>
      </c>
      <c r="O51" s="15">
        <f t="shared" si="0"/>
        <v>126</v>
      </c>
      <c r="P51" s="15">
        <f t="shared" si="1"/>
        <v>361</v>
      </c>
      <c r="R51" s="8"/>
      <c r="T51"/>
    </row>
    <row r="52" spans="2:20" ht="23.1" customHeight="1" x14ac:dyDescent="0.25">
      <c r="B52" s="24" t="s">
        <v>79</v>
      </c>
      <c r="C52" s="50">
        <v>51</v>
      </c>
      <c r="D52" s="50">
        <v>5</v>
      </c>
      <c r="E52" s="50">
        <v>6</v>
      </c>
      <c r="F52" s="50">
        <v>35</v>
      </c>
      <c r="G52" s="50">
        <v>2</v>
      </c>
      <c r="H52" s="50">
        <v>0</v>
      </c>
      <c r="I52" s="50">
        <v>7</v>
      </c>
      <c r="J52" s="50">
        <v>4</v>
      </c>
      <c r="K52" s="50">
        <v>2</v>
      </c>
      <c r="L52" s="50">
        <v>3</v>
      </c>
      <c r="M52" s="50">
        <v>310</v>
      </c>
      <c r="N52" s="50">
        <v>0</v>
      </c>
      <c r="O52" s="15">
        <f t="shared" si="0"/>
        <v>115</v>
      </c>
      <c r="P52" s="15">
        <f t="shared" si="1"/>
        <v>425</v>
      </c>
      <c r="R52" s="8"/>
      <c r="T52"/>
    </row>
    <row r="53" spans="2:20" ht="23.1" customHeight="1" x14ac:dyDescent="0.25">
      <c r="B53" s="23" t="s">
        <v>80</v>
      </c>
      <c r="C53" s="50">
        <v>45</v>
      </c>
      <c r="D53" s="50">
        <v>8</v>
      </c>
      <c r="E53" s="50">
        <v>0</v>
      </c>
      <c r="F53" s="50">
        <v>38</v>
      </c>
      <c r="G53" s="50">
        <v>1</v>
      </c>
      <c r="H53" s="50">
        <v>0</v>
      </c>
      <c r="I53" s="50">
        <v>9</v>
      </c>
      <c r="J53" s="50">
        <v>4</v>
      </c>
      <c r="K53" s="50">
        <v>1</v>
      </c>
      <c r="L53" s="50">
        <v>1</v>
      </c>
      <c r="M53" s="50">
        <v>230</v>
      </c>
      <c r="N53" s="50">
        <v>0</v>
      </c>
      <c r="O53" s="15">
        <f t="shared" si="0"/>
        <v>107</v>
      </c>
      <c r="P53" s="15">
        <f t="shared" si="1"/>
        <v>337</v>
      </c>
      <c r="R53" s="8"/>
      <c r="T53"/>
    </row>
    <row r="54" spans="2:20" ht="23.1" customHeight="1" x14ac:dyDescent="0.25">
      <c r="B54" s="23" t="s">
        <v>81</v>
      </c>
      <c r="C54" s="50">
        <v>55</v>
      </c>
      <c r="D54" s="50">
        <v>5</v>
      </c>
      <c r="E54" s="50">
        <v>4</v>
      </c>
      <c r="F54" s="50">
        <v>29</v>
      </c>
      <c r="G54" s="50">
        <v>1</v>
      </c>
      <c r="H54" s="50">
        <v>1</v>
      </c>
      <c r="I54" s="50">
        <v>7</v>
      </c>
      <c r="J54" s="50">
        <v>12</v>
      </c>
      <c r="K54" s="50">
        <v>3</v>
      </c>
      <c r="L54" s="50">
        <v>5</v>
      </c>
      <c r="M54" s="50">
        <v>320</v>
      </c>
      <c r="N54" s="50">
        <v>0</v>
      </c>
      <c r="O54" s="15">
        <f t="shared" si="0"/>
        <v>122</v>
      </c>
      <c r="P54" s="15">
        <f t="shared" si="1"/>
        <v>442</v>
      </c>
      <c r="R54" s="8"/>
      <c r="T54"/>
    </row>
    <row r="55" spans="2:20" ht="23.1" customHeight="1" x14ac:dyDescent="0.25">
      <c r="B55" s="23" t="s">
        <v>82</v>
      </c>
      <c r="C55" s="50">
        <v>55</v>
      </c>
      <c r="D55" s="50">
        <v>7</v>
      </c>
      <c r="E55" s="50">
        <v>11</v>
      </c>
      <c r="F55" s="50">
        <v>42</v>
      </c>
      <c r="G55" s="50">
        <v>0</v>
      </c>
      <c r="H55" s="50">
        <v>1</v>
      </c>
      <c r="I55" s="50">
        <v>10</v>
      </c>
      <c r="J55" s="50">
        <v>7</v>
      </c>
      <c r="K55" s="50">
        <v>1</v>
      </c>
      <c r="L55" s="50">
        <v>2</v>
      </c>
      <c r="M55" s="50">
        <v>295</v>
      </c>
      <c r="N55" s="50">
        <v>0</v>
      </c>
      <c r="O55" s="15">
        <f t="shared" si="0"/>
        <v>136</v>
      </c>
      <c r="P55" s="15">
        <f t="shared" si="1"/>
        <v>431</v>
      </c>
      <c r="R55" s="8"/>
      <c r="T55"/>
    </row>
    <row r="56" spans="2:20" ht="23.1" customHeight="1" x14ac:dyDescent="0.25">
      <c r="B56" s="23" t="s">
        <v>83</v>
      </c>
      <c r="C56" s="50">
        <v>51</v>
      </c>
      <c r="D56" s="50">
        <v>12</v>
      </c>
      <c r="E56" s="50">
        <v>8</v>
      </c>
      <c r="F56" s="50">
        <v>24</v>
      </c>
      <c r="G56" s="50">
        <v>0</v>
      </c>
      <c r="H56" s="50">
        <v>0</v>
      </c>
      <c r="I56" s="50">
        <v>3</v>
      </c>
      <c r="J56" s="50">
        <v>1</v>
      </c>
      <c r="K56" s="50">
        <v>5</v>
      </c>
      <c r="L56" s="50">
        <v>2</v>
      </c>
      <c r="M56" s="50">
        <v>235</v>
      </c>
      <c r="N56" s="50">
        <v>0</v>
      </c>
      <c r="O56" s="15">
        <f t="shared" si="0"/>
        <v>106</v>
      </c>
      <c r="P56" s="15">
        <f t="shared" si="1"/>
        <v>341</v>
      </c>
      <c r="R56" s="8"/>
      <c r="T56"/>
    </row>
    <row r="57" spans="2:20" ht="23.1" customHeight="1" x14ac:dyDescent="0.25">
      <c r="B57" s="23" t="s">
        <v>84</v>
      </c>
      <c r="C57" s="50">
        <v>67</v>
      </c>
      <c r="D57" s="50">
        <v>9</v>
      </c>
      <c r="E57" s="50">
        <v>13</v>
      </c>
      <c r="F57" s="50">
        <v>28</v>
      </c>
      <c r="G57" s="50">
        <v>1</v>
      </c>
      <c r="H57" s="50">
        <v>0</v>
      </c>
      <c r="I57" s="50">
        <v>6</v>
      </c>
      <c r="J57" s="50">
        <v>6</v>
      </c>
      <c r="K57" s="50">
        <v>2</v>
      </c>
      <c r="L57" s="50">
        <v>2</v>
      </c>
      <c r="M57" s="50">
        <v>305</v>
      </c>
      <c r="N57" s="50">
        <v>0</v>
      </c>
      <c r="O57" s="15">
        <f t="shared" si="0"/>
        <v>134</v>
      </c>
      <c r="P57" s="15">
        <f t="shared" si="1"/>
        <v>439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2445</v>
      </c>
      <c r="D58" s="16">
        <f t="shared" si="21"/>
        <v>274</v>
      </c>
      <c r="E58" s="16">
        <f t="shared" si="21"/>
        <v>319</v>
      </c>
      <c r="F58" s="16">
        <f t="shared" si="21"/>
        <v>2685</v>
      </c>
      <c r="G58" s="16">
        <f t="shared" si="21"/>
        <v>136</v>
      </c>
      <c r="H58" s="16">
        <f t="shared" si="21"/>
        <v>62</v>
      </c>
      <c r="I58" s="16">
        <f t="shared" si="21"/>
        <v>406</v>
      </c>
      <c r="J58" s="16">
        <f t="shared" si="21"/>
        <v>242</v>
      </c>
      <c r="K58" s="16">
        <f t="shared" si="21"/>
        <v>87</v>
      </c>
      <c r="L58" s="16">
        <f t="shared" si="21"/>
        <v>137</v>
      </c>
      <c r="M58" s="16">
        <f t="shared" si="21"/>
        <v>9279</v>
      </c>
      <c r="N58" s="16">
        <f t="shared" si="21"/>
        <v>0</v>
      </c>
      <c r="O58" s="16">
        <f t="shared" si="21"/>
        <v>6793</v>
      </c>
      <c r="P58" s="16">
        <f t="shared" si="21"/>
        <v>16072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0.1521279243404679</v>
      </c>
      <c r="D59" s="43">
        <f t="shared" si="22"/>
        <v>1.7048282727725236E-2</v>
      </c>
      <c r="E59" s="43">
        <f t="shared" si="22"/>
        <v>1.9848183175709307E-2</v>
      </c>
      <c r="F59" s="43">
        <f t="shared" si="22"/>
        <v>0.16706072672971628</v>
      </c>
      <c r="G59" s="43">
        <f t="shared" si="22"/>
        <v>8.4619213539074162E-3</v>
      </c>
      <c r="H59" s="43">
        <f t="shared" si="22"/>
        <v>3.8576406172224987E-3</v>
      </c>
      <c r="I59" s="43">
        <f t="shared" si="22"/>
        <v>2.5261324041811847E-2</v>
      </c>
      <c r="J59" s="43">
        <f t="shared" si="22"/>
        <v>1.5057242409158785E-2</v>
      </c>
      <c r="K59" s="43">
        <f t="shared" si="22"/>
        <v>5.413140866102539E-3</v>
      </c>
      <c r="L59" s="43">
        <f t="shared" si="22"/>
        <v>8.5241413638626178E-3</v>
      </c>
      <c r="M59" s="43">
        <f t="shared" si="22"/>
        <v>0.5773394723743156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0.35992933902546737</v>
      </c>
      <c r="D60" s="44">
        <f t="shared" ref="D60:N60" si="23">D58/$O$58</f>
        <v>4.0335639629029883E-2</v>
      </c>
      <c r="E60" s="44">
        <f t="shared" si="23"/>
        <v>4.6960105991461797E-2</v>
      </c>
      <c r="F60" s="44">
        <f t="shared" si="23"/>
        <v>0.39525982629177092</v>
      </c>
      <c r="G60" s="44">
        <f t="shared" si="23"/>
        <v>2.0020609450905343E-2</v>
      </c>
      <c r="H60" s="44">
        <f t="shared" si="23"/>
        <v>9.1270425437950838E-3</v>
      </c>
      <c r="I60" s="44">
        <f t="shared" si="23"/>
        <v>5.9767407625496836E-2</v>
      </c>
      <c r="J60" s="44">
        <f t="shared" si="23"/>
        <v>3.5624907993522741E-2</v>
      </c>
      <c r="K60" s="44">
        <f t="shared" si="23"/>
        <v>1.2807301634035036E-2</v>
      </c>
      <c r="L60" s="44">
        <f t="shared" si="23"/>
        <v>2.0167819814514942E-2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F126"/>
  <sheetViews>
    <sheetView view="pageBreakPreview" zoomScale="60" workbookViewId="0">
      <selection activeCell="N57" sqref="N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4" t="str">
        <f>'22.07 BUSEGA-NATEETE'!C3:G3</f>
        <v>MCC - C1 - STN10 - MASAKA ROAD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'25.07 NATEETE-BUSEGA'!D5</f>
        <v>25.07.19</v>
      </c>
      <c r="E5" s="3"/>
      <c r="F5" s="41" t="s">
        <v>1</v>
      </c>
      <c r="G5" s="62" t="str">
        <f>'25.07 NATEETE-BUSEGA'!G5:H5</f>
        <v>GOD'S MERCY SUPERMARKET</v>
      </c>
      <c r="H5" s="63"/>
      <c r="I5" s="14"/>
      <c r="J5" s="2" t="s">
        <v>5</v>
      </c>
      <c r="K5" s="62" t="s">
        <v>181</v>
      </c>
      <c r="L5" s="63"/>
      <c r="M5" s="10"/>
      <c r="N5" s="10"/>
      <c r="O5" s="3"/>
      <c r="P5" s="3"/>
    </row>
    <row r="6" spans="2:32" ht="23.25" customHeight="1" x14ac:dyDescent="0.25">
      <c r="C6" s="2" t="s">
        <v>4</v>
      </c>
      <c r="D6" s="62" t="str">
        <f>'22.07 BUSEGA-NATEETE'!D6:E6</f>
        <v>BUSEGA</v>
      </c>
      <c r="E6" s="63"/>
      <c r="F6" s="2" t="s">
        <v>2</v>
      </c>
      <c r="G6" s="62" t="str">
        <f>'22.07 BUSEGA-NATEETE'!G6:H6</f>
        <v>NATEETE</v>
      </c>
      <c r="H6" s="63"/>
      <c r="J6" s="2" t="s">
        <v>21</v>
      </c>
      <c r="K6" s="62" t="str">
        <f>'25.07 NATEETE-BUSEGA'!K6:L6</f>
        <v>BEATRACE</v>
      </c>
      <c r="L6" s="6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82</v>
      </c>
      <c r="D10" s="50">
        <v>17</v>
      </c>
      <c r="E10" s="50">
        <v>7</v>
      </c>
      <c r="F10" s="50">
        <v>53</v>
      </c>
      <c r="G10" s="50">
        <v>1</v>
      </c>
      <c r="H10" s="50">
        <v>1</v>
      </c>
      <c r="I10" s="50">
        <v>11</v>
      </c>
      <c r="J10" s="50">
        <v>8</v>
      </c>
      <c r="K10" s="50">
        <v>1</v>
      </c>
      <c r="L10" s="50">
        <v>2</v>
      </c>
      <c r="M10" s="50">
        <v>315</v>
      </c>
      <c r="N10" s="50">
        <v>0</v>
      </c>
      <c r="O10" s="15">
        <f t="shared" ref="O10:O57" si="0">SUM(C10:L10,N10)</f>
        <v>183</v>
      </c>
      <c r="P10" s="15">
        <f t="shared" ref="P10:P57" si="1">SUM(C10:N10)</f>
        <v>498</v>
      </c>
      <c r="R10" s="1" t="s">
        <v>6</v>
      </c>
      <c r="S10" s="17">
        <f t="shared" ref="S10:AF10" si="2">SUM(C10:C13)</f>
        <v>391</v>
      </c>
      <c r="T10" s="17">
        <f t="shared" si="2"/>
        <v>44</v>
      </c>
      <c r="U10" s="17">
        <f t="shared" si="2"/>
        <v>36</v>
      </c>
      <c r="V10" s="17">
        <f t="shared" si="2"/>
        <v>253</v>
      </c>
      <c r="W10" s="17">
        <f t="shared" si="2"/>
        <v>24</v>
      </c>
      <c r="X10" s="17">
        <f t="shared" si="2"/>
        <v>1</v>
      </c>
      <c r="Y10" s="17">
        <f t="shared" si="2"/>
        <v>29</v>
      </c>
      <c r="Z10" s="17">
        <f t="shared" si="2"/>
        <v>22</v>
      </c>
      <c r="AA10" s="17">
        <f t="shared" si="2"/>
        <v>2</v>
      </c>
      <c r="AB10" s="17">
        <f t="shared" si="2"/>
        <v>4</v>
      </c>
      <c r="AC10" s="17">
        <f t="shared" si="2"/>
        <v>1079</v>
      </c>
      <c r="AD10" s="17">
        <f t="shared" si="2"/>
        <v>0</v>
      </c>
      <c r="AE10" s="31">
        <f t="shared" si="2"/>
        <v>806</v>
      </c>
      <c r="AF10" s="31">
        <f t="shared" si="2"/>
        <v>1885</v>
      </c>
    </row>
    <row r="11" spans="2:32" s="6" customFormat="1" ht="23.1" customHeight="1" x14ac:dyDescent="0.25">
      <c r="B11" s="23" t="s">
        <v>38</v>
      </c>
      <c r="C11" s="50">
        <v>101</v>
      </c>
      <c r="D11" s="50">
        <v>7</v>
      </c>
      <c r="E11" s="50">
        <v>10</v>
      </c>
      <c r="F11" s="50">
        <v>66</v>
      </c>
      <c r="G11" s="50">
        <v>7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252</v>
      </c>
      <c r="N11" s="50">
        <v>0</v>
      </c>
      <c r="O11" s="15">
        <f t="shared" si="0"/>
        <v>191</v>
      </c>
      <c r="P11" s="15">
        <f t="shared" si="1"/>
        <v>443</v>
      </c>
      <c r="R11" s="1" t="s">
        <v>7</v>
      </c>
      <c r="S11" s="17">
        <f t="shared" ref="S11:AF11" si="3">SUM(C14:C17)</f>
        <v>461</v>
      </c>
      <c r="T11" s="17">
        <f t="shared" si="3"/>
        <v>48</v>
      </c>
      <c r="U11" s="17">
        <f t="shared" si="3"/>
        <v>21</v>
      </c>
      <c r="V11" s="17">
        <f t="shared" si="3"/>
        <v>316</v>
      </c>
      <c r="W11" s="17">
        <f t="shared" si="3"/>
        <v>7</v>
      </c>
      <c r="X11" s="17">
        <f t="shared" si="3"/>
        <v>2</v>
      </c>
      <c r="Y11" s="17">
        <f t="shared" si="3"/>
        <v>31</v>
      </c>
      <c r="Z11" s="17">
        <f t="shared" si="3"/>
        <v>32</v>
      </c>
      <c r="AA11" s="17">
        <f t="shared" si="3"/>
        <v>11</v>
      </c>
      <c r="AB11" s="17">
        <f t="shared" si="3"/>
        <v>8</v>
      </c>
      <c r="AC11" s="17">
        <f t="shared" si="3"/>
        <v>1492</v>
      </c>
      <c r="AD11" s="17">
        <f t="shared" si="3"/>
        <v>0</v>
      </c>
      <c r="AE11" s="31">
        <f t="shared" si="3"/>
        <v>937</v>
      </c>
      <c r="AF11" s="31">
        <f t="shared" si="3"/>
        <v>2429</v>
      </c>
    </row>
    <row r="12" spans="2:32" ht="23.1" customHeight="1" x14ac:dyDescent="0.25">
      <c r="B12" s="23" t="s">
        <v>39</v>
      </c>
      <c r="C12" s="50">
        <v>92</v>
      </c>
      <c r="D12" s="50">
        <v>8</v>
      </c>
      <c r="E12" s="50">
        <v>9</v>
      </c>
      <c r="F12" s="50">
        <v>58</v>
      </c>
      <c r="G12" s="50">
        <v>10</v>
      </c>
      <c r="H12" s="50">
        <v>0</v>
      </c>
      <c r="I12" s="50">
        <v>6</v>
      </c>
      <c r="J12" s="50">
        <v>8</v>
      </c>
      <c r="K12" s="50">
        <v>0</v>
      </c>
      <c r="L12" s="50">
        <v>2</v>
      </c>
      <c r="M12" s="50">
        <v>212</v>
      </c>
      <c r="N12" s="50">
        <v>0</v>
      </c>
      <c r="O12" s="15">
        <f t="shared" si="0"/>
        <v>193</v>
      </c>
      <c r="P12" s="15">
        <f t="shared" si="1"/>
        <v>405</v>
      </c>
      <c r="R12" s="1" t="s">
        <v>8</v>
      </c>
      <c r="S12" s="17">
        <f t="shared" ref="S12:AF12" si="4">SUM(C18:C21)</f>
        <v>442</v>
      </c>
      <c r="T12" s="17">
        <f t="shared" si="4"/>
        <v>43</v>
      </c>
      <c r="U12" s="17">
        <f t="shared" si="4"/>
        <v>32</v>
      </c>
      <c r="V12" s="17">
        <f t="shared" si="4"/>
        <v>308</v>
      </c>
      <c r="W12" s="17">
        <f t="shared" si="4"/>
        <v>16</v>
      </c>
      <c r="X12" s="17">
        <f t="shared" si="4"/>
        <v>3</v>
      </c>
      <c r="Y12" s="17">
        <f t="shared" si="4"/>
        <v>30</v>
      </c>
      <c r="Z12" s="17">
        <f t="shared" si="4"/>
        <v>24</v>
      </c>
      <c r="AA12" s="17">
        <f t="shared" si="4"/>
        <v>7</v>
      </c>
      <c r="AB12" s="17">
        <f t="shared" si="4"/>
        <v>10</v>
      </c>
      <c r="AC12" s="17">
        <f t="shared" si="4"/>
        <v>1215</v>
      </c>
      <c r="AD12" s="17">
        <f t="shared" si="4"/>
        <v>0</v>
      </c>
      <c r="AE12" s="31">
        <f t="shared" si="4"/>
        <v>915</v>
      </c>
      <c r="AF12" s="31">
        <f t="shared" si="4"/>
        <v>2130</v>
      </c>
    </row>
    <row r="13" spans="2:32" ht="23.1" customHeight="1" x14ac:dyDescent="0.25">
      <c r="B13" s="23" t="s">
        <v>40</v>
      </c>
      <c r="C13" s="50">
        <v>116</v>
      </c>
      <c r="D13" s="50">
        <v>12</v>
      </c>
      <c r="E13" s="50">
        <v>10</v>
      </c>
      <c r="F13" s="50">
        <v>76</v>
      </c>
      <c r="G13" s="50">
        <v>6</v>
      </c>
      <c r="H13" s="50">
        <v>0</v>
      </c>
      <c r="I13" s="50">
        <v>12</v>
      </c>
      <c r="J13" s="50">
        <v>6</v>
      </c>
      <c r="K13" s="50">
        <v>1</v>
      </c>
      <c r="L13" s="50">
        <v>0</v>
      </c>
      <c r="M13" s="50">
        <v>300</v>
      </c>
      <c r="N13" s="50">
        <v>0</v>
      </c>
      <c r="O13" s="15">
        <f t="shared" si="0"/>
        <v>239</v>
      </c>
      <c r="P13" s="15">
        <f t="shared" si="1"/>
        <v>539</v>
      </c>
      <c r="R13" s="1" t="s">
        <v>9</v>
      </c>
      <c r="S13" s="17">
        <f t="shared" ref="S13:AF13" si="5">SUM(C22:C25)</f>
        <v>371</v>
      </c>
      <c r="T13" s="17">
        <f t="shared" si="5"/>
        <v>39</v>
      </c>
      <c r="U13" s="17">
        <f t="shared" si="5"/>
        <v>25</v>
      </c>
      <c r="V13" s="17">
        <f t="shared" si="5"/>
        <v>334</v>
      </c>
      <c r="W13" s="17">
        <f t="shared" si="5"/>
        <v>5</v>
      </c>
      <c r="X13" s="17">
        <f t="shared" si="5"/>
        <v>1</v>
      </c>
      <c r="Y13" s="17">
        <f t="shared" si="5"/>
        <v>35</v>
      </c>
      <c r="Z13" s="17">
        <f t="shared" si="5"/>
        <v>22</v>
      </c>
      <c r="AA13" s="17">
        <f t="shared" si="5"/>
        <v>6</v>
      </c>
      <c r="AB13" s="17">
        <f t="shared" si="5"/>
        <v>3</v>
      </c>
      <c r="AC13" s="17">
        <f t="shared" si="5"/>
        <v>1339</v>
      </c>
      <c r="AD13" s="17">
        <f t="shared" si="5"/>
        <v>0</v>
      </c>
      <c r="AE13" s="31">
        <f t="shared" si="5"/>
        <v>841</v>
      </c>
      <c r="AF13" s="31">
        <f t="shared" si="5"/>
        <v>2180</v>
      </c>
    </row>
    <row r="14" spans="2:32" ht="23.1" customHeight="1" x14ac:dyDescent="0.25">
      <c r="B14" s="23" t="s">
        <v>41</v>
      </c>
      <c r="C14" s="50">
        <v>80</v>
      </c>
      <c r="D14" s="50">
        <v>9</v>
      </c>
      <c r="E14" s="50">
        <v>2</v>
      </c>
      <c r="F14" s="50">
        <v>100</v>
      </c>
      <c r="G14" s="50">
        <v>5</v>
      </c>
      <c r="H14" s="50">
        <v>2</v>
      </c>
      <c r="I14" s="50">
        <v>3</v>
      </c>
      <c r="J14" s="50">
        <v>7</v>
      </c>
      <c r="K14" s="50">
        <v>0</v>
      </c>
      <c r="L14" s="50">
        <v>2</v>
      </c>
      <c r="M14" s="50">
        <v>380</v>
      </c>
      <c r="N14" s="50">
        <v>0</v>
      </c>
      <c r="O14" s="15">
        <f t="shared" si="0"/>
        <v>210</v>
      </c>
      <c r="P14" s="15">
        <f t="shared" si="1"/>
        <v>590</v>
      </c>
      <c r="R14" s="1" t="s">
        <v>10</v>
      </c>
      <c r="S14" s="17">
        <f t="shared" ref="S14:AF14" si="6">SUM(C26:C29)</f>
        <v>285</v>
      </c>
      <c r="T14" s="17">
        <f t="shared" si="6"/>
        <v>59</v>
      </c>
      <c r="U14" s="17">
        <f t="shared" si="6"/>
        <v>17</v>
      </c>
      <c r="V14" s="17">
        <f t="shared" si="6"/>
        <v>260</v>
      </c>
      <c r="W14" s="17">
        <f t="shared" si="6"/>
        <v>3</v>
      </c>
      <c r="X14" s="17">
        <f t="shared" si="6"/>
        <v>2</v>
      </c>
      <c r="Y14" s="17">
        <f t="shared" si="6"/>
        <v>34</v>
      </c>
      <c r="Z14" s="17">
        <f t="shared" si="6"/>
        <v>19</v>
      </c>
      <c r="AA14" s="17">
        <f t="shared" si="6"/>
        <v>5</v>
      </c>
      <c r="AB14" s="17">
        <f t="shared" si="6"/>
        <v>12</v>
      </c>
      <c r="AC14" s="17">
        <f t="shared" si="6"/>
        <v>941</v>
      </c>
      <c r="AD14" s="17">
        <f t="shared" si="6"/>
        <v>0</v>
      </c>
      <c r="AE14" s="31">
        <f t="shared" si="6"/>
        <v>696</v>
      </c>
      <c r="AF14" s="31">
        <f t="shared" si="6"/>
        <v>1637</v>
      </c>
    </row>
    <row r="15" spans="2:32" ht="23.1" customHeight="1" x14ac:dyDescent="0.25">
      <c r="B15" s="23" t="s">
        <v>42</v>
      </c>
      <c r="C15" s="50">
        <v>120</v>
      </c>
      <c r="D15" s="50">
        <v>17</v>
      </c>
      <c r="E15" s="50">
        <v>11</v>
      </c>
      <c r="F15" s="50">
        <v>83</v>
      </c>
      <c r="G15" s="50">
        <v>1</v>
      </c>
      <c r="H15" s="50">
        <v>0</v>
      </c>
      <c r="I15" s="50">
        <v>17</v>
      </c>
      <c r="J15" s="50">
        <v>11</v>
      </c>
      <c r="K15" s="50">
        <v>3</v>
      </c>
      <c r="L15" s="50">
        <v>2</v>
      </c>
      <c r="M15" s="50">
        <v>315</v>
      </c>
      <c r="N15" s="50">
        <v>0</v>
      </c>
      <c r="O15" s="15">
        <f t="shared" si="0"/>
        <v>265</v>
      </c>
      <c r="P15" s="15">
        <f t="shared" si="1"/>
        <v>580</v>
      </c>
      <c r="R15" s="1" t="s">
        <v>11</v>
      </c>
      <c r="S15" s="17">
        <f t="shared" ref="S15:AF15" si="7">SUM(C30:C33)</f>
        <v>275</v>
      </c>
      <c r="T15" s="17">
        <f t="shared" si="7"/>
        <v>58</v>
      </c>
      <c r="U15" s="17">
        <f t="shared" si="7"/>
        <v>24</v>
      </c>
      <c r="V15" s="17">
        <f t="shared" si="7"/>
        <v>250</v>
      </c>
      <c r="W15" s="17">
        <f t="shared" si="7"/>
        <v>2</v>
      </c>
      <c r="X15" s="17">
        <f t="shared" si="7"/>
        <v>4</v>
      </c>
      <c r="Y15" s="17">
        <f t="shared" si="7"/>
        <v>29</v>
      </c>
      <c r="Z15" s="17">
        <f t="shared" si="7"/>
        <v>20</v>
      </c>
      <c r="AA15" s="17">
        <f t="shared" si="7"/>
        <v>5</v>
      </c>
      <c r="AB15" s="17">
        <f t="shared" si="7"/>
        <v>11</v>
      </c>
      <c r="AC15" s="17">
        <f t="shared" si="7"/>
        <v>770</v>
      </c>
      <c r="AD15" s="17">
        <f t="shared" si="7"/>
        <v>0</v>
      </c>
      <c r="AE15" s="31">
        <f t="shared" si="7"/>
        <v>678</v>
      </c>
      <c r="AF15" s="31">
        <f t="shared" si="7"/>
        <v>1448</v>
      </c>
    </row>
    <row r="16" spans="2:32" ht="23.1" customHeight="1" x14ac:dyDescent="0.25">
      <c r="B16" s="23" t="s">
        <v>43</v>
      </c>
      <c r="C16" s="50">
        <v>143</v>
      </c>
      <c r="D16" s="50">
        <v>11</v>
      </c>
      <c r="E16" s="50">
        <v>3</v>
      </c>
      <c r="F16" s="50">
        <v>78</v>
      </c>
      <c r="G16" s="50">
        <v>1</v>
      </c>
      <c r="H16" s="50">
        <v>0</v>
      </c>
      <c r="I16" s="50">
        <v>4</v>
      </c>
      <c r="J16" s="50">
        <v>7</v>
      </c>
      <c r="K16" s="50">
        <v>5</v>
      </c>
      <c r="L16" s="50">
        <v>4</v>
      </c>
      <c r="M16" s="50">
        <v>390</v>
      </c>
      <c r="N16" s="50">
        <v>0</v>
      </c>
      <c r="O16" s="15">
        <f t="shared" si="0"/>
        <v>256</v>
      </c>
      <c r="P16" s="15">
        <f t="shared" si="1"/>
        <v>646</v>
      </c>
      <c r="R16" s="1" t="s">
        <v>12</v>
      </c>
      <c r="S16" s="17">
        <f t="shared" ref="S16:AF16" si="8">SUM(C34:C37)</f>
        <v>319</v>
      </c>
      <c r="T16" s="17">
        <f t="shared" si="8"/>
        <v>50</v>
      </c>
      <c r="U16" s="17">
        <f t="shared" si="8"/>
        <v>19</v>
      </c>
      <c r="V16" s="17">
        <f t="shared" si="8"/>
        <v>294</v>
      </c>
      <c r="W16" s="17">
        <f t="shared" si="8"/>
        <v>1</v>
      </c>
      <c r="X16" s="17">
        <f t="shared" si="8"/>
        <v>3</v>
      </c>
      <c r="Y16" s="17">
        <f t="shared" si="8"/>
        <v>29</v>
      </c>
      <c r="Z16" s="17">
        <f t="shared" si="8"/>
        <v>16</v>
      </c>
      <c r="AA16" s="17">
        <f t="shared" si="8"/>
        <v>6</v>
      </c>
      <c r="AB16" s="17">
        <f t="shared" si="8"/>
        <v>14</v>
      </c>
      <c r="AC16" s="17">
        <f t="shared" si="8"/>
        <v>882</v>
      </c>
      <c r="AD16" s="17">
        <f t="shared" si="8"/>
        <v>0</v>
      </c>
      <c r="AE16" s="31">
        <f t="shared" si="8"/>
        <v>751</v>
      </c>
      <c r="AF16" s="31">
        <f t="shared" si="8"/>
        <v>1633</v>
      </c>
    </row>
    <row r="17" spans="2:32" ht="23.1" customHeight="1" x14ac:dyDescent="0.25">
      <c r="B17" s="23" t="s">
        <v>44</v>
      </c>
      <c r="C17" s="50">
        <v>118</v>
      </c>
      <c r="D17" s="50">
        <v>11</v>
      </c>
      <c r="E17" s="50">
        <v>5</v>
      </c>
      <c r="F17" s="50">
        <v>55</v>
      </c>
      <c r="G17" s="50">
        <v>0</v>
      </c>
      <c r="H17" s="50">
        <v>0</v>
      </c>
      <c r="I17" s="50">
        <v>7</v>
      </c>
      <c r="J17" s="50">
        <v>7</v>
      </c>
      <c r="K17" s="50">
        <v>3</v>
      </c>
      <c r="L17" s="50">
        <v>0</v>
      </c>
      <c r="M17" s="50">
        <v>407</v>
      </c>
      <c r="N17" s="50">
        <v>0</v>
      </c>
      <c r="O17" s="15">
        <f t="shared" si="0"/>
        <v>206</v>
      </c>
      <c r="P17" s="15">
        <f t="shared" si="1"/>
        <v>613</v>
      </c>
      <c r="R17" s="1" t="s">
        <v>13</v>
      </c>
      <c r="S17" s="17">
        <f t="shared" ref="S17:AF17" si="9">SUM(C38:C41)</f>
        <v>196</v>
      </c>
      <c r="T17" s="17">
        <f t="shared" si="9"/>
        <v>27</v>
      </c>
      <c r="U17" s="17">
        <f t="shared" si="9"/>
        <v>24</v>
      </c>
      <c r="V17" s="17">
        <f t="shared" si="9"/>
        <v>215</v>
      </c>
      <c r="W17" s="17">
        <f t="shared" si="9"/>
        <v>3</v>
      </c>
      <c r="X17" s="17">
        <f t="shared" si="9"/>
        <v>5</v>
      </c>
      <c r="Y17" s="17">
        <f t="shared" si="9"/>
        <v>38</v>
      </c>
      <c r="Z17" s="17">
        <f t="shared" si="9"/>
        <v>22</v>
      </c>
      <c r="AA17" s="17">
        <f t="shared" si="9"/>
        <v>9</v>
      </c>
      <c r="AB17" s="17">
        <f t="shared" si="9"/>
        <v>10</v>
      </c>
      <c r="AC17" s="17">
        <f t="shared" si="9"/>
        <v>941</v>
      </c>
      <c r="AD17" s="17">
        <f t="shared" si="9"/>
        <v>0</v>
      </c>
      <c r="AE17" s="31">
        <f t="shared" si="9"/>
        <v>549</v>
      </c>
      <c r="AF17" s="31">
        <f t="shared" si="9"/>
        <v>1490</v>
      </c>
    </row>
    <row r="18" spans="2:32" ht="23.1" customHeight="1" x14ac:dyDescent="0.25">
      <c r="B18" s="23" t="s">
        <v>45</v>
      </c>
      <c r="C18" s="50">
        <v>115</v>
      </c>
      <c r="D18" s="50">
        <v>7</v>
      </c>
      <c r="E18" s="50">
        <v>4</v>
      </c>
      <c r="F18" s="50">
        <v>78</v>
      </c>
      <c r="G18" s="50">
        <v>4</v>
      </c>
      <c r="H18" s="50">
        <v>1</v>
      </c>
      <c r="I18" s="50">
        <v>9</v>
      </c>
      <c r="J18" s="50">
        <v>8</v>
      </c>
      <c r="K18" s="50">
        <v>0</v>
      </c>
      <c r="L18" s="50">
        <v>4</v>
      </c>
      <c r="M18" s="50">
        <v>405</v>
      </c>
      <c r="N18" s="50">
        <v>0</v>
      </c>
      <c r="O18" s="15">
        <f t="shared" si="0"/>
        <v>230</v>
      </c>
      <c r="P18" s="15">
        <f t="shared" si="1"/>
        <v>635</v>
      </c>
      <c r="R18" s="1" t="s">
        <v>14</v>
      </c>
      <c r="S18" s="17">
        <f t="shared" ref="S18:AF18" si="10">SUM(C42:C45)</f>
        <v>190</v>
      </c>
      <c r="T18" s="17">
        <f t="shared" si="10"/>
        <v>31</v>
      </c>
      <c r="U18" s="17">
        <f t="shared" si="10"/>
        <v>31</v>
      </c>
      <c r="V18" s="17">
        <f t="shared" si="10"/>
        <v>184</v>
      </c>
      <c r="W18" s="17">
        <f t="shared" si="10"/>
        <v>4</v>
      </c>
      <c r="X18" s="17">
        <f t="shared" si="10"/>
        <v>6</v>
      </c>
      <c r="Y18" s="17">
        <f t="shared" si="10"/>
        <v>39</v>
      </c>
      <c r="Z18" s="17">
        <f t="shared" si="10"/>
        <v>23</v>
      </c>
      <c r="AA18" s="17">
        <f t="shared" si="10"/>
        <v>16</v>
      </c>
      <c r="AB18" s="17">
        <f t="shared" si="10"/>
        <v>18</v>
      </c>
      <c r="AC18" s="17">
        <f t="shared" si="10"/>
        <v>849</v>
      </c>
      <c r="AD18" s="17">
        <f t="shared" si="10"/>
        <v>0</v>
      </c>
      <c r="AE18" s="31">
        <f t="shared" si="10"/>
        <v>542</v>
      </c>
      <c r="AF18" s="31">
        <f t="shared" si="10"/>
        <v>1391</v>
      </c>
    </row>
    <row r="19" spans="2:32" ht="23.1" customHeight="1" x14ac:dyDescent="0.25">
      <c r="B19" s="23" t="s">
        <v>46</v>
      </c>
      <c r="C19" s="50">
        <v>110</v>
      </c>
      <c r="D19" s="50">
        <v>10</v>
      </c>
      <c r="E19" s="50">
        <v>16</v>
      </c>
      <c r="F19" s="50">
        <v>78</v>
      </c>
      <c r="G19" s="50">
        <v>10</v>
      </c>
      <c r="H19" s="50">
        <v>0</v>
      </c>
      <c r="I19" s="50">
        <v>13</v>
      </c>
      <c r="J19" s="50">
        <v>6</v>
      </c>
      <c r="K19" s="50">
        <v>5</v>
      </c>
      <c r="L19" s="50">
        <v>4</v>
      </c>
      <c r="M19" s="50">
        <v>265</v>
      </c>
      <c r="N19" s="50">
        <v>0</v>
      </c>
      <c r="O19" s="15">
        <f t="shared" si="0"/>
        <v>252</v>
      </c>
      <c r="P19" s="15">
        <f t="shared" si="1"/>
        <v>517</v>
      </c>
      <c r="R19" s="1" t="s">
        <v>15</v>
      </c>
      <c r="S19" s="17">
        <f t="shared" ref="S19:AF19" si="11">SUM(C46:C49)</f>
        <v>193</v>
      </c>
      <c r="T19" s="17">
        <f t="shared" si="11"/>
        <v>38</v>
      </c>
      <c r="U19" s="17">
        <f t="shared" si="11"/>
        <v>22</v>
      </c>
      <c r="V19" s="17">
        <f t="shared" si="11"/>
        <v>149</v>
      </c>
      <c r="W19" s="17">
        <f t="shared" si="11"/>
        <v>2</v>
      </c>
      <c r="X19" s="17">
        <f t="shared" si="11"/>
        <v>36</v>
      </c>
      <c r="Y19" s="17">
        <f t="shared" si="11"/>
        <v>70</v>
      </c>
      <c r="Z19" s="17">
        <f t="shared" si="11"/>
        <v>61</v>
      </c>
      <c r="AA19" s="17">
        <f t="shared" si="11"/>
        <v>47</v>
      </c>
      <c r="AB19" s="17">
        <f t="shared" si="11"/>
        <v>78</v>
      </c>
      <c r="AC19" s="17">
        <f t="shared" si="11"/>
        <v>730</v>
      </c>
      <c r="AD19" s="17">
        <f t="shared" si="11"/>
        <v>0</v>
      </c>
      <c r="AE19" s="31">
        <f t="shared" si="11"/>
        <v>696</v>
      </c>
      <c r="AF19" s="31">
        <f t="shared" si="11"/>
        <v>1426</v>
      </c>
    </row>
    <row r="20" spans="2:32" ht="23.1" customHeight="1" x14ac:dyDescent="0.25">
      <c r="B20" s="23" t="s">
        <v>47</v>
      </c>
      <c r="C20" s="50">
        <v>107</v>
      </c>
      <c r="D20" s="50">
        <v>11</v>
      </c>
      <c r="E20" s="50">
        <v>7</v>
      </c>
      <c r="F20" s="50">
        <v>81</v>
      </c>
      <c r="G20" s="50">
        <v>1</v>
      </c>
      <c r="H20" s="50">
        <v>0</v>
      </c>
      <c r="I20" s="50">
        <v>2</v>
      </c>
      <c r="J20" s="50">
        <v>3</v>
      </c>
      <c r="K20" s="50">
        <v>1</v>
      </c>
      <c r="L20" s="50">
        <v>1</v>
      </c>
      <c r="M20" s="50">
        <v>245</v>
      </c>
      <c r="N20" s="50">
        <v>0</v>
      </c>
      <c r="O20" s="15">
        <f t="shared" si="0"/>
        <v>214</v>
      </c>
      <c r="P20" s="15">
        <f t="shared" si="1"/>
        <v>459</v>
      </c>
      <c r="R20" s="1" t="s">
        <v>16</v>
      </c>
      <c r="S20" s="17">
        <f t="shared" ref="S20:AF20" si="12">SUM(C50:C53)</f>
        <v>236</v>
      </c>
      <c r="T20" s="17">
        <f t="shared" si="12"/>
        <v>34</v>
      </c>
      <c r="U20" s="17">
        <f t="shared" si="12"/>
        <v>76</v>
      </c>
      <c r="V20" s="17">
        <f t="shared" si="12"/>
        <v>213</v>
      </c>
      <c r="W20" s="17">
        <f t="shared" si="12"/>
        <v>4</v>
      </c>
      <c r="X20" s="17">
        <f t="shared" si="12"/>
        <v>37</v>
      </c>
      <c r="Y20" s="17">
        <f t="shared" si="12"/>
        <v>26</v>
      </c>
      <c r="Z20" s="17">
        <f t="shared" si="12"/>
        <v>43</v>
      </c>
      <c r="AA20" s="17">
        <f t="shared" si="12"/>
        <v>40</v>
      </c>
      <c r="AB20" s="17">
        <f t="shared" si="12"/>
        <v>51</v>
      </c>
      <c r="AC20" s="17">
        <f t="shared" si="12"/>
        <v>674</v>
      </c>
      <c r="AD20" s="17">
        <f t="shared" si="12"/>
        <v>0</v>
      </c>
      <c r="AE20" s="31">
        <f t="shared" si="12"/>
        <v>760</v>
      </c>
      <c r="AF20" s="31">
        <f t="shared" si="12"/>
        <v>1434</v>
      </c>
    </row>
    <row r="21" spans="2:32" ht="23.1" customHeight="1" x14ac:dyDescent="0.25">
      <c r="B21" s="23" t="s">
        <v>48</v>
      </c>
      <c r="C21" s="50">
        <v>110</v>
      </c>
      <c r="D21" s="50">
        <v>15</v>
      </c>
      <c r="E21" s="50">
        <v>5</v>
      </c>
      <c r="F21" s="50">
        <v>71</v>
      </c>
      <c r="G21" s="50">
        <v>1</v>
      </c>
      <c r="H21" s="50">
        <v>2</v>
      </c>
      <c r="I21" s="50">
        <v>6</v>
      </c>
      <c r="J21" s="50">
        <v>7</v>
      </c>
      <c r="K21" s="50">
        <v>1</v>
      </c>
      <c r="L21" s="50">
        <v>1</v>
      </c>
      <c r="M21" s="50">
        <v>300</v>
      </c>
      <c r="N21" s="50">
        <v>0</v>
      </c>
      <c r="O21" s="15">
        <f t="shared" si="0"/>
        <v>219</v>
      </c>
      <c r="P21" s="15">
        <f t="shared" si="1"/>
        <v>519</v>
      </c>
      <c r="R21" s="36" t="s">
        <v>20</v>
      </c>
      <c r="S21" s="34">
        <f t="shared" ref="S21:AF21" si="13">SUM(C54:C57)</f>
        <v>194</v>
      </c>
      <c r="T21" s="17">
        <f t="shared" si="13"/>
        <v>39</v>
      </c>
      <c r="U21" s="17">
        <f t="shared" si="13"/>
        <v>26</v>
      </c>
      <c r="V21" s="17">
        <f t="shared" si="13"/>
        <v>278</v>
      </c>
      <c r="W21" s="17">
        <f t="shared" si="13"/>
        <v>8</v>
      </c>
      <c r="X21" s="17">
        <f t="shared" si="13"/>
        <v>32</v>
      </c>
      <c r="Y21" s="17">
        <f t="shared" si="13"/>
        <v>60</v>
      </c>
      <c r="Z21" s="17">
        <f t="shared" si="13"/>
        <v>62</v>
      </c>
      <c r="AA21" s="17">
        <f t="shared" si="13"/>
        <v>28</v>
      </c>
      <c r="AB21" s="17">
        <f t="shared" si="13"/>
        <v>19</v>
      </c>
      <c r="AC21" s="17">
        <f t="shared" si="13"/>
        <v>628</v>
      </c>
      <c r="AD21" s="17">
        <f t="shared" si="13"/>
        <v>0</v>
      </c>
      <c r="AE21" s="31">
        <f t="shared" si="13"/>
        <v>746</v>
      </c>
      <c r="AF21" s="31">
        <f t="shared" si="13"/>
        <v>1374</v>
      </c>
    </row>
    <row r="22" spans="2:32" ht="23.1" customHeight="1" x14ac:dyDescent="0.25">
      <c r="B22" s="23" t="s">
        <v>49</v>
      </c>
      <c r="C22" s="50">
        <v>96</v>
      </c>
      <c r="D22" s="50">
        <v>11</v>
      </c>
      <c r="E22" s="50">
        <v>6</v>
      </c>
      <c r="F22" s="50">
        <v>108</v>
      </c>
      <c r="G22" s="50">
        <v>0</v>
      </c>
      <c r="H22" s="50">
        <v>1</v>
      </c>
      <c r="I22" s="50">
        <v>9</v>
      </c>
      <c r="J22" s="50">
        <v>4</v>
      </c>
      <c r="K22" s="50">
        <v>4</v>
      </c>
      <c r="L22" s="50">
        <v>1</v>
      </c>
      <c r="M22" s="50">
        <v>342</v>
      </c>
      <c r="N22" s="50">
        <v>0</v>
      </c>
      <c r="O22" s="15">
        <f t="shared" si="0"/>
        <v>240</v>
      </c>
      <c r="P22" s="15">
        <f t="shared" si="1"/>
        <v>582</v>
      </c>
      <c r="R22" s="38" t="s">
        <v>90</v>
      </c>
      <c r="S22" s="39">
        <f>MAX(S10:S12)</f>
        <v>461</v>
      </c>
      <c r="T22" s="39">
        <f t="shared" ref="T22:AF22" si="14">MAX(T10:T12)</f>
        <v>48</v>
      </c>
      <c r="U22" s="39">
        <f t="shared" si="14"/>
        <v>36</v>
      </c>
      <c r="V22" s="39">
        <f t="shared" si="14"/>
        <v>316</v>
      </c>
      <c r="W22" s="39">
        <f t="shared" si="14"/>
        <v>24</v>
      </c>
      <c r="X22" s="39">
        <f t="shared" si="14"/>
        <v>3</v>
      </c>
      <c r="Y22" s="39">
        <f t="shared" si="14"/>
        <v>31</v>
      </c>
      <c r="Z22" s="39">
        <f t="shared" si="14"/>
        <v>32</v>
      </c>
      <c r="AA22" s="39">
        <f t="shared" si="14"/>
        <v>11</v>
      </c>
      <c r="AB22" s="39">
        <f t="shared" si="14"/>
        <v>10</v>
      </c>
      <c r="AC22" s="39">
        <f t="shared" si="14"/>
        <v>1492</v>
      </c>
      <c r="AD22" s="39">
        <f t="shared" si="14"/>
        <v>0</v>
      </c>
      <c r="AE22" s="40">
        <f t="shared" si="14"/>
        <v>937</v>
      </c>
      <c r="AF22" s="40">
        <f t="shared" si="14"/>
        <v>2429</v>
      </c>
    </row>
    <row r="23" spans="2:32" ht="23.1" customHeight="1" x14ac:dyDescent="0.25">
      <c r="B23" s="23" t="s">
        <v>50</v>
      </c>
      <c r="C23" s="50">
        <v>95</v>
      </c>
      <c r="D23" s="50">
        <v>8</v>
      </c>
      <c r="E23" s="50">
        <v>1</v>
      </c>
      <c r="F23" s="50">
        <v>82</v>
      </c>
      <c r="G23" s="50">
        <v>2</v>
      </c>
      <c r="H23" s="50">
        <v>0</v>
      </c>
      <c r="I23" s="50">
        <v>8</v>
      </c>
      <c r="J23" s="50">
        <v>4</v>
      </c>
      <c r="K23" s="50">
        <v>1</v>
      </c>
      <c r="L23" s="50">
        <v>1</v>
      </c>
      <c r="M23" s="50">
        <v>385</v>
      </c>
      <c r="N23" s="50">
        <v>0</v>
      </c>
      <c r="O23" s="15">
        <f t="shared" si="0"/>
        <v>202</v>
      </c>
      <c r="P23" s="15">
        <f t="shared" si="1"/>
        <v>587</v>
      </c>
      <c r="R23" s="38" t="s">
        <v>91</v>
      </c>
      <c r="S23" s="39">
        <f>MAX(S13:S18)</f>
        <v>371</v>
      </c>
      <c r="T23" s="39">
        <f t="shared" ref="T23:AF23" si="15">MAX(T13:T18)</f>
        <v>59</v>
      </c>
      <c r="U23" s="39">
        <f t="shared" si="15"/>
        <v>31</v>
      </c>
      <c r="V23" s="39">
        <f t="shared" si="15"/>
        <v>334</v>
      </c>
      <c r="W23" s="39">
        <f t="shared" si="15"/>
        <v>5</v>
      </c>
      <c r="X23" s="39">
        <f t="shared" si="15"/>
        <v>6</v>
      </c>
      <c r="Y23" s="39">
        <f t="shared" si="15"/>
        <v>39</v>
      </c>
      <c r="Z23" s="39">
        <f t="shared" si="15"/>
        <v>23</v>
      </c>
      <c r="AA23" s="39">
        <f t="shared" si="15"/>
        <v>16</v>
      </c>
      <c r="AB23" s="39">
        <f t="shared" si="15"/>
        <v>18</v>
      </c>
      <c r="AC23" s="39">
        <f t="shared" si="15"/>
        <v>1339</v>
      </c>
      <c r="AD23" s="39">
        <f t="shared" si="15"/>
        <v>0</v>
      </c>
      <c r="AE23" s="40">
        <f t="shared" si="15"/>
        <v>841</v>
      </c>
      <c r="AF23" s="40">
        <f t="shared" si="15"/>
        <v>2180</v>
      </c>
    </row>
    <row r="24" spans="2:32" ht="23.1" customHeight="1" x14ac:dyDescent="0.25">
      <c r="B24" s="23" t="s">
        <v>51</v>
      </c>
      <c r="C24" s="50">
        <v>105</v>
      </c>
      <c r="D24" s="50">
        <v>8</v>
      </c>
      <c r="E24" s="50">
        <v>7</v>
      </c>
      <c r="F24" s="50">
        <v>75</v>
      </c>
      <c r="G24" s="50">
        <v>3</v>
      </c>
      <c r="H24" s="50">
        <v>0</v>
      </c>
      <c r="I24" s="50">
        <v>11</v>
      </c>
      <c r="J24" s="50">
        <v>4</v>
      </c>
      <c r="K24" s="50">
        <v>0</v>
      </c>
      <c r="L24" s="50">
        <v>0</v>
      </c>
      <c r="M24" s="50">
        <v>327</v>
      </c>
      <c r="N24" s="50">
        <v>0</v>
      </c>
      <c r="O24" s="15">
        <f t="shared" si="0"/>
        <v>213</v>
      </c>
      <c r="P24" s="15">
        <f t="shared" si="1"/>
        <v>540</v>
      </c>
      <c r="R24" s="38" t="s">
        <v>92</v>
      </c>
      <c r="S24" s="39">
        <f>MAX(S19:S21)</f>
        <v>236</v>
      </c>
      <c r="T24" s="39">
        <f t="shared" ref="T24:AF24" si="16">MAX(T19:T21)</f>
        <v>39</v>
      </c>
      <c r="U24" s="39">
        <f t="shared" si="16"/>
        <v>76</v>
      </c>
      <c r="V24" s="39">
        <f t="shared" si="16"/>
        <v>278</v>
      </c>
      <c r="W24" s="39">
        <f t="shared" si="16"/>
        <v>8</v>
      </c>
      <c r="X24" s="39">
        <f t="shared" si="16"/>
        <v>37</v>
      </c>
      <c r="Y24" s="39">
        <f t="shared" si="16"/>
        <v>70</v>
      </c>
      <c r="Z24" s="39">
        <f t="shared" si="16"/>
        <v>62</v>
      </c>
      <c r="AA24" s="39">
        <f t="shared" si="16"/>
        <v>47</v>
      </c>
      <c r="AB24" s="39">
        <f t="shared" si="16"/>
        <v>78</v>
      </c>
      <c r="AC24" s="39">
        <f t="shared" si="16"/>
        <v>730</v>
      </c>
      <c r="AD24" s="39">
        <f t="shared" si="16"/>
        <v>0</v>
      </c>
      <c r="AE24" s="40">
        <f t="shared" si="16"/>
        <v>760</v>
      </c>
      <c r="AF24" s="40">
        <f t="shared" si="16"/>
        <v>1434</v>
      </c>
    </row>
    <row r="25" spans="2:32" ht="23.1" customHeight="1" x14ac:dyDescent="0.25">
      <c r="B25" s="23" t="s">
        <v>52</v>
      </c>
      <c r="C25" s="50">
        <v>75</v>
      </c>
      <c r="D25" s="50">
        <v>12</v>
      </c>
      <c r="E25" s="50">
        <v>11</v>
      </c>
      <c r="F25" s="50">
        <v>69</v>
      </c>
      <c r="G25" s="50">
        <v>0</v>
      </c>
      <c r="H25" s="50">
        <v>0</v>
      </c>
      <c r="I25" s="50">
        <v>7</v>
      </c>
      <c r="J25" s="50">
        <v>10</v>
      </c>
      <c r="K25" s="50">
        <v>1</v>
      </c>
      <c r="L25" s="50">
        <v>1</v>
      </c>
      <c r="M25" s="50">
        <v>285</v>
      </c>
      <c r="N25" s="50">
        <v>0</v>
      </c>
      <c r="O25" s="15">
        <f t="shared" si="0"/>
        <v>186</v>
      </c>
      <c r="P25" s="15">
        <f t="shared" si="1"/>
        <v>471</v>
      </c>
      <c r="R25" s="37" t="s">
        <v>85</v>
      </c>
      <c r="S25" s="35">
        <f t="shared" ref="S25:AF25" si="17">SUM(S10:S12)</f>
        <v>1294</v>
      </c>
      <c r="T25" s="16">
        <f t="shared" si="17"/>
        <v>135</v>
      </c>
      <c r="U25" s="16">
        <f t="shared" si="17"/>
        <v>89</v>
      </c>
      <c r="V25" s="16">
        <f t="shared" si="17"/>
        <v>877</v>
      </c>
      <c r="W25" s="16">
        <f t="shared" si="17"/>
        <v>47</v>
      </c>
      <c r="X25" s="16">
        <f t="shared" si="17"/>
        <v>6</v>
      </c>
      <c r="Y25" s="16">
        <f t="shared" si="17"/>
        <v>90</v>
      </c>
      <c r="Z25" s="16">
        <f t="shared" si="17"/>
        <v>78</v>
      </c>
      <c r="AA25" s="16">
        <f t="shared" si="17"/>
        <v>20</v>
      </c>
      <c r="AB25" s="16">
        <f t="shared" si="17"/>
        <v>22</v>
      </c>
      <c r="AC25" s="16">
        <f t="shared" si="17"/>
        <v>3786</v>
      </c>
      <c r="AD25" s="16">
        <f t="shared" si="17"/>
        <v>0</v>
      </c>
      <c r="AE25" s="32">
        <f t="shared" si="17"/>
        <v>2658</v>
      </c>
      <c r="AF25" s="32">
        <f t="shared" si="17"/>
        <v>6444</v>
      </c>
    </row>
    <row r="26" spans="2:32" ht="23.1" customHeight="1" x14ac:dyDescent="0.25">
      <c r="B26" s="23" t="s">
        <v>53</v>
      </c>
      <c r="C26" s="50">
        <v>84</v>
      </c>
      <c r="D26" s="50">
        <v>16</v>
      </c>
      <c r="E26" s="50">
        <v>5</v>
      </c>
      <c r="F26" s="50">
        <v>67</v>
      </c>
      <c r="G26" s="50">
        <v>1</v>
      </c>
      <c r="H26" s="50">
        <v>1</v>
      </c>
      <c r="I26" s="50">
        <v>10</v>
      </c>
      <c r="J26" s="50">
        <v>1</v>
      </c>
      <c r="K26" s="50">
        <v>1</v>
      </c>
      <c r="L26" s="50">
        <v>2</v>
      </c>
      <c r="M26" s="50">
        <v>261</v>
      </c>
      <c r="N26" s="50">
        <v>0</v>
      </c>
      <c r="O26" s="15">
        <f t="shared" si="0"/>
        <v>188</v>
      </c>
      <c r="P26" s="15">
        <f t="shared" si="1"/>
        <v>449</v>
      </c>
      <c r="R26" s="28" t="s">
        <v>86</v>
      </c>
      <c r="S26" s="16">
        <f t="shared" ref="S26:AF26" si="18">SUM(S13:S18)</f>
        <v>1636</v>
      </c>
      <c r="T26" s="16">
        <f t="shared" si="18"/>
        <v>264</v>
      </c>
      <c r="U26" s="16">
        <f t="shared" si="18"/>
        <v>140</v>
      </c>
      <c r="V26" s="16">
        <f t="shared" si="18"/>
        <v>1537</v>
      </c>
      <c r="W26" s="16">
        <f t="shared" si="18"/>
        <v>18</v>
      </c>
      <c r="X26" s="16">
        <f t="shared" si="18"/>
        <v>21</v>
      </c>
      <c r="Y26" s="16">
        <f t="shared" si="18"/>
        <v>204</v>
      </c>
      <c r="Z26" s="16">
        <f t="shared" si="18"/>
        <v>122</v>
      </c>
      <c r="AA26" s="16">
        <f t="shared" si="18"/>
        <v>47</v>
      </c>
      <c r="AB26" s="16">
        <f t="shared" si="18"/>
        <v>68</v>
      </c>
      <c r="AC26" s="16">
        <f t="shared" si="18"/>
        <v>5722</v>
      </c>
      <c r="AD26" s="16">
        <f t="shared" si="18"/>
        <v>0</v>
      </c>
      <c r="AE26" s="32">
        <f t="shared" si="18"/>
        <v>4057</v>
      </c>
      <c r="AF26" s="32">
        <f t="shared" si="18"/>
        <v>9779</v>
      </c>
    </row>
    <row r="27" spans="2:32" ht="23.1" customHeight="1" x14ac:dyDescent="0.25">
      <c r="B27" s="23" t="s">
        <v>54</v>
      </c>
      <c r="C27" s="50">
        <v>70</v>
      </c>
      <c r="D27" s="50">
        <v>17</v>
      </c>
      <c r="E27" s="50">
        <v>6</v>
      </c>
      <c r="F27" s="50">
        <v>65</v>
      </c>
      <c r="G27" s="50">
        <v>1</v>
      </c>
      <c r="H27" s="50">
        <v>0</v>
      </c>
      <c r="I27" s="50">
        <v>7</v>
      </c>
      <c r="J27" s="50">
        <v>3</v>
      </c>
      <c r="K27" s="50">
        <v>0</v>
      </c>
      <c r="L27" s="50">
        <v>2</v>
      </c>
      <c r="M27" s="50">
        <v>290</v>
      </c>
      <c r="N27" s="50">
        <v>0</v>
      </c>
      <c r="O27" s="15">
        <f t="shared" si="0"/>
        <v>171</v>
      </c>
      <c r="P27" s="15">
        <f t="shared" si="1"/>
        <v>461</v>
      </c>
      <c r="R27" s="29" t="s">
        <v>87</v>
      </c>
      <c r="S27" s="16">
        <f t="shared" ref="S27:AF27" si="19">SUM(S19:S21)</f>
        <v>623</v>
      </c>
      <c r="T27" s="16">
        <f t="shared" si="19"/>
        <v>111</v>
      </c>
      <c r="U27" s="16">
        <f t="shared" si="19"/>
        <v>124</v>
      </c>
      <c r="V27" s="16">
        <f t="shared" si="19"/>
        <v>640</v>
      </c>
      <c r="W27" s="16">
        <f t="shared" si="19"/>
        <v>14</v>
      </c>
      <c r="X27" s="16">
        <f t="shared" si="19"/>
        <v>105</v>
      </c>
      <c r="Y27" s="16">
        <f t="shared" si="19"/>
        <v>156</v>
      </c>
      <c r="Z27" s="16">
        <f t="shared" si="19"/>
        <v>166</v>
      </c>
      <c r="AA27" s="16">
        <f t="shared" si="19"/>
        <v>115</v>
      </c>
      <c r="AB27" s="16">
        <f t="shared" si="19"/>
        <v>148</v>
      </c>
      <c r="AC27" s="16">
        <f t="shared" si="19"/>
        <v>2032</v>
      </c>
      <c r="AD27" s="16">
        <f t="shared" si="19"/>
        <v>0</v>
      </c>
      <c r="AE27" s="32">
        <f t="shared" si="19"/>
        <v>2202</v>
      </c>
      <c r="AF27" s="32">
        <f t="shared" si="19"/>
        <v>4234</v>
      </c>
    </row>
    <row r="28" spans="2:32" ht="23.1" customHeight="1" x14ac:dyDescent="0.25">
      <c r="B28" s="23" t="s">
        <v>55</v>
      </c>
      <c r="C28" s="50">
        <v>81</v>
      </c>
      <c r="D28" s="50">
        <v>15</v>
      </c>
      <c r="E28" s="50">
        <v>4</v>
      </c>
      <c r="F28" s="50">
        <v>85</v>
      </c>
      <c r="G28" s="50">
        <v>1</v>
      </c>
      <c r="H28" s="50">
        <v>0</v>
      </c>
      <c r="I28" s="50">
        <v>6</v>
      </c>
      <c r="J28" s="50">
        <v>10</v>
      </c>
      <c r="K28" s="50">
        <v>2</v>
      </c>
      <c r="L28" s="50">
        <v>4</v>
      </c>
      <c r="M28" s="50">
        <v>225</v>
      </c>
      <c r="N28" s="50">
        <v>0</v>
      </c>
      <c r="O28" s="15">
        <f t="shared" si="0"/>
        <v>208</v>
      </c>
      <c r="P28" s="15">
        <f t="shared" si="1"/>
        <v>433</v>
      </c>
      <c r="R28" s="5" t="s">
        <v>17</v>
      </c>
      <c r="S28" s="16">
        <f t="shared" ref="S28:AF28" si="20">SUM(S10:S21)</f>
        <v>3553</v>
      </c>
      <c r="T28" s="16">
        <f t="shared" si="20"/>
        <v>510</v>
      </c>
      <c r="U28" s="16">
        <f t="shared" si="20"/>
        <v>353</v>
      </c>
      <c r="V28" s="16">
        <f t="shared" si="20"/>
        <v>3054</v>
      </c>
      <c r="W28" s="16">
        <f t="shared" si="20"/>
        <v>79</v>
      </c>
      <c r="X28" s="16">
        <f t="shared" si="20"/>
        <v>132</v>
      </c>
      <c r="Y28" s="16">
        <f t="shared" si="20"/>
        <v>450</v>
      </c>
      <c r="Z28" s="16">
        <f t="shared" si="20"/>
        <v>366</v>
      </c>
      <c r="AA28" s="16">
        <f t="shared" si="20"/>
        <v>182</v>
      </c>
      <c r="AB28" s="16">
        <f t="shared" si="20"/>
        <v>238</v>
      </c>
      <c r="AC28" s="16">
        <f t="shared" si="20"/>
        <v>11540</v>
      </c>
      <c r="AD28" s="16">
        <f t="shared" si="20"/>
        <v>0</v>
      </c>
      <c r="AE28" s="32">
        <f t="shared" si="20"/>
        <v>8917</v>
      </c>
      <c r="AF28" s="32">
        <f t="shared" si="20"/>
        <v>20457</v>
      </c>
    </row>
    <row r="29" spans="2:32" ht="23.1" customHeight="1" x14ac:dyDescent="0.25">
      <c r="B29" s="23" t="s">
        <v>56</v>
      </c>
      <c r="C29" s="50">
        <v>50</v>
      </c>
      <c r="D29" s="50">
        <v>11</v>
      </c>
      <c r="E29" s="50">
        <v>2</v>
      </c>
      <c r="F29" s="50">
        <v>43</v>
      </c>
      <c r="G29" s="50">
        <v>0</v>
      </c>
      <c r="H29" s="50">
        <v>1</v>
      </c>
      <c r="I29" s="50">
        <v>11</v>
      </c>
      <c r="J29" s="50">
        <v>5</v>
      </c>
      <c r="K29" s="50">
        <v>2</v>
      </c>
      <c r="L29" s="50">
        <v>4</v>
      </c>
      <c r="M29" s="50">
        <v>165</v>
      </c>
      <c r="N29" s="50">
        <v>0</v>
      </c>
      <c r="O29" s="15">
        <f t="shared" si="0"/>
        <v>129</v>
      </c>
      <c r="P29" s="15">
        <f t="shared" si="1"/>
        <v>294</v>
      </c>
      <c r="R29"/>
      <c r="S29" s="20"/>
      <c r="T29" s="19"/>
    </row>
    <row r="30" spans="2:32" ht="23.1" customHeight="1" x14ac:dyDescent="0.25">
      <c r="B30" s="23" t="s">
        <v>57</v>
      </c>
      <c r="C30" s="50">
        <v>60</v>
      </c>
      <c r="D30" s="50">
        <v>10</v>
      </c>
      <c r="E30" s="50">
        <v>4</v>
      </c>
      <c r="F30" s="50">
        <v>71</v>
      </c>
      <c r="G30" s="50">
        <v>1</v>
      </c>
      <c r="H30" s="50">
        <v>1</v>
      </c>
      <c r="I30" s="50">
        <v>6</v>
      </c>
      <c r="J30" s="50">
        <v>5</v>
      </c>
      <c r="K30" s="50">
        <v>1</v>
      </c>
      <c r="L30" s="50">
        <v>3</v>
      </c>
      <c r="M30" s="50">
        <v>265</v>
      </c>
      <c r="N30" s="50">
        <v>0</v>
      </c>
      <c r="O30" s="15">
        <f t="shared" si="0"/>
        <v>162</v>
      </c>
      <c r="P30" s="15">
        <f t="shared" si="1"/>
        <v>427</v>
      </c>
    </row>
    <row r="31" spans="2:32" ht="23.1" customHeight="1" x14ac:dyDescent="0.25">
      <c r="B31" s="24" t="s">
        <v>58</v>
      </c>
      <c r="C31" s="50">
        <v>67</v>
      </c>
      <c r="D31" s="50">
        <v>22</v>
      </c>
      <c r="E31" s="50">
        <v>5</v>
      </c>
      <c r="F31" s="50">
        <v>67</v>
      </c>
      <c r="G31" s="50">
        <v>1</v>
      </c>
      <c r="H31" s="50">
        <v>1</v>
      </c>
      <c r="I31" s="50">
        <v>3</v>
      </c>
      <c r="J31" s="50">
        <v>4</v>
      </c>
      <c r="K31" s="50">
        <v>0</v>
      </c>
      <c r="L31" s="50">
        <v>4</v>
      </c>
      <c r="M31" s="50">
        <v>195</v>
      </c>
      <c r="N31" s="50">
        <v>0</v>
      </c>
      <c r="O31" s="15">
        <f t="shared" si="0"/>
        <v>174</v>
      </c>
      <c r="P31" s="15">
        <f t="shared" si="1"/>
        <v>369</v>
      </c>
    </row>
    <row r="32" spans="2:32" ht="23.1" customHeight="1" x14ac:dyDescent="0.25">
      <c r="B32" s="24" t="s">
        <v>59</v>
      </c>
      <c r="C32" s="50">
        <v>75</v>
      </c>
      <c r="D32" s="50">
        <v>15</v>
      </c>
      <c r="E32" s="50">
        <v>6</v>
      </c>
      <c r="F32" s="50">
        <v>48</v>
      </c>
      <c r="G32" s="50">
        <v>0</v>
      </c>
      <c r="H32" s="50">
        <v>1</v>
      </c>
      <c r="I32" s="50">
        <v>10</v>
      </c>
      <c r="J32" s="50">
        <v>5</v>
      </c>
      <c r="K32" s="50">
        <v>1</v>
      </c>
      <c r="L32" s="50">
        <v>3</v>
      </c>
      <c r="M32" s="50">
        <v>160</v>
      </c>
      <c r="N32" s="50">
        <v>0</v>
      </c>
      <c r="O32" s="15">
        <f t="shared" si="0"/>
        <v>164</v>
      </c>
      <c r="P32" s="15">
        <f t="shared" si="1"/>
        <v>324</v>
      </c>
    </row>
    <row r="33" spans="2:20" ht="23.1" customHeight="1" x14ac:dyDescent="0.25">
      <c r="B33" s="23" t="s">
        <v>60</v>
      </c>
      <c r="C33" s="50">
        <v>73</v>
      </c>
      <c r="D33" s="50">
        <v>11</v>
      </c>
      <c r="E33" s="50">
        <v>9</v>
      </c>
      <c r="F33" s="50">
        <v>64</v>
      </c>
      <c r="G33" s="50">
        <v>0</v>
      </c>
      <c r="H33" s="50">
        <v>1</v>
      </c>
      <c r="I33" s="50">
        <v>10</v>
      </c>
      <c r="J33" s="50">
        <v>6</v>
      </c>
      <c r="K33" s="50">
        <v>3</v>
      </c>
      <c r="L33" s="50">
        <v>1</v>
      </c>
      <c r="M33" s="50">
        <v>150</v>
      </c>
      <c r="N33" s="50">
        <v>0</v>
      </c>
      <c r="O33" s="15">
        <f t="shared" si="0"/>
        <v>178</v>
      </c>
      <c r="P33" s="15">
        <f t="shared" si="1"/>
        <v>328</v>
      </c>
    </row>
    <row r="34" spans="2:20" ht="23.1" customHeight="1" x14ac:dyDescent="0.25">
      <c r="B34" s="24" t="s">
        <v>61</v>
      </c>
      <c r="C34" s="50">
        <v>83</v>
      </c>
      <c r="D34" s="50">
        <v>8</v>
      </c>
      <c r="E34" s="50">
        <v>7</v>
      </c>
      <c r="F34" s="50">
        <v>78</v>
      </c>
      <c r="G34" s="50">
        <v>0</v>
      </c>
      <c r="H34" s="50">
        <v>0</v>
      </c>
      <c r="I34" s="50">
        <v>8</v>
      </c>
      <c r="J34" s="50">
        <v>4</v>
      </c>
      <c r="K34" s="50">
        <v>1</v>
      </c>
      <c r="L34" s="50">
        <v>6</v>
      </c>
      <c r="M34" s="50">
        <v>125</v>
      </c>
      <c r="N34" s="50">
        <v>0</v>
      </c>
      <c r="O34" s="15">
        <f t="shared" si="0"/>
        <v>195</v>
      </c>
      <c r="P34" s="15">
        <f t="shared" si="1"/>
        <v>320</v>
      </c>
    </row>
    <row r="35" spans="2:20" ht="23.1" customHeight="1" x14ac:dyDescent="0.25">
      <c r="B35" s="24" t="s">
        <v>62</v>
      </c>
      <c r="C35" s="50">
        <v>78</v>
      </c>
      <c r="D35" s="50">
        <v>28</v>
      </c>
      <c r="E35" s="50">
        <v>3</v>
      </c>
      <c r="F35" s="50">
        <v>68</v>
      </c>
      <c r="G35" s="50">
        <v>1</v>
      </c>
      <c r="H35" s="50">
        <v>2</v>
      </c>
      <c r="I35" s="50">
        <v>5</v>
      </c>
      <c r="J35" s="50">
        <v>4</v>
      </c>
      <c r="K35" s="50">
        <v>0</v>
      </c>
      <c r="L35" s="50">
        <v>6</v>
      </c>
      <c r="M35" s="50">
        <v>257</v>
      </c>
      <c r="N35" s="50">
        <v>0</v>
      </c>
      <c r="O35" s="15">
        <f t="shared" si="0"/>
        <v>195</v>
      </c>
      <c r="P35" s="15">
        <f t="shared" si="1"/>
        <v>452</v>
      </c>
    </row>
    <row r="36" spans="2:20" ht="23.1" customHeight="1" x14ac:dyDescent="0.25">
      <c r="B36" s="24" t="s">
        <v>63</v>
      </c>
      <c r="C36" s="50">
        <v>85</v>
      </c>
      <c r="D36" s="50">
        <v>12</v>
      </c>
      <c r="E36" s="50">
        <v>4</v>
      </c>
      <c r="F36" s="50">
        <v>100</v>
      </c>
      <c r="G36" s="50">
        <v>0</v>
      </c>
      <c r="H36" s="50">
        <v>1</v>
      </c>
      <c r="I36" s="50">
        <v>8</v>
      </c>
      <c r="J36" s="50">
        <v>3</v>
      </c>
      <c r="K36" s="50">
        <v>4</v>
      </c>
      <c r="L36" s="50">
        <v>2</v>
      </c>
      <c r="M36" s="50">
        <v>295</v>
      </c>
      <c r="N36" s="50">
        <v>0</v>
      </c>
      <c r="O36" s="15">
        <f t="shared" si="0"/>
        <v>219</v>
      </c>
      <c r="P36" s="15">
        <f t="shared" si="1"/>
        <v>514</v>
      </c>
    </row>
    <row r="37" spans="2:20" ht="23.1" customHeight="1" x14ac:dyDescent="0.25">
      <c r="B37" s="23" t="s">
        <v>64</v>
      </c>
      <c r="C37" s="50">
        <v>73</v>
      </c>
      <c r="D37" s="50">
        <v>2</v>
      </c>
      <c r="E37" s="50">
        <v>5</v>
      </c>
      <c r="F37" s="50">
        <v>48</v>
      </c>
      <c r="G37" s="50">
        <v>0</v>
      </c>
      <c r="H37" s="50">
        <v>0</v>
      </c>
      <c r="I37" s="50">
        <v>8</v>
      </c>
      <c r="J37" s="50">
        <v>5</v>
      </c>
      <c r="K37" s="50">
        <v>1</v>
      </c>
      <c r="L37" s="50">
        <v>0</v>
      </c>
      <c r="M37" s="50">
        <v>205</v>
      </c>
      <c r="N37" s="50">
        <v>0</v>
      </c>
      <c r="O37" s="15">
        <f t="shared" si="0"/>
        <v>142</v>
      </c>
      <c r="P37" s="15">
        <f t="shared" si="1"/>
        <v>347</v>
      </c>
    </row>
    <row r="38" spans="2:20" ht="23.1" customHeight="1" x14ac:dyDescent="0.25">
      <c r="B38" s="24" t="s">
        <v>65</v>
      </c>
      <c r="C38" s="50">
        <v>63</v>
      </c>
      <c r="D38" s="50">
        <v>3</v>
      </c>
      <c r="E38" s="50">
        <v>5</v>
      </c>
      <c r="F38" s="50">
        <v>33</v>
      </c>
      <c r="G38" s="50">
        <v>3</v>
      </c>
      <c r="H38" s="50">
        <v>1</v>
      </c>
      <c r="I38" s="50">
        <v>14</v>
      </c>
      <c r="J38" s="50">
        <v>10</v>
      </c>
      <c r="K38" s="50">
        <v>4</v>
      </c>
      <c r="L38" s="50">
        <v>2</v>
      </c>
      <c r="M38" s="50">
        <v>162</v>
      </c>
      <c r="N38" s="50">
        <v>0</v>
      </c>
      <c r="O38" s="15">
        <f t="shared" si="0"/>
        <v>138</v>
      </c>
      <c r="P38" s="15">
        <f t="shared" si="1"/>
        <v>300</v>
      </c>
    </row>
    <row r="39" spans="2:20" ht="23.1" customHeight="1" x14ac:dyDescent="0.25">
      <c r="B39" s="24" t="s">
        <v>66</v>
      </c>
      <c r="C39" s="50">
        <v>40</v>
      </c>
      <c r="D39" s="50">
        <v>8</v>
      </c>
      <c r="E39" s="50">
        <v>4</v>
      </c>
      <c r="F39" s="50">
        <v>79</v>
      </c>
      <c r="G39" s="50">
        <v>0</v>
      </c>
      <c r="H39" s="50">
        <v>1</v>
      </c>
      <c r="I39" s="50">
        <v>7</v>
      </c>
      <c r="J39" s="50">
        <v>3</v>
      </c>
      <c r="K39" s="50">
        <v>0</v>
      </c>
      <c r="L39" s="50">
        <v>3</v>
      </c>
      <c r="M39" s="50">
        <v>216</v>
      </c>
      <c r="N39" s="50">
        <v>0</v>
      </c>
      <c r="O39" s="15">
        <f t="shared" si="0"/>
        <v>145</v>
      </c>
      <c r="P39" s="15">
        <f t="shared" si="1"/>
        <v>361</v>
      </c>
    </row>
    <row r="40" spans="2:20" ht="23.1" customHeight="1" x14ac:dyDescent="0.25">
      <c r="B40" s="24" t="s">
        <v>67</v>
      </c>
      <c r="C40" s="50">
        <v>43</v>
      </c>
      <c r="D40" s="50">
        <v>7</v>
      </c>
      <c r="E40" s="50">
        <v>5</v>
      </c>
      <c r="F40" s="50">
        <v>57</v>
      </c>
      <c r="G40" s="50">
        <v>0</v>
      </c>
      <c r="H40" s="50">
        <v>1</v>
      </c>
      <c r="I40" s="50">
        <v>7</v>
      </c>
      <c r="J40" s="50">
        <v>4</v>
      </c>
      <c r="K40" s="50">
        <v>3</v>
      </c>
      <c r="L40" s="50">
        <v>5</v>
      </c>
      <c r="M40" s="50">
        <v>295</v>
      </c>
      <c r="N40" s="50">
        <v>0</v>
      </c>
      <c r="O40" s="15">
        <f t="shared" si="0"/>
        <v>132</v>
      </c>
      <c r="P40" s="15">
        <f t="shared" si="1"/>
        <v>427</v>
      </c>
    </row>
    <row r="41" spans="2:20" ht="23.1" customHeight="1" x14ac:dyDescent="0.25">
      <c r="B41" s="23" t="s">
        <v>68</v>
      </c>
      <c r="C41" s="50">
        <v>50</v>
      </c>
      <c r="D41" s="50">
        <v>9</v>
      </c>
      <c r="E41" s="50">
        <v>10</v>
      </c>
      <c r="F41" s="50">
        <v>46</v>
      </c>
      <c r="G41" s="50">
        <v>0</v>
      </c>
      <c r="H41" s="50">
        <v>2</v>
      </c>
      <c r="I41" s="50">
        <v>10</v>
      </c>
      <c r="J41" s="50">
        <v>5</v>
      </c>
      <c r="K41" s="50">
        <v>2</v>
      </c>
      <c r="L41" s="50">
        <v>0</v>
      </c>
      <c r="M41" s="50">
        <v>268</v>
      </c>
      <c r="N41" s="50">
        <v>0</v>
      </c>
      <c r="O41" s="15">
        <f t="shared" si="0"/>
        <v>134</v>
      </c>
      <c r="P41" s="15">
        <f t="shared" si="1"/>
        <v>402</v>
      </c>
    </row>
    <row r="42" spans="2:20" ht="23.1" customHeight="1" x14ac:dyDescent="0.25">
      <c r="B42" s="24" t="s">
        <v>69</v>
      </c>
      <c r="C42" s="50">
        <v>36</v>
      </c>
      <c r="D42" s="50">
        <v>7</v>
      </c>
      <c r="E42" s="50">
        <v>2</v>
      </c>
      <c r="F42" s="50">
        <v>49</v>
      </c>
      <c r="G42" s="50">
        <v>0</v>
      </c>
      <c r="H42" s="50">
        <v>2</v>
      </c>
      <c r="I42" s="50">
        <v>8</v>
      </c>
      <c r="J42" s="50">
        <v>6</v>
      </c>
      <c r="K42" s="50">
        <v>1</v>
      </c>
      <c r="L42" s="50">
        <v>0</v>
      </c>
      <c r="M42" s="50">
        <v>237</v>
      </c>
      <c r="N42" s="50">
        <v>0</v>
      </c>
      <c r="O42" s="15">
        <f t="shared" si="0"/>
        <v>111</v>
      </c>
      <c r="P42" s="15">
        <f t="shared" si="1"/>
        <v>348</v>
      </c>
    </row>
    <row r="43" spans="2:20" ht="23.1" customHeight="1" x14ac:dyDescent="0.25">
      <c r="B43" s="23" t="s">
        <v>70</v>
      </c>
      <c r="C43" s="50">
        <v>54</v>
      </c>
      <c r="D43" s="50">
        <v>11</v>
      </c>
      <c r="E43" s="50">
        <v>10</v>
      </c>
      <c r="F43" s="50">
        <v>40</v>
      </c>
      <c r="G43" s="50">
        <v>2</v>
      </c>
      <c r="H43" s="50">
        <v>0</v>
      </c>
      <c r="I43" s="50">
        <v>4</v>
      </c>
      <c r="J43" s="50">
        <v>4</v>
      </c>
      <c r="K43" s="50">
        <v>4</v>
      </c>
      <c r="L43" s="50">
        <v>2</v>
      </c>
      <c r="M43" s="50">
        <v>225</v>
      </c>
      <c r="N43" s="50">
        <v>0</v>
      </c>
      <c r="O43" s="15">
        <f t="shared" si="0"/>
        <v>131</v>
      </c>
      <c r="P43" s="15">
        <f t="shared" si="1"/>
        <v>356</v>
      </c>
    </row>
    <row r="44" spans="2:20" ht="23.1" customHeight="1" x14ac:dyDescent="0.25">
      <c r="B44" s="25" t="s">
        <v>71</v>
      </c>
      <c r="C44" s="50">
        <v>60</v>
      </c>
      <c r="D44" s="50">
        <v>5</v>
      </c>
      <c r="E44" s="50">
        <v>9</v>
      </c>
      <c r="F44" s="50">
        <v>50</v>
      </c>
      <c r="G44" s="50">
        <v>0</v>
      </c>
      <c r="H44" s="50">
        <v>3</v>
      </c>
      <c r="I44" s="50">
        <v>17</v>
      </c>
      <c r="J44" s="50">
        <v>8</v>
      </c>
      <c r="K44" s="50">
        <v>6</v>
      </c>
      <c r="L44" s="50">
        <v>9</v>
      </c>
      <c r="M44" s="50">
        <v>247</v>
      </c>
      <c r="N44" s="50">
        <v>0</v>
      </c>
      <c r="O44" s="15">
        <f t="shared" si="0"/>
        <v>167</v>
      </c>
      <c r="P44" s="15">
        <f t="shared" si="1"/>
        <v>414</v>
      </c>
    </row>
    <row r="45" spans="2:20" ht="23.1" customHeight="1" x14ac:dyDescent="0.25">
      <c r="B45" s="23" t="s">
        <v>72</v>
      </c>
      <c r="C45" s="50">
        <v>40</v>
      </c>
      <c r="D45" s="50">
        <v>8</v>
      </c>
      <c r="E45" s="50">
        <v>10</v>
      </c>
      <c r="F45" s="50">
        <v>45</v>
      </c>
      <c r="G45" s="50">
        <v>2</v>
      </c>
      <c r="H45" s="50">
        <v>1</v>
      </c>
      <c r="I45" s="50">
        <v>10</v>
      </c>
      <c r="J45" s="50">
        <v>5</v>
      </c>
      <c r="K45" s="50">
        <v>5</v>
      </c>
      <c r="L45" s="50">
        <v>7</v>
      </c>
      <c r="M45" s="50">
        <v>140</v>
      </c>
      <c r="N45" s="50">
        <v>0</v>
      </c>
      <c r="O45" s="15">
        <f t="shared" si="0"/>
        <v>133</v>
      </c>
      <c r="P45" s="15">
        <f t="shared" si="1"/>
        <v>273</v>
      </c>
    </row>
    <row r="46" spans="2:20" ht="23.1" customHeight="1" x14ac:dyDescent="0.25">
      <c r="B46" s="24" t="s">
        <v>73</v>
      </c>
      <c r="C46" s="50">
        <v>48</v>
      </c>
      <c r="D46" s="50">
        <v>10</v>
      </c>
      <c r="E46" s="50">
        <v>5</v>
      </c>
      <c r="F46" s="50">
        <v>35</v>
      </c>
      <c r="G46" s="50">
        <v>1</v>
      </c>
      <c r="H46" s="50">
        <v>3</v>
      </c>
      <c r="I46" s="50">
        <v>18</v>
      </c>
      <c r="J46" s="50">
        <v>7</v>
      </c>
      <c r="K46" s="50">
        <v>18</v>
      </c>
      <c r="L46" s="50">
        <v>8</v>
      </c>
      <c r="M46" s="50">
        <v>230</v>
      </c>
      <c r="N46" s="50">
        <v>0</v>
      </c>
      <c r="O46" s="15">
        <f t="shared" si="0"/>
        <v>153</v>
      </c>
      <c r="P46" s="15">
        <f t="shared" si="1"/>
        <v>383</v>
      </c>
      <c r="R46" s="8"/>
      <c r="T46"/>
    </row>
    <row r="47" spans="2:20" ht="23.1" customHeight="1" x14ac:dyDescent="0.25">
      <c r="B47" s="24" t="s">
        <v>74</v>
      </c>
      <c r="C47" s="50">
        <v>63</v>
      </c>
      <c r="D47" s="50">
        <v>6</v>
      </c>
      <c r="E47" s="50">
        <v>4</v>
      </c>
      <c r="F47" s="50">
        <v>48</v>
      </c>
      <c r="G47" s="50">
        <v>0</v>
      </c>
      <c r="H47" s="50">
        <v>7</v>
      </c>
      <c r="I47" s="50">
        <v>19</v>
      </c>
      <c r="J47" s="50">
        <v>11</v>
      </c>
      <c r="K47" s="50">
        <v>7</v>
      </c>
      <c r="L47" s="50">
        <v>29</v>
      </c>
      <c r="M47" s="50">
        <v>135</v>
      </c>
      <c r="N47" s="50">
        <v>0</v>
      </c>
      <c r="O47" s="15">
        <f t="shared" si="0"/>
        <v>194</v>
      </c>
      <c r="P47" s="15">
        <f t="shared" si="1"/>
        <v>329</v>
      </c>
      <c r="R47" s="8"/>
      <c r="T47"/>
    </row>
    <row r="48" spans="2:20" ht="23.1" customHeight="1" x14ac:dyDescent="0.25">
      <c r="B48" s="24" t="s">
        <v>75</v>
      </c>
      <c r="C48" s="50">
        <v>32</v>
      </c>
      <c r="D48" s="50">
        <v>12</v>
      </c>
      <c r="E48" s="50">
        <v>4</v>
      </c>
      <c r="F48" s="50">
        <v>31</v>
      </c>
      <c r="G48" s="50">
        <v>0</v>
      </c>
      <c r="H48" s="50">
        <v>16</v>
      </c>
      <c r="I48" s="50">
        <v>23</v>
      </c>
      <c r="J48" s="50">
        <v>21</v>
      </c>
      <c r="K48" s="50">
        <v>13</v>
      </c>
      <c r="L48" s="50">
        <v>30</v>
      </c>
      <c r="M48" s="50">
        <v>205</v>
      </c>
      <c r="N48" s="50">
        <v>0</v>
      </c>
      <c r="O48" s="15">
        <f t="shared" si="0"/>
        <v>182</v>
      </c>
      <c r="P48" s="15">
        <f t="shared" si="1"/>
        <v>387</v>
      </c>
      <c r="R48" s="8"/>
      <c r="T48"/>
    </row>
    <row r="49" spans="2:20" ht="23.1" customHeight="1" x14ac:dyDescent="0.25">
      <c r="B49" s="23" t="s">
        <v>76</v>
      </c>
      <c r="C49" s="50">
        <v>50</v>
      </c>
      <c r="D49" s="50">
        <v>10</v>
      </c>
      <c r="E49" s="50">
        <v>9</v>
      </c>
      <c r="F49" s="50">
        <v>35</v>
      </c>
      <c r="G49" s="50">
        <v>1</v>
      </c>
      <c r="H49" s="50">
        <v>10</v>
      </c>
      <c r="I49" s="50">
        <v>10</v>
      </c>
      <c r="J49" s="50">
        <v>22</v>
      </c>
      <c r="K49" s="50">
        <v>9</v>
      </c>
      <c r="L49" s="50">
        <v>11</v>
      </c>
      <c r="M49" s="50">
        <v>160</v>
      </c>
      <c r="N49" s="50">
        <v>0</v>
      </c>
      <c r="O49" s="15">
        <f t="shared" si="0"/>
        <v>167</v>
      </c>
      <c r="P49" s="15">
        <f t="shared" si="1"/>
        <v>327</v>
      </c>
      <c r="R49" s="8"/>
      <c r="T49"/>
    </row>
    <row r="50" spans="2:20" ht="23.1" customHeight="1" x14ac:dyDescent="0.25">
      <c r="B50" s="24" t="s">
        <v>77</v>
      </c>
      <c r="C50" s="50">
        <v>54</v>
      </c>
      <c r="D50" s="50">
        <v>10</v>
      </c>
      <c r="E50" s="50">
        <v>3</v>
      </c>
      <c r="F50" s="50">
        <v>44</v>
      </c>
      <c r="G50" s="50">
        <v>1</v>
      </c>
      <c r="H50" s="50">
        <v>8</v>
      </c>
      <c r="I50" s="50">
        <v>10</v>
      </c>
      <c r="J50" s="50">
        <v>12</v>
      </c>
      <c r="K50" s="50">
        <v>8</v>
      </c>
      <c r="L50" s="50">
        <v>15</v>
      </c>
      <c r="M50" s="50">
        <v>204</v>
      </c>
      <c r="N50" s="50">
        <v>0</v>
      </c>
      <c r="O50" s="15">
        <f t="shared" si="0"/>
        <v>165</v>
      </c>
      <c r="P50" s="15">
        <f t="shared" si="1"/>
        <v>369</v>
      </c>
      <c r="R50" s="8"/>
      <c r="T50"/>
    </row>
    <row r="51" spans="2:20" ht="23.1" customHeight="1" x14ac:dyDescent="0.25">
      <c r="B51" s="24" t="s">
        <v>78</v>
      </c>
      <c r="C51" s="50">
        <v>60</v>
      </c>
      <c r="D51" s="50">
        <v>6</v>
      </c>
      <c r="E51" s="50">
        <v>61</v>
      </c>
      <c r="F51" s="50">
        <v>57</v>
      </c>
      <c r="G51" s="50">
        <v>1</v>
      </c>
      <c r="H51" s="50">
        <v>5</v>
      </c>
      <c r="I51" s="50">
        <v>4</v>
      </c>
      <c r="J51" s="50">
        <v>6</v>
      </c>
      <c r="K51" s="50">
        <v>12</v>
      </c>
      <c r="L51" s="50">
        <v>13</v>
      </c>
      <c r="M51" s="50">
        <v>210</v>
      </c>
      <c r="N51" s="50">
        <v>0</v>
      </c>
      <c r="O51" s="15">
        <f t="shared" si="0"/>
        <v>225</v>
      </c>
      <c r="P51" s="15">
        <f t="shared" si="1"/>
        <v>435</v>
      </c>
      <c r="R51" s="8"/>
      <c r="T51"/>
    </row>
    <row r="52" spans="2:20" ht="23.1" customHeight="1" x14ac:dyDescent="0.25">
      <c r="B52" s="24" t="s">
        <v>79</v>
      </c>
      <c r="C52" s="50">
        <v>72</v>
      </c>
      <c r="D52" s="50">
        <v>6</v>
      </c>
      <c r="E52" s="50">
        <v>6</v>
      </c>
      <c r="F52" s="50">
        <v>70</v>
      </c>
      <c r="G52" s="50">
        <v>1</v>
      </c>
      <c r="H52" s="50">
        <v>19</v>
      </c>
      <c r="I52" s="50">
        <v>8</v>
      </c>
      <c r="J52" s="50">
        <v>9</v>
      </c>
      <c r="K52" s="50">
        <v>12</v>
      </c>
      <c r="L52" s="50">
        <v>12</v>
      </c>
      <c r="M52" s="50">
        <v>100</v>
      </c>
      <c r="N52" s="50">
        <v>0</v>
      </c>
      <c r="O52" s="15">
        <f t="shared" si="0"/>
        <v>215</v>
      </c>
      <c r="P52" s="15">
        <f t="shared" si="1"/>
        <v>315</v>
      </c>
      <c r="R52" s="8"/>
      <c r="T52"/>
    </row>
    <row r="53" spans="2:20" ht="23.1" customHeight="1" x14ac:dyDescent="0.25">
      <c r="B53" s="23" t="s">
        <v>80</v>
      </c>
      <c r="C53" s="50">
        <v>50</v>
      </c>
      <c r="D53" s="50">
        <v>12</v>
      </c>
      <c r="E53" s="50">
        <v>6</v>
      </c>
      <c r="F53" s="50">
        <v>42</v>
      </c>
      <c r="G53" s="50">
        <v>1</v>
      </c>
      <c r="H53" s="50">
        <v>5</v>
      </c>
      <c r="I53" s="50">
        <v>4</v>
      </c>
      <c r="J53" s="50">
        <v>16</v>
      </c>
      <c r="K53" s="50">
        <v>8</v>
      </c>
      <c r="L53" s="50">
        <v>11</v>
      </c>
      <c r="M53" s="50">
        <v>160</v>
      </c>
      <c r="N53" s="50">
        <v>0</v>
      </c>
      <c r="O53" s="15">
        <f t="shared" si="0"/>
        <v>155</v>
      </c>
      <c r="P53" s="15">
        <f t="shared" si="1"/>
        <v>315</v>
      </c>
      <c r="R53" s="8"/>
      <c r="T53"/>
    </row>
    <row r="54" spans="2:20" ht="23.1" customHeight="1" x14ac:dyDescent="0.25">
      <c r="B54" s="23" t="s">
        <v>81</v>
      </c>
      <c r="C54" s="50">
        <v>56</v>
      </c>
      <c r="D54" s="50">
        <v>10</v>
      </c>
      <c r="E54" s="50">
        <v>7</v>
      </c>
      <c r="F54" s="50">
        <v>82</v>
      </c>
      <c r="G54" s="50">
        <v>2</v>
      </c>
      <c r="H54" s="50">
        <v>8</v>
      </c>
      <c r="I54" s="50">
        <v>7</v>
      </c>
      <c r="J54" s="50">
        <v>10</v>
      </c>
      <c r="K54" s="50">
        <v>3</v>
      </c>
      <c r="L54" s="50">
        <v>2</v>
      </c>
      <c r="M54" s="50">
        <v>134</v>
      </c>
      <c r="N54" s="50">
        <v>0</v>
      </c>
      <c r="O54" s="15">
        <f t="shared" si="0"/>
        <v>187</v>
      </c>
      <c r="P54" s="15">
        <f t="shared" si="1"/>
        <v>321</v>
      </c>
      <c r="R54" s="8"/>
      <c r="T54"/>
    </row>
    <row r="55" spans="2:20" ht="23.1" customHeight="1" x14ac:dyDescent="0.25">
      <c r="B55" s="23" t="s">
        <v>82</v>
      </c>
      <c r="C55" s="50">
        <v>40</v>
      </c>
      <c r="D55" s="50">
        <v>10</v>
      </c>
      <c r="E55" s="50">
        <v>6</v>
      </c>
      <c r="F55" s="50">
        <v>62</v>
      </c>
      <c r="G55" s="50">
        <v>0</v>
      </c>
      <c r="H55" s="50">
        <v>9</v>
      </c>
      <c r="I55" s="50">
        <v>18</v>
      </c>
      <c r="J55" s="50">
        <v>28</v>
      </c>
      <c r="K55" s="50">
        <v>10</v>
      </c>
      <c r="L55" s="50">
        <v>10</v>
      </c>
      <c r="M55" s="50">
        <v>156</v>
      </c>
      <c r="N55" s="50">
        <v>0</v>
      </c>
      <c r="O55" s="15">
        <f t="shared" si="0"/>
        <v>193</v>
      </c>
      <c r="P55" s="15">
        <f t="shared" si="1"/>
        <v>349</v>
      </c>
      <c r="R55" s="8"/>
      <c r="T55"/>
    </row>
    <row r="56" spans="2:20" ht="23.1" customHeight="1" x14ac:dyDescent="0.25">
      <c r="B56" s="23" t="s">
        <v>83</v>
      </c>
      <c r="C56" s="50">
        <v>33</v>
      </c>
      <c r="D56" s="50">
        <v>10</v>
      </c>
      <c r="E56" s="50">
        <v>9</v>
      </c>
      <c r="F56" s="50">
        <v>59</v>
      </c>
      <c r="G56" s="50">
        <v>1</v>
      </c>
      <c r="H56" s="50">
        <v>13</v>
      </c>
      <c r="I56" s="50">
        <v>16</v>
      </c>
      <c r="J56" s="50">
        <v>13</v>
      </c>
      <c r="K56" s="50">
        <v>8</v>
      </c>
      <c r="L56" s="50">
        <v>2</v>
      </c>
      <c r="M56" s="50">
        <v>163</v>
      </c>
      <c r="N56" s="50">
        <v>0</v>
      </c>
      <c r="O56" s="15">
        <f t="shared" si="0"/>
        <v>164</v>
      </c>
      <c r="P56" s="15">
        <f t="shared" si="1"/>
        <v>327</v>
      </c>
      <c r="R56" s="8"/>
      <c r="T56"/>
    </row>
    <row r="57" spans="2:20" ht="23.1" customHeight="1" x14ac:dyDescent="0.25">
      <c r="B57" s="23" t="s">
        <v>84</v>
      </c>
      <c r="C57" s="50">
        <v>65</v>
      </c>
      <c r="D57" s="50">
        <v>9</v>
      </c>
      <c r="E57" s="50">
        <v>4</v>
      </c>
      <c r="F57" s="50">
        <v>75</v>
      </c>
      <c r="G57" s="50">
        <v>5</v>
      </c>
      <c r="H57" s="50">
        <v>2</v>
      </c>
      <c r="I57" s="50">
        <v>19</v>
      </c>
      <c r="J57" s="50">
        <v>11</v>
      </c>
      <c r="K57" s="50">
        <v>7</v>
      </c>
      <c r="L57" s="50">
        <v>5</v>
      </c>
      <c r="M57" s="50">
        <v>175</v>
      </c>
      <c r="N57" s="50">
        <v>0</v>
      </c>
      <c r="O57" s="15">
        <f t="shared" si="0"/>
        <v>202</v>
      </c>
      <c r="P57" s="15">
        <f t="shared" si="1"/>
        <v>377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3553</v>
      </c>
      <c r="D58" s="16">
        <f t="shared" si="21"/>
        <v>510</v>
      </c>
      <c r="E58" s="16">
        <f t="shared" si="21"/>
        <v>353</v>
      </c>
      <c r="F58" s="16">
        <f t="shared" si="21"/>
        <v>3054</v>
      </c>
      <c r="G58" s="16">
        <f t="shared" si="21"/>
        <v>79</v>
      </c>
      <c r="H58" s="16">
        <f t="shared" si="21"/>
        <v>132</v>
      </c>
      <c r="I58" s="16">
        <f t="shared" si="21"/>
        <v>450</v>
      </c>
      <c r="J58" s="16">
        <f t="shared" si="21"/>
        <v>366</v>
      </c>
      <c r="K58" s="16">
        <f t="shared" si="21"/>
        <v>182</v>
      </c>
      <c r="L58" s="16">
        <f t="shared" si="21"/>
        <v>238</v>
      </c>
      <c r="M58" s="16">
        <f t="shared" si="21"/>
        <v>11540</v>
      </c>
      <c r="N58" s="16">
        <f t="shared" si="21"/>
        <v>0</v>
      </c>
      <c r="O58" s="16">
        <f t="shared" si="21"/>
        <v>8917</v>
      </c>
      <c r="P58" s="16">
        <f t="shared" si="21"/>
        <v>20457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0.17368138045656745</v>
      </c>
      <c r="D59" s="43">
        <f t="shared" si="22"/>
        <v>2.4930341692330254E-2</v>
      </c>
      <c r="E59" s="43">
        <f t="shared" si="22"/>
        <v>1.7255707092926627E-2</v>
      </c>
      <c r="F59" s="43">
        <f t="shared" si="22"/>
        <v>0.14928875201642469</v>
      </c>
      <c r="G59" s="43">
        <f t="shared" si="22"/>
        <v>3.8617588111648825E-3</v>
      </c>
      <c r="H59" s="43">
        <f t="shared" si="22"/>
        <v>6.4525590262501835E-3</v>
      </c>
      <c r="I59" s="43">
        <f t="shared" si="22"/>
        <v>2.1997360316761989E-2</v>
      </c>
      <c r="J59" s="43">
        <f t="shared" si="22"/>
        <v>1.7891186390966419E-2</v>
      </c>
      <c r="K59" s="43">
        <f t="shared" si="22"/>
        <v>8.8967101725570714E-3</v>
      </c>
      <c r="L59" s="43">
        <f t="shared" si="22"/>
        <v>1.1634159456420785E-2</v>
      </c>
      <c r="M59" s="43">
        <f t="shared" si="22"/>
        <v>0.56411008456762968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0.39845239430301671</v>
      </c>
      <c r="D60" s="44">
        <f t="shared" ref="D60:N60" si="23">D58/$O$58</f>
        <v>5.7194123584165077E-2</v>
      </c>
      <c r="E60" s="44">
        <f t="shared" si="23"/>
        <v>3.9587305147471122E-2</v>
      </c>
      <c r="F60" s="44">
        <f t="shared" si="23"/>
        <v>0.34249186946282384</v>
      </c>
      <c r="G60" s="44">
        <f t="shared" si="23"/>
        <v>8.8594818885275317E-3</v>
      </c>
      <c r="H60" s="44">
        <f t="shared" si="23"/>
        <v>1.4803184927666255E-2</v>
      </c>
      <c r="I60" s="44">
        <f t="shared" si="23"/>
        <v>5.0465403162498597E-2</v>
      </c>
      <c r="J60" s="44">
        <f t="shared" si="23"/>
        <v>4.1045194572165523E-2</v>
      </c>
      <c r="K60" s="44">
        <f t="shared" si="23"/>
        <v>2.0410451945721657E-2</v>
      </c>
      <c r="L60" s="44">
        <f t="shared" si="23"/>
        <v>2.6690591005943703E-2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2" tint="-0.249977111117893"/>
  </sheetPr>
  <dimension ref="B1:AF174"/>
  <sheetViews>
    <sheetView view="pageBreakPreview" zoomScale="60" workbookViewId="0">
      <selection activeCell="N106" sqref="N10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4" t="str">
        <f>'22.07 NATEETE-BUSEGA'!C3:G3</f>
        <v>MCC - C1 - STN10- MASAKA ROAD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166</v>
      </c>
      <c r="E5" s="3"/>
      <c r="F5" s="41" t="s">
        <v>1</v>
      </c>
      <c r="G5" s="62" t="str">
        <f>'25.07 BUSEGA-NATEETE'!G5:H5</f>
        <v>GOD'S MERCY SUPERMARKET</v>
      </c>
      <c r="H5" s="63"/>
      <c r="I5" s="14"/>
      <c r="J5" s="2" t="s">
        <v>5</v>
      </c>
      <c r="K5" s="62" t="str">
        <f>'25.07 BUSEGA-NATEETE'!K5:L5</f>
        <v>IVAN/BONIFACE KASIITA</v>
      </c>
      <c r="L5" s="63"/>
      <c r="M5" s="10"/>
      <c r="N5" s="10"/>
      <c r="O5" s="3"/>
      <c r="P5" s="3"/>
    </row>
    <row r="6" spans="2:32" ht="23.25" customHeight="1" x14ac:dyDescent="0.25">
      <c r="C6" s="2" t="s">
        <v>4</v>
      </c>
      <c r="D6" s="62" t="str">
        <f>'22.07 NATEETE-BUSEGA'!D6:E6</f>
        <v>NATEETE</v>
      </c>
      <c r="E6" s="63"/>
      <c r="F6" s="2" t="s">
        <v>2</v>
      </c>
      <c r="G6" s="62" t="str">
        <f>'22.07 NATEETE-BUSEGA'!G6:H6</f>
        <v>BUSEGA</v>
      </c>
      <c r="H6" s="63"/>
      <c r="J6" s="2" t="s">
        <v>21</v>
      </c>
      <c r="K6" s="62" t="str">
        <f>'25.07 BUSEGA-NATEETE'!K6:L6</f>
        <v>BEATRACE</v>
      </c>
      <c r="L6" s="6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17</v>
      </c>
      <c r="D10" s="50">
        <v>2</v>
      </c>
      <c r="E10" s="50">
        <v>4</v>
      </c>
      <c r="F10" s="50">
        <v>24</v>
      </c>
      <c r="G10" s="50">
        <v>1</v>
      </c>
      <c r="H10" s="50">
        <v>2</v>
      </c>
      <c r="I10" s="50">
        <v>7</v>
      </c>
      <c r="J10" s="50">
        <v>0</v>
      </c>
      <c r="K10" s="50">
        <v>0</v>
      </c>
      <c r="L10" s="50">
        <v>0</v>
      </c>
      <c r="M10" s="50">
        <v>130</v>
      </c>
      <c r="N10" s="50">
        <v>0</v>
      </c>
      <c r="O10" s="15">
        <f t="shared" ref="O10:O57" si="0">SUM(C10:L10,N10)</f>
        <v>57</v>
      </c>
      <c r="P10" s="15">
        <f t="shared" ref="P10:P57" si="1">SUM(C10:N10)</f>
        <v>187</v>
      </c>
      <c r="R10" s="1" t="s">
        <v>6</v>
      </c>
      <c r="S10" s="17">
        <f t="shared" ref="S10:AF10" si="2">SUM(C10:C13)</f>
        <v>126</v>
      </c>
      <c r="T10" s="17">
        <f t="shared" si="2"/>
        <v>20</v>
      </c>
      <c r="U10" s="17">
        <f t="shared" si="2"/>
        <v>24</v>
      </c>
      <c r="V10" s="17">
        <f t="shared" si="2"/>
        <v>174</v>
      </c>
      <c r="W10" s="17">
        <f t="shared" si="2"/>
        <v>14</v>
      </c>
      <c r="X10" s="17">
        <f t="shared" si="2"/>
        <v>7</v>
      </c>
      <c r="Y10" s="17">
        <f t="shared" si="2"/>
        <v>31</v>
      </c>
      <c r="Z10" s="17">
        <f t="shared" si="2"/>
        <v>11</v>
      </c>
      <c r="AA10" s="17">
        <f t="shared" si="2"/>
        <v>2</v>
      </c>
      <c r="AB10" s="17">
        <f t="shared" si="2"/>
        <v>6</v>
      </c>
      <c r="AC10" s="17">
        <f t="shared" si="2"/>
        <v>1210</v>
      </c>
      <c r="AD10" s="17">
        <f t="shared" si="2"/>
        <v>0</v>
      </c>
      <c r="AE10" s="31">
        <f t="shared" si="2"/>
        <v>415</v>
      </c>
      <c r="AF10" s="31">
        <f t="shared" si="2"/>
        <v>1625</v>
      </c>
    </row>
    <row r="11" spans="2:32" s="6" customFormat="1" ht="23.1" customHeight="1" x14ac:dyDescent="0.25">
      <c r="B11" s="45" t="s">
        <v>38</v>
      </c>
      <c r="C11" s="50">
        <v>33</v>
      </c>
      <c r="D11" s="50">
        <v>8</v>
      </c>
      <c r="E11" s="50">
        <v>7</v>
      </c>
      <c r="F11" s="50">
        <v>57</v>
      </c>
      <c r="G11" s="50">
        <v>2</v>
      </c>
      <c r="H11" s="50">
        <v>2</v>
      </c>
      <c r="I11" s="50">
        <v>14</v>
      </c>
      <c r="J11" s="50">
        <v>4</v>
      </c>
      <c r="K11" s="50">
        <v>1</v>
      </c>
      <c r="L11" s="50">
        <v>4</v>
      </c>
      <c r="M11" s="50">
        <v>350</v>
      </c>
      <c r="N11" s="50">
        <v>0</v>
      </c>
      <c r="O11" s="15">
        <f t="shared" si="0"/>
        <v>132</v>
      </c>
      <c r="P11" s="15">
        <f t="shared" si="1"/>
        <v>482</v>
      </c>
      <c r="R11" s="1" t="s">
        <v>7</v>
      </c>
      <c r="S11" s="17">
        <f t="shared" ref="S11:AF11" si="3">SUM(C14:C17)</f>
        <v>126</v>
      </c>
      <c r="T11" s="17">
        <f t="shared" si="3"/>
        <v>30</v>
      </c>
      <c r="U11" s="17">
        <f t="shared" si="3"/>
        <v>22</v>
      </c>
      <c r="V11" s="17">
        <f t="shared" si="3"/>
        <v>195</v>
      </c>
      <c r="W11" s="17">
        <f t="shared" si="3"/>
        <v>8</v>
      </c>
      <c r="X11" s="17">
        <f t="shared" si="3"/>
        <v>6</v>
      </c>
      <c r="Y11" s="17">
        <f t="shared" si="3"/>
        <v>33</v>
      </c>
      <c r="Z11" s="17">
        <f t="shared" si="3"/>
        <v>14</v>
      </c>
      <c r="AA11" s="17">
        <f t="shared" si="3"/>
        <v>5</v>
      </c>
      <c r="AB11" s="17">
        <f t="shared" si="3"/>
        <v>7</v>
      </c>
      <c r="AC11" s="17">
        <f t="shared" si="3"/>
        <v>1150</v>
      </c>
      <c r="AD11" s="17">
        <f t="shared" si="3"/>
        <v>0</v>
      </c>
      <c r="AE11" s="31">
        <f t="shared" si="3"/>
        <v>446</v>
      </c>
      <c r="AF11" s="31">
        <f t="shared" si="3"/>
        <v>1596</v>
      </c>
    </row>
    <row r="12" spans="2:32" ht="23.1" customHeight="1" x14ac:dyDescent="0.25">
      <c r="B12" s="45" t="s">
        <v>39</v>
      </c>
      <c r="C12" s="50">
        <v>45</v>
      </c>
      <c r="D12" s="50">
        <v>5</v>
      </c>
      <c r="E12" s="50">
        <v>5</v>
      </c>
      <c r="F12" s="50">
        <v>52</v>
      </c>
      <c r="G12" s="50">
        <v>3</v>
      </c>
      <c r="H12" s="50">
        <v>1</v>
      </c>
      <c r="I12" s="50">
        <v>6</v>
      </c>
      <c r="J12" s="50">
        <v>1</v>
      </c>
      <c r="K12" s="50">
        <v>1</v>
      </c>
      <c r="L12" s="50">
        <v>2</v>
      </c>
      <c r="M12" s="50">
        <v>355</v>
      </c>
      <c r="N12" s="50">
        <v>0</v>
      </c>
      <c r="O12" s="15">
        <f t="shared" si="0"/>
        <v>121</v>
      </c>
      <c r="P12" s="15">
        <f t="shared" si="1"/>
        <v>476</v>
      </c>
      <c r="R12" s="1" t="s">
        <v>8</v>
      </c>
      <c r="S12" s="17">
        <f t="shared" ref="S12:AF12" si="4">SUM(C18:C21)</f>
        <v>127</v>
      </c>
      <c r="T12" s="17">
        <f t="shared" si="4"/>
        <v>26</v>
      </c>
      <c r="U12" s="17">
        <f t="shared" si="4"/>
        <v>28</v>
      </c>
      <c r="V12" s="17">
        <f t="shared" si="4"/>
        <v>212</v>
      </c>
      <c r="W12" s="17">
        <f t="shared" si="4"/>
        <v>5</v>
      </c>
      <c r="X12" s="17">
        <f t="shared" si="4"/>
        <v>4</v>
      </c>
      <c r="Y12" s="17">
        <f t="shared" si="4"/>
        <v>30</v>
      </c>
      <c r="Z12" s="17">
        <f t="shared" si="4"/>
        <v>14</v>
      </c>
      <c r="AA12" s="17">
        <f t="shared" si="4"/>
        <v>5</v>
      </c>
      <c r="AB12" s="17">
        <f t="shared" si="4"/>
        <v>3</v>
      </c>
      <c r="AC12" s="17">
        <f t="shared" si="4"/>
        <v>1055</v>
      </c>
      <c r="AD12" s="17">
        <f t="shared" si="4"/>
        <v>0</v>
      </c>
      <c r="AE12" s="31">
        <f t="shared" si="4"/>
        <v>454</v>
      </c>
      <c r="AF12" s="31">
        <f t="shared" si="4"/>
        <v>1509</v>
      </c>
    </row>
    <row r="13" spans="2:32" ht="23.1" customHeight="1" x14ac:dyDescent="0.25">
      <c r="B13" s="45" t="s">
        <v>40</v>
      </c>
      <c r="C13" s="50">
        <v>31</v>
      </c>
      <c r="D13" s="50">
        <v>5</v>
      </c>
      <c r="E13" s="50">
        <v>8</v>
      </c>
      <c r="F13" s="50">
        <v>41</v>
      </c>
      <c r="G13" s="50">
        <v>8</v>
      </c>
      <c r="H13" s="50">
        <v>2</v>
      </c>
      <c r="I13" s="50">
        <v>4</v>
      </c>
      <c r="J13" s="50">
        <v>6</v>
      </c>
      <c r="K13" s="50">
        <v>0</v>
      </c>
      <c r="L13" s="50">
        <v>0</v>
      </c>
      <c r="M13" s="50">
        <v>375</v>
      </c>
      <c r="N13" s="50">
        <v>0</v>
      </c>
      <c r="O13" s="15">
        <f t="shared" si="0"/>
        <v>105</v>
      </c>
      <c r="P13" s="15">
        <f t="shared" si="1"/>
        <v>480</v>
      </c>
      <c r="R13" s="1" t="s">
        <v>9</v>
      </c>
      <c r="S13" s="17">
        <f t="shared" ref="S13:AF13" si="5">SUM(C22:C25)</f>
        <v>164</v>
      </c>
      <c r="T13" s="17">
        <f t="shared" si="5"/>
        <v>21</v>
      </c>
      <c r="U13" s="17">
        <f t="shared" si="5"/>
        <v>29</v>
      </c>
      <c r="V13" s="17">
        <f t="shared" si="5"/>
        <v>231</v>
      </c>
      <c r="W13" s="17">
        <f t="shared" si="5"/>
        <v>4</v>
      </c>
      <c r="X13" s="17">
        <f t="shared" si="5"/>
        <v>4</v>
      </c>
      <c r="Y13" s="17">
        <f t="shared" si="5"/>
        <v>38</v>
      </c>
      <c r="Z13" s="17">
        <f t="shared" si="5"/>
        <v>28</v>
      </c>
      <c r="AA13" s="17">
        <f t="shared" si="5"/>
        <v>13</v>
      </c>
      <c r="AB13" s="17">
        <f t="shared" si="5"/>
        <v>7</v>
      </c>
      <c r="AC13" s="17">
        <f t="shared" si="5"/>
        <v>859</v>
      </c>
      <c r="AD13" s="17">
        <f t="shared" si="5"/>
        <v>0</v>
      </c>
      <c r="AE13" s="31">
        <f t="shared" si="5"/>
        <v>539</v>
      </c>
      <c r="AF13" s="31">
        <f t="shared" si="5"/>
        <v>1398</v>
      </c>
    </row>
    <row r="14" spans="2:32" ht="23.1" customHeight="1" x14ac:dyDescent="0.25">
      <c r="B14" s="45" t="s">
        <v>41</v>
      </c>
      <c r="C14" s="50">
        <v>29</v>
      </c>
      <c r="D14" s="50">
        <v>6</v>
      </c>
      <c r="E14" s="50">
        <v>1</v>
      </c>
      <c r="F14" s="50">
        <v>43</v>
      </c>
      <c r="G14" s="50">
        <v>2</v>
      </c>
      <c r="H14" s="50">
        <v>3</v>
      </c>
      <c r="I14" s="50">
        <v>8</v>
      </c>
      <c r="J14" s="50">
        <v>3</v>
      </c>
      <c r="K14" s="50">
        <v>1</v>
      </c>
      <c r="L14" s="50">
        <v>2</v>
      </c>
      <c r="M14" s="50">
        <v>340</v>
      </c>
      <c r="N14" s="50">
        <v>0</v>
      </c>
      <c r="O14" s="15">
        <f t="shared" si="0"/>
        <v>98</v>
      </c>
      <c r="P14" s="15">
        <f t="shared" si="1"/>
        <v>438</v>
      </c>
      <c r="R14" s="1" t="s">
        <v>10</v>
      </c>
      <c r="S14" s="17">
        <f t="shared" ref="S14:AF14" si="6">SUM(C26:C29)</f>
        <v>155</v>
      </c>
      <c r="T14" s="17">
        <f t="shared" si="6"/>
        <v>20</v>
      </c>
      <c r="U14" s="17">
        <f t="shared" si="6"/>
        <v>31</v>
      </c>
      <c r="V14" s="17">
        <f t="shared" si="6"/>
        <v>220</v>
      </c>
      <c r="W14" s="17">
        <f t="shared" si="6"/>
        <v>6</v>
      </c>
      <c r="X14" s="17">
        <f t="shared" si="6"/>
        <v>6</v>
      </c>
      <c r="Y14" s="17">
        <f t="shared" si="6"/>
        <v>37</v>
      </c>
      <c r="Z14" s="17">
        <f t="shared" si="6"/>
        <v>17</v>
      </c>
      <c r="AA14" s="17">
        <f t="shared" si="6"/>
        <v>11</v>
      </c>
      <c r="AB14" s="17">
        <f t="shared" si="6"/>
        <v>23</v>
      </c>
      <c r="AC14" s="17">
        <f t="shared" si="6"/>
        <v>645</v>
      </c>
      <c r="AD14" s="17">
        <f t="shared" si="6"/>
        <v>0</v>
      </c>
      <c r="AE14" s="31">
        <f t="shared" si="6"/>
        <v>526</v>
      </c>
      <c r="AF14" s="31">
        <f t="shared" si="6"/>
        <v>1171</v>
      </c>
    </row>
    <row r="15" spans="2:32" ht="23.1" customHeight="1" x14ac:dyDescent="0.25">
      <c r="B15" s="45" t="s">
        <v>42</v>
      </c>
      <c r="C15" s="50">
        <v>35</v>
      </c>
      <c r="D15" s="50">
        <v>7</v>
      </c>
      <c r="E15" s="50">
        <v>7</v>
      </c>
      <c r="F15" s="50">
        <v>50</v>
      </c>
      <c r="G15" s="50">
        <v>2</v>
      </c>
      <c r="H15" s="50">
        <v>1</v>
      </c>
      <c r="I15" s="50">
        <v>6</v>
      </c>
      <c r="J15" s="50">
        <v>3</v>
      </c>
      <c r="K15" s="50">
        <v>1</v>
      </c>
      <c r="L15" s="50">
        <v>2</v>
      </c>
      <c r="M15" s="50">
        <v>210</v>
      </c>
      <c r="N15" s="50">
        <v>0</v>
      </c>
      <c r="O15" s="15">
        <f t="shared" si="0"/>
        <v>114</v>
      </c>
      <c r="P15" s="15">
        <f t="shared" si="1"/>
        <v>324</v>
      </c>
      <c r="R15" s="1" t="s">
        <v>11</v>
      </c>
      <c r="S15" s="17">
        <f t="shared" ref="S15:AF15" si="7">SUM(C30:C33)</f>
        <v>187</v>
      </c>
      <c r="T15" s="17">
        <f t="shared" si="7"/>
        <v>35</v>
      </c>
      <c r="U15" s="17">
        <f t="shared" si="7"/>
        <v>35</v>
      </c>
      <c r="V15" s="17">
        <f t="shared" si="7"/>
        <v>204</v>
      </c>
      <c r="W15" s="17">
        <f t="shared" si="7"/>
        <v>6</v>
      </c>
      <c r="X15" s="17">
        <f t="shared" si="7"/>
        <v>4</v>
      </c>
      <c r="Y15" s="17">
        <f t="shared" si="7"/>
        <v>62</v>
      </c>
      <c r="Z15" s="17">
        <f t="shared" si="7"/>
        <v>39</v>
      </c>
      <c r="AA15" s="17">
        <f t="shared" si="7"/>
        <v>15</v>
      </c>
      <c r="AB15" s="17">
        <f t="shared" si="7"/>
        <v>16</v>
      </c>
      <c r="AC15" s="17">
        <f t="shared" si="7"/>
        <v>595</v>
      </c>
      <c r="AD15" s="17">
        <f t="shared" si="7"/>
        <v>0</v>
      </c>
      <c r="AE15" s="31">
        <f t="shared" si="7"/>
        <v>603</v>
      </c>
      <c r="AF15" s="31">
        <f t="shared" si="7"/>
        <v>1198</v>
      </c>
    </row>
    <row r="16" spans="2:32" ht="23.1" customHeight="1" x14ac:dyDescent="0.25">
      <c r="B16" s="45" t="s">
        <v>43</v>
      </c>
      <c r="C16" s="50">
        <v>34</v>
      </c>
      <c r="D16" s="50">
        <v>9</v>
      </c>
      <c r="E16" s="50">
        <v>8</v>
      </c>
      <c r="F16" s="50">
        <v>51</v>
      </c>
      <c r="G16" s="50">
        <v>1</v>
      </c>
      <c r="H16" s="50">
        <v>0</v>
      </c>
      <c r="I16" s="50">
        <v>8</v>
      </c>
      <c r="J16" s="50">
        <v>3</v>
      </c>
      <c r="K16" s="50">
        <v>2</v>
      </c>
      <c r="L16" s="50">
        <v>2</v>
      </c>
      <c r="M16" s="50">
        <v>280</v>
      </c>
      <c r="N16" s="50">
        <v>0</v>
      </c>
      <c r="O16" s="15">
        <f t="shared" si="0"/>
        <v>118</v>
      </c>
      <c r="P16" s="15">
        <f t="shared" si="1"/>
        <v>398</v>
      </c>
      <c r="R16" s="1" t="s">
        <v>12</v>
      </c>
      <c r="S16" s="17">
        <f t="shared" ref="S16:AF16" si="8">SUM(C34:C37)</f>
        <v>211</v>
      </c>
      <c r="T16" s="17">
        <f t="shared" si="8"/>
        <v>30</v>
      </c>
      <c r="U16" s="17">
        <f t="shared" si="8"/>
        <v>27</v>
      </c>
      <c r="V16" s="17">
        <f t="shared" si="8"/>
        <v>229</v>
      </c>
      <c r="W16" s="17">
        <f t="shared" si="8"/>
        <v>6</v>
      </c>
      <c r="X16" s="17">
        <f t="shared" si="8"/>
        <v>3</v>
      </c>
      <c r="Y16" s="17">
        <f t="shared" si="8"/>
        <v>46</v>
      </c>
      <c r="Z16" s="17">
        <f t="shared" si="8"/>
        <v>35</v>
      </c>
      <c r="AA16" s="17">
        <f t="shared" si="8"/>
        <v>11</v>
      </c>
      <c r="AB16" s="17">
        <f t="shared" si="8"/>
        <v>8</v>
      </c>
      <c r="AC16" s="17">
        <f t="shared" si="8"/>
        <v>635</v>
      </c>
      <c r="AD16" s="17">
        <f t="shared" si="8"/>
        <v>1</v>
      </c>
      <c r="AE16" s="31">
        <f t="shared" si="8"/>
        <v>607</v>
      </c>
      <c r="AF16" s="31">
        <f t="shared" si="8"/>
        <v>1242</v>
      </c>
    </row>
    <row r="17" spans="2:32" ht="23.1" customHeight="1" x14ac:dyDescent="0.25">
      <c r="B17" s="45" t="s">
        <v>44</v>
      </c>
      <c r="C17" s="50">
        <v>28</v>
      </c>
      <c r="D17" s="50">
        <v>8</v>
      </c>
      <c r="E17" s="50">
        <v>6</v>
      </c>
      <c r="F17" s="50">
        <v>51</v>
      </c>
      <c r="G17" s="50">
        <v>3</v>
      </c>
      <c r="H17" s="50">
        <v>2</v>
      </c>
      <c r="I17" s="50">
        <v>11</v>
      </c>
      <c r="J17" s="50">
        <v>5</v>
      </c>
      <c r="K17" s="50">
        <v>1</v>
      </c>
      <c r="L17" s="50">
        <v>1</v>
      </c>
      <c r="M17" s="50">
        <v>320</v>
      </c>
      <c r="N17" s="50">
        <v>0</v>
      </c>
      <c r="O17" s="15">
        <f t="shared" si="0"/>
        <v>116</v>
      </c>
      <c r="P17" s="15">
        <f t="shared" si="1"/>
        <v>436</v>
      </c>
      <c r="R17" s="1" t="s">
        <v>13</v>
      </c>
      <c r="S17" s="17">
        <f t="shared" ref="S17:AF17" si="9">SUM(C38:C41)</f>
        <v>199</v>
      </c>
      <c r="T17" s="17">
        <f t="shared" si="9"/>
        <v>57</v>
      </c>
      <c r="U17" s="17">
        <f t="shared" si="9"/>
        <v>32</v>
      </c>
      <c r="V17" s="17">
        <f t="shared" si="9"/>
        <v>179</v>
      </c>
      <c r="W17" s="17">
        <f t="shared" si="9"/>
        <v>2</v>
      </c>
      <c r="X17" s="17">
        <f t="shared" si="9"/>
        <v>6</v>
      </c>
      <c r="Y17" s="17">
        <f t="shared" si="9"/>
        <v>44</v>
      </c>
      <c r="Z17" s="17">
        <f t="shared" si="9"/>
        <v>20</v>
      </c>
      <c r="AA17" s="17">
        <f t="shared" si="9"/>
        <v>9</v>
      </c>
      <c r="AB17" s="17">
        <f t="shared" si="9"/>
        <v>11</v>
      </c>
      <c r="AC17" s="17">
        <f t="shared" si="9"/>
        <v>685</v>
      </c>
      <c r="AD17" s="17">
        <f t="shared" si="9"/>
        <v>0</v>
      </c>
      <c r="AE17" s="31">
        <f t="shared" si="9"/>
        <v>559</v>
      </c>
      <c r="AF17" s="31">
        <f t="shared" si="9"/>
        <v>1244</v>
      </c>
    </row>
    <row r="18" spans="2:32" ht="23.1" customHeight="1" x14ac:dyDescent="0.25">
      <c r="B18" s="45" t="s">
        <v>45</v>
      </c>
      <c r="C18" s="50">
        <v>25</v>
      </c>
      <c r="D18" s="50">
        <v>4</v>
      </c>
      <c r="E18" s="50">
        <v>6</v>
      </c>
      <c r="F18" s="50">
        <v>65</v>
      </c>
      <c r="G18" s="50">
        <v>1</v>
      </c>
      <c r="H18" s="50">
        <v>0</v>
      </c>
      <c r="I18" s="50">
        <v>10</v>
      </c>
      <c r="J18" s="50">
        <v>1</v>
      </c>
      <c r="K18" s="50">
        <v>2</v>
      </c>
      <c r="L18" s="50">
        <v>0</v>
      </c>
      <c r="M18" s="50">
        <v>245</v>
      </c>
      <c r="N18" s="50">
        <v>0</v>
      </c>
      <c r="O18" s="15">
        <f t="shared" si="0"/>
        <v>114</v>
      </c>
      <c r="P18" s="15">
        <f t="shared" si="1"/>
        <v>359</v>
      </c>
      <c r="R18" s="1" t="s">
        <v>14</v>
      </c>
      <c r="S18" s="17">
        <f t="shared" ref="S18:AF18" si="10">SUM(C42:C45)</f>
        <v>210</v>
      </c>
      <c r="T18" s="17">
        <f t="shared" si="10"/>
        <v>28</v>
      </c>
      <c r="U18" s="17">
        <f t="shared" si="10"/>
        <v>45</v>
      </c>
      <c r="V18" s="17">
        <f t="shared" si="10"/>
        <v>156</v>
      </c>
      <c r="W18" s="17">
        <f t="shared" si="10"/>
        <v>2</v>
      </c>
      <c r="X18" s="17">
        <f t="shared" si="10"/>
        <v>6</v>
      </c>
      <c r="Y18" s="17">
        <f t="shared" si="10"/>
        <v>61</v>
      </c>
      <c r="Z18" s="17">
        <f t="shared" si="10"/>
        <v>34</v>
      </c>
      <c r="AA18" s="17">
        <f t="shared" si="10"/>
        <v>13</v>
      </c>
      <c r="AB18" s="17">
        <f t="shared" si="10"/>
        <v>19</v>
      </c>
      <c r="AC18" s="17">
        <f t="shared" si="10"/>
        <v>835</v>
      </c>
      <c r="AD18" s="17">
        <f t="shared" si="10"/>
        <v>0</v>
      </c>
      <c r="AE18" s="31">
        <f t="shared" si="10"/>
        <v>574</v>
      </c>
      <c r="AF18" s="31">
        <f t="shared" si="10"/>
        <v>1409</v>
      </c>
    </row>
    <row r="19" spans="2:32" ht="23.1" customHeight="1" x14ac:dyDescent="0.25">
      <c r="B19" s="45" t="s">
        <v>46</v>
      </c>
      <c r="C19" s="50">
        <v>16</v>
      </c>
      <c r="D19" s="50">
        <v>11</v>
      </c>
      <c r="E19" s="50">
        <v>9</v>
      </c>
      <c r="F19" s="50">
        <v>50</v>
      </c>
      <c r="G19" s="50">
        <v>1</v>
      </c>
      <c r="H19" s="50">
        <v>1</v>
      </c>
      <c r="I19" s="50">
        <v>8</v>
      </c>
      <c r="J19" s="50">
        <v>5</v>
      </c>
      <c r="K19" s="50">
        <v>1</v>
      </c>
      <c r="L19" s="50">
        <v>1</v>
      </c>
      <c r="M19" s="50">
        <v>240</v>
      </c>
      <c r="N19" s="50">
        <v>0</v>
      </c>
      <c r="O19" s="15">
        <f t="shared" si="0"/>
        <v>103</v>
      </c>
      <c r="P19" s="15">
        <f t="shared" si="1"/>
        <v>343</v>
      </c>
      <c r="R19" s="1" t="s">
        <v>15</v>
      </c>
      <c r="S19" s="17">
        <f t="shared" ref="S19:AF19" si="11">SUM(C46:C49)</f>
        <v>184</v>
      </c>
      <c r="T19" s="17">
        <f t="shared" si="11"/>
        <v>35</v>
      </c>
      <c r="U19" s="17">
        <f t="shared" si="11"/>
        <v>29</v>
      </c>
      <c r="V19" s="17">
        <f t="shared" si="11"/>
        <v>191</v>
      </c>
      <c r="W19" s="17">
        <f t="shared" si="11"/>
        <v>1</v>
      </c>
      <c r="X19" s="17">
        <f t="shared" si="11"/>
        <v>2</v>
      </c>
      <c r="Y19" s="17">
        <f t="shared" si="11"/>
        <v>32</v>
      </c>
      <c r="Z19" s="17">
        <f t="shared" si="11"/>
        <v>30</v>
      </c>
      <c r="AA19" s="17">
        <f t="shared" si="11"/>
        <v>8</v>
      </c>
      <c r="AB19" s="17">
        <f t="shared" si="11"/>
        <v>18</v>
      </c>
      <c r="AC19" s="17">
        <f t="shared" si="11"/>
        <v>815</v>
      </c>
      <c r="AD19" s="17">
        <f t="shared" si="11"/>
        <v>0</v>
      </c>
      <c r="AE19" s="31">
        <f t="shared" si="11"/>
        <v>530</v>
      </c>
      <c r="AF19" s="31">
        <f t="shared" si="11"/>
        <v>1345</v>
      </c>
    </row>
    <row r="20" spans="2:32" ht="23.1" customHeight="1" x14ac:dyDescent="0.25">
      <c r="B20" s="45" t="s">
        <v>47</v>
      </c>
      <c r="C20" s="50">
        <v>41</v>
      </c>
      <c r="D20" s="50">
        <v>8</v>
      </c>
      <c r="E20" s="50">
        <v>9</v>
      </c>
      <c r="F20" s="50">
        <v>54</v>
      </c>
      <c r="G20" s="50">
        <v>2</v>
      </c>
      <c r="H20" s="50">
        <v>3</v>
      </c>
      <c r="I20" s="50">
        <v>4</v>
      </c>
      <c r="J20" s="50">
        <v>5</v>
      </c>
      <c r="K20" s="50">
        <v>0</v>
      </c>
      <c r="L20" s="50">
        <v>1</v>
      </c>
      <c r="M20" s="50">
        <v>280</v>
      </c>
      <c r="N20" s="50">
        <v>0</v>
      </c>
      <c r="O20" s="15">
        <f t="shared" si="0"/>
        <v>127</v>
      </c>
      <c r="P20" s="15">
        <f t="shared" si="1"/>
        <v>407</v>
      </c>
      <c r="R20" s="1" t="s">
        <v>16</v>
      </c>
      <c r="S20" s="17">
        <f t="shared" ref="S20:AF20" si="12">SUM(C50:C53)</f>
        <v>207</v>
      </c>
      <c r="T20" s="17">
        <f t="shared" si="12"/>
        <v>34</v>
      </c>
      <c r="U20" s="17">
        <f t="shared" si="12"/>
        <v>29</v>
      </c>
      <c r="V20" s="17">
        <f t="shared" si="12"/>
        <v>169</v>
      </c>
      <c r="W20" s="17">
        <f t="shared" si="12"/>
        <v>5</v>
      </c>
      <c r="X20" s="17">
        <f t="shared" si="12"/>
        <v>10</v>
      </c>
      <c r="Y20" s="17">
        <f t="shared" si="12"/>
        <v>37</v>
      </c>
      <c r="Z20" s="17">
        <f t="shared" si="12"/>
        <v>23</v>
      </c>
      <c r="AA20" s="17">
        <f t="shared" si="12"/>
        <v>6</v>
      </c>
      <c r="AB20" s="17">
        <f t="shared" si="12"/>
        <v>8</v>
      </c>
      <c r="AC20" s="17">
        <f t="shared" si="12"/>
        <v>975</v>
      </c>
      <c r="AD20" s="17">
        <f t="shared" si="12"/>
        <v>0</v>
      </c>
      <c r="AE20" s="31">
        <f t="shared" si="12"/>
        <v>528</v>
      </c>
      <c r="AF20" s="31">
        <f t="shared" si="12"/>
        <v>1503</v>
      </c>
    </row>
    <row r="21" spans="2:32" ht="23.1" customHeight="1" x14ac:dyDescent="0.25">
      <c r="B21" s="45" t="s">
        <v>48</v>
      </c>
      <c r="C21" s="50">
        <v>45</v>
      </c>
      <c r="D21" s="50">
        <v>3</v>
      </c>
      <c r="E21" s="50">
        <v>4</v>
      </c>
      <c r="F21" s="50">
        <v>43</v>
      </c>
      <c r="G21" s="50">
        <v>1</v>
      </c>
      <c r="H21" s="50">
        <v>0</v>
      </c>
      <c r="I21" s="50">
        <v>8</v>
      </c>
      <c r="J21" s="50">
        <v>3</v>
      </c>
      <c r="K21" s="50">
        <v>2</v>
      </c>
      <c r="L21" s="50">
        <v>1</v>
      </c>
      <c r="M21" s="50">
        <v>290</v>
      </c>
      <c r="N21" s="50">
        <v>0</v>
      </c>
      <c r="O21" s="15">
        <f t="shared" si="0"/>
        <v>110</v>
      </c>
      <c r="P21" s="15">
        <f t="shared" si="1"/>
        <v>400</v>
      </c>
      <c r="R21" s="36" t="s">
        <v>20</v>
      </c>
      <c r="S21" s="34">
        <f t="shared" ref="S21:AF21" si="13">SUM(C54:C57)</f>
        <v>200</v>
      </c>
      <c r="T21" s="17">
        <f t="shared" si="13"/>
        <v>31</v>
      </c>
      <c r="U21" s="17">
        <f t="shared" si="13"/>
        <v>34</v>
      </c>
      <c r="V21" s="17">
        <f t="shared" si="13"/>
        <v>142</v>
      </c>
      <c r="W21" s="17">
        <f t="shared" si="13"/>
        <v>4</v>
      </c>
      <c r="X21" s="17">
        <f t="shared" si="13"/>
        <v>4</v>
      </c>
      <c r="Y21" s="17">
        <f t="shared" si="13"/>
        <v>40</v>
      </c>
      <c r="Z21" s="17">
        <f t="shared" si="13"/>
        <v>28</v>
      </c>
      <c r="AA21" s="17">
        <f t="shared" si="13"/>
        <v>10</v>
      </c>
      <c r="AB21" s="17">
        <f t="shared" si="13"/>
        <v>21</v>
      </c>
      <c r="AC21" s="17">
        <f t="shared" si="13"/>
        <v>920</v>
      </c>
      <c r="AD21" s="17">
        <f t="shared" si="13"/>
        <v>0</v>
      </c>
      <c r="AE21" s="31">
        <f t="shared" si="13"/>
        <v>514</v>
      </c>
      <c r="AF21" s="31">
        <f t="shared" si="13"/>
        <v>1434</v>
      </c>
    </row>
    <row r="22" spans="2:32" ht="23.1" customHeight="1" x14ac:dyDescent="0.25">
      <c r="B22" s="45" t="s">
        <v>49</v>
      </c>
      <c r="C22" s="50">
        <v>35</v>
      </c>
      <c r="D22" s="50">
        <v>6</v>
      </c>
      <c r="E22" s="50">
        <v>4</v>
      </c>
      <c r="F22" s="50">
        <v>54</v>
      </c>
      <c r="G22" s="50">
        <v>0</v>
      </c>
      <c r="H22" s="50">
        <v>1</v>
      </c>
      <c r="I22" s="50">
        <v>11</v>
      </c>
      <c r="J22" s="50">
        <v>4</v>
      </c>
      <c r="K22" s="50">
        <v>0</v>
      </c>
      <c r="L22" s="50">
        <v>1</v>
      </c>
      <c r="M22" s="50">
        <v>210</v>
      </c>
      <c r="N22" s="50">
        <v>0</v>
      </c>
      <c r="O22" s="15">
        <f t="shared" si="0"/>
        <v>116</v>
      </c>
      <c r="P22" s="15">
        <f t="shared" si="1"/>
        <v>326</v>
      </c>
      <c r="R22" s="36" t="s">
        <v>146</v>
      </c>
      <c r="S22" s="34">
        <f>SUM(C58:C61)</f>
        <v>219</v>
      </c>
      <c r="T22" s="34">
        <f t="shared" ref="T22:AF22" si="14">SUM(D58:D61)</f>
        <v>15</v>
      </c>
      <c r="U22" s="34">
        <f t="shared" si="14"/>
        <v>22</v>
      </c>
      <c r="V22" s="34">
        <f t="shared" si="14"/>
        <v>103</v>
      </c>
      <c r="W22" s="34">
        <f t="shared" si="14"/>
        <v>3</v>
      </c>
      <c r="X22" s="34">
        <f t="shared" si="14"/>
        <v>2</v>
      </c>
      <c r="Y22" s="34">
        <f t="shared" si="14"/>
        <v>25</v>
      </c>
      <c r="Z22" s="34">
        <f t="shared" si="14"/>
        <v>21</v>
      </c>
      <c r="AA22" s="34">
        <f t="shared" si="14"/>
        <v>3</v>
      </c>
      <c r="AB22" s="34">
        <f t="shared" si="14"/>
        <v>8</v>
      </c>
      <c r="AC22" s="34">
        <f t="shared" si="14"/>
        <v>1158</v>
      </c>
      <c r="AD22" s="34">
        <f t="shared" si="14"/>
        <v>0</v>
      </c>
      <c r="AE22" s="31">
        <f t="shared" si="14"/>
        <v>421</v>
      </c>
      <c r="AF22" s="31">
        <f t="shared" si="14"/>
        <v>1579</v>
      </c>
    </row>
    <row r="23" spans="2:32" ht="23.1" customHeight="1" x14ac:dyDescent="0.25">
      <c r="B23" s="45" t="s">
        <v>50</v>
      </c>
      <c r="C23" s="50">
        <v>38</v>
      </c>
      <c r="D23" s="50">
        <v>5</v>
      </c>
      <c r="E23" s="50">
        <v>9</v>
      </c>
      <c r="F23" s="50">
        <v>75</v>
      </c>
      <c r="G23" s="50">
        <v>1</v>
      </c>
      <c r="H23" s="50">
        <v>1</v>
      </c>
      <c r="I23" s="50">
        <v>9</v>
      </c>
      <c r="J23" s="50">
        <v>9</v>
      </c>
      <c r="K23" s="50">
        <v>2</v>
      </c>
      <c r="L23" s="50">
        <v>2</v>
      </c>
      <c r="M23" s="50">
        <v>220</v>
      </c>
      <c r="N23" s="50">
        <v>0</v>
      </c>
      <c r="O23" s="15">
        <f t="shared" si="0"/>
        <v>151</v>
      </c>
      <c r="P23" s="15">
        <f t="shared" si="1"/>
        <v>371</v>
      </c>
      <c r="R23" s="36" t="s">
        <v>147</v>
      </c>
      <c r="S23" s="34">
        <f>SUM(C62:C65)</f>
        <v>258</v>
      </c>
      <c r="T23" s="34">
        <f t="shared" ref="T23:AF23" si="15">SUM(D62:D65)</f>
        <v>21</v>
      </c>
      <c r="U23" s="34">
        <f t="shared" si="15"/>
        <v>19</v>
      </c>
      <c r="V23" s="34">
        <f t="shared" si="15"/>
        <v>87</v>
      </c>
      <c r="W23" s="34">
        <f t="shared" si="15"/>
        <v>9</v>
      </c>
      <c r="X23" s="34">
        <f t="shared" si="15"/>
        <v>7</v>
      </c>
      <c r="Y23" s="34">
        <f t="shared" si="15"/>
        <v>8</v>
      </c>
      <c r="Z23" s="34">
        <f t="shared" si="15"/>
        <v>8</v>
      </c>
      <c r="AA23" s="34">
        <f t="shared" si="15"/>
        <v>6</v>
      </c>
      <c r="AB23" s="34">
        <f t="shared" si="15"/>
        <v>3</v>
      </c>
      <c r="AC23" s="34">
        <f t="shared" si="15"/>
        <v>1220</v>
      </c>
      <c r="AD23" s="34">
        <f t="shared" si="15"/>
        <v>0</v>
      </c>
      <c r="AE23" s="31">
        <f t="shared" si="15"/>
        <v>426</v>
      </c>
      <c r="AF23" s="31">
        <f t="shared" si="15"/>
        <v>1646</v>
      </c>
    </row>
    <row r="24" spans="2:32" ht="23.1" customHeight="1" x14ac:dyDescent="0.25">
      <c r="B24" s="45" t="s">
        <v>51</v>
      </c>
      <c r="C24" s="50">
        <v>41</v>
      </c>
      <c r="D24" s="50">
        <v>3</v>
      </c>
      <c r="E24" s="50">
        <v>7</v>
      </c>
      <c r="F24" s="50">
        <v>57</v>
      </c>
      <c r="G24" s="50">
        <v>1</v>
      </c>
      <c r="H24" s="50">
        <v>0</v>
      </c>
      <c r="I24" s="50">
        <v>8</v>
      </c>
      <c r="J24" s="50">
        <v>8</v>
      </c>
      <c r="K24" s="50">
        <v>9</v>
      </c>
      <c r="L24" s="50">
        <v>2</v>
      </c>
      <c r="M24" s="50">
        <v>210</v>
      </c>
      <c r="N24" s="50">
        <v>0</v>
      </c>
      <c r="O24" s="15">
        <f t="shared" si="0"/>
        <v>136</v>
      </c>
      <c r="P24" s="15">
        <f t="shared" si="1"/>
        <v>346</v>
      </c>
      <c r="R24" s="36" t="s">
        <v>148</v>
      </c>
      <c r="S24" s="34">
        <f>SUM(C66:C69)</f>
        <v>189</v>
      </c>
      <c r="T24" s="34">
        <f t="shared" ref="T24:AF24" si="16">SUM(D66:D69)</f>
        <v>37</v>
      </c>
      <c r="U24" s="34">
        <f t="shared" si="16"/>
        <v>20</v>
      </c>
      <c r="V24" s="34">
        <f t="shared" si="16"/>
        <v>75</v>
      </c>
      <c r="W24" s="34">
        <f t="shared" si="16"/>
        <v>3</v>
      </c>
      <c r="X24" s="34">
        <f t="shared" si="16"/>
        <v>9</v>
      </c>
      <c r="Y24" s="34">
        <f t="shared" si="16"/>
        <v>10</v>
      </c>
      <c r="Z24" s="34">
        <f t="shared" si="16"/>
        <v>5</v>
      </c>
      <c r="AA24" s="34">
        <f t="shared" si="16"/>
        <v>10</v>
      </c>
      <c r="AB24" s="34">
        <f t="shared" si="16"/>
        <v>4</v>
      </c>
      <c r="AC24" s="34">
        <f t="shared" si="16"/>
        <v>1454</v>
      </c>
      <c r="AD24" s="34">
        <f t="shared" si="16"/>
        <v>0</v>
      </c>
      <c r="AE24" s="31">
        <f t="shared" si="16"/>
        <v>362</v>
      </c>
      <c r="AF24" s="31">
        <f t="shared" si="16"/>
        <v>1816</v>
      </c>
    </row>
    <row r="25" spans="2:32" ht="23.1" customHeight="1" x14ac:dyDescent="0.25">
      <c r="B25" s="45" t="s">
        <v>52</v>
      </c>
      <c r="C25" s="50">
        <v>50</v>
      </c>
      <c r="D25" s="50">
        <v>7</v>
      </c>
      <c r="E25" s="50">
        <v>9</v>
      </c>
      <c r="F25" s="50">
        <v>45</v>
      </c>
      <c r="G25" s="50">
        <v>2</v>
      </c>
      <c r="H25" s="50">
        <v>2</v>
      </c>
      <c r="I25" s="50">
        <v>10</v>
      </c>
      <c r="J25" s="50">
        <v>7</v>
      </c>
      <c r="K25" s="50">
        <v>2</v>
      </c>
      <c r="L25" s="50">
        <v>2</v>
      </c>
      <c r="M25" s="50">
        <v>219</v>
      </c>
      <c r="N25" s="50">
        <v>0</v>
      </c>
      <c r="O25" s="15">
        <f t="shared" si="0"/>
        <v>136</v>
      </c>
      <c r="P25" s="15">
        <f t="shared" si="1"/>
        <v>355</v>
      </c>
      <c r="R25" s="36" t="s">
        <v>149</v>
      </c>
      <c r="S25" s="34">
        <f>SUM(C70:C73)</f>
        <v>320</v>
      </c>
      <c r="T25" s="34">
        <f t="shared" ref="T25:AF25" si="17">SUM(D70:D73)</f>
        <v>42</v>
      </c>
      <c r="U25" s="34">
        <f t="shared" si="17"/>
        <v>24</v>
      </c>
      <c r="V25" s="34">
        <f t="shared" si="17"/>
        <v>85</v>
      </c>
      <c r="W25" s="34">
        <f t="shared" si="17"/>
        <v>2</v>
      </c>
      <c r="X25" s="34">
        <f t="shared" si="17"/>
        <v>10</v>
      </c>
      <c r="Y25" s="34">
        <f t="shared" si="17"/>
        <v>20</v>
      </c>
      <c r="Z25" s="34">
        <f t="shared" si="17"/>
        <v>16</v>
      </c>
      <c r="AA25" s="34">
        <f t="shared" si="17"/>
        <v>8</v>
      </c>
      <c r="AB25" s="34">
        <f t="shared" si="17"/>
        <v>2</v>
      </c>
      <c r="AC25" s="34">
        <f t="shared" si="17"/>
        <v>1357</v>
      </c>
      <c r="AD25" s="34">
        <f t="shared" si="17"/>
        <v>0</v>
      </c>
      <c r="AE25" s="31">
        <f t="shared" si="17"/>
        <v>529</v>
      </c>
      <c r="AF25" s="31">
        <f t="shared" si="17"/>
        <v>1886</v>
      </c>
    </row>
    <row r="26" spans="2:32" ht="23.1" customHeight="1" x14ac:dyDescent="0.25">
      <c r="B26" s="45" t="s">
        <v>53</v>
      </c>
      <c r="C26" s="50">
        <v>54</v>
      </c>
      <c r="D26" s="50">
        <v>8</v>
      </c>
      <c r="E26" s="50">
        <v>5</v>
      </c>
      <c r="F26" s="50">
        <v>67</v>
      </c>
      <c r="G26" s="50">
        <v>3</v>
      </c>
      <c r="H26" s="50">
        <v>3</v>
      </c>
      <c r="I26" s="50">
        <v>12</v>
      </c>
      <c r="J26" s="50">
        <v>8</v>
      </c>
      <c r="K26" s="50">
        <v>1</v>
      </c>
      <c r="L26" s="50">
        <v>6</v>
      </c>
      <c r="M26" s="50">
        <v>230</v>
      </c>
      <c r="N26" s="50">
        <v>0</v>
      </c>
      <c r="O26" s="15">
        <f t="shared" si="0"/>
        <v>167</v>
      </c>
      <c r="P26" s="15">
        <f t="shared" si="1"/>
        <v>397</v>
      </c>
      <c r="R26" s="36" t="s">
        <v>150</v>
      </c>
      <c r="S26" s="34">
        <f>SUM(C74:C77)</f>
        <v>235</v>
      </c>
      <c r="T26" s="34">
        <f t="shared" ref="T26:AF26" si="18">SUM(D74:D77)</f>
        <v>41</v>
      </c>
      <c r="U26" s="34">
        <f t="shared" si="18"/>
        <v>18</v>
      </c>
      <c r="V26" s="34">
        <f t="shared" si="18"/>
        <v>100</v>
      </c>
      <c r="W26" s="34">
        <f t="shared" si="18"/>
        <v>3</v>
      </c>
      <c r="X26" s="34">
        <f t="shared" si="18"/>
        <v>10</v>
      </c>
      <c r="Y26" s="34">
        <f t="shared" si="18"/>
        <v>7</v>
      </c>
      <c r="Z26" s="34">
        <f t="shared" si="18"/>
        <v>12</v>
      </c>
      <c r="AA26" s="34">
        <f t="shared" si="18"/>
        <v>8</v>
      </c>
      <c r="AB26" s="34">
        <f t="shared" si="18"/>
        <v>5</v>
      </c>
      <c r="AC26" s="34">
        <f t="shared" si="18"/>
        <v>1078</v>
      </c>
      <c r="AD26" s="34">
        <f t="shared" si="18"/>
        <v>0</v>
      </c>
      <c r="AE26" s="31">
        <f t="shared" si="18"/>
        <v>439</v>
      </c>
      <c r="AF26" s="31">
        <f t="shared" si="18"/>
        <v>1517</v>
      </c>
    </row>
    <row r="27" spans="2:32" ht="23.1" customHeight="1" x14ac:dyDescent="0.25">
      <c r="B27" s="45" t="s">
        <v>54</v>
      </c>
      <c r="C27" s="50">
        <v>31</v>
      </c>
      <c r="D27" s="50">
        <v>5</v>
      </c>
      <c r="E27" s="50">
        <v>5</v>
      </c>
      <c r="F27" s="50">
        <v>53</v>
      </c>
      <c r="G27" s="50">
        <v>1</v>
      </c>
      <c r="H27" s="50">
        <v>0</v>
      </c>
      <c r="I27" s="50">
        <v>7</v>
      </c>
      <c r="J27" s="50">
        <v>2</v>
      </c>
      <c r="K27" s="50">
        <v>3</v>
      </c>
      <c r="L27" s="50">
        <v>5</v>
      </c>
      <c r="M27" s="50">
        <v>115</v>
      </c>
      <c r="N27" s="50">
        <v>0</v>
      </c>
      <c r="O27" s="15">
        <f t="shared" si="0"/>
        <v>112</v>
      </c>
      <c r="P27" s="15">
        <f t="shared" si="1"/>
        <v>227</v>
      </c>
      <c r="R27" s="36" t="s">
        <v>151</v>
      </c>
      <c r="S27" s="34">
        <f>SUM(C78:C81)</f>
        <v>153</v>
      </c>
      <c r="T27" s="34">
        <f t="shared" ref="T27:AF27" si="19">SUM(D78:D81)</f>
        <v>16</v>
      </c>
      <c r="U27" s="34">
        <f t="shared" si="19"/>
        <v>16</v>
      </c>
      <c r="V27" s="34">
        <f t="shared" si="19"/>
        <v>67</v>
      </c>
      <c r="W27" s="34">
        <f t="shared" si="19"/>
        <v>1</v>
      </c>
      <c r="X27" s="34">
        <f t="shared" si="19"/>
        <v>10</v>
      </c>
      <c r="Y27" s="34">
        <f t="shared" si="19"/>
        <v>3</v>
      </c>
      <c r="Z27" s="34">
        <f t="shared" si="19"/>
        <v>4</v>
      </c>
      <c r="AA27" s="34">
        <f t="shared" si="19"/>
        <v>3</v>
      </c>
      <c r="AB27" s="34">
        <f t="shared" si="19"/>
        <v>0</v>
      </c>
      <c r="AC27" s="34">
        <f t="shared" si="19"/>
        <v>510</v>
      </c>
      <c r="AD27" s="34">
        <f t="shared" si="19"/>
        <v>0</v>
      </c>
      <c r="AE27" s="31">
        <f t="shared" si="19"/>
        <v>273</v>
      </c>
      <c r="AF27" s="31">
        <f t="shared" si="19"/>
        <v>783</v>
      </c>
    </row>
    <row r="28" spans="2:32" ht="23.1" customHeight="1" x14ac:dyDescent="0.25">
      <c r="B28" s="45" t="s">
        <v>55</v>
      </c>
      <c r="C28" s="50">
        <v>35</v>
      </c>
      <c r="D28" s="50">
        <v>5</v>
      </c>
      <c r="E28" s="50">
        <v>9</v>
      </c>
      <c r="F28" s="50">
        <v>50</v>
      </c>
      <c r="G28" s="50">
        <v>0</v>
      </c>
      <c r="H28" s="50">
        <v>3</v>
      </c>
      <c r="I28" s="50">
        <v>8</v>
      </c>
      <c r="J28" s="50">
        <v>2</v>
      </c>
      <c r="K28" s="50">
        <v>5</v>
      </c>
      <c r="L28" s="50">
        <v>4</v>
      </c>
      <c r="M28" s="50">
        <v>140</v>
      </c>
      <c r="N28" s="50">
        <v>0</v>
      </c>
      <c r="O28" s="15">
        <f t="shared" si="0"/>
        <v>121</v>
      </c>
      <c r="P28" s="15">
        <f t="shared" si="1"/>
        <v>261</v>
      </c>
      <c r="R28" s="36" t="s">
        <v>152</v>
      </c>
      <c r="S28" s="34">
        <f>SUM(C82:C85)</f>
        <v>146</v>
      </c>
      <c r="T28" s="34">
        <f t="shared" ref="T28:AF28" si="20">SUM(D82:D85)</f>
        <v>13</v>
      </c>
      <c r="U28" s="34">
        <f t="shared" si="20"/>
        <v>8</v>
      </c>
      <c r="V28" s="34">
        <f t="shared" si="20"/>
        <v>19</v>
      </c>
      <c r="W28" s="34">
        <f t="shared" si="20"/>
        <v>1</v>
      </c>
      <c r="X28" s="34">
        <f t="shared" si="20"/>
        <v>2</v>
      </c>
      <c r="Y28" s="34">
        <f t="shared" si="20"/>
        <v>4</v>
      </c>
      <c r="Z28" s="34">
        <f t="shared" si="20"/>
        <v>2</v>
      </c>
      <c r="AA28" s="34">
        <f t="shared" si="20"/>
        <v>0</v>
      </c>
      <c r="AB28" s="34">
        <f t="shared" si="20"/>
        <v>2</v>
      </c>
      <c r="AC28" s="34">
        <f t="shared" si="20"/>
        <v>203</v>
      </c>
      <c r="AD28" s="34">
        <f t="shared" si="20"/>
        <v>0</v>
      </c>
      <c r="AE28" s="31">
        <f t="shared" si="20"/>
        <v>197</v>
      </c>
      <c r="AF28" s="31">
        <f t="shared" si="20"/>
        <v>400</v>
      </c>
    </row>
    <row r="29" spans="2:32" ht="23.1" customHeight="1" x14ac:dyDescent="0.25">
      <c r="B29" s="45" t="s">
        <v>56</v>
      </c>
      <c r="C29" s="50">
        <v>35</v>
      </c>
      <c r="D29" s="50">
        <v>2</v>
      </c>
      <c r="E29" s="50">
        <v>12</v>
      </c>
      <c r="F29" s="50">
        <v>50</v>
      </c>
      <c r="G29" s="50">
        <v>2</v>
      </c>
      <c r="H29" s="50">
        <v>0</v>
      </c>
      <c r="I29" s="50">
        <v>10</v>
      </c>
      <c r="J29" s="50">
        <v>5</v>
      </c>
      <c r="K29" s="50">
        <v>2</v>
      </c>
      <c r="L29" s="50">
        <v>8</v>
      </c>
      <c r="M29" s="50">
        <v>160</v>
      </c>
      <c r="N29" s="50">
        <v>0</v>
      </c>
      <c r="O29" s="15">
        <f t="shared" si="0"/>
        <v>126</v>
      </c>
      <c r="P29" s="15">
        <f t="shared" si="1"/>
        <v>286</v>
      </c>
      <c r="R29" s="36" t="s">
        <v>153</v>
      </c>
      <c r="S29" s="34">
        <f>SUM(C86:C89)</f>
        <v>44</v>
      </c>
      <c r="T29" s="34">
        <f t="shared" ref="T29:AF29" si="21">SUM(D86:D89)</f>
        <v>5</v>
      </c>
      <c r="U29" s="34">
        <f t="shared" si="21"/>
        <v>7</v>
      </c>
      <c r="V29" s="34">
        <f t="shared" si="21"/>
        <v>1</v>
      </c>
      <c r="W29" s="34">
        <f t="shared" si="21"/>
        <v>0</v>
      </c>
      <c r="X29" s="34">
        <f t="shared" si="21"/>
        <v>3</v>
      </c>
      <c r="Y29" s="34">
        <f t="shared" si="21"/>
        <v>9</v>
      </c>
      <c r="Z29" s="34">
        <f t="shared" si="21"/>
        <v>12</v>
      </c>
      <c r="AA29" s="34">
        <f t="shared" si="21"/>
        <v>1</v>
      </c>
      <c r="AB29" s="34">
        <f t="shared" si="21"/>
        <v>4</v>
      </c>
      <c r="AC29" s="34">
        <f t="shared" si="21"/>
        <v>129</v>
      </c>
      <c r="AD29" s="34">
        <f t="shared" si="21"/>
        <v>0</v>
      </c>
      <c r="AE29" s="31">
        <f t="shared" si="21"/>
        <v>86</v>
      </c>
      <c r="AF29" s="31">
        <f t="shared" si="21"/>
        <v>215</v>
      </c>
    </row>
    <row r="30" spans="2:32" ht="23.1" customHeight="1" x14ac:dyDescent="0.25">
      <c r="B30" s="45" t="s">
        <v>57</v>
      </c>
      <c r="C30" s="50">
        <v>62</v>
      </c>
      <c r="D30" s="50">
        <v>15</v>
      </c>
      <c r="E30" s="50">
        <v>11</v>
      </c>
      <c r="F30" s="50">
        <v>55</v>
      </c>
      <c r="G30" s="50">
        <v>3</v>
      </c>
      <c r="H30" s="50">
        <v>1</v>
      </c>
      <c r="I30" s="50">
        <v>16</v>
      </c>
      <c r="J30" s="50">
        <v>15</v>
      </c>
      <c r="K30" s="50">
        <v>4</v>
      </c>
      <c r="L30" s="50">
        <v>4</v>
      </c>
      <c r="M30" s="50">
        <v>145</v>
      </c>
      <c r="N30" s="50">
        <v>0</v>
      </c>
      <c r="O30" s="15">
        <f t="shared" si="0"/>
        <v>186</v>
      </c>
      <c r="P30" s="15">
        <f t="shared" si="1"/>
        <v>331</v>
      </c>
      <c r="R30" s="36" t="s">
        <v>154</v>
      </c>
      <c r="S30" s="34">
        <f>SUM(C90:C93)</f>
        <v>40</v>
      </c>
      <c r="T30" s="34">
        <f t="shared" ref="T30:AF30" si="22">SUM(D90:D93)</f>
        <v>6</v>
      </c>
      <c r="U30" s="34">
        <f t="shared" si="22"/>
        <v>4</v>
      </c>
      <c r="V30" s="34">
        <f t="shared" si="22"/>
        <v>3</v>
      </c>
      <c r="W30" s="34">
        <f t="shared" si="22"/>
        <v>0</v>
      </c>
      <c r="X30" s="34">
        <f t="shared" si="22"/>
        <v>2</v>
      </c>
      <c r="Y30" s="34">
        <f t="shared" si="22"/>
        <v>2</v>
      </c>
      <c r="Z30" s="34">
        <f t="shared" si="22"/>
        <v>3</v>
      </c>
      <c r="AA30" s="34">
        <f t="shared" si="22"/>
        <v>0</v>
      </c>
      <c r="AB30" s="34">
        <f t="shared" si="22"/>
        <v>0</v>
      </c>
      <c r="AC30" s="34">
        <f t="shared" si="22"/>
        <v>123</v>
      </c>
      <c r="AD30" s="34">
        <f t="shared" si="22"/>
        <v>0</v>
      </c>
      <c r="AE30" s="31">
        <f t="shared" si="22"/>
        <v>60</v>
      </c>
      <c r="AF30" s="31">
        <f t="shared" si="22"/>
        <v>183</v>
      </c>
    </row>
    <row r="31" spans="2:32" ht="23.1" customHeight="1" x14ac:dyDescent="0.25">
      <c r="B31" s="46" t="s">
        <v>58</v>
      </c>
      <c r="C31" s="50">
        <v>41</v>
      </c>
      <c r="D31" s="50">
        <v>5</v>
      </c>
      <c r="E31" s="50">
        <v>7</v>
      </c>
      <c r="F31" s="50">
        <v>52</v>
      </c>
      <c r="G31" s="50">
        <v>1</v>
      </c>
      <c r="H31" s="50">
        <v>0</v>
      </c>
      <c r="I31" s="50">
        <v>14</v>
      </c>
      <c r="J31" s="50">
        <v>9</v>
      </c>
      <c r="K31" s="50">
        <v>6</v>
      </c>
      <c r="L31" s="50">
        <v>5</v>
      </c>
      <c r="M31" s="50">
        <v>165</v>
      </c>
      <c r="N31" s="50">
        <v>0</v>
      </c>
      <c r="O31" s="15">
        <f t="shared" si="0"/>
        <v>140</v>
      </c>
      <c r="P31" s="15">
        <f t="shared" si="1"/>
        <v>305</v>
      </c>
      <c r="R31" s="36" t="s">
        <v>155</v>
      </c>
      <c r="S31" s="34">
        <f>SUM(C94:C97)</f>
        <v>62</v>
      </c>
      <c r="T31" s="34">
        <f t="shared" ref="T31:AF31" si="23">SUM(D94:D97)</f>
        <v>9</v>
      </c>
      <c r="U31" s="34">
        <f t="shared" si="23"/>
        <v>9</v>
      </c>
      <c r="V31" s="34">
        <f t="shared" si="23"/>
        <v>15</v>
      </c>
      <c r="W31" s="34">
        <f t="shared" si="23"/>
        <v>0</v>
      </c>
      <c r="X31" s="34">
        <f t="shared" si="23"/>
        <v>2</v>
      </c>
      <c r="Y31" s="34">
        <f t="shared" si="23"/>
        <v>6</v>
      </c>
      <c r="Z31" s="34">
        <f t="shared" si="23"/>
        <v>5</v>
      </c>
      <c r="AA31" s="34">
        <f t="shared" si="23"/>
        <v>0</v>
      </c>
      <c r="AB31" s="34">
        <f t="shared" si="23"/>
        <v>0</v>
      </c>
      <c r="AC31" s="34">
        <f t="shared" si="23"/>
        <v>98</v>
      </c>
      <c r="AD31" s="34">
        <f t="shared" si="23"/>
        <v>0</v>
      </c>
      <c r="AE31" s="31">
        <f t="shared" si="23"/>
        <v>108</v>
      </c>
      <c r="AF31" s="31">
        <f t="shared" si="23"/>
        <v>206</v>
      </c>
    </row>
    <row r="32" spans="2:32" ht="23.1" customHeight="1" x14ac:dyDescent="0.25">
      <c r="B32" s="46" t="s">
        <v>59</v>
      </c>
      <c r="C32" s="50">
        <v>52</v>
      </c>
      <c r="D32" s="50">
        <v>9</v>
      </c>
      <c r="E32" s="50">
        <v>9</v>
      </c>
      <c r="F32" s="50">
        <v>54</v>
      </c>
      <c r="G32" s="50">
        <v>0</v>
      </c>
      <c r="H32" s="50">
        <v>2</v>
      </c>
      <c r="I32" s="50">
        <v>23</v>
      </c>
      <c r="J32" s="50">
        <v>3</v>
      </c>
      <c r="K32" s="50">
        <v>5</v>
      </c>
      <c r="L32" s="50">
        <v>3</v>
      </c>
      <c r="M32" s="50">
        <v>160</v>
      </c>
      <c r="N32" s="50">
        <v>0</v>
      </c>
      <c r="O32" s="15">
        <f t="shared" si="0"/>
        <v>160</v>
      </c>
      <c r="P32" s="15">
        <f t="shared" si="1"/>
        <v>320</v>
      </c>
      <c r="R32" s="33" t="s">
        <v>156</v>
      </c>
      <c r="S32" s="34">
        <f>SUM(C98:C101)</f>
        <v>76</v>
      </c>
      <c r="T32" s="34">
        <f t="shared" ref="T32:AF32" si="24">SUM(D98:D101)</f>
        <v>9</v>
      </c>
      <c r="U32" s="34">
        <f t="shared" si="24"/>
        <v>9</v>
      </c>
      <c r="V32" s="34">
        <f t="shared" si="24"/>
        <v>60</v>
      </c>
      <c r="W32" s="34">
        <f t="shared" si="24"/>
        <v>0</v>
      </c>
      <c r="X32" s="34">
        <f t="shared" si="24"/>
        <v>6</v>
      </c>
      <c r="Y32" s="34">
        <f t="shared" si="24"/>
        <v>8</v>
      </c>
      <c r="Z32" s="34">
        <f t="shared" si="24"/>
        <v>1</v>
      </c>
      <c r="AA32" s="34">
        <f t="shared" si="24"/>
        <v>1</v>
      </c>
      <c r="AB32" s="34">
        <f t="shared" si="24"/>
        <v>0</v>
      </c>
      <c r="AC32" s="34">
        <f t="shared" si="24"/>
        <v>192</v>
      </c>
      <c r="AD32" s="34">
        <f t="shared" si="24"/>
        <v>0</v>
      </c>
      <c r="AE32" s="31">
        <f t="shared" si="24"/>
        <v>170</v>
      </c>
      <c r="AF32" s="31">
        <f t="shared" si="24"/>
        <v>362</v>
      </c>
    </row>
    <row r="33" spans="2:32" ht="23.1" customHeight="1" x14ac:dyDescent="0.25">
      <c r="B33" s="45" t="s">
        <v>60</v>
      </c>
      <c r="C33" s="50">
        <v>32</v>
      </c>
      <c r="D33" s="50">
        <v>6</v>
      </c>
      <c r="E33" s="50">
        <v>8</v>
      </c>
      <c r="F33" s="50">
        <v>43</v>
      </c>
      <c r="G33" s="50">
        <v>2</v>
      </c>
      <c r="H33" s="50">
        <v>1</v>
      </c>
      <c r="I33" s="50">
        <v>9</v>
      </c>
      <c r="J33" s="50">
        <v>12</v>
      </c>
      <c r="K33" s="50">
        <v>0</v>
      </c>
      <c r="L33" s="50">
        <v>4</v>
      </c>
      <c r="M33" s="50">
        <v>125</v>
      </c>
      <c r="N33" s="50">
        <v>0</v>
      </c>
      <c r="O33" s="15">
        <f t="shared" si="0"/>
        <v>117</v>
      </c>
      <c r="P33" s="15">
        <f t="shared" si="1"/>
        <v>242</v>
      </c>
      <c r="R33" s="33" t="s">
        <v>157</v>
      </c>
      <c r="S33" s="34">
        <f>SUM(C102:C105)</f>
        <v>126</v>
      </c>
      <c r="T33" s="34">
        <f t="shared" ref="T33:AF33" si="25">SUM(D102:D105)</f>
        <v>23</v>
      </c>
      <c r="U33" s="34">
        <f t="shared" si="25"/>
        <v>26</v>
      </c>
      <c r="V33" s="34">
        <f t="shared" si="25"/>
        <v>164</v>
      </c>
      <c r="W33" s="34">
        <f t="shared" si="25"/>
        <v>6</v>
      </c>
      <c r="X33" s="34">
        <f t="shared" si="25"/>
        <v>6</v>
      </c>
      <c r="Y33" s="34">
        <f t="shared" si="25"/>
        <v>19</v>
      </c>
      <c r="Z33" s="34">
        <f t="shared" si="25"/>
        <v>16</v>
      </c>
      <c r="AA33" s="34">
        <f t="shared" si="25"/>
        <v>4</v>
      </c>
      <c r="AB33" s="34">
        <f t="shared" si="25"/>
        <v>6</v>
      </c>
      <c r="AC33" s="34">
        <f t="shared" si="25"/>
        <v>262</v>
      </c>
      <c r="AD33" s="34">
        <f t="shared" si="25"/>
        <v>0</v>
      </c>
      <c r="AE33" s="31">
        <f t="shared" si="25"/>
        <v>396</v>
      </c>
      <c r="AF33" s="31">
        <f t="shared" si="25"/>
        <v>658</v>
      </c>
    </row>
    <row r="34" spans="2:32" ht="23.1" customHeight="1" x14ac:dyDescent="0.25">
      <c r="B34" s="46" t="s">
        <v>61</v>
      </c>
      <c r="C34" s="50">
        <v>46</v>
      </c>
      <c r="D34" s="50">
        <v>9</v>
      </c>
      <c r="E34" s="50">
        <v>7</v>
      </c>
      <c r="F34" s="50">
        <v>46</v>
      </c>
      <c r="G34" s="50">
        <v>0</v>
      </c>
      <c r="H34" s="50">
        <v>1</v>
      </c>
      <c r="I34" s="50">
        <v>8</v>
      </c>
      <c r="J34" s="50">
        <v>10</v>
      </c>
      <c r="K34" s="50">
        <v>6</v>
      </c>
      <c r="L34" s="50">
        <v>1</v>
      </c>
      <c r="M34" s="50">
        <v>155</v>
      </c>
      <c r="N34" s="50">
        <v>0</v>
      </c>
      <c r="O34" s="15">
        <f t="shared" si="0"/>
        <v>134</v>
      </c>
      <c r="P34" s="15">
        <f t="shared" si="1"/>
        <v>289</v>
      </c>
      <c r="R34" s="38" t="s">
        <v>90</v>
      </c>
      <c r="S34" s="39">
        <f t="shared" ref="S34:AF34" si="26">MAX(S10:S12)</f>
        <v>127</v>
      </c>
      <c r="T34" s="39">
        <f t="shared" si="26"/>
        <v>30</v>
      </c>
      <c r="U34" s="39">
        <f t="shared" si="26"/>
        <v>28</v>
      </c>
      <c r="V34" s="39">
        <f t="shared" si="26"/>
        <v>212</v>
      </c>
      <c r="W34" s="39">
        <f t="shared" si="26"/>
        <v>14</v>
      </c>
      <c r="X34" s="39">
        <f t="shared" si="26"/>
        <v>7</v>
      </c>
      <c r="Y34" s="39">
        <f t="shared" si="26"/>
        <v>33</v>
      </c>
      <c r="Z34" s="39">
        <f t="shared" si="26"/>
        <v>14</v>
      </c>
      <c r="AA34" s="39">
        <f t="shared" si="26"/>
        <v>5</v>
      </c>
      <c r="AB34" s="39">
        <f t="shared" si="26"/>
        <v>7</v>
      </c>
      <c r="AC34" s="39">
        <f t="shared" si="26"/>
        <v>1210</v>
      </c>
      <c r="AD34" s="39">
        <f t="shared" si="26"/>
        <v>0</v>
      </c>
      <c r="AE34" s="40">
        <f t="shared" si="26"/>
        <v>454</v>
      </c>
      <c r="AF34" s="40">
        <f t="shared" si="26"/>
        <v>1625</v>
      </c>
    </row>
    <row r="35" spans="2:32" ht="23.1" customHeight="1" x14ac:dyDescent="0.25">
      <c r="B35" s="46" t="s">
        <v>62</v>
      </c>
      <c r="C35" s="50">
        <v>61</v>
      </c>
      <c r="D35" s="50">
        <v>3</v>
      </c>
      <c r="E35" s="50">
        <v>2</v>
      </c>
      <c r="F35" s="50">
        <v>60</v>
      </c>
      <c r="G35" s="50">
        <v>1</v>
      </c>
      <c r="H35" s="50">
        <v>0</v>
      </c>
      <c r="I35" s="50">
        <v>11</v>
      </c>
      <c r="J35" s="50">
        <v>7</v>
      </c>
      <c r="K35" s="50">
        <v>2</v>
      </c>
      <c r="L35" s="50">
        <v>1</v>
      </c>
      <c r="M35" s="50">
        <v>190</v>
      </c>
      <c r="N35" s="50">
        <v>0</v>
      </c>
      <c r="O35" s="15">
        <f t="shared" si="0"/>
        <v>148</v>
      </c>
      <c r="P35" s="15">
        <f t="shared" si="1"/>
        <v>338</v>
      </c>
      <c r="R35" s="38" t="s">
        <v>91</v>
      </c>
      <c r="S35" s="39">
        <f t="shared" ref="S35:AF35" si="27">MAX(S13:S18)</f>
        <v>211</v>
      </c>
      <c r="T35" s="39">
        <f t="shared" si="27"/>
        <v>57</v>
      </c>
      <c r="U35" s="39">
        <f t="shared" si="27"/>
        <v>45</v>
      </c>
      <c r="V35" s="39">
        <f t="shared" si="27"/>
        <v>231</v>
      </c>
      <c r="W35" s="39">
        <f t="shared" si="27"/>
        <v>6</v>
      </c>
      <c r="X35" s="39">
        <f t="shared" si="27"/>
        <v>6</v>
      </c>
      <c r="Y35" s="39">
        <f t="shared" si="27"/>
        <v>62</v>
      </c>
      <c r="Z35" s="39">
        <f t="shared" si="27"/>
        <v>39</v>
      </c>
      <c r="AA35" s="39">
        <f t="shared" si="27"/>
        <v>15</v>
      </c>
      <c r="AB35" s="39">
        <f t="shared" si="27"/>
        <v>23</v>
      </c>
      <c r="AC35" s="39">
        <f t="shared" si="27"/>
        <v>859</v>
      </c>
      <c r="AD35" s="39">
        <f t="shared" si="27"/>
        <v>1</v>
      </c>
      <c r="AE35" s="40">
        <f t="shared" si="27"/>
        <v>607</v>
      </c>
      <c r="AF35" s="40">
        <f t="shared" si="27"/>
        <v>1409</v>
      </c>
    </row>
    <row r="36" spans="2:32" ht="23.1" customHeight="1" x14ac:dyDescent="0.25">
      <c r="B36" s="46" t="s">
        <v>63</v>
      </c>
      <c r="C36" s="50">
        <v>53</v>
      </c>
      <c r="D36" s="50">
        <v>12</v>
      </c>
      <c r="E36" s="50">
        <v>8</v>
      </c>
      <c r="F36" s="50">
        <v>72</v>
      </c>
      <c r="G36" s="50">
        <v>0</v>
      </c>
      <c r="H36" s="50">
        <v>1</v>
      </c>
      <c r="I36" s="50">
        <v>13</v>
      </c>
      <c r="J36" s="50">
        <v>8</v>
      </c>
      <c r="K36" s="50">
        <v>3</v>
      </c>
      <c r="L36" s="50">
        <v>3</v>
      </c>
      <c r="M36" s="50">
        <v>130</v>
      </c>
      <c r="N36" s="50">
        <v>0</v>
      </c>
      <c r="O36" s="15">
        <f t="shared" si="0"/>
        <v>173</v>
      </c>
      <c r="P36" s="15">
        <f t="shared" si="1"/>
        <v>303</v>
      </c>
      <c r="R36" s="38" t="s">
        <v>92</v>
      </c>
      <c r="S36" s="39">
        <f t="shared" ref="S36:AF36" si="28">MAX(S19:S21)</f>
        <v>207</v>
      </c>
      <c r="T36" s="39">
        <f t="shared" si="28"/>
        <v>35</v>
      </c>
      <c r="U36" s="39">
        <f t="shared" si="28"/>
        <v>34</v>
      </c>
      <c r="V36" s="39">
        <f t="shared" si="28"/>
        <v>191</v>
      </c>
      <c r="W36" s="39">
        <f t="shared" si="28"/>
        <v>5</v>
      </c>
      <c r="X36" s="39">
        <f t="shared" si="28"/>
        <v>10</v>
      </c>
      <c r="Y36" s="39">
        <f t="shared" si="28"/>
        <v>40</v>
      </c>
      <c r="Z36" s="39">
        <f t="shared" si="28"/>
        <v>30</v>
      </c>
      <c r="AA36" s="39">
        <f t="shared" si="28"/>
        <v>10</v>
      </c>
      <c r="AB36" s="39">
        <f t="shared" si="28"/>
        <v>21</v>
      </c>
      <c r="AC36" s="39">
        <f t="shared" si="28"/>
        <v>975</v>
      </c>
      <c r="AD36" s="39">
        <f t="shared" si="28"/>
        <v>0</v>
      </c>
      <c r="AE36" s="40">
        <f t="shared" si="28"/>
        <v>530</v>
      </c>
      <c r="AF36" s="40">
        <f t="shared" si="28"/>
        <v>1503</v>
      </c>
    </row>
    <row r="37" spans="2:32" ht="23.1" customHeight="1" x14ac:dyDescent="0.25">
      <c r="B37" s="45" t="s">
        <v>64</v>
      </c>
      <c r="C37" s="50">
        <v>51</v>
      </c>
      <c r="D37" s="50">
        <v>6</v>
      </c>
      <c r="E37" s="50">
        <v>10</v>
      </c>
      <c r="F37" s="50">
        <v>51</v>
      </c>
      <c r="G37" s="50">
        <v>5</v>
      </c>
      <c r="H37" s="50">
        <v>1</v>
      </c>
      <c r="I37" s="50">
        <v>14</v>
      </c>
      <c r="J37" s="50">
        <v>10</v>
      </c>
      <c r="K37" s="50">
        <v>0</v>
      </c>
      <c r="L37" s="50">
        <v>3</v>
      </c>
      <c r="M37" s="50">
        <v>160</v>
      </c>
      <c r="N37" s="50">
        <v>1</v>
      </c>
      <c r="O37" s="15">
        <f t="shared" si="0"/>
        <v>152</v>
      </c>
      <c r="P37" s="15">
        <f t="shared" si="1"/>
        <v>312</v>
      </c>
      <c r="R37" s="37" t="s">
        <v>85</v>
      </c>
      <c r="S37" s="35">
        <f t="shared" ref="S37:AF37" si="29">SUM(S10:S12)</f>
        <v>379</v>
      </c>
      <c r="T37" s="16">
        <f t="shared" si="29"/>
        <v>76</v>
      </c>
      <c r="U37" s="16">
        <f t="shared" si="29"/>
        <v>74</v>
      </c>
      <c r="V37" s="16">
        <f t="shared" si="29"/>
        <v>581</v>
      </c>
      <c r="W37" s="16">
        <f t="shared" si="29"/>
        <v>27</v>
      </c>
      <c r="X37" s="16">
        <f t="shared" si="29"/>
        <v>17</v>
      </c>
      <c r="Y37" s="16">
        <f t="shared" si="29"/>
        <v>94</v>
      </c>
      <c r="Z37" s="16">
        <f t="shared" si="29"/>
        <v>39</v>
      </c>
      <c r="AA37" s="16">
        <f t="shared" si="29"/>
        <v>12</v>
      </c>
      <c r="AB37" s="16">
        <f t="shared" si="29"/>
        <v>16</v>
      </c>
      <c r="AC37" s="16">
        <f t="shared" si="29"/>
        <v>3415</v>
      </c>
      <c r="AD37" s="16">
        <f t="shared" si="29"/>
        <v>0</v>
      </c>
      <c r="AE37" s="32">
        <f t="shared" si="29"/>
        <v>1315</v>
      </c>
      <c r="AF37" s="32">
        <f t="shared" si="29"/>
        <v>4730</v>
      </c>
    </row>
    <row r="38" spans="2:32" ht="23.1" customHeight="1" x14ac:dyDescent="0.25">
      <c r="B38" s="46" t="s">
        <v>65</v>
      </c>
      <c r="C38" s="50">
        <v>45</v>
      </c>
      <c r="D38" s="50">
        <v>8</v>
      </c>
      <c r="E38" s="50">
        <v>5</v>
      </c>
      <c r="F38" s="50">
        <v>42</v>
      </c>
      <c r="G38" s="50">
        <v>1</v>
      </c>
      <c r="H38" s="50">
        <v>0</v>
      </c>
      <c r="I38" s="50">
        <v>6</v>
      </c>
      <c r="J38" s="50">
        <v>2</v>
      </c>
      <c r="K38" s="50">
        <v>5</v>
      </c>
      <c r="L38" s="50">
        <v>4</v>
      </c>
      <c r="M38" s="50">
        <v>155</v>
      </c>
      <c r="N38" s="50">
        <v>0</v>
      </c>
      <c r="O38" s="15">
        <f t="shared" si="0"/>
        <v>118</v>
      </c>
      <c r="P38" s="15">
        <f t="shared" si="1"/>
        <v>273</v>
      </c>
      <c r="R38" s="28" t="s">
        <v>86</v>
      </c>
      <c r="S38" s="16">
        <f t="shared" ref="S38:AF38" si="30">SUM(S13:S18)</f>
        <v>1126</v>
      </c>
      <c r="T38" s="16">
        <f t="shared" si="30"/>
        <v>191</v>
      </c>
      <c r="U38" s="16">
        <f t="shared" si="30"/>
        <v>199</v>
      </c>
      <c r="V38" s="16">
        <f t="shared" si="30"/>
        <v>1219</v>
      </c>
      <c r="W38" s="16">
        <f t="shared" si="30"/>
        <v>26</v>
      </c>
      <c r="X38" s="16">
        <f t="shared" si="30"/>
        <v>29</v>
      </c>
      <c r="Y38" s="16">
        <f t="shared" si="30"/>
        <v>288</v>
      </c>
      <c r="Z38" s="16">
        <f t="shared" si="30"/>
        <v>173</v>
      </c>
      <c r="AA38" s="16">
        <f t="shared" si="30"/>
        <v>72</v>
      </c>
      <c r="AB38" s="16">
        <f t="shared" si="30"/>
        <v>84</v>
      </c>
      <c r="AC38" s="16">
        <f t="shared" si="30"/>
        <v>4254</v>
      </c>
      <c r="AD38" s="16">
        <f t="shared" si="30"/>
        <v>1</v>
      </c>
      <c r="AE38" s="32">
        <f t="shared" si="30"/>
        <v>3408</v>
      </c>
      <c r="AF38" s="32">
        <f t="shared" si="30"/>
        <v>7662</v>
      </c>
    </row>
    <row r="39" spans="2:32" ht="23.1" customHeight="1" x14ac:dyDescent="0.25">
      <c r="B39" s="46" t="s">
        <v>66</v>
      </c>
      <c r="C39" s="50">
        <v>40</v>
      </c>
      <c r="D39" s="50">
        <v>32</v>
      </c>
      <c r="E39" s="50">
        <v>8</v>
      </c>
      <c r="F39" s="50">
        <v>60</v>
      </c>
      <c r="G39" s="50">
        <v>0</v>
      </c>
      <c r="H39" s="50">
        <v>3</v>
      </c>
      <c r="I39" s="50">
        <v>19</v>
      </c>
      <c r="J39" s="50">
        <v>10</v>
      </c>
      <c r="K39" s="50">
        <v>2</v>
      </c>
      <c r="L39" s="50">
        <v>3</v>
      </c>
      <c r="M39" s="50">
        <v>190</v>
      </c>
      <c r="N39" s="50">
        <v>0</v>
      </c>
      <c r="O39" s="15">
        <f t="shared" si="0"/>
        <v>177</v>
      </c>
      <c r="P39" s="15">
        <f t="shared" si="1"/>
        <v>367</v>
      </c>
      <c r="R39" s="29" t="s">
        <v>87</v>
      </c>
      <c r="S39" s="16">
        <f t="shared" ref="S39:AF39" si="31">SUM(S19:S21)</f>
        <v>591</v>
      </c>
      <c r="T39" s="16">
        <f t="shared" si="31"/>
        <v>100</v>
      </c>
      <c r="U39" s="16">
        <f t="shared" si="31"/>
        <v>92</v>
      </c>
      <c r="V39" s="16">
        <f t="shared" si="31"/>
        <v>502</v>
      </c>
      <c r="W39" s="16">
        <f t="shared" si="31"/>
        <v>10</v>
      </c>
      <c r="X39" s="16">
        <f t="shared" si="31"/>
        <v>16</v>
      </c>
      <c r="Y39" s="16">
        <f t="shared" si="31"/>
        <v>109</v>
      </c>
      <c r="Z39" s="16">
        <f t="shared" si="31"/>
        <v>81</v>
      </c>
      <c r="AA39" s="16">
        <f t="shared" si="31"/>
        <v>24</v>
      </c>
      <c r="AB39" s="16">
        <f t="shared" si="31"/>
        <v>47</v>
      </c>
      <c r="AC39" s="16">
        <f t="shared" si="31"/>
        <v>2710</v>
      </c>
      <c r="AD39" s="16">
        <f t="shared" si="31"/>
        <v>0</v>
      </c>
      <c r="AE39" s="32">
        <f t="shared" si="31"/>
        <v>1572</v>
      </c>
      <c r="AF39" s="32">
        <f t="shared" si="31"/>
        <v>4282</v>
      </c>
    </row>
    <row r="40" spans="2:32" ht="23.1" customHeight="1" x14ac:dyDescent="0.25">
      <c r="B40" s="46" t="s">
        <v>67</v>
      </c>
      <c r="C40" s="50">
        <v>61</v>
      </c>
      <c r="D40" s="50">
        <v>11</v>
      </c>
      <c r="E40" s="50">
        <v>10</v>
      </c>
      <c r="F40" s="50">
        <v>30</v>
      </c>
      <c r="G40" s="50">
        <v>1</v>
      </c>
      <c r="H40" s="50">
        <v>0</v>
      </c>
      <c r="I40" s="50">
        <v>10</v>
      </c>
      <c r="J40" s="50">
        <v>1</v>
      </c>
      <c r="K40" s="50">
        <v>2</v>
      </c>
      <c r="L40" s="50">
        <v>3</v>
      </c>
      <c r="M40" s="50">
        <v>115</v>
      </c>
      <c r="N40" s="50">
        <v>0</v>
      </c>
      <c r="O40" s="15">
        <f t="shared" si="0"/>
        <v>129</v>
      </c>
      <c r="P40" s="15">
        <f t="shared" si="1"/>
        <v>244</v>
      </c>
      <c r="R40" s="5" t="s">
        <v>17</v>
      </c>
      <c r="S40" s="16">
        <f t="shared" ref="S40:AF40" si="32">SUM(S10:S21)</f>
        <v>2096</v>
      </c>
      <c r="T40" s="16">
        <f t="shared" si="32"/>
        <v>367</v>
      </c>
      <c r="U40" s="16">
        <f t="shared" si="32"/>
        <v>365</v>
      </c>
      <c r="V40" s="16">
        <f t="shared" si="32"/>
        <v>2302</v>
      </c>
      <c r="W40" s="16">
        <f t="shared" si="32"/>
        <v>63</v>
      </c>
      <c r="X40" s="16">
        <f t="shared" si="32"/>
        <v>62</v>
      </c>
      <c r="Y40" s="16">
        <f t="shared" si="32"/>
        <v>491</v>
      </c>
      <c r="Z40" s="16">
        <f t="shared" si="32"/>
        <v>293</v>
      </c>
      <c r="AA40" s="16">
        <f t="shared" si="32"/>
        <v>108</v>
      </c>
      <c r="AB40" s="16">
        <f t="shared" si="32"/>
        <v>147</v>
      </c>
      <c r="AC40" s="16">
        <f t="shared" si="32"/>
        <v>10379</v>
      </c>
      <c r="AD40" s="16">
        <f t="shared" si="32"/>
        <v>1</v>
      </c>
      <c r="AE40" s="32">
        <f t="shared" si="32"/>
        <v>6295</v>
      </c>
      <c r="AF40" s="32">
        <f t="shared" si="32"/>
        <v>16674</v>
      </c>
    </row>
    <row r="41" spans="2:32" ht="23.1" customHeight="1" x14ac:dyDescent="0.25">
      <c r="B41" s="45" t="s">
        <v>68</v>
      </c>
      <c r="C41" s="50">
        <v>53</v>
      </c>
      <c r="D41" s="50">
        <v>6</v>
      </c>
      <c r="E41" s="50">
        <v>9</v>
      </c>
      <c r="F41" s="50">
        <v>47</v>
      </c>
      <c r="G41" s="50">
        <v>0</v>
      </c>
      <c r="H41" s="50">
        <v>3</v>
      </c>
      <c r="I41" s="50">
        <v>9</v>
      </c>
      <c r="J41" s="50">
        <v>7</v>
      </c>
      <c r="K41" s="50">
        <v>0</v>
      </c>
      <c r="L41" s="50">
        <v>1</v>
      </c>
      <c r="M41" s="50">
        <v>225</v>
      </c>
      <c r="N41" s="50">
        <v>0</v>
      </c>
      <c r="O41" s="15">
        <f t="shared" si="0"/>
        <v>135</v>
      </c>
      <c r="P41" s="15">
        <f t="shared" si="1"/>
        <v>360</v>
      </c>
      <c r="R41" s="5" t="s">
        <v>159</v>
      </c>
      <c r="S41" s="16">
        <f>SUM(S10:S33)</f>
        <v>3964</v>
      </c>
      <c r="T41" s="16">
        <f t="shared" ref="T41:AF41" si="33">SUM(T10:T33)</f>
        <v>604</v>
      </c>
      <c r="U41" s="16">
        <f t="shared" si="33"/>
        <v>547</v>
      </c>
      <c r="V41" s="16">
        <f t="shared" si="33"/>
        <v>3081</v>
      </c>
      <c r="W41" s="16">
        <f t="shared" si="33"/>
        <v>91</v>
      </c>
      <c r="X41" s="16">
        <f t="shared" si="33"/>
        <v>131</v>
      </c>
      <c r="Y41" s="16">
        <f t="shared" si="33"/>
        <v>612</v>
      </c>
      <c r="Z41" s="16">
        <f t="shared" si="33"/>
        <v>398</v>
      </c>
      <c r="AA41" s="16">
        <f t="shared" si="33"/>
        <v>152</v>
      </c>
      <c r="AB41" s="16">
        <f t="shared" si="33"/>
        <v>181</v>
      </c>
      <c r="AC41" s="16">
        <f t="shared" si="33"/>
        <v>18163</v>
      </c>
      <c r="AD41" s="16">
        <f t="shared" si="33"/>
        <v>1</v>
      </c>
      <c r="AE41" s="32">
        <f t="shared" si="33"/>
        <v>9762</v>
      </c>
      <c r="AF41" s="32">
        <f t="shared" si="33"/>
        <v>27925</v>
      </c>
    </row>
    <row r="42" spans="2:32" ht="23.1" customHeight="1" x14ac:dyDescent="0.25">
      <c r="B42" s="46" t="s">
        <v>69</v>
      </c>
      <c r="C42" s="50">
        <v>55</v>
      </c>
      <c r="D42" s="50">
        <v>10</v>
      </c>
      <c r="E42" s="50">
        <v>15</v>
      </c>
      <c r="F42" s="50">
        <v>44</v>
      </c>
      <c r="G42" s="50">
        <v>0</v>
      </c>
      <c r="H42" s="50">
        <v>1</v>
      </c>
      <c r="I42" s="50">
        <v>24</v>
      </c>
      <c r="J42" s="50">
        <v>5</v>
      </c>
      <c r="K42" s="50">
        <v>3</v>
      </c>
      <c r="L42" s="50">
        <v>4</v>
      </c>
      <c r="M42" s="50">
        <v>280</v>
      </c>
      <c r="N42" s="50">
        <v>0</v>
      </c>
      <c r="O42" s="15">
        <f t="shared" si="0"/>
        <v>161</v>
      </c>
      <c r="P42" s="15">
        <f t="shared" si="1"/>
        <v>441</v>
      </c>
      <c r="R42" s="5" t="s">
        <v>160</v>
      </c>
      <c r="S42" s="48">
        <f>S41/S40</f>
        <v>1.8912213740458015</v>
      </c>
      <c r="T42" s="48">
        <f t="shared" ref="T42:AF42" si="34">T41/T40</f>
        <v>1.6457765667574933</v>
      </c>
      <c r="U42" s="48">
        <f t="shared" si="34"/>
        <v>1.4986301369863013</v>
      </c>
      <c r="V42" s="48">
        <f t="shared" si="34"/>
        <v>1.3384013900955691</v>
      </c>
      <c r="W42" s="48">
        <f t="shared" si="34"/>
        <v>1.4444444444444444</v>
      </c>
      <c r="X42" s="48">
        <f t="shared" si="34"/>
        <v>2.1129032258064515</v>
      </c>
      <c r="Y42" s="48">
        <f t="shared" si="34"/>
        <v>1.2464358452138493</v>
      </c>
      <c r="Z42" s="48">
        <f t="shared" si="34"/>
        <v>1.3583617747440273</v>
      </c>
      <c r="AA42" s="48">
        <f t="shared" si="34"/>
        <v>1.4074074074074074</v>
      </c>
      <c r="AB42" s="48">
        <f t="shared" si="34"/>
        <v>1.2312925170068028</v>
      </c>
      <c r="AC42" s="48">
        <f t="shared" si="34"/>
        <v>1.7499759129010501</v>
      </c>
      <c r="AD42" s="48">
        <f t="shared" si="34"/>
        <v>1</v>
      </c>
      <c r="AE42" s="48">
        <f t="shared" si="34"/>
        <v>1.5507545671167593</v>
      </c>
      <c r="AF42" s="48">
        <f t="shared" si="34"/>
        <v>1.6747631042341369</v>
      </c>
    </row>
    <row r="43" spans="2:32" ht="23.1" customHeight="1" x14ac:dyDescent="0.25">
      <c r="B43" s="45" t="s">
        <v>70</v>
      </c>
      <c r="C43" s="50">
        <v>74</v>
      </c>
      <c r="D43" s="50">
        <v>6</v>
      </c>
      <c r="E43" s="50">
        <v>10</v>
      </c>
      <c r="F43" s="50">
        <v>45</v>
      </c>
      <c r="G43" s="50">
        <v>1</v>
      </c>
      <c r="H43" s="50">
        <v>1</v>
      </c>
      <c r="I43" s="50">
        <v>7</v>
      </c>
      <c r="J43" s="50">
        <v>8</v>
      </c>
      <c r="K43" s="50">
        <v>2</v>
      </c>
      <c r="L43" s="50">
        <v>5</v>
      </c>
      <c r="M43" s="50">
        <v>165</v>
      </c>
      <c r="N43" s="50">
        <v>0</v>
      </c>
      <c r="O43" s="15">
        <f t="shared" si="0"/>
        <v>159</v>
      </c>
      <c r="P43" s="15">
        <f t="shared" si="1"/>
        <v>324</v>
      </c>
    </row>
    <row r="44" spans="2:32" ht="23.1" customHeight="1" x14ac:dyDescent="0.25">
      <c r="B44" s="47" t="s">
        <v>71</v>
      </c>
      <c r="C44" s="50">
        <v>45</v>
      </c>
      <c r="D44" s="50">
        <v>7</v>
      </c>
      <c r="E44" s="50">
        <v>11</v>
      </c>
      <c r="F44" s="50">
        <v>56</v>
      </c>
      <c r="G44" s="50">
        <v>1</v>
      </c>
      <c r="H44" s="50">
        <v>1</v>
      </c>
      <c r="I44" s="50">
        <v>16</v>
      </c>
      <c r="J44" s="50">
        <v>11</v>
      </c>
      <c r="K44" s="50">
        <v>3</v>
      </c>
      <c r="L44" s="50">
        <v>7</v>
      </c>
      <c r="M44" s="50">
        <v>180</v>
      </c>
      <c r="N44" s="50">
        <v>0</v>
      </c>
      <c r="O44" s="15">
        <f t="shared" si="0"/>
        <v>158</v>
      </c>
      <c r="P44" s="15">
        <f t="shared" si="1"/>
        <v>338</v>
      </c>
    </row>
    <row r="45" spans="2:32" ht="23.1" customHeight="1" x14ac:dyDescent="0.25">
      <c r="B45" s="45" t="s">
        <v>72</v>
      </c>
      <c r="C45" s="50">
        <v>36</v>
      </c>
      <c r="D45" s="50">
        <v>5</v>
      </c>
      <c r="E45" s="50">
        <v>9</v>
      </c>
      <c r="F45" s="50">
        <v>11</v>
      </c>
      <c r="G45" s="50">
        <v>0</v>
      </c>
      <c r="H45" s="50">
        <v>3</v>
      </c>
      <c r="I45" s="50">
        <v>14</v>
      </c>
      <c r="J45" s="50">
        <v>10</v>
      </c>
      <c r="K45" s="50">
        <v>5</v>
      </c>
      <c r="L45" s="50">
        <v>3</v>
      </c>
      <c r="M45" s="50">
        <v>210</v>
      </c>
      <c r="N45" s="50">
        <v>0</v>
      </c>
      <c r="O45" s="15">
        <f t="shared" si="0"/>
        <v>96</v>
      </c>
      <c r="P45" s="15">
        <f t="shared" si="1"/>
        <v>306</v>
      </c>
    </row>
    <row r="46" spans="2:32" ht="23.1" customHeight="1" x14ac:dyDescent="0.25">
      <c r="B46" s="46" t="s">
        <v>73</v>
      </c>
      <c r="C46" s="50">
        <v>49</v>
      </c>
      <c r="D46" s="50">
        <v>4</v>
      </c>
      <c r="E46" s="50">
        <v>4</v>
      </c>
      <c r="F46" s="50">
        <v>43</v>
      </c>
      <c r="G46" s="50">
        <v>0</v>
      </c>
      <c r="H46" s="50">
        <v>1</v>
      </c>
      <c r="I46" s="50">
        <v>6</v>
      </c>
      <c r="J46" s="50">
        <v>7</v>
      </c>
      <c r="K46" s="50">
        <v>2</v>
      </c>
      <c r="L46" s="50">
        <v>9</v>
      </c>
      <c r="M46" s="50">
        <v>185</v>
      </c>
      <c r="N46" s="50">
        <v>0</v>
      </c>
      <c r="O46" s="15">
        <f t="shared" si="0"/>
        <v>125</v>
      </c>
      <c r="P46" s="15">
        <f t="shared" si="1"/>
        <v>310</v>
      </c>
      <c r="R46" s="8"/>
      <c r="T46"/>
    </row>
    <row r="47" spans="2:32" ht="23.1" customHeight="1" x14ac:dyDescent="0.25">
      <c r="B47" s="46" t="s">
        <v>74</v>
      </c>
      <c r="C47" s="50">
        <v>46</v>
      </c>
      <c r="D47" s="50">
        <v>8</v>
      </c>
      <c r="E47" s="50">
        <v>6</v>
      </c>
      <c r="F47" s="50">
        <v>48</v>
      </c>
      <c r="G47" s="50">
        <v>0</v>
      </c>
      <c r="H47" s="50">
        <v>0</v>
      </c>
      <c r="I47" s="50">
        <v>8</v>
      </c>
      <c r="J47" s="50">
        <v>9</v>
      </c>
      <c r="K47" s="50">
        <v>0</v>
      </c>
      <c r="L47" s="50">
        <v>1</v>
      </c>
      <c r="M47" s="50">
        <v>205</v>
      </c>
      <c r="N47" s="50">
        <v>0</v>
      </c>
      <c r="O47" s="15">
        <f t="shared" si="0"/>
        <v>126</v>
      </c>
      <c r="P47" s="15">
        <f t="shared" si="1"/>
        <v>331</v>
      </c>
      <c r="R47" s="8"/>
      <c r="T47"/>
    </row>
    <row r="48" spans="2:32" ht="23.1" customHeight="1" x14ac:dyDescent="0.25">
      <c r="B48" s="46" t="s">
        <v>75</v>
      </c>
      <c r="C48" s="50">
        <v>39</v>
      </c>
      <c r="D48" s="50">
        <v>3</v>
      </c>
      <c r="E48" s="50">
        <v>10</v>
      </c>
      <c r="F48" s="50">
        <v>55</v>
      </c>
      <c r="G48" s="50">
        <v>0</v>
      </c>
      <c r="H48" s="50">
        <v>1</v>
      </c>
      <c r="I48" s="50">
        <v>6</v>
      </c>
      <c r="J48" s="50">
        <v>9</v>
      </c>
      <c r="K48" s="50">
        <v>1</v>
      </c>
      <c r="L48" s="50">
        <v>2</v>
      </c>
      <c r="M48" s="50">
        <v>180</v>
      </c>
      <c r="N48" s="50">
        <v>0</v>
      </c>
      <c r="O48" s="15">
        <f t="shared" si="0"/>
        <v>126</v>
      </c>
      <c r="P48" s="15">
        <f t="shared" si="1"/>
        <v>306</v>
      </c>
      <c r="R48" s="8"/>
      <c r="T48"/>
    </row>
    <row r="49" spans="2:20" ht="23.1" customHeight="1" x14ac:dyDescent="0.25">
      <c r="B49" s="45" t="s">
        <v>76</v>
      </c>
      <c r="C49" s="50">
        <v>50</v>
      </c>
      <c r="D49" s="50">
        <v>20</v>
      </c>
      <c r="E49" s="50">
        <v>9</v>
      </c>
      <c r="F49" s="50">
        <v>45</v>
      </c>
      <c r="G49" s="50">
        <v>1</v>
      </c>
      <c r="H49" s="50">
        <v>0</v>
      </c>
      <c r="I49" s="50">
        <v>12</v>
      </c>
      <c r="J49" s="50">
        <v>5</v>
      </c>
      <c r="K49" s="50">
        <v>5</v>
      </c>
      <c r="L49" s="50">
        <v>6</v>
      </c>
      <c r="M49" s="50">
        <v>245</v>
      </c>
      <c r="N49" s="50">
        <v>0</v>
      </c>
      <c r="O49" s="15">
        <f t="shared" si="0"/>
        <v>153</v>
      </c>
      <c r="P49" s="15">
        <f t="shared" si="1"/>
        <v>398</v>
      </c>
      <c r="R49" s="8"/>
      <c r="T49"/>
    </row>
    <row r="50" spans="2:20" ht="23.1" customHeight="1" x14ac:dyDescent="0.25">
      <c r="B50" s="46" t="s">
        <v>77</v>
      </c>
      <c r="C50" s="50">
        <v>47</v>
      </c>
      <c r="D50" s="50">
        <v>10</v>
      </c>
      <c r="E50" s="50">
        <v>4</v>
      </c>
      <c r="F50" s="50">
        <v>40</v>
      </c>
      <c r="G50" s="50">
        <v>1</v>
      </c>
      <c r="H50" s="50">
        <v>0</v>
      </c>
      <c r="I50" s="50">
        <v>10</v>
      </c>
      <c r="J50" s="50">
        <v>5</v>
      </c>
      <c r="K50" s="50">
        <v>0</v>
      </c>
      <c r="L50" s="50">
        <v>3</v>
      </c>
      <c r="M50" s="50">
        <v>215</v>
      </c>
      <c r="N50" s="50">
        <v>0</v>
      </c>
      <c r="O50" s="15">
        <f t="shared" si="0"/>
        <v>120</v>
      </c>
      <c r="P50" s="15">
        <f t="shared" si="1"/>
        <v>335</v>
      </c>
      <c r="R50" s="8"/>
      <c r="T50"/>
    </row>
    <row r="51" spans="2:20" ht="23.1" customHeight="1" x14ac:dyDescent="0.25">
      <c r="B51" s="46" t="s">
        <v>78</v>
      </c>
      <c r="C51" s="50">
        <v>47</v>
      </c>
      <c r="D51" s="50">
        <v>10</v>
      </c>
      <c r="E51" s="50">
        <v>5</v>
      </c>
      <c r="F51" s="50">
        <v>42</v>
      </c>
      <c r="G51" s="50">
        <v>1</v>
      </c>
      <c r="H51" s="50">
        <v>10</v>
      </c>
      <c r="I51" s="50">
        <v>9</v>
      </c>
      <c r="J51" s="50">
        <v>6</v>
      </c>
      <c r="K51" s="50">
        <v>3</v>
      </c>
      <c r="L51" s="50">
        <v>1</v>
      </c>
      <c r="M51" s="50">
        <v>260</v>
      </c>
      <c r="N51" s="50">
        <v>0</v>
      </c>
      <c r="O51" s="15">
        <f t="shared" si="0"/>
        <v>134</v>
      </c>
      <c r="P51" s="15">
        <f t="shared" si="1"/>
        <v>394</v>
      </c>
      <c r="R51" s="8"/>
      <c r="T51"/>
    </row>
    <row r="52" spans="2:20" ht="23.1" customHeight="1" x14ac:dyDescent="0.25">
      <c r="B52" s="46" t="s">
        <v>79</v>
      </c>
      <c r="C52" s="50">
        <v>67</v>
      </c>
      <c r="D52" s="50">
        <v>7</v>
      </c>
      <c r="E52" s="50">
        <v>12</v>
      </c>
      <c r="F52" s="50">
        <v>51</v>
      </c>
      <c r="G52" s="50">
        <v>2</v>
      </c>
      <c r="H52" s="50">
        <v>0</v>
      </c>
      <c r="I52" s="50">
        <v>12</v>
      </c>
      <c r="J52" s="50">
        <v>7</v>
      </c>
      <c r="K52" s="50">
        <v>1</v>
      </c>
      <c r="L52" s="50">
        <v>4</v>
      </c>
      <c r="M52" s="50">
        <v>225</v>
      </c>
      <c r="N52" s="50">
        <v>0</v>
      </c>
      <c r="O52" s="15">
        <f t="shared" si="0"/>
        <v>163</v>
      </c>
      <c r="P52" s="15">
        <f t="shared" si="1"/>
        <v>388</v>
      </c>
      <c r="R52" s="8"/>
      <c r="T52"/>
    </row>
    <row r="53" spans="2:20" ht="23.1" customHeight="1" x14ac:dyDescent="0.25">
      <c r="B53" s="45" t="s">
        <v>80</v>
      </c>
      <c r="C53" s="50">
        <v>46</v>
      </c>
      <c r="D53" s="50">
        <v>7</v>
      </c>
      <c r="E53" s="50">
        <v>8</v>
      </c>
      <c r="F53" s="50">
        <v>36</v>
      </c>
      <c r="G53" s="50">
        <v>1</v>
      </c>
      <c r="H53" s="50">
        <v>0</v>
      </c>
      <c r="I53" s="50">
        <v>6</v>
      </c>
      <c r="J53" s="50">
        <v>5</v>
      </c>
      <c r="K53" s="50">
        <v>2</v>
      </c>
      <c r="L53" s="50">
        <v>0</v>
      </c>
      <c r="M53" s="50">
        <v>275</v>
      </c>
      <c r="N53" s="50">
        <v>0</v>
      </c>
      <c r="O53" s="15">
        <f t="shared" si="0"/>
        <v>111</v>
      </c>
      <c r="P53" s="15">
        <f t="shared" si="1"/>
        <v>386</v>
      </c>
      <c r="R53" s="8"/>
      <c r="T53"/>
    </row>
    <row r="54" spans="2:20" ht="23.1" customHeight="1" x14ac:dyDescent="0.25">
      <c r="B54" s="45" t="s">
        <v>81</v>
      </c>
      <c r="C54" s="50">
        <v>31</v>
      </c>
      <c r="D54" s="50">
        <v>11</v>
      </c>
      <c r="E54" s="50">
        <v>8</v>
      </c>
      <c r="F54" s="50">
        <v>30</v>
      </c>
      <c r="G54" s="50">
        <v>1</v>
      </c>
      <c r="H54" s="50">
        <v>1</v>
      </c>
      <c r="I54" s="50">
        <v>12</v>
      </c>
      <c r="J54" s="50">
        <v>10</v>
      </c>
      <c r="K54" s="50">
        <v>2</v>
      </c>
      <c r="L54" s="50">
        <v>5</v>
      </c>
      <c r="M54" s="50">
        <v>225</v>
      </c>
      <c r="N54" s="50">
        <v>0</v>
      </c>
      <c r="O54" s="15">
        <f t="shared" si="0"/>
        <v>111</v>
      </c>
      <c r="P54" s="15">
        <f t="shared" si="1"/>
        <v>336</v>
      </c>
      <c r="R54" s="8"/>
      <c r="T54"/>
    </row>
    <row r="55" spans="2:20" ht="23.1" customHeight="1" x14ac:dyDescent="0.25">
      <c r="B55" s="45" t="s">
        <v>82</v>
      </c>
      <c r="C55" s="50">
        <v>31</v>
      </c>
      <c r="D55" s="50">
        <v>6</v>
      </c>
      <c r="E55" s="50">
        <v>4</v>
      </c>
      <c r="F55" s="50">
        <v>41</v>
      </c>
      <c r="G55" s="50">
        <v>2</v>
      </c>
      <c r="H55" s="50">
        <v>0</v>
      </c>
      <c r="I55" s="50">
        <v>9</v>
      </c>
      <c r="J55" s="50">
        <v>6</v>
      </c>
      <c r="K55" s="50">
        <v>2</v>
      </c>
      <c r="L55" s="50">
        <v>3</v>
      </c>
      <c r="M55" s="50">
        <v>195</v>
      </c>
      <c r="N55" s="50">
        <v>0</v>
      </c>
      <c r="O55" s="15">
        <f t="shared" si="0"/>
        <v>104</v>
      </c>
      <c r="P55" s="15">
        <f t="shared" si="1"/>
        <v>299</v>
      </c>
      <c r="R55" s="8"/>
      <c r="T55"/>
    </row>
    <row r="56" spans="2:20" ht="23.1" customHeight="1" x14ac:dyDescent="0.25">
      <c r="B56" s="45" t="s">
        <v>83</v>
      </c>
      <c r="C56" s="50">
        <v>75</v>
      </c>
      <c r="D56" s="50">
        <v>8</v>
      </c>
      <c r="E56" s="50">
        <v>11</v>
      </c>
      <c r="F56" s="50">
        <v>41</v>
      </c>
      <c r="G56" s="50">
        <v>0</v>
      </c>
      <c r="H56" s="50">
        <v>3</v>
      </c>
      <c r="I56" s="50">
        <v>7</v>
      </c>
      <c r="J56" s="50">
        <v>7</v>
      </c>
      <c r="K56" s="50">
        <v>6</v>
      </c>
      <c r="L56" s="50">
        <v>2</v>
      </c>
      <c r="M56" s="50">
        <v>270</v>
      </c>
      <c r="N56" s="50">
        <v>0</v>
      </c>
      <c r="O56" s="15">
        <f t="shared" si="0"/>
        <v>160</v>
      </c>
      <c r="P56" s="15">
        <f t="shared" si="1"/>
        <v>430</v>
      </c>
      <c r="R56" s="8"/>
      <c r="T56"/>
    </row>
    <row r="57" spans="2:20" ht="23.1" customHeight="1" x14ac:dyDescent="0.25">
      <c r="B57" s="45" t="s">
        <v>84</v>
      </c>
      <c r="C57" s="50">
        <v>63</v>
      </c>
      <c r="D57" s="50">
        <v>6</v>
      </c>
      <c r="E57" s="50">
        <v>11</v>
      </c>
      <c r="F57" s="50">
        <v>30</v>
      </c>
      <c r="G57" s="50">
        <v>1</v>
      </c>
      <c r="H57" s="50">
        <v>0</v>
      </c>
      <c r="I57" s="50">
        <v>12</v>
      </c>
      <c r="J57" s="50">
        <v>5</v>
      </c>
      <c r="K57" s="50">
        <v>0</v>
      </c>
      <c r="L57" s="50">
        <v>11</v>
      </c>
      <c r="M57" s="50">
        <v>230</v>
      </c>
      <c r="N57" s="50">
        <v>0</v>
      </c>
      <c r="O57" s="15">
        <f t="shared" si="0"/>
        <v>139</v>
      </c>
      <c r="P57" s="15">
        <f t="shared" si="1"/>
        <v>369</v>
      </c>
      <c r="R57" s="8"/>
      <c r="T57"/>
    </row>
    <row r="58" spans="2:20" ht="23.1" customHeight="1" x14ac:dyDescent="0.25">
      <c r="B58" s="45" t="s">
        <v>99</v>
      </c>
      <c r="C58" s="50">
        <v>48</v>
      </c>
      <c r="D58" s="50">
        <v>2</v>
      </c>
      <c r="E58" s="50">
        <v>5</v>
      </c>
      <c r="F58" s="50">
        <v>30</v>
      </c>
      <c r="G58" s="50">
        <v>0</v>
      </c>
      <c r="H58" s="50">
        <v>0</v>
      </c>
      <c r="I58" s="50">
        <v>15</v>
      </c>
      <c r="J58" s="50">
        <v>6</v>
      </c>
      <c r="K58" s="50">
        <v>0</v>
      </c>
      <c r="L58" s="50">
        <v>2</v>
      </c>
      <c r="M58" s="50">
        <v>281</v>
      </c>
      <c r="N58" s="50">
        <v>0</v>
      </c>
      <c r="O58" s="15">
        <f t="shared" ref="O58:O105" si="35">SUM(C58:L58,N58)</f>
        <v>108</v>
      </c>
      <c r="P58" s="15">
        <f t="shared" ref="P58:P105" si="36">SUM(C58:N58)</f>
        <v>389</v>
      </c>
      <c r="R58" s="8"/>
      <c r="T58"/>
    </row>
    <row r="59" spans="2:20" ht="23.1" customHeight="1" x14ac:dyDescent="0.25">
      <c r="B59" s="45" t="s">
        <v>100</v>
      </c>
      <c r="C59" s="50">
        <v>62</v>
      </c>
      <c r="D59" s="50">
        <v>1</v>
      </c>
      <c r="E59" s="50">
        <v>9</v>
      </c>
      <c r="F59" s="50">
        <v>32</v>
      </c>
      <c r="G59" s="50">
        <v>2</v>
      </c>
      <c r="H59" s="50">
        <v>1</v>
      </c>
      <c r="I59" s="50">
        <v>8</v>
      </c>
      <c r="J59" s="50">
        <v>12</v>
      </c>
      <c r="K59" s="50">
        <v>2</v>
      </c>
      <c r="L59" s="50">
        <v>3</v>
      </c>
      <c r="M59" s="50">
        <v>287</v>
      </c>
      <c r="N59" s="50">
        <v>0</v>
      </c>
      <c r="O59" s="15">
        <f t="shared" si="35"/>
        <v>132</v>
      </c>
      <c r="P59" s="15">
        <f t="shared" si="36"/>
        <v>419</v>
      </c>
      <c r="R59" s="8"/>
      <c r="T59"/>
    </row>
    <row r="60" spans="2:20" ht="23.1" customHeight="1" x14ac:dyDescent="0.25">
      <c r="B60" s="45" t="s">
        <v>101</v>
      </c>
      <c r="C60" s="50">
        <v>61</v>
      </c>
      <c r="D60" s="50">
        <v>4</v>
      </c>
      <c r="E60" s="50">
        <v>5</v>
      </c>
      <c r="F60" s="50">
        <v>16</v>
      </c>
      <c r="G60" s="50">
        <v>0</v>
      </c>
      <c r="H60" s="50">
        <v>0</v>
      </c>
      <c r="I60" s="50">
        <v>0</v>
      </c>
      <c r="J60" s="50">
        <v>2</v>
      </c>
      <c r="K60" s="50">
        <v>0</v>
      </c>
      <c r="L60" s="50">
        <v>1</v>
      </c>
      <c r="M60" s="50">
        <v>282</v>
      </c>
      <c r="N60" s="50">
        <v>0</v>
      </c>
      <c r="O60" s="15">
        <f t="shared" si="35"/>
        <v>89</v>
      </c>
      <c r="P60" s="15">
        <f t="shared" si="36"/>
        <v>371</v>
      </c>
      <c r="R60" s="8"/>
      <c r="T60"/>
    </row>
    <row r="61" spans="2:20" ht="23.1" customHeight="1" x14ac:dyDescent="0.25">
      <c r="B61" s="45" t="s">
        <v>102</v>
      </c>
      <c r="C61" s="50">
        <v>48</v>
      </c>
      <c r="D61" s="50">
        <v>8</v>
      </c>
      <c r="E61" s="50">
        <v>3</v>
      </c>
      <c r="F61" s="50">
        <v>25</v>
      </c>
      <c r="G61" s="50">
        <v>1</v>
      </c>
      <c r="H61" s="50">
        <v>1</v>
      </c>
      <c r="I61" s="50">
        <v>2</v>
      </c>
      <c r="J61" s="50">
        <v>1</v>
      </c>
      <c r="K61" s="50">
        <v>1</v>
      </c>
      <c r="L61" s="50">
        <v>2</v>
      </c>
      <c r="M61" s="50">
        <v>308</v>
      </c>
      <c r="N61" s="50">
        <v>0</v>
      </c>
      <c r="O61" s="15">
        <f t="shared" si="35"/>
        <v>92</v>
      </c>
      <c r="P61" s="15">
        <f t="shared" si="36"/>
        <v>400</v>
      </c>
      <c r="R61" s="8"/>
      <c r="T61"/>
    </row>
    <row r="62" spans="2:20" ht="23.1" customHeight="1" x14ac:dyDescent="0.25">
      <c r="B62" s="45" t="s">
        <v>107</v>
      </c>
      <c r="C62" s="50">
        <v>73</v>
      </c>
      <c r="D62" s="50">
        <v>7</v>
      </c>
      <c r="E62" s="50">
        <v>10</v>
      </c>
      <c r="F62" s="50">
        <v>27</v>
      </c>
      <c r="G62" s="50">
        <v>3</v>
      </c>
      <c r="H62" s="50">
        <v>3</v>
      </c>
      <c r="I62" s="50">
        <v>4</v>
      </c>
      <c r="J62" s="50">
        <v>3</v>
      </c>
      <c r="K62" s="50">
        <v>3</v>
      </c>
      <c r="L62" s="50">
        <v>2</v>
      </c>
      <c r="M62" s="50">
        <v>285</v>
      </c>
      <c r="N62" s="50">
        <v>0</v>
      </c>
      <c r="O62" s="15">
        <f t="shared" si="35"/>
        <v>135</v>
      </c>
      <c r="P62" s="15">
        <f t="shared" si="36"/>
        <v>420</v>
      </c>
      <c r="R62" s="8"/>
      <c r="T62"/>
    </row>
    <row r="63" spans="2:20" ht="23.1" customHeight="1" x14ac:dyDescent="0.25">
      <c r="B63" s="45" t="s">
        <v>108</v>
      </c>
      <c r="C63" s="50">
        <v>59</v>
      </c>
      <c r="D63" s="50">
        <v>4</v>
      </c>
      <c r="E63" s="50">
        <v>4</v>
      </c>
      <c r="F63" s="50">
        <v>18</v>
      </c>
      <c r="G63" s="50">
        <v>0</v>
      </c>
      <c r="H63" s="50">
        <v>2</v>
      </c>
      <c r="I63" s="50">
        <v>2</v>
      </c>
      <c r="J63" s="50">
        <v>4</v>
      </c>
      <c r="K63" s="50">
        <v>2</v>
      </c>
      <c r="L63" s="50">
        <v>1</v>
      </c>
      <c r="M63" s="50">
        <v>295</v>
      </c>
      <c r="N63" s="50">
        <v>0</v>
      </c>
      <c r="O63" s="15">
        <f t="shared" si="35"/>
        <v>96</v>
      </c>
      <c r="P63" s="15">
        <f t="shared" si="36"/>
        <v>391</v>
      </c>
      <c r="R63" s="8"/>
      <c r="T63"/>
    </row>
    <row r="64" spans="2:20" ht="23.1" customHeight="1" x14ac:dyDescent="0.25">
      <c r="B64" s="45" t="s">
        <v>109</v>
      </c>
      <c r="C64" s="50">
        <v>58</v>
      </c>
      <c r="D64" s="50">
        <v>2</v>
      </c>
      <c r="E64" s="50">
        <v>2</v>
      </c>
      <c r="F64" s="50">
        <v>26</v>
      </c>
      <c r="G64" s="50">
        <v>5</v>
      </c>
      <c r="H64" s="50">
        <v>1</v>
      </c>
      <c r="I64" s="50">
        <v>0</v>
      </c>
      <c r="J64" s="50">
        <v>1</v>
      </c>
      <c r="K64" s="50">
        <v>0</v>
      </c>
      <c r="L64" s="50">
        <v>0</v>
      </c>
      <c r="M64" s="50">
        <v>322</v>
      </c>
      <c r="N64" s="50">
        <v>0</v>
      </c>
      <c r="O64" s="15">
        <f t="shared" si="35"/>
        <v>95</v>
      </c>
      <c r="P64" s="15">
        <f t="shared" si="36"/>
        <v>417</v>
      </c>
      <c r="R64" s="8"/>
      <c r="T64"/>
    </row>
    <row r="65" spans="2:20" ht="23.1" customHeight="1" x14ac:dyDescent="0.25">
      <c r="B65" s="45" t="s">
        <v>158</v>
      </c>
      <c r="C65" s="50">
        <v>68</v>
      </c>
      <c r="D65" s="50">
        <v>8</v>
      </c>
      <c r="E65" s="50">
        <v>3</v>
      </c>
      <c r="F65" s="50">
        <v>16</v>
      </c>
      <c r="G65" s="50">
        <v>1</v>
      </c>
      <c r="H65" s="50">
        <v>1</v>
      </c>
      <c r="I65" s="50">
        <v>2</v>
      </c>
      <c r="J65" s="50">
        <v>0</v>
      </c>
      <c r="K65" s="50">
        <v>1</v>
      </c>
      <c r="L65" s="50">
        <v>0</v>
      </c>
      <c r="M65" s="50">
        <v>318</v>
      </c>
      <c r="N65" s="50">
        <v>0</v>
      </c>
      <c r="O65" s="15">
        <f t="shared" si="35"/>
        <v>100</v>
      </c>
      <c r="P65" s="15">
        <f t="shared" si="36"/>
        <v>418</v>
      </c>
      <c r="R65" s="8"/>
      <c r="T65"/>
    </row>
    <row r="66" spans="2:20" ht="23.1" customHeight="1" x14ac:dyDescent="0.25">
      <c r="B66" s="45" t="s">
        <v>103</v>
      </c>
      <c r="C66" s="50">
        <v>76</v>
      </c>
      <c r="D66" s="50">
        <v>16</v>
      </c>
      <c r="E66" s="50">
        <v>11</v>
      </c>
      <c r="F66" s="50">
        <v>28</v>
      </c>
      <c r="G66" s="50">
        <v>1</v>
      </c>
      <c r="H66" s="50">
        <v>1</v>
      </c>
      <c r="I66" s="50">
        <v>1</v>
      </c>
      <c r="J66" s="50">
        <v>2</v>
      </c>
      <c r="K66" s="50">
        <v>3</v>
      </c>
      <c r="L66" s="50">
        <v>1</v>
      </c>
      <c r="M66" s="50">
        <v>362</v>
      </c>
      <c r="N66" s="50">
        <v>0</v>
      </c>
      <c r="O66" s="15">
        <f t="shared" si="35"/>
        <v>140</v>
      </c>
      <c r="P66" s="15">
        <f t="shared" si="36"/>
        <v>502</v>
      </c>
      <c r="R66" s="8"/>
      <c r="T66"/>
    </row>
    <row r="67" spans="2:20" ht="23.1" customHeight="1" x14ac:dyDescent="0.25">
      <c r="B67" s="45" t="s">
        <v>104</v>
      </c>
      <c r="C67" s="50">
        <v>32</v>
      </c>
      <c r="D67" s="50">
        <v>6</v>
      </c>
      <c r="E67" s="50">
        <v>2</v>
      </c>
      <c r="F67" s="50">
        <v>12</v>
      </c>
      <c r="G67" s="50">
        <v>0</v>
      </c>
      <c r="H67" s="50">
        <v>2</v>
      </c>
      <c r="I67" s="50">
        <v>1</v>
      </c>
      <c r="J67" s="50">
        <v>0</v>
      </c>
      <c r="K67" s="50">
        <v>2</v>
      </c>
      <c r="L67" s="50">
        <v>0</v>
      </c>
      <c r="M67" s="50">
        <v>357</v>
      </c>
      <c r="N67" s="50">
        <v>0</v>
      </c>
      <c r="O67" s="15">
        <f t="shared" si="35"/>
        <v>57</v>
      </c>
      <c r="P67" s="15">
        <f t="shared" si="36"/>
        <v>414</v>
      </c>
      <c r="R67" s="8"/>
      <c r="T67"/>
    </row>
    <row r="68" spans="2:20" ht="23.1" customHeight="1" x14ac:dyDescent="0.25">
      <c r="B68" s="45" t="s">
        <v>105</v>
      </c>
      <c r="C68" s="50">
        <v>39</v>
      </c>
      <c r="D68" s="50">
        <v>6</v>
      </c>
      <c r="E68" s="50">
        <v>5</v>
      </c>
      <c r="F68" s="50">
        <v>23</v>
      </c>
      <c r="G68" s="50">
        <v>1</v>
      </c>
      <c r="H68" s="50">
        <v>4</v>
      </c>
      <c r="I68" s="50">
        <v>5</v>
      </c>
      <c r="J68" s="50">
        <v>2</v>
      </c>
      <c r="K68" s="50">
        <v>2</v>
      </c>
      <c r="L68" s="50">
        <v>3</v>
      </c>
      <c r="M68" s="50">
        <v>348</v>
      </c>
      <c r="N68" s="50">
        <v>0</v>
      </c>
      <c r="O68" s="15">
        <f t="shared" si="35"/>
        <v>90</v>
      </c>
      <c r="P68" s="15">
        <f t="shared" si="36"/>
        <v>438</v>
      </c>
      <c r="R68" s="8"/>
      <c r="T68"/>
    </row>
    <row r="69" spans="2:20" ht="23.1" customHeight="1" x14ac:dyDescent="0.25">
      <c r="B69" s="45" t="s">
        <v>106</v>
      </c>
      <c r="C69" s="50">
        <v>42</v>
      </c>
      <c r="D69" s="50">
        <v>9</v>
      </c>
      <c r="E69" s="50">
        <v>2</v>
      </c>
      <c r="F69" s="50">
        <v>12</v>
      </c>
      <c r="G69" s="50">
        <v>1</v>
      </c>
      <c r="H69" s="50">
        <v>2</v>
      </c>
      <c r="I69" s="50">
        <v>3</v>
      </c>
      <c r="J69" s="50">
        <v>1</v>
      </c>
      <c r="K69" s="50">
        <v>3</v>
      </c>
      <c r="L69" s="50">
        <v>0</v>
      </c>
      <c r="M69" s="50">
        <v>387</v>
      </c>
      <c r="N69" s="50">
        <v>0</v>
      </c>
      <c r="O69" s="15">
        <f t="shared" si="35"/>
        <v>75</v>
      </c>
      <c r="P69" s="15">
        <f t="shared" si="36"/>
        <v>462</v>
      </c>
      <c r="R69" s="8"/>
      <c r="T69"/>
    </row>
    <row r="70" spans="2:20" ht="23.1" customHeight="1" x14ac:dyDescent="0.25">
      <c r="B70" s="45" t="s">
        <v>110</v>
      </c>
      <c r="C70" s="50">
        <v>77</v>
      </c>
      <c r="D70" s="50">
        <v>9</v>
      </c>
      <c r="E70" s="50">
        <v>7</v>
      </c>
      <c r="F70" s="50">
        <v>21</v>
      </c>
      <c r="G70" s="50">
        <v>1</v>
      </c>
      <c r="H70" s="50">
        <v>1</v>
      </c>
      <c r="I70" s="50">
        <v>4</v>
      </c>
      <c r="J70" s="50">
        <v>3</v>
      </c>
      <c r="K70" s="50">
        <v>2</v>
      </c>
      <c r="L70" s="50">
        <v>0</v>
      </c>
      <c r="M70" s="50">
        <v>354</v>
      </c>
      <c r="N70" s="50">
        <v>0</v>
      </c>
      <c r="O70" s="15">
        <f t="shared" si="35"/>
        <v>125</v>
      </c>
      <c r="P70" s="15">
        <f t="shared" si="36"/>
        <v>479</v>
      </c>
      <c r="R70" s="8"/>
      <c r="T70"/>
    </row>
    <row r="71" spans="2:20" ht="23.1" customHeight="1" x14ac:dyDescent="0.25">
      <c r="B71" s="45" t="s">
        <v>111</v>
      </c>
      <c r="C71" s="50">
        <v>60</v>
      </c>
      <c r="D71" s="50">
        <v>7</v>
      </c>
      <c r="E71" s="50">
        <v>2</v>
      </c>
      <c r="F71" s="50">
        <v>19</v>
      </c>
      <c r="G71" s="50">
        <v>0</v>
      </c>
      <c r="H71" s="50">
        <v>1</v>
      </c>
      <c r="I71" s="50">
        <v>3</v>
      </c>
      <c r="J71" s="50">
        <v>0</v>
      </c>
      <c r="K71" s="50">
        <v>1</v>
      </c>
      <c r="L71" s="50">
        <v>2</v>
      </c>
      <c r="M71" s="50">
        <v>347</v>
      </c>
      <c r="N71" s="50">
        <v>0</v>
      </c>
      <c r="O71" s="15">
        <f t="shared" si="35"/>
        <v>95</v>
      </c>
      <c r="P71" s="15">
        <f t="shared" si="36"/>
        <v>442</v>
      </c>
      <c r="R71" s="8"/>
      <c r="T71"/>
    </row>
    <row r="72" spans="2:20" ht="23.1" customHeight="1" x14ac:dyDescent="0.25">
      <c r="B72" s="45" t="s">
        <v>112</v>
      </c>
      <c r="C72" s="50">
        <v>82</v>
      </c>
      <c r="D72" s="50">
        <v>15</v>
      </c>
      <c r="E72" s="50">
        <v>4</v>
      </c>
      <c r="F72" s="50">
        <v>15</v>
      </c>
      <c r="G72" s="50">
        <v>1</v>
      </c>
      <c r="H72" s="50">
        <v>4</v>
      </c>
      <c r="I72" s="50">
        <v>8</v>
      </c>
      <c r="J72" s="50">
        <v>7</v>
      </c>
      <c r="K72" s="50">
        <v>2</v>
      </c>
      <c r="L72" s="50">
        <v>0</v>
      </c>
      <c r="M72" s="50">
        <v>332</v>
      </c>
      <c r="N72" s="50">
        <v>0</v>
      </c>
      <c r="O72" s="15">
        <f t="shared" si="35"/>
        <v>138</v>
      </c>
      <c r="P72" s="15">
        <f t="shared" si="36"/>
        <v>470</v>
      </c>
      <c r="R72" s="8"/>
      <c r="T72"/>
    </row>
    <row r="73" spans="2:20" ht="23.1" customHeight="1" x14ac:dyDescent="0.25">
      <c r="B73" s="45" t="s">
        <v>113</v>
      </c>
      <c r="C73" s="50">
        <v>101</v>
      </c>
      <c r="D73" s="50">
        <v>11</v>
      </c>
      <c r="E73" s="50">
        <v>11</v>
      </c>
      <c r="F73" s="50">
        <v>30</v>
      </c>
      <c r="G73" s="50">
        <v>0</v>
      </c>
      <c r="H73" s="50">
        <v>4</v>
      </c>
      <c r="I73" s="50">
        <v>5</v>
      </c>
      <c r="J73" s="50">
        <v>6</v>
      </c>
      <c r="K73" s="50">
        <v>3</v>
      </c>
      <c r="L73" s="50">
        <v>0</v>
      </c>
      <c r="M73" s="50">
        <v>324</v>
      </c>
      <c r="N73" s="50">
        <v>0</v>
      </c>
      <c r="O73" s="15">
        <f t="shared" si="35"/>
        <v>171</v>
      </c>
      <c r="P73" s="15">
        <f t="shared" si="36"/>
        <v>495</v>
      </c>
      <c r="R73" s="8"/>
      <c r="T73"/>
    </row>
    <row r="74" spans="2:20" ht="23.1" customHeight="1" x14ac:dyDescent="0.25">
      <c r="B74" s="45" t="s">
        <v>114</v>
      </c>
      <c r="C74" s="50">
        <v>76</v>
      </c>
      <c r="D74" s="50">
        <v>12</v>
      </c>
      <c r="E74" s="50">
        <v>5</v>
      </c>
      <c r="F74" s="50">
        <v>26</v>
      </c>
      <c r="G74" s="50">
        <v>1</v>
      </c>
      <c r="H74" s="50">
        <v>1</v>
      </c>
      <c r="I74" s="50">
        <v>2</v>
      </c>
      <c r="J74" s="50">
        <v>0</v>
      </c>
      <c r="K74" s="50">
        <v>0</v>
      </c>
      <c r="L74" s="50">
        <v>0</v>
      </c>
      <c r="M74" s="50">
        <v>288</v>
      </c>
      <c r="N74" s="50">
        <v>0</v>
      </c>
      <c r="O74" s="15">
        <f t="shared" si="35"/>
        <v>123</v>
      </c>
      <c r="P74" s="15">
        <f t="shared" si="36"/>
        <v>411</v>
      </c>
      <c r="R74" s="8"/>
      <c r="T74"/>
    </row>
    <row r="75" spans="2:20" ht="23.1" customHeight="1" x14ac:dyDescent="0.25">
      <c r="B75" s="45" t="s">
        <v>115</v>
      </c>
      <c r="C75" s="50">
        <v>50</v>
      </c>
      <c r="D75" s="50">
        <v>14</v>
      </c>
      <c r="E75" s="50">
        <v>4</v>
      </c>
      <c r="F75" s="50">
        <v>30</v>
      </c>
      <c r="G75" s="50">
        <v>0</v>
      </c>
      <c r="H75" s="50">
        <v>4</v>
      </c>
      <c r="I75" s="50">
        <v>3</v>
      </c>
      <c r="J75" s="50">
        <v>6</v>
      </c>
      <c r="K75" s="50">
        <v>4</v>
      </c>
      <c r="L75" s="50">
        <v>3</v>
      </c>
      <c r="M75" s="50">
        <v>259</v>
      </c>
      <c r="N75" s="50">
        <v>0</v>
      </c>
      <c r="O75" s="15">
        <f t="shared" si="35"/>
        <v>118</v>
      </c>
      <c r="P75" s="15">
        <f t="shared" si="36"/>
        <v>377</v>
      </c>
      <c r="R75" s="8"/>
      <c r="T75"/>
    </row>
    <row r="76" spans="2:20" ht="23.1" customHeight="1" x14ac:dyDescent="0.25">
      <c r="B76" s="45" t="s">
        <v>116</v>
      </c>
      <c r="C76" s="50">
        <v>60</v>
      </c>
      <c r="D76" s="50">
        <v>9</v>
      </c>
      <c r="E76" s="50">
        <v>6</v>
      </c>
      <c r="F76" s="50">
        <v>26</v>
      </c>
      <c r="G76" s="50">
        <v>0</v>
      </c>
      <c r="H76" s="50">
        <v>2</v>
      </c>
      <c r="I76" s="50">
        <v>1</v>
      </c>
      <c r="J76" s="50">
        <v>4</v>
      </c>
      <c r="K76" s="50">
        <v>3</v>
      </c>
      <c r="L76" s="50">
        <v>2</v>
      </c>
      <c r="M76" s="50">
        <v>254</v>
      </c>
      <c r="N76" s="50">
        <v>0</v>
      </c>
      <c r="O76" s="15">
        <f t="shared" si="35"/>
        <v>113</v>
      </c>
      <c r="P76" s="15">
        <f t="shared" si="36"/>
        <v>367</v>
      </c>
      <c r="R76" s="8"/>
      <c r="T76"/>
    </row>
    <row r="77" spans="2:20" ht="23.1" customHeight="1" x14ac:dyDescent="0.25">
      <c r="B77" s="45" t="s">
        <v>117</v>
      </c>
      <c r="C77" s="50">
        <v>49</v>
      </c>
      <c r="D77" s="50">
        <v>6</v>
      </c>
      <c r="E77" s="50">
        <v>3</v>
      </c>
      <c r="F77" s="50">
        <v>18</v>
      </c>
      <c r="G77" s="50">
        <v>2</v>
      </c>
      <c r="H77" s="50">
        <v>3</v>
      </c>
      <c r="I77" s="50">
        <v>1</v>
      </c>
      <c r="J77" s="50">
        <v>2</v>
      </c>
      <c r="K77" s="50">
        <v>1</v>
      </c>
      <c r="L77" s="50">
        <v>0</v>
      </c>
      <c r="M77" s="50">
        <v>277</v>
      </c>
      <c r="N77" s="50">
        <v>0</v>
      </c>
      <c r="O77" s="15">
        <f t="shared" si="35"/>
        <v>85</v>
      </c>
      <c r="P77" s="15">
        <f t="shared" si="36"/>
        <v>362</v>
      </c>
      <c r="R77" s="8"/>
      <c r="T77"/>
    </row>
    <row r="78" spans="2:20" ht="23.1" customHeight="1" x14ac:dyDescent="0.25">
      <c r="B78" s="46" t="s">
        <v>118</v>
      </c>
      <c r="C78" s="50">
        <v>49</v>
      </c>
      <c r="D78" s="50">
        <v>4</v>
      </c>
      <c r="E78" s="50">
        <v>4</v>
      </c>
      <c r="F78" s="50">
        <v>31</v>
      </c>
      <c r="G78" s="50">
        <v>0</v>
      </c>
      <c r="H78" s="50">
        <v>2</v>
      </c>
      <c r="I78" s="50">
        <v>1</v>
      </c>
      <c r="J78" s="50">
        <v>0</v>
      </c>
      <c r="K78" s="50">
        <v>0</v>
      </c>
      <c r="L78" s="50">
        <v>0</v>
      </c>
      <c r="M78" s="50">
        <v>163</v>
      </c>
      <c r="N78" s="50">
        <v>0</v>
      </c>
      <c r="O78" s="15">
        <f t="shared" si="35"/>
        <v>91</v>
      </c>
      <c r="P78" s="15">
        <f t="shared" si="36"/>
        <v>254</v>
      </c>
      <c r="R78" s="8"/>
      <c r="T78"/>
    </row>
    <row r="79" spans="2:20" ht="23.1" customHeight="1" x14ac:dyDescent="0.25">
      <c r="B79" s="45" t="s">
        <v>119</v>
      </c>
      <c r="C79" s="50">
        <v>39</v>
      </c>
      <c r="D79" s="50">
        <v>3</v>
      </c>
      <c r="E79" s="50">
        <v>5</v>
      </c>
      <c r="F79" s="50">
        <v>11</v>
      </c>
      <c r="G79" s="50">
        <v>1</v>
      </c>
      <c r="H79" s="50">
        <v>6</v>
      </c>
      <c r="I79" s="50">
        <v>0</v>
      </c>
      <c r="J79" s="50">
        <v>3</v>
      </c>
      <c r="K79" s="50">
        <v>0</v>
      </c>
      <c r="L79" s="50">
        <v>0</v>
      </c>
      <c r="M79" s="50">
        <v>127</v>
      </c>
      <c r="N79" s="50">
        <v>0</v>
      </c>
      <c r="O79" s="15">
        <f t="shared" si="35"/>
        <v>68</v>
      </c>
      <c r="P79" s="15">
        <f t="shared" si="36"/>
        <v>195</v>
      </c>
      <c r="R79" s="8"/>
      <c r="T79"/>
    </row>
    <row r="80" spans="2:20" ht="23.1" customHeight="1" x14ac:dyDescent="0.25">
      <c r="B80" s="47" t="s">
        <v>120</v>
      </c>
      <c r="C80" s="50">
        <v>29</v>
      </c>
      <c r="D80" s="50">
        <v>6</v>
      </c>
      <c r="E80" s="50">
        <v>6</v>
      </c>
      <c r="F80" s="50">
        <v>7</v>
      </c>
      <c r="G80" s="50">
        <v>0</v>
      </c>
      <c r="H80" s="50">
        <v>2</v>
      </c>
      <c r="I80" s="50">
        <v>0</v>
      </c>
      <c r="J80" s="50">
        <v>1</v>
      </c>
      <c r="K80" s="50">
        <v>3</v>
      </c>
      <c r="L80" s="50">
        <v>0</v>
      </c>
      <c r="M80" s="50">
        <v>115</v>
      </c>
      <c r="N80" s="50">
        <v>0</v>
      </c>
      <c r="O80" s="15">
        <f t="shared" si="35"/>
        <v>54</v>
      </c>
      <c r="P80" s="15">
        <f t="shared" si="36"/>
        <v>169</v>
      </c>
      <c r="R80" s="8"/>
      <c r="T80"/>
    </row>
    <row r="81" spans="2:20" ht="23.1" customHeight="1" x14ac:dyDescent="0.25">
      <c r="B81" s="45" t="s">
        <v>121</v>
      </c>
      <c r="C81" s="50">
        <v>36</v>
      </c>
      <c r="D81" s="50">
        <v>3</v>
      </c>
      <c r="E81" s="50">
        <v>1</v>
      </c>
      <c r="F81" s="50">
        <v>18</v>
      </c>
      <c r="G81" s="50">
        <v>0</v>
      </c>
      <c r="H81" s="50">
        <v>0</v>
      </c>
      <c r="I81" s="50">
        <v>2</v>
      </c>
      <c r="J81" s="50">
        <v>0</v>
      </c>
      <c r="K81" s="50">
        <v>0</v>
      </c>
      <c r="L81" s="50">
        <v>0</v>
      </c>
      <c r="M81" s="50">
        <v>105</v>
      </c>
      <c r="N81" s="50">
        <v>0</v>
      </c>
      <c r="O81" s="15">
        <f t="shared" si="35"/>
        <v>60</v>
      </c>
      <c r="P81" s="15">
        <f t="shared" si="36"/>
        <v>165</v>
      </c>
      <c r="R81" s="8"/>
      <c r="T81"/>
    </row>
    <row r="82" spans="2:20" ht="23.1" customHeight="1" x14ac:dyDescent="0.25">
      <c r="B82" s="46" t="s">
        <v>122</v>
      </c>
      <c r="C82" s="50">
        <v>42</v>
      </c>
      <c r="D82" s="50">
        <v>4</v>
      </c>
      <c r="E82" s="50">
        <v>5</v>
      </c>
      <c r="F82" s="50">
        <v>11</v>
      </c>
      <c r="G82" s="50">
        <v>1</v>
      </c>
      <c r="H82" s="50">
        <v>0</v>
      </c>
      <c r="I82" s="50">
        <v>0</v>
      </c>
      <c r="J82" s="50">
        <v>2</v>
      </c>
      <c r="K82" s="50">
        <v>0</v>
      </c>
      <c r="L82" s="50">
        <v>0</v>
      </c>
      <c r="M82" s="50">
        <v>68</v>
      </c>
      <c r="N82" s="50">
        <v>0</v>
      </c>
      <c r="O82" s="15">
        <f t="shared" si="35"/>
        <v>65</v>
      </c>
      <c r="P82" s="15">
        <f t="shared" si="36"/>
        <v>133</v>
      </c>
      <c r="R82" s="8"/>
      <c r="T82"/>
    </row>
    <row r="83" spans="2:20" ht="23.1" customHeight="1" x14ac:dyDescent="0.25">
      <c r="B83" s="45" t="s">
        <v>123</v>
      </c>
      <c r="C83" s="50">
        <v>44</v>
      </c>
      <c r="D83" s="50">
        <v>6</v>
      </c>
      <c r="E83" s="50">
        <v>2</v>
      </c>
      <c r="F83" s="50">
        <v>4</v>
      </c>
      <c r="G83" s="50">
        <v>0</v>
      </c>
      <c r="H83" s="50">
        <v>2</v>
      </c>
      <c r="I83" s="50">
        <v>1</v>
      </c>
      <c r="J83" s="50">
        <v>0</v>
      </c>
      <c r="K83" s="50">
        <v>0</v>
      </c>
      <c r="L83" s="50">
        <v>0</v>
      </c>
      <c r="M83" s="50">
        <v>60</v>
      </c>
      <c r="N83" s="50">
        <v>0</v>
      </c>
      <c r="O83" s="15">
        <f t="shared" si="35"/>
        <v>59</v>
      </c>
      <c r="P83" s="15">
        <f t="shared" si="36"/>
        <v>119</v>
      </c>
      <c r="R83" s="8"/>
      <c r="T83"/>
    </row>
    <row r="84" spans="2:20" ht="23.1" customHeight="1" x14ac:dyDescent="0.25">
      <c r="B84" s="47" t="s">
        <v>124</v>
      </c>
      <c r="C84" s="50">
        <v>23</v>
      </c>
      <c r="D84" s="50">
        <v>2</v>
      </c>
      <c r="E84" s="50">
        <v>0</v>
      </c>
      <c r="F84" s="50">
        <v>1</v>
      </c>
      <c r="G84" s="50">
        <v>0</v>
      </c>
      <c r="H84" s="50">
        <v>0</v>
      </c>
      <c r="I84" s="50">
        <v>2</v>
      </c>
      <c r="J84" s="50">
        <v>0</v>
      </c>
      <c r="K84" s="50">
        <v>0</v>
      </c>
      <c r="L84" s="50">
        <v>1</v>
      </c>
      <c r="M84" s="50">
        <v>47</v>
      </c>
      <c r="N84" s="50">
        <v>0</v>
      </c>
      <c r="O84" s="15">
        <f t="shared" si="35"/>
        <v>29</v>
      </c>
      <c r="P84" s="15">
        <f t="shared" si="36"/>
        <v>76</v>
      </c>
      <c r="R84" s="8"/>
      <c r="T84"/>
    </row>
    <row r="85" spans="2:20" ht="23.1" customHeight="1" x14ac:dyDescent="0.25">
      <c r="B85" s="45" t="s">
        <v>125</v>
      </c>
      <c r="C85" s="50">
        <v>37</v>
      </c>
      <c r="D85" s="50">
        <v>1</v>
      </c>
      <c r="E85" s="50">
        <v>1</v>
      </c>
      <c r="F85" s="50">
        <v>3</v>
      </c>
      <c r="G85" s="50">
        <v>0</v>
      </c>
      <c r="H85" s="50">
        <v>0</v>
      </c>
      <c r="I85" s="50">
        <v>1</v>
      </c>
      <c r="J85" s="50">
        <v>0</v>
      </c>
      <c r="K85" s="50">
        <v>0</v>
      </c>
      <c r="L85" s="50">
        <v>1</v>
      </c>
      <c r="M85" s="50">
        <v>28</v>
      </c>
      <c r="N85" s="50">
        <v>0</v>
      </c>
      <c r="O85" s="15">
        <f t="shared" si="35"/>
        <v>44</v>
      </c>
      <c r="P85" s="15">
        <f t="shared" si="36"/>
        <v>72</v>
      </c>
      <c r="R85" s="8"/>
      <c r="T85"/>
    </row>
    <row r="86" spans="2:20" ht="23.1" customHeight="1" x14ac:dyDescent="0.25">
      <c r="B86" s="46" t="s">
        <v>126</v>
      </c>
      <c r="C86" s="50">
        <v>10</v>
      </c>
      <c r="D86" s="50">
        <v>0</v>
      </c>
      <c r="E86" s="50">
        <v>1</v>
      </c>
      <c r="F86" s="50">
        <v>0</v>
      </c>
      <c r="G86" s="50">
        <v>0</v>
      </c>
      <c r="H86" s="50">
        <v>1</v>
      </c>
      <c r="I86" s="50">
        <v>3</v>
      </c>
      <c r="J86" s="50">
        <v>2</v>
      </c>
      <c r="K86" s="50">
        <v>0</v>
      </c>
      <c r="L86" s="50">
        <v>0</v>
      </c>
      <c r="M86" s="50">
        <v>23</v>
      </c>
      <c r="N86" s="50">
        <v>0</v>
      </c>
      <c r="O86" s="15">
        <f t="shared" si="35"/>
        <v>17</v>
      </c>
      <c r="P86" s="15">
        <f t="shared" si="36"/>
        <v>40</v>
      </c>
      <c r="R86" s="8"/>
      <c r="T86"/>
    </row>
    <row r="87" spans="2:20" ht="23.1" customHeight="1" x14ac:dyDescent="0.25">
      <c r="B87" s="45" t="s">
        <v>127</v>
      </c>
      <c r="C87" s="50">
        <v>18</v>
      </c>
      <c r="D87" s="50">
        <v>1</v>
      </c>
      <c r="E87" s="50">
        <v>1</v>
      </c>
      <c r="F87" s="50">
        <v>0</v>
      </c>
      <c r="G87" s="50">
        <v>0</v>
      </c>
      <c r="H87" s="50">
        <v>0</v>
      </c>
      <c r="I87" s="50">
        <v>2</v>
      </c>
      <c r="J87" s="50">
        <v>3</v>
      </c>
      <c r="K87" s="50">
        <v>0</v>
      </c>
      <c r="L87" s="50">
        <v>4</v>
      </c>
      <c r="M87" s="50">
        <v>27</v>
      </c>
      <c r="N87" s="50">
        <v>0</v>
      </c>
      <c r="O87" s="15">
        <f t="shared" si="35"/>
        <v>29</v>
      </c>
      <c r="P87" s="15">
        <f t="shared" si="36"/>
        <v>56</v>
      </c>
      <c r="R87" s="8"/>
      <c r="T87"/>
    </row>
    <row r="88" spans="2:20" ht="23.1" customHeight="1" x14ac:dyDescent="0.25">
      <c r="B88" s="47" t="s">
        <v>128</v>
      </c>
      <c r="C88" s="50">
        <v>6</v>
      </c>
      <c r="D88" s="50">
        <v>3</v>
      </c>
      <c r="E88" s="50">
        <v>2</v>
      </c>
      <c r="F88" s="50">
        <v>1</v>
      </c>
      <c r="G88" s="50">
        <v>0</v>
      </c>
      <c r="H88" s="50">
        <v>2</v>
      </c>
      <c r="I88" s="50">
        <v>1</v>
      </c>
      <c r="J88" s="50">
        <v>3</v>
      </c>
      <c r="K88" s="50">
        <v>1</v>
      </c>
      <c r="L88" s="50">
        <v>0</v>
      </c>
      <c r="M88" s="50">
        <v>41</v>
      </c>
      <c r="N88" s="50">
        <v>0</v>
      </c>
      <c r="O88" s="15">
        <f t="shared" si="35"/>
        <v>19</v>
      </c>
      <c r="P88" s="15">
        <f t="shared" si="36"/>
        <v>60</v>
      </c>
      <c r="R88" s="8"/>
      <c r="T88"/>
    </row>
    <row r="89" spans="2:20" ht="23.1" customHeight="1" x14ac:dyDescent="0.25">
      <c r="B89" s="45" t="s">
        <v>129</v>
      </c>
      <c r="C89" s="50">
        <v>10</v>
      </c>
      <c r="D89" s="50">
        <v>1</v>
      </c>
      <c r="E89" s="50">
        <v>3</v>
      </c>
      <c r="F89" s="50">
        <v>0</v>
      </c>
      <c r="G89" s="50">
        <v>0</v>
      </c>
      <c r="H89" s="50">
        <v>0</v>
      </c>
      <c r="I89" s="50">
        <v>3</v>
      </c>
      <c r="J89" s="50">
        <v>4</v>
      </c>
      <c r="K89" s="50">
        <v>0</v>
      </c>
      <c r="L89" s="50">
        <v>0</v>
      </c>
      <c r="M89" s="50">
        <v>38</v>
      </c>
      <c r="N89" s="50">
        <v>0</v>
      </c>
      <c r="O89" s="15">
        <f t="shared" si="35"/>
        <v>21</v>
      </c>
      <c r="P89" s="15">
        <f t="shared" si="36"/>
        <v>59</v>
      </c>
      <c r="R89" s="8"/>
      <c r="T89"/>
    </row>
    <row r="90" spans="2:20" ht="23.1" customHeight="1" x14ac:dyDescent="0.25">
      <c r="B90" s="46" t="s">
        <v>130</v>
      </c>
      <c r="C90" s="50">
        <v>12</v>
      </c>
      <c r="D90" s="50">
        <v>1</v>
      </c>
      <c r="E90" s="50">
        <v>0</v>
      </c>
      <c r="F90" s="50">
        <v>0</v>
      </c>
      <c r="G90" s="50">
        <v>0</v>
      </c>
      <c r="H90" s="50">
        <v>0</v>
      </c>
      <c r="I90" s="50">
        <v>1</v>
      </c>
      <c r="J90" s="50">
        <v>2</v>
      </c>
      <c r="K90" s="50">
        <v>0</v>
      </c>
      <c r="L90" s="50">
        <v>0</v>
      </c>
      <c r="M90" s="50">
        <v>36</v>
      </c>
      <c r="N90" s="50">
        <v>0</v>
      </c>
      <c r="O90" s="15">
        <f t="shared" si="35"/>
        <v>16</v>
      </c>
      <c r="P90" s="15">
        <f t="shared" si="36"/>
        <v>52</v>
      </c>
      <c r="R90" s="8"/>
      <c r="T90"/>
    </row>
    <row r="91" spans="2:20" ht="23.1" customHeight="1" x14ac:dyDescent="0.25">
      <c r="B91" s="45" t="s">
        <v>131</v>
      </c>
      <c r="C91" s="50">
        <v>2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1</v>
      </c>
      <c r="K91" s="50">
        <v>0</v>
      </c>
      <c r="L91" s="50">
        <v>0</v>
      </c>
      <c r="M91" s="50">
        <v>32</v>
      </c>
      <c r="N91" s="50">
        <v>0</v>
      </c>
      <c r="O91" s="15">
        <f t="shared" si="35"/>
        <v>3</v>
      </c>
      <c r="P91" s="15">
        <f t="shared" si="36"/>
        <v>35</v>
      </c>
      <c r="R91" s="8"/>
      <c r="T91"/>
    </row>
    <row r="92" spans="2:20" ht="23.1" customHeight="1" x14ac:dyDescent="0.25">
      <c r="B92" s="47" t="s">
        <v>132</v>
      </c>
      <c r="C92" s="50">
        <v>10</v>
      </c>
      <c r="D92" s="50">
        <v>1</v>
      </c>
      <c r="E92" s="50">
        <v>1</v>
      </c>
      <c r="F92" s="50">
        <v>1</v>
      </c>
      <c r="G92" s="50">
        <v>0</v>
      </c>
      <c r="H92" s="50">
        <v>0</v>
      </c>
      <c r="I92" s="50">
        <v>1</v>
      </c>
      <c r="J92" s="50">
        <v>0</v>
      </c>
      <c r="K92" s="50">
        <v>0</v>
      </c>
      <c r="L92" s="50">
        <v>0</v>
      </c>
      <c r="M92" s="50">
        <v>29</v>
      </c>
      <c r="N92" s="50">
        <v>0</v>
      </c>
      <c r="O92" s="15">
        <f t="shared" si="35"/>
        <v>14</v>
      </c>
      <c r="P92" s="15">
        <f t="shared" si="36"/>
        <v>43</v>
      </c>
      <c r="R92" s="8"/>
      <c r="T92"/>
    </row>
    <row r="93" spans="2:20" ht="23.1" customHeight="1" x14ac:dyDescent="0.25">
      <c r="B93" s="45" t="s">
        <v>133</v>
      </c>
      <c r="C93" s="50">
        <v>16</v>
      </c>
      <c r="D93" s="50">
        <v>4</v>
      </c>
      <c r="E93" s="50">
        <v>3</v>
      </c>
      <c r="F93" s="50">
        <v>2</v>
      </c>
      <c r="G93" s="50">
        <v>0</v>
      </c>
      <c r="H93" s="50">
        <v>2</v>
      </c>
      <c r="I93" s="50">
        <v>0</v>
      </c>
      <c r="J93" s="50">
        <v>0</v>
      </c>
      <c r="K93" s="50">
        <v>0</v>
      </c>
      <c r="L93" s="50">
        <v>0</v>
      </c>
      <c r="M93" s="50">
        <v>26</v>
      </c>
      <c r="N93" s="50">
        <v>0</v>
      </c>
      <c r="O93" s="15">
        <f t="shared" si="35"/>
        <v>27</v>
      </c>
      <c r="P93" s="15">
        <f t="shared" si="36"/>
        <v>53</v>
      </c>
      <c r="R93" s="8"/>
      <c r="T93"/>
    </row>
    <row r="94" spans="2:20" ht="23.1" customHeight="1" x14ac:dyDescent="0.25">
      <c r="B94" s="46" t="s">
        <v>134</v>
      </c>
      <c r="C94" s="50">
        <v>12</v>
      </c>
      <c r="D94" s="50">
        <v>1</v>
      </c>
      <c r="E94" s="50">
        <v>1</v>
      </c>
      <c r="F94" s="50">
        <v>2</v>
      </c>
      <c r="G94" s="50">
        <v>0</v>
      </c>
      <c r="H94" s="50">
        <v>0</v>
      </c>
      <c r="I94" s="50">
        <v>2</v>
      </c>
      <c r="J94" s="50">
        <v>3</v>
      </c>
      <c r="K94" s="50">
        <v>0</v>
      </c>
      <c r="L94" s="50">
        <v>0</v>
      </c>
      <c r="M94" s="50">
        <v>19</v>
      </c>
      <c r="N94" s="50">
        <v>0</v>
      </c>
      <c r="O94" s="15">
        <f t="shared" si="35"/>
        <v>21</v>
      </c>
      <c r="P94" s="15">
        <f t="shared" si="36"/>
        <v>40</v>
      </c>
      <c r="R94" s="8"/>
      <c r="T94"/>
    </row>
    <row r="95" spans="2:20" ht="23.1" customHeight="1" x14ac:dyDescent="0.25">
      <c r="B95" s="45" t="s">
        <v>135</v>
      </c>
      <c r="C95" s="50">
        <v>11</v>
      </c>
      <c r="D95" s="50">
        <v>5</v>
      </c>
      <c r="E95" s="50">
        <v>3</v>
      </c>
      <c r="F95" s="50">
        <v>5</v>
      </c>
      <c r="G95" s="50">
        <v>0</v>
      </c>
      <c r="H95" s="50">
        <v>0</v>
      </c>
      <c r="I95" s="50">
        <v>1</v>
      </c>
      <c r="J95" s="50">
        <v>0</v>
      </c>
      <c r="K95" s="50">
        <v>0</v>
      </c>
      <c r="L95" s="50">
        <v>0</v>
      </c>
      <c r="M95" s="50">
        <v>26</v>
      </c>
      <c r="N95" s="50">
        <v>0</v>
      </c>
      <c r="O95" s="15">
        <f t="shared" si="35"/>
        <v>25</v>
      </c>
      <c r="P95" s="15">
        <f t="shared" si="36"/>
        <v>51</v>
      </c>
      <c r="R95" s="8"/>
      <c r="T95"/>
    </row>
    <row r="96" spans="2:20" ht="23.1" customHeight="1" x14ac:dyDescent="0.25">
      <c r="B96" s="47" t="s">
        <v>136</v>
      </c>
      <c r="C96" s="50">
        <v>25</v>
      </c>
      <c r="D96" s="50">
        <v>2</v>
      </c>
      <c r="E96" s="50">
        <v>4</v>
      </c>
      <c r="F96" s="50">
        <v>5</v>
      </c>
      <c r="G96" s="50">
        <v>0</v>
      </c>
      <c r="H96" s="50">
        <v>0</v>
      </c>
      <c r="I96" s="50">
        <v>0</v>
      </c>
      <c r="J96" s="50">
        <v>2</v>
      </c>
      <c r="K96" s="50">
        <v>0</v>
      </c>
      <c r="L96" s="50">
        <v>0</v>
      </c>
      <c r="M96" s="50">
        <v>22</v>
      </c>
      <c r="N96" s="50">
        <v>0</v>
      </c>
      <c r="O96" s="15">
        <f t="shared" si="35"/>
        <v>38</v>
      </c>
      <c r="P96" s="15">
        <f t="shared" si="36"/>
        <v>60</v>
      </c>
      <c r="R96" s="8"/>
      <c r="T96"/>
    </row>
    <row r="97" spans="2:20" ht="23.1" customHeight="1" x14ac:dyDescent="0.25">
      <c r="B97" s="45" t="s">
        <v>137</v>
      </c>
      <c r="C97" s="50">
        <v>14</v>
      </c>
      <c r="D97" s="50">
        <v>1</v>
      </c>
      <c r="E97" s="50">
        <v>1</v>
      </c>
      <c r="F97" s="50">
        <v>3</v>
      </c>
      <c r="G97" s="50">
        <v>0</v>
      </c>
      <c r="H97" s="50">
        <v>2</v>
      </c>
      <c r="I97" s="50">
        <v>3</v>
      </c>
      <c r="J97" s="50">
        <v>0</v>
      </c>
      <c r="K97" s="50">
        <v>0</v>
      </c>
      <c r="L97" s="50">
        <v>0</v>
      </c>
      <c r="M97" s="50">
        <v>31</v>
      </c>
      <c r="N97" s="50">
        <v>0</v>
      </c>
      <c r="O97" s="15">
        <f t="shared" si="35"/>
        <v>24</v>
      </c>
      <c r="P97" s="15">
        <f t="shared" si="36"/>
        <v>55</v>
      </c>
      <c r="R97" s="8"/>
      <c r="T97"/>
    </row>
    <row r="98" spans="2:20" ht="23.1" customHeight="1" x14ac:dyDescent="0.25">
      <c r="B98" s="46" t="s">
        <v>138</v>
      </c>
      <c r="C98" s="50">
        <v>19</v>
      </c>
      <c r="D98" s="50">
        <v>0</v>
      </c>
      <c r="E98" s="50">
        <v>3</v>
      </c>
      <c r="F98" s="50">
        <v>4</v>
      </c>
      <c r="G98" s="50">
        <v>0</v>
      </c>
      <c r="H98" s="50">
        <v>0</v>
      </c>
      <c r="I98" s="50">
        <v>4</v>
      </c>
      <c r="J98" s="50">
        <v>0</v>
      </c>
      <c r="K98" s="50">
        <v>0</v>
      </c>
      <c r="L98" s="50">
        <v>0</v>
      </c>
      <c r="M98" s="50">
        <v>38</v>
      </c>
      <c r="N98" s="50">
        <v>0</v>
      </c>
      <c r="O98" s="15">
        <f t="shared" si="35"/>
        <v>30</v>
      </c>
      <c r="P98" s="15">
        <f t="shared" si="36"/>
        <v>68</v>
      </c>
      <c r="R98" s="8"/>
      <c r="T98"/>
    </row>
    <row r="99" spans="2:20" ht="23.1" customHeight="1" x14ac:dyDescent="0.25">
      <c r="B99" s="45" t="s">
        <v>139</v>
      </c>
      <c r="C99" s="50">
        <v>24</v>
      </c>
      <c r="D99" s="50">
        <v>1</v>
      </c>
      <c r="E99" s="50">
        <v>1</v>
      </c>
      <c r="F99" s="50">
        <v>19</v>
      </c>
      <c r="G99" s="50">
        <v>0</v>
      </c>
      <c r="H99" s="50">
        <v>2</v>
      </c>
      <c r="I99" s="50">
        <v>1</v>
      </c>
      <c r="J99" s="50">
        <v>0</v>
      </c>
      <c r="K99" s="50">
        <v>0</v>
      </c>
      <c r="L99" s="50">
        <v>0</v>
      </c>
      <c r="M99" s="50">
        <v>44</v>
      </c>
      <c r="N99" s="50">
        <v>0</v>
      </c>
      <c r="O99" s="15">
        <f t="shared" si="35"/>
        <v>48</v>
      </c>
      <c r="P99" s="15">
        <f t="shared" si="36"/>
        <v>92</v>
      </c>
      <c r="R99" s="8"/>
      <c r="T99"/>
    </row>
    <row r="100" spans="2:20" ht="23.1" customHeight="1" x14ac:dyDescent="0.25">
      <c r="B100" s="47" t="s">
        <v>140</v>
      </c>
      <c r="C100" s="50">
        <v>23</v>
      </c>
      <c r="D100" s="50">
        <v>2</v>
      </c>
      <c r="E100" s="50">
        <v>1</v>
      </c>
      <c r="F100" s="50">
        <v>14</v>
      </c>
      <c r="G100" s="50">
        <v>0</v>
      </c>
      <c r="H100" s="50">
        <v>3</v>
      </c>
      <c r="I100" s="50">
        <v>3</v>
      </c>
      <c r="J100" s="50">
        <v>1</v>
      </c>
      <c r="K100" s="50">
        <v>0</v>
      </c>
      <c r="L100" s="50">
        <v>0</v>
      </c>
      <c r="M100" s="50">
        <v>52</v>
      </c>
      <c r="N100" s="50">
        <v>0</v>
      </c>
      <c r="O100" s="15">
        <f t="shared" si="35"/>
        <v>47</v>
      </c>
      <c r="P100" s="15">
        <f t="shared" si="36"/>
        <v>99</v>
      </c>
      <c r="R100" s="8"/>
      <c r="T100"/>
    </row>
    <row r="101" spans="2:20" ht="23.1" customHeight="1" x14ac:dyDescent="0.25">
      <c r="B101" s="45" t="s">
        <v>141</v>
      </c>
      <c r="C101" s="50">
        <v>10</v>
      </c>
      <c r="D101" s="50">
        <v>6</v>
      </c>
      <c r="E101" s="50">
        <v>4</v>
      </c>
      <c r="F101" s="50">
        <v>23</v>
      </c>
      <c r="G101" s="50">
        <v>0</v>
      </c>
      <c r="H101" s="50">
        <v>1</v>
      </c>
      <c r="I101" s="50">
        <v>0</v>
      </c>
      <c r="J101" s="50">
        <v>0</v>
      </c>
      <c r="K101" s="50">
        <v>1</v>
      </c>
      <c r="L101" s="50">
        <v>0</v>
      </c>
      <c r="M101" s="50">
        <v>58</v>
      </c>
      <c r="N101" s="50">
        <v>0</v>
      </c>
      <c r="O101" s="15">
        <f t="shared" si="35"/>
        <v>45</v>
      </c>
      <c r="P101" s="15">
        <f t="shared" si="36"/>
        <v>103</v>
      </c>
      <c r="R101" s="8"/>
      <c r="T101"/>
    </row>
    <row r="102" spans="2:20" ht="23.1" customHeight="1" x14ac:dyDescent="0.25">
      <c r="B102" s="46" t="s">
        <v>142</v>
      </c>
      <c r="C102" s="50">
        <v>25</v>
      </c>
      <c r="D102" s="50">
        <v>6</v>
      </c>
      <c r="E102" s="50">
        <v>7</v>
      </c>
      <c r="F102" s="50">
        <v>31</v>
      </c>
      <c r="G102" s="50">
        <v>2</v>
      </c>
      <c r="H102" s="50">
        <v>0</v>
      </c>
      <c r="I102" s="50">
        <v>4</v>
      </c>
      <c r="J102" s="50">
        <v>0</v>
      </c>
      <c r="K102" s="50">
        <v>0</v>
      </c>
      <c r="L102" s="50">
        <v>0</v>
      </c>
      <c r="M102" s="50">
        <v>44</v>
      </c>
      <c r="N102" s="50">
        <v>0</v>
      </c>
      <c r="O102" s="15">
        <f t="shared" si="35"/>
        <v>75</v>
      </c>
      <c r="P102" s="15">
        <f t="shared" si="36"/>
        <v>119</v>
      </c>
      <c r="R102" s="8"/>
      <c r="T102"/>
    </row>
    <row r="103" spans="2:20" ht="23.1" customHeight="1" x14ac:dyDescent="0.25">
      <c r="B103" s="45" t="s">
        <v>143</v>
      </c>
      <c r="C103" s="50">
        <v>32</v>
      </c>
      <c r="D103" s="50">
        <v>4</v>
      </c>
      <c r="E103" s="50">
        <v>6</v>
      </c>
      <c r="F103" s="50">
        <v>45</v>
      </c>
      <c r="G103" s="50">
        <v>1</v>
      </c>
      <c r="H103" s="50">
        <v>2</v>
      </c>
      <c r="I103" s="50">
        <v>2</v>
      </c>
      <c r="J103" s="50">
        <v>3</v>
      </c>
      <c r="K103" s="50">
        <v>0</v>
      </c>
      <c r="L103" s="50">
        <v>0</v>
      </c>
      <c r="M103" s="50">
        <v>58</v>
      </c>
      <c r="N103" s="50">
        <v>0</v>
      </c>
      <c r="O103" s="15">
        <f t="shared" si="35"/>
        <v>95</v>
      </c>
      <c r="P103" s="15">
        <f t="shared" si="36"/>
        <v>153</v>
      </c>
      <c r="R103" s="8"/>
      <c r="T103"/>
    </row>
    <row r="104" spans="2:20" ht="23.1" customHeight="1" x14ac:dyDescent="0.25">
      <c r="B104" s="47" t="s">
        <v>144</v>
      </c>
      <c r="C104" s="50">
        <v>33</v>
      </c>
      <c r="D104" s="50">
        <v>6</v>
      </c>
      <c r="E104" s="50">
        <v>4</v>
      </c>
      <c r="F104" s="50">
        <v>41</v>
      </c>
      <c r="G104" s="50">
        <v>2</v>
      </c>
      <c r="H104" s="50">
        <v>1</v>
      </c>
      <c r="I104" s="50">
        <v>3</v>
      </c>
      <c r="J104" s="50">
        <v>6</v>
      </c>
      <c r="K104" s="50">
        <v>0</v>
      </c>
      <c r="L104" s="50">
        <v>3</v>
      </c>
      <c r="M104" s="50">
        <v>62</v>
      </c>
      <c r="N104" s="50">
        <v>0</v>
      </c>
      <c r="O104" s="15">
        <f t="shared" si="35"/>
        <v>99</v>
      </c>
      <c r="P104" s="15">
        <f t="shared" si="36"/>
        <v>161</v>
      </c>
      <c r="R104" s="8"/>
      <c r="T104"/>
    </row>
    <row r="105" spans="2:20" ht="23.1" customHeight="1" x14ac:dyDescent="0.25">
      <c r="B105" s="45" t="s">
        <v>145</v>
      </c>
      <c r="C105" s="50">
        <v>36</v>
      </c>
      <c r="D105" s="50">
        <v>7</v>
      </c>
      <c r="E105" s="50">
        <v>9</v>
      </c>
      <c r="F105" s="50">
        <v>47</v>
      </c>
      <c r="G105" s="50">
        <v>1</v>
      </c>
      <c r="H105" s="50">
        <v>3</v>
      </c>
      <c r="I105" s="50">
        <v>10</v>
      </c>
      <c r="J105" s="50">
        <v>7</v>
      </c>
      <c r="K105" s="50">
        <v>4</v>
      </c>
      <c r="L105" s="50">
        <v>3</v>
      </c>
      <c r="M105" s="50">
        <v>98</v>
      </c>
      <c r="N105" s="50">
        <v>0</v>
      </c>
      <c r="O105" s="15">
        <f t="shared" si="35"/>
        <v>127</v>
      </c>
      <c r="P105" s="15">
        <f t="shared" si="36"/>
        <v>225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3964</v>
      </c>
      <c r="D106" s="16">
        <f t="shared" ref="D106:P106" si="37">SUM(D10:D105)</f>
        <v>604</v>
      </c>
      <c r="E106" s="16">
        <f t="shared" si="37"/>
        <v>547</v>
      </c>
      <c r="F106" s="16">
        <f t="shared" si="37"/>
        <v>3081</v>
      </c>
      <c r="G106" s="16">
        <f t="shared" si="37"/>
        <v>91</v>
      </c>
      <c r="H106" s="16">
        <f t="shared" si="37"/>
        <v>131</v>
      </c>
      <c r="I106" s="16">
        <f t="shared" si="37"/>
        <v>612</v>
      </c>
      <c r="J106" s="16">
        <f t="shared" si="37"/>
        <v>398</v>
      </c>
      <c r="K106" s="16">
        <f t="shared" si="37"/>
        <v>152</v>
      </c>
      <c r="L106" s="16">
        <f t="shared" si="37"/>
        <v>181</v>
      </c>
      <c r="M106" s="16">
        <f t="shared" si="37"/>
        <v>18163</v>
      </c>
      <c r="N106" s="16">
        <f t="shared" si="37"/>
        <v>1</v>
      </c>
      <c r="O106" s="16">
        <f t="shared" si="37"/>
        <v>9762</v>
      </c>
      <c r="P106" s="16">
        <f t="shared" si="37"/>
        <v>27925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0.14195165622202327</v>
      </c>
      <c r="D107" s="43">
        <f t="shared" si="38"/>
        <v>2.1629364368845119E-2</v>
      </c>
      <c r="E107" s="43">
        <f t="shared" si="38"/>
        <v>1.9588182632050134E-2</v>
      </c>
      <c r="F107" s="43">
        <f t="shared" si="38"/>
        <v>0.11033124440465533</v>
      </c>
      <c r="G107" s="43">
        <f t="shared" si="38"/>
        <v>3.2587287376902416E-3</v>
      </c>
      <c r="H107" s="43">
        <f t="shared" si="38"/>
        <v>4.6911369740376008E-3</v>
      </c>
      <c r="I107" s="43">
        <f t="shared" si="38"/>
        <v>2.1915846016114592E-2</v>
      </c>
      <c r="J107" s="43">
        <f t="shared" si="38"/>
        <v>1.4252461951656222E-2</v>
      </c>
      <c r="K107" s="43">
        <f t="shared" si="38"/>
        <v>5.4431512981199639E-3</v>
      </c>
      <c r="L107" s="43">
        <f t="shared" si="38"/>
        <v>6.4816472694717991E-3</v>
      </c>
      <c r="M107" s="43">
        <f t="shared" si="38"/>
        <v>0.65042076991942699</v>
      </c>
      <c r="N107" s="43">
        <f t="shared" si="38"/>
        <v>3.5810205908683974E-5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0.40606433107969681</v>
      </c>
      <c r="D108" s="44">
        <f t="shared" ref="D108:N108" si="39">D106/$O$106</f>
        <v>6.1872567096906368E-2</v>
      </c>
      <c r="E108" s="44">
        <f t="shared" si="39"/>
        <v>5.6033599672198321E-2</v>
      </c>
      <c r="F108" s="44">
        <f t="shared" si="39"/>
        <v>0.31561155500921945</v>
      </c>
      <c r="G108" s="44">
        <f t="shared" si="39"/>
        <v>9.3218602745339073E-3</v>
      </c>
      <c r="H108" s="44">
        <f t="shared" si="39"/>
        <v>1.3419381274329031E-2</v>
      </c>
      <c r="I108" s="44">
        <f t="shared" si="39"/>
        <v>6.2692071296865395E-2</v>
      </c>
      <c r="J108" s="44">
        <f t="shared" si="39"/>
        <v>4.0770333947961486E-2</v>
      </c>
      <c r="K108" s="44">
        <f t="shared" si="39"/>
        <v>1.5570579799221471E-2</v>
      </c>
      <c r="L108" s="44">
        <f t="shared" si="39"/>
        <v>1.8541282524072937E-2</v>
      </c>
      <c r="M108" s="44"/>
      <c r="N108" s="44">
        <f t="shared" si="39"/>
        <v>1.024380249948781E-4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2" tint="-0.249977111117893"/>
  </sheetPr>
  <dimension ref="B1:AF174"/>
  <sheetViews>
    <sheetView view="pageBreakPreview" topLeftCell="A28" zoomScale="60" workbookViewId="0">
      <selection activeCell="N105" sqref="N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4" t="str">
        <f>'22.07 NATEETE-BUSEGA'!C3:G3</f>
        <v>MCC - C1 - STN10- MASAKA ROAD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'26.07 NATEETE-BUSEGA'!D5</f>
        <v>26.07.19</v>
      </c>
      <c r="E5" s="3"/>
      <c r="F5" s="41" t="s">
        <v>1</v>
      </c>
      <c r="G5" s="62" t="str">
        <f>'26.07 NATEETE-BUSEGA'!G5:H5</f>
        <v>GOD'S MERCY SUPERMARKET</v>
      </c>
      <c r="H5" s="63"/>
      <c r="I5" s="14"/>
      <c r="J5" s="2" t="s">
        <v>5</v>
      </c>
      <c r="K5" s="62" t="s">
        <v>179</v>
      </c>
      <c r="L5" s="63"/>
      <c r="M5" s="10"/>
      <c r="N5" s="10"/>
      <c r="O5" s="3"/>
      <c r="P5" s="3"/>
    </row>
    <row r="6" spans="2:32" ht="23.25" customHeight="1" x14ac:dyDescent="0.25">
      <c r="C6" s="2" t="s">
        <v>4</v>
      </c>
      <c r="D6" s="62" t="str">
        <f>'22.07 BUSEGA-NATEETE'!D6:E6</f>
        <v>BUSEGA</v>
      </c>
      <c r="E6" s="63"/>
      <c r="F6" s="2" t="s">
        <v>2</v>
      </c>
      <c r="G6" s="62" t="str">
        <f>'23.07 BUSEGA-NATEETE'!G6:H6</f>
        <v>NATEETE</v>
      </c>
      <c r="H6" s="63"/>
      <c r="J6" s="2" t="s">
        <v>21</v>
      </c>
      <c r="K6" s="62" t="str">
        <f>'26.07 NATEETE-BUSEGA'!K6:L6</f>
        <v>BEATRACE</v>
      </c>
      <c r="L6" s="6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115</v>
      </c>
      <c r="D10" s="50">
        <v>12</v>
      </c>
      <c r="E10" s="50">
        <v>5</v>
      </c>
      <c r="F10" s="50">
        <v>68</v>
      </c>
      <c r="G10" s="50">
        <v>5</v>
      </c>
      <c r="H10" s="50">
        <v>0</v>
      </c>
      <c r="I10" s="50">
        <v>12</v>
      </c>
      <c r="J10" s="50">
        <v>9</v>
      </c>
      <c r="K10" s="50">
        <v>0</v>
      </c>
      <c r="L10" s="50">
        <v>1</v>
      </c>
      <c r="M10" s="50">
        <v>367</v>
      </c>
      <c r="N10" s="50">
        <v>0</v>
      </c>
      <c r="O10" s="15">
        <f t="shared" ref="O10:O73" si="0">SUM(C10:L10,N10)</f>
        <v>227</v>
      </c>
      <c r="P10" s="15">
        <f t="shared" ref="P10:P73" si="1">SUM(C10:N10)</f>
        <v>594</v>
      </c>
      <c r="R10" s="1" t="s">
        <v>6</v>
      </c>
      <c r="S10" s="17">
        <f t="shared" ref="S10:AF10" si="2">SUM(C10:C13)</f>
        <v>435</v>
      </c>
      <c r="T10" s="17">
        <f t="shared" si="2"/>
        <v>45</v>
      </c>
      <c r="U10" s="17">
        <f t="shared" si="2"/>
        <v>17</v>
      </c>
      <c r="V10" s="17">
        <f t="shared" si="2"/>
        <v>295</v>
      </c>
      <c r="W10" s="17">
        <f t="shared" si="2"/>
        <v>15</v>
      </c>
      <c r="X10" s="17">
        <f t="shared" si="2"/>
        <v>3</v>
      </c>
      <c r="Y10" s="17">
        <f t="shared" si="2"/>
        <v>34</v>
      </c>
      <c r="Z10" s="17">
        <f t="shared" si="2"/>
        <v>30</v>
      </c>
      <c r="AA10" s="17">
        <f t="shared" si="2"/>
        <v>3</v>
      </c>
      <c r="AB10" s="17">
        <f t="shared" si="2"/>
        <v>4</v>
      </c>
      <c r="AC10" s="17">
        <f t="shared" si="2"/>
        <v>1187</v>
      </c>
      <c r="AD10" s="17">
        <f t="shared" si="2"/>
        <v>0</v>
      </c>
      <c r="AE10" s="31">
        <f t="shared" si="2"/>
        <v>881</v>
      </c>
      <c r="AF10" s="31">
        <f t="shared" si="2"/>
        <v>2068</v>
      </c>
    </row>
    <row r="11" spans="2:32" s="6" customFormat="1" ht="23.1" customHeight="1" x14ac:dyDescent="0.25">
      <c r="B11" s="45" t="s">
        <v>38</v>
      </c>
      <c r="C11" s="50">
        <v>124</v>
      </c>
      <c r="D11" s="50">
        <v>4</v>
      </c>
      <c r="E11" s="50">
        <v>3</v>
      </c>
      <c r="F11" s="50">
        <v>80</v>
      </c>
      <c r="G11" s="50">
        <v>4</v>
      </c>
      <c r="H11" s="50">
        <v>2</v>
      </c>
      <c r="I11" s="50">
        <v>10</v>
      </c>
      <c r="J11" s="50">
        <v>8</v>
      </c>
      <c r="K11" s="50">
        <v>1</v>
      </c>
      <c r="L11" s="50">
        <v>0</v>
      </c>
      <c r="M11" s="50">
        <v>295</v>
      </c>
      <c r="N11" s="50">
        <v>0</v>
      </c>
      <c r="O11" s="15">
        <f t="shared" si="0"/>
        <v>236</v>
      </c>
      <c r="P11" s="15">
        <f t="shared" si="1"/>
        <v>531</v>
      </c>
      <c r="R11" s="1" t="s">
        <v>7</v>
      </c>
      <c r="S11" s="17">
        <f t="shared" ref="S11:AF11" si="3">SUM(C14:C17)</f>
        <v>338</v>
      </c>
      <c r="T11" s="17">
        <f t="shared" si="3"/>
        <v>40</v>
      </c>
      <c r="U11" s="17">
        <f t="shared" si="3"/>
        <v>32</v>
      </c>
      <c r="V11" s="17">
        <f t="shared" si="3"/>
        <v>293</v>
      </c>
      <c r="W11" s="17">
        <f t="shared" si="3"/>
        <v>10</v>
      </c>
      <c r="X11" s="17">
        <f t="shared" si="3"/>
        <v>4</v>
      </c>
      <c r="Y11" s="17">
        <f t="shared" si="3"/>
        <v>32</v>
      </c>
      <c r="Z11" s="17">
        <f t="shared" si="3"/>
        <v>30</v>
      </c>
      <c r="AA11" s="17">
        <f t="shared" si="3"/>
        <v>5</v>
      </c>
      <c r="AB11" s="17">
        <f t="shared" si="3"/>
        <v>7</v>
      </c>
      <c r="AC11" s="17">
        <f t="shared" si="3"/>
        <v>1145</v>
      </c>
      <c r="AD11" s="17">
        <f t="shared" si="3"/>
        <v>0</v>
      </c>
      <c r="AE11" s="31">
        <f t="shared" si="3"/>
        <v>791</v>
      </c>
      <c r="AF11" s="31">
        <f t="shared" si="3"/>
        <v>1936</v>
      </c>
    </row>
    <row r="12" spans="2:32" ht="23.1" customHeight="1" x14ac:dyDescent="0.25">
      <c r="B12" s="45" t="s">
        <v>39</v>
      </c>
      <c r="C12" s="50">
        <v>125</v>
      </c>
      <c r="D12" s="50">
        <v>15</v>
      </c>
      <c r="E12" s="50">
        <v>4</v>
      </c>
      <c r="F12" s="50">
        <v>75</v>
      </c>
      <c r="G12" s="50">
        <v>4</v>
      </c>
      <c r="H12" s="50">
        <v>0</v>
      </c>
      <c r="I12" s="50">
        <v>6</v>
      </c>
      <c r="J12" s="50">
        <v>10</v>
      </c>
      <c r="K12" s="50">
        <v>0</v>
      </c>
      <c r="L12" s="50">
        <v>2</v>
      </c>
      <c r="M12" s="50">
        <v>265</v>
      </c>
      <c r="N12" s="50">
        <v>0</v>
      </c>
      <c r="O12" s="15">
        <f t="shared" si="0"/>
        <v>241</v>
      </c>
      <c r="P12" s="15">
        <f t="shared" si="1"/>
        <v>506</v>
      </c>
      <c r="R12" s="1" t="s">
        <v>8</v>
      </c>
      <c r="S12" s="17">
        <f t="shared" ref="S12:AF12" si="4">SUM(C18:C21)</f>
        <v>375</v>
      </c>
      <c r="T12" s="17">
        <f t="shared" si="4"/>
        <v>50</v>
      </c>
      <c r="U12" s="17">
        <f t="shared" si="4"/>
        <v>27</v>
      </c>
      <c r="V12" s="17">
        <f t="shared" si="4"/>
        <v>345</v>
      </c>
      <c r="W12" s="17">
        <f t="shared" si="4"/>
        <v>6</v>
      </c>
      <c r="X12" s="17">
        <f t="shared" si="4"/>
        <v>6</v>
      </c>
      <c r="Y12" s="17">
        <f t="shared" si="4"/>
        <v>34</v>
      </c>
      <c r="Z12" s="17">
        <f t="shared" si="4"/>
        <v>16</v>
      </c>
      <c r="AA12" s="17">
        <f t="shared" si="4"/>
        <v>5</v>
      </c>
      <c r="AB12" s="17">
        <f t="shared" si="4"/>
        <v>7</v>
      </c>
      <c r="AC12" s="17">
        <f t="shared" si="4"/>
        <v>1055</v>
      </c>
      <c r="AD12" s="17">
        <f t="shared" si="4"/>
        <v>0</v>
      </c>
      <c r="AE12" s="31">
        <f t="shared" si="4"/>
        <v>871</v>
      </c>
      <c r="AF12" s="31">
        <f t="shared" si="4"/>
        <v>1926</v>
      </c>
    </row>
    <row r="13" spans="2:32" ht="23.1" customHeight="1" x14ac:dyDescent="0.25">
      <c r="B13" s="45" t="s">
        <v>40</v>
      </c>
      <c r="C13" s="50">
        <v>71</v>
      </c>
      <c r="D13" s="50">
        <v>14</v>
      </c>
      <c r="E13" s="50">
        <v>5</v>
      </c>
      <c r="F13" s="50">
        <v>72</v>
      </c>
      <c r="G13" s="50">
        <v>2</v>
      </c>
      <c r="H13" s="50">
        <v>1</v>
      </c>
      <c r="I13" s="50">
        <v>6</v>
      </c>
      <c r="J13" s="50">
        <v>3</v>
      </c>
      <c r="K13" s="50">
        <v>2</v>
      </c>
      <c r="L13" s="50">
        <v>1</v>
      </c>
      <c r="M13" s="50">
        <v>260</v>
      </c>
      <c r="N13" s="50">
        <v>0</v>
      </c>
      <c r="O13" s="15">
        <f t="shared" si="0"/>
        <v>177</v>
      </c>
      <c r="P13" s="15">
        <f t="shared" si="1"/>
        <v>437</v>
      </c>
      <c r="R13" s="1" t="s">
        <v>9</v>
      </c>
      <c r="S13" s="17">
        <f t="shared" ref="S13:AF13" si="5">SUM(C22:C25)</f>
        <v>293</v>
      </c>
      <c r="T13" s="17">
        <f t="shared" si="5"/>
        <v>27</v>
      </c>
      <c r="U13" s="17">
        <f t="shared" si="5"/>
        <v>16</v>
      </c>
      <c r="V13" s="17">
        <f t="shared" si="5"/>
        <v>238</v>
      </c>
      <c r="W13" s="17">
        <f t="shared" si="5"/>
        <v>6</v>
      </c>
      <c r="X13" s="17">
        <f t="shared" si="5"/>
        <v>1</v>
      </c>
      <c r="Y13" s="17">
        <f t="shared" si="5"/>
        <v>33</v>
      </c>
      <c r="Z13" s="17">
        <f t="shared" si="5"/>
        <v>21</v>
      </c>
      <c r="AA13" s="17">
        <f t="shared" si="5"/>
        <v>7</v>
      </c>
      <c r="AB13" s="17">
        <f t="shared" si="5"/>
        <v>5</v>
      </c>
      <c r="AC13" s="17">
        <f t="shared" si="5"/>
        <v>910</v>
      </c>
      <c r="AD13" s="17">
        <f t="shared" si="5"/>
        <v>0</v>
      </c>
      <c r="AE13" s="31">
        <f t="shared" si="5"/>
        <v>647</v>
      </c>
      <c r="AF13" s="31">
        <f t="shared" si="5"/>
        <v>1557</v>
      </c>
    </row>
    <row r="14" spans="2:32" ht="23.1" customHeight="1" x14ac:dyDescent="0.25">
      <c r="B14" s="45" t="s">
        <v>41</v>
      </c>
      <c r="C14" s="50">
        <v>91</v>
      </c>
      <c r="D14" s="50">
        <v>10</v>
      </c>
      <c r="E14" s="50">
        <v>5</v>
      </c>
      <c r="F14" s="50">
        <v>62</v>
      </c>
      <c r="G14" s="50">
        <v>1</v>
      </c>
      <c r="H14" s="50">
        <v>1</v>
      </c>
      <c r="I14" s="50">
        <v>8</v>
      </c>
      <c r="J14" s="50">
        <v>6</v>
      </c>
      <c r="K14" s="50">
        <v>1</v>
      </c>
      <c r="L14" s="50">
        <v>2</v>
      </c>
      <c r="M14" s="50">
        <v>280</v>
      </c>
      <c r="N14" s="50">
        <v>0</v>
      </c>
      <c r="O14" s="15">
        <f t="shared" si="0"/>
        <v>187</v>
      </c>
      <c r="P14" s="15">
        <f t="shared" si="1"/>
        <v>467</v>
      </c>
      <c r="R14" s="1" t="s">
        <v>10</v>
      </c>
      <c r="S14" s="17">
        <f t="shared" ref="S14:AF14" si="6">SUM(C26:C29)</f>
        <v>291</v>
      </c>
      <c r="T14" s="17">
        <f t="shared" si="6"/>
        <v>43</v>
      </c>
      <c r="U14" s="17">
        <f t="shared" si="6"/>
        <v>23</v>
      </c>
      <c r="V14" s="17">
        <f t="shared" si="6"/>
        <v>302</v>
      </c>
      <c r="W14" s="17">
        <f t="shared" si="6"/>
        <v>3</v>
      </c>
      <c r="X14" s="17">
        <f t="shared" si="6"/>
        <v>2</v>
      </c>
      <c r="Y14" s="17">
        <f t="shared" si="6"/>
        <v>51</v>
      </c>
      <c r="Z14" s="17">
        <f t="shared" si="6"/>
        <v>23</v>
      </c>
      <c r="AA14" s="17">
        <f t="shared" si="6"/>
        <v>6</v>
      </c>
      <c r="AB14" s="17">
        <f t="shared" si="6"/>
        <v>7</v>
      </c>
      <c r="AC14" s="17">
        <f t="shared" si="6"/>
        <v>946</v>
      </c>
      <c r="AD14" s="17">
        <f t="shared" si="6"/>
        <v>0</v>
      </c>
      <c r="AE14" s="31">
        <f t="shared" si="6"/>
        <v>751</v>
      </c>
      <c r="AF14" s="31">
        <f t="shared" si="6"/>
        <v>1697</v>
      </c>
    </row>
    <row r="15" spans="2:32" ht="23.1" customHeight="1" x14ac:dyDescent="0.25">
      <c r="B15" s="45" t="s">
        <v>42</v>
      </c>
      <c r="C15" s="50">
        <v>95</v>
      </c>
      <c r="D15" s="50">
        <v>8</v>
      </c>
      <c r="E15" s="50">
        <v>7</v>
      </c>
      <c r="F15" s="50">
        <v>73</v>
      </c>
      <c r="G15" s="50">
        <v>5</v>
      </c>
      <c r="H15" s="50">
        <v>1</v>
      </c>
      <c r="I15" s="50">
        <v>8</v>
      </c>
      <c r="J15" s="50">
        <v>10</v>
      </c>
      <c r="K15" s="50">
        <v>1</v>
      </c>
      <c r="L15" s="50">
        <v>0</v>
      </c>
      <c r="M15" s="50">
        <v>275</v>
      </c>
      <c r="N15" s="50">
        <v>0</v>
      </c>
      <c r="O15" s="15">
        <f t="shared" si="0"/>
        <v>208</v>
      </c>
      <c r="P15" s="15">
        <f t="shared" si="1"/>
        <v>483</v>
      </c>
      <c r="R15" s="1" t="s">
        <v>11</v>
      </c>
      <c r="S15" s="17">
        <f t="shared" ref="S15:AF15" si="7">SUM(C30:C33)</f>
        <v>261</v>
      </c>
      <c r="T15" s="17">
        <f t="shared" si="7"/>
        <v>56</v>
      </c>
      <c r="U15" s="17">
        <f t="shared" si="7"/>
        <v>34</v>
      </c>
      <c r="V15" s="17">
        <f t="shared" si="7"/>
        <v>303</v>
      </c>
      <c r="W15" s="17">
        <f t="shared" si="7"/>
        <v>4</v>
      </c>
      <c r="X15" s="17">
        <f t="shared" si="7"/>
        <v>6</v>
      </c>
      <c r="Y15" s="17">
        <f t="shared" si="7"/>
        <v>51</v>
      </c>
      <c r="Z15" s="17">
        <f t="shared" si="7"/>
        <v>23</v>
      </c>
      <c r="AA15" s="17">
        <f t="shared" si="7"/>
        <v>8</v>
      </c>
      <c r="AB15" s="17">
        <f t="shared" si="7"/>
        <v>14</v>
      </c>
      <c r="AC15" s="17">
        <f t="shared" si="7"/>
        <v>991</v>
      </c>
      <c r="AD15" s="17">
        <f t="shared" si="7"/>
        <v>0</v>
      </c>
      <c r="AE15" s="31">
        <f t="shared" si="7"/>
        <v>760</v>
      </c>
      <c r="AF15" s="31">
        <f t="shared" si="7"/>
        <v>1751</v>
      </c>
    </row>
    <row r="16" spans="2:32" ht="23.1" customHeight="1" x14ac:dyDescent="0.25">
      <c r="B16" s="45" t="s">
        <v>43</v>
      </c>
      <c r="C16" s="50">
        <v>90</v>
      </c>
      <c r="D16" s="50">
        <v>10</v>
      </c>
      <c r="E16" s="50">
        <v>12</v>
      </c>
      <c r="F16" s="50">
        <v>90</v>
      </c>
      <c r="G16" s="50">
        <v>1</v>
      </c>
      <c r="H16" s="50">
        <v>0</v>
      </c>
      <c r="I16" s="50">
        <v>7</v>
      </c>
      <c r="J16" s="50">
        <v>8</v>
      </c>
      <c r="K16" s="50">
        <v>0</v>
      </c>
      <c r="L16" s="50">
        <v>1</v>
      </c>
      <c r="M16" s="50">
        <v>285</v>
      </c>
      <c r="N16" s="50">
        <v>0</v>
      </c>
      <c r="O16" s="15">
        <f t="shared" si="0"/>
        <v>219</v>
      </c>
      <c r="P16" s="15">
        <f t="shared" si="1"/>
        <v>504</v>
      </c>
      <c r="R16" s="1" t="s">
        <v>12</v>
      </c>
      <c r="S16" s="17">
        <f t="shared" ref="S16:AF16" si="8">SUM(C34:C37)</f>
        <v>205</v>
      </c>
      <c r="T16" s="17">
        <f t="shared" si="8"/>
        <v>33</v>
      </c>
      <c r="U16" s="17">
        <f t="shared" si="8"/>
        <v>32</v>
      </c>
      <c r="V16" s="17">
        <f t="shared" si="8"/>
        <v>217</v>
      </c>
      <c r="W16" s="17">
        <f t="shared" si="8"/>
        <v>5</v>
      </c>
      <c r="X16" s="17">
        <f t="shared" si="8"/>
        <v>4</v>
      </c>
      <c r="Y16" s="17">
        <f t="shared" si="8"/>
        <v>51</v>
      </c>
      <c r="Z16" s="17">
        <f t="shared" si="8"/>
        <v>22</v>
      </c>
      <c r="AA16" s="17">
        <f t="shared" si="8"/>
        <v>14</v>
      </c>
      <c r="AB16" s="17">
        <f t="shared" si="8"/>
        <v>14</v>
      </c>
      <c r="AC16" s="17">
        <f t="shared" si="8"/>
        <v>1120</v>
      </c>
      <c r="AD16" s="17">
        <f t="shared" si="8"/>
        <v>0</v>
      </c>
      <c r="AE16" s="31">
        <f t="shared" si="8"/>
        <v>597</v>
      </c>
      <c r="AF16" s="31">
        <f t="shared" si="8"/>
        <v>1717</v>
      </c>
    </row>
    <row r="17" spans="2:32" ht="23.1" customHeight="1" x14ac:dyDescent="0.25">
      <c r="B17" s="45" t="s">
        <v>44</v>
      </c>
      <c r="C17" s="50">
        <v>62</v>
      </c>
      <c r="D17" s="50">
        <v>12</v>
      </c>
      <c r="E17" s="50">
        <v>8</v>
      </c>
      <c r="F17" s="50">
        <v>68</v>
      </c>
      <c r="G17" s="50">
        <v>3</v>
      </c>
      <c r="H17" s="50">
        <v>2</v>
      </c>
      <c r="I17" s="50">
        <v>9</v>
      </c>
      <c r="J17" s="50">
        <v>6</v>
      </c>
      <c r="K17" s="50">
        <v>3</v>
      </c>
      <c r="L17" s="50">
        <v>4</v>
      </c>
      <c r="M17" s="50">
        <v>305</v>
      </c>
      <c r="N17" s="50">
        <v>0</v>
      </c>
      <c r="O17" s="15">
        <f t="shared" si="0"/>
        <v>177</v>
      </c>
      <c r="P17" s="15">
        <f t="shared" si="1"/>
        <v>482</v>
      </c>
      <c r="R17" s="1" t="s">
        <v>13</v>
      </c>
      <c r="S17" s="17">
        <f t="shared" ref="S17:AF17" si="9">SUM(C38:C41)</f>
        <v>215</v>
      </c>
      <c r="T17" s="17">
        <f t="shared" si="9"/>
        <v>41</v>
      </c>
      <c r="U17" s="17">
        <f t="shared" si="9"/>
        <v>38</v>
      </c>
      <c r="V17" s="17">
        <f t="shared" si="9"/>
        <v>208</v>
      </c>
      <c r="W17" s="17">
        <f t="shared" si="9"/>
        <v>3</v>
      </c>
      <c r="X17" s="17">
        <f t="shared" si="9"/>
        <v>5</v>
      </c>
      <c r="Y17" s="17">
        <f t="shared" si="9"/>
        <v>37</v>
      </c>
      <c r="Z17" s="17">
        <f t="shared" si="9"/>
        <v>20</v>
      </c>
      <c r="AA17" s="17">
        <f t="shared" si="9"/>
        <v>2</v>
      </c>
      <c r="AB17" s="17">
        <f t="shared" si="9"/>
        <v>13</v>
      </c>
      <c r="AC17" s="17">
        <f t="shared" si="9"/>
        <v>793</v>
      </c>
      <c r="AD17" s="17">
        <f t="shared" si="9"/>
        <v>0</v>
      </c>
      <c r="AE17" s="31">
        <f t="shared" si="9"/>
        <v>582</v>
      </c>
      <c r="AF17" s="31">
        <f t="shared" si="9"/>
        <v>1375</v>
      </c>
    </row>
    <row r="18" spans="2:32" ht="23.1" customHeight="1" x14ac:dyDescent="0.25">
      <c r="B18" s="45" t="s">
        <v>45</v>
      </c>
      <c r="C18" s="50">
        <v>83</v>
      </c>
      <c r="D18" s="50">
        <v>8</v>
      </c>
      <c r="E18" s="50">
        <v>9</v>
      </c>
      <c r="F18" s="50">
        <v>85</v>
      </c>
      <c r="G18" s="50">
        <v>2</v>
      </c>
      <c r="H18" s="50">
        <v>4</v>
      </c>
      <c r="I18" s="50">
        <v>7</v>
      </c>
      <c r="J18" s="50">
        <v>6</v>
      </c>
      <c r="K18" s="50">
        <v>1</v>
      </c>
      <c r="L18" s="50">
        <v>3</v>
      </c>
      <c r="M18" s="50">
        <v>295</v>
      </c>
      <c r="N18" s="50">
        <v>0</v>
      </c>
      <c r="O18" s="15">
        <f t="shared" si="0"/>
        <v>208</v>
      </c>
      <c r="P18" s="15">
        <f t="shared" si="1"/>
        <v>503</v>
      </c>
      <c r="R18" s="1" t="s">
        <v>14</v>
      </c>
      <c r="S18" s="17">
        <f t="shared" ref="S18:AF18" si="10">SUM(C42:C45)</f>
        <v>217</v>
      </c>
      <c r="T18" s="17">
        <f t="shared" si="10"/>
        <v>35</v>
      </c>
      <c r="U18" s="17">
        <f t="shared" si="10"/>
        <v>43</v>
      </c>
      <c r="V18" s="17">
        <f t="shared" si="10"/>
        <v>212</v>
      </c>
      <c r="W18" s="17">
        <f t="shared" si="10"/>
        <v>2</v>
      </c>
      <c r="X18" s="17">
        <f t="shared" si="10"/>
        <v>13</v>
      </c>
      <c r="Y18" s="17">
        <f t="shared" si="10"/>
        <v>51</v>
      </c>
      <c r="Z18" s="17">
        <f t="shared" si="10"/>
        <v>17</v>
      </c>
      <c r="AA18" s="17">
        <f t="shared" si="10"/>
        <v>7</v>
      </c>
      <c r="AB18" s="17">
        <f t="shared" si="10"/>
        <v>6</v>
      </c>
      <c r="AC18" s="17">
        <f t="shared" si="10"/>
        <v>693</v>
      </c>
      <c r="AD18" s="17">
        <f t="shared" si="10"/>
        <v>0</v>
      </c>
      <c r="AE18" s="31">
        <f t="shared" si="10"/>
        <v>603</v>
      </c>
      <c r="AF18" s="31">
        <f t="shared" si="10"/>
        <v>1296</v>
      </c>
    </row>
    <row r="19" spans="2:32" ht="23.1" customHeight="1" x14ac:dyDescent="0.25">
      <c r="B19" s="45" t="s">
        <v>46</v>
      </c>
      <c r="C19" s="50">
        <v>83</v>
      </c>
      <c r="D19" s="50">
        <v>12</v>
      </c>
      <c r="E19" s="50">
        <v>4</v>
      </c>
      <c r="F19" s="50">
        <v>70</v>
      </c>
      <c r="G19" s="50">
        <v>3</v>
      </c>
      <c r="H19" s="50">
        <v>1</v>
      </c>
      <c r="I19" s="50">
        <v>9</v>
      </c>
      <c r="J19" s="50">
        <v>5</v>
      </c>
      <c r="K19" s="50">
        <v>0</v>
      </c>
      <c r="L19" s="50">
        <v>2</v>
      </c>
      <c r="M19" s="50">
        <v>235</v>
      </c>
      <c r="N19" s="50">
        <v>0</v>
      </c>
      <c r="O19" s="15">
        <f t="shared" si="0"/>
        <v>189</v>
      </c>
      <c r="P19" s="15">
        <f t="shared" si="1"/>
        <v>424</v>
      </c>
      <c r="R19" s="1" t="s">
        <v>15</v>
      </c>
      <c r="S19" s="17">
        <f t="shared" ref="S19:AF19" si="11">SUM(C46:C49)</f>
        <v>219</v>
      </c>
      <c r="T19" s="17">
        <f t="shared" si="11"/>
        <v>42</v>
      </c>
      <c r="U19" s="17">
        <f t="shared" si="11"/>
        <v>35</v>
      </c>
      <c r="V19" s="17">
        <f t="shared" si="11"/>
        <v>276</v>
      </c>
      <c r="W19" s="17">
        <f t="shared" si="11"/>
        <v>4</v>
      </c>
      <c r="X19" s="17">
        <f t="shared" si="11"/>
        <v>11</v>
      </c>
      <c r="Y19" s="17">
        <f t="shared" si="11"/>
        <v>45</v>
      </c>
      <c r="Z19" s="17">
        <f t="shared" si="11"/>
        <v>15</v>
      </c>
      <c r="AA19" s="17">
        <f t="shared" si="11"/>
        <v>19</v>
      </c>
      <c r="AB19" s="17">
        <f t="shared" si="11"/>
        <v>15</v>
      </c>
      <c r="AC19" s="17">
        <f t="shared" si="11"/>
        <v>743</v>
      </c>
      <c r="AD19" s="17">
        <f t="shared" si="11"/>
        <v>0</v>
      </c>
      <c r="AE19" s="31">
        <f t="shared" si="11"/>
        <v>681</v>
      </c>
      <c r="AF19" s="31">
        <f t="shared" si="11"/>
        <v>1424</v>
      </c>
    </row>
    <row r="20" spans="2:32" ht="23.1" customHeight="1" x14ac:dyDescent="0.25">
      <c r="B20" s="45" t="s">
        <v>47</v>
      </c>
      <c r="C20" s="50">
        <v>95</v>
      </c>
      <c r="D20" s="50">
        <v>14</v>
      </c>
      <c r="E20" s="50">
        <v>7</v>
      </c>
      <c r="F20" s="50">
        <v>115</v>
      </c>
      <c r="G20" s="50">
        <v>0</v>
      </c>
      <c r="H20" s="50">
        <v>1</v>
      </c>
      <c r="I20" s="50">
        <v>5</v>
      </c>
      <c r="J20" s="50">
        <v>2</v>
      </c>
      <c r="K20" s="50">
        <v>2</v>
      </c>
      <c r="L20" s="50">
        <v>0</v>
      </c>
      <c r="M20" s="50">
        <v>305</v>
      </c>
      <c r="N20" s="50">
        <v>0</v>
      </c>
      <c r="O20" s="15">
        <f t="shared" si="0"/>
        <v>241</v>
      </c>
      <c r="P20" s="15">
        <f t="shared" si="1"/>
        <v>546</v>
      </c>
      <c r="R20" s="1" t="s">
        <v>16</v>
      </c>
      <c r="S20" s="17">
        <f t="shared" ref="S20:AF20" si="12">SUM(C50:C53)</f>
        <v>300</v>
      </c>
      <c r="T20" s="17">
        <f t="shared" si="12"/>
        <v>63</v>
      </c>
      <c r="U20" s="17">
        <f t="shared" si="12"/>
        <v>48</v>
      </c>
      <c r="V20" s="17">
        <f t="shared" si="12"/>
        <v>307</v>
      </c>
      <c r="W20" s="17">
        <f t="shared" si="12"/>
        <v>7</v>
      </c>
      <c r="X20" s="17">
        <f t="shared" si="12"/>
        <v>17</v>
      </c>
      <c r="Y20" s="17">
        <f t="shared" si="12"/>
        <v>40</v>
      </c>
      <c r="Z20" s="17">
        <f t="shared" si="12"/>
        <v>20</v>
      </c>
      <c r="AA20" s="17">
        <f t="shared" si="12"/>
        <v>11</v>
      </c>
      <c r="AB20" s="17">
        <f t="shared" si="12"/>
        <v>12</v>
      </c>
      <c r="AC20" s="17">
        <f t="shared" si="12"/>
        <v>730</v>
      </c>
      <c r="AD20" s="17">
        <f t="shared" si="12"/>
        <v>0</v>
      </c>
      <c r="AE20" s="31">
        <f t="shared" si="12"/>
        <v>825</v>
      </c>
      <c r="AF20" s="31">
        <f t="shared" si="12"/>
        <v>1555</v>
      </c>
    </row>
    <row r="21" spans="2:32" ht="23.1" customHeight="1" x14ac:dyDescent="0.25">
      <c r="B21" s="45" t="s">
        <v>48</v>
      </c>
      <c r="C21" s="50">
        <v>114</v>
      </c>
      <c r="D21" s="50">
        <v>16</v>
      </c>
      <c r="E21" s="50">
        <v>7</v>
      </c>
      <c r="F21" s="50">
        <v>75</v>
      </c>
      <c r="G21" s="50">
        <v>1</v>
      </c>
      <c r="H21" s="50">
        <v>0</v>
      </c>
      <c r="I21" s="50">
        <v>13</v>
      </c>
      <c r="J21" s="50">
        <v>3</v>
      </c>
      <c r="K21" s="50">
        <v>2</v>
      </c>
      <c r="L21" s="50">
        <v>2</v>
      </c>
      <c r="M21" s="50">
        <v>220</v>
      </c>
      <c r="N21" s="50">
        <v>0</v>
      </c>
      <c r="O21" s="15">
        <f t="shared" si="0"/>
        <v>233</v>
      </c>
      <c r="P21" s="15">
        <f t="shared" si="1"/>
        <v>453</v>
      </c>
      <c r="R21" s="36" t="s">
        <v>20</v>
      </c>
      <c r="S21" s="34">
        <f t="shared" ref="S21:AF21" si="13">SUM(C54:C57)</f>
        <v>215</v>
      </c>
      <c r="T21" s="17">
        <f t="shared" si="13"/>
        <v>70</v>
      </c>
      <c r="U21" s="17">
        <f t="shared" si="13"/>
        <v>37</v>
      </c>
      <c r="V21" s="17">
        <f t="shared" si="13"/>
        <v>277</v>
      </c>
      <c r="W21" s="17">
        <f t="shared" si="13"/>
        <v>20</v>
      </c>
      <c r="X21" s="17">
        <f t="shared" si="13"/>
        <v>15</v>
      </c>
      <c r="Y21" s="17">
        <f t="shared" si="13"/>
        <v>31</v>
      </c>
      <c r="Z21" s="17">
        <f t="shared" si="13"/>
        <v>21</v>
      </c>
      <c r="AA21" s="17">
        <f t="shared" si="13"/>
        <v>30</v>
      </c>
      <c r="AB21" s="17">
        <f t="shared" si="13"/>
        <v>14</v>
      </c>
      <c r="AC21" s="17">
        <f t="shared" si="13"/>
        <v>473</v>
      </c>
      <c r="AD21" s="17">
        <f t="shared" si="13"/>
        <v>0</v>
      </c>
      <c r="AE21" s="31">
        <f t="shared" si="13"/>
        <v>730</v>
      </c>
      <c r="AF21" s="31">
        <f t="shared" si="13"/>
        <v>1203</v>
      </c>
    </row>
    <row r="22" spans="2:32" ht="23.1" customHeight="1" x14ac:dyDescent="0.25">
      <c r="B22" s="45" t="s">
        <v>49</v>
      </c>
      <c r="C22" s="50">
        <v>100</v>
      </c>
      <c r="D22" s="50">
        <v>12</v>
      </c>
      <c r="E22" s="50">
        <v>5</v>
      </c>
      <c r="F22" s="50">
        <v>71</v>
      </c>
      <c r="G22" s="50">
        <v>5</v>
      </c>
      <c r="H22" s="50">
        <v>0</v>
      </c>
      <c r="I22" s="50">
        <v>11</v>
      </c>
      <c r="J22" s="50">
        <v>5</v>
      </c>
      <c r="K22" s="50">
        <v>2</v>
      </c>
      <c r="L22" s="50">
        <v>1</v>
      </c>
      <c r="M22" s="50">
        <v>250</v>
      </c>
      <c r="N22" s="50">
        <v>0</v>
      </c>
      <c r="O22" s="15">
        <f t="shared" si="0"/>
        <v>212</v>
      </c>
      <c r="P22" s="15">
        <f t="shared" si="1"/>
        <v>462</v>
      </c>
      <c r="R22" s="36" t="s">
        <v>146</v>
      </c>
      <c r="S22" s="34">
        <f>SUM(C58:C61)</f>
        <v>146</v>
      </c>
      <c r="T22" s="34">
        <f t="shared" ref="T22:AF22" si="14">SUM(D58:D61)</f>
        <v>28</v>
      </c>
      <c r="U22" s="34">
        <f t="shared" si="14"/>
        <v>22</v>
      </c>
      <c r="V22" s="34">
        <f t="shared" si="14"/>
        <v>180</v>
      </c>
      <c r="W22" s="34">
        <f t="shared" si="14"/>
        <v>9</v>
      </c>
      <c r="X22" s="34">
        <f t="shared" si="14"/>
        <v>8</v>
      </c>
      <c r="Y22" s="34">
        <f t="shared" si="14"/>
        <v>25</v>
      </c>
      <c r="Z22" s="34">
        <f t="shared" si="14"/>
        <v>17</v>
      </c>
      <c r="AA22" s="34">
        <f t="shared" si="14"/>
        <v>5</v>
      </c>
      <c r="AB22" s="34">
        <f t="shared" si="14"/>
        <v>5</v>
      </c>
      <c r="AC22" s="34">
        <f t="shared" si="14"/>
        <v>708</v>
      </c>
      <c r="AD22" s="34">
        <f t="shared" si="14"/>
        <v>0</v>
      </c>
      <c r="AE22" s="31">
        <f t="shared" si="14"/>
        <v>445</v>
      </c>
      <c r="AF22" s="31">
        <f t="shared" si="14"/>
        <v>1153</v>
      </c>
    </row>
    <row r="23" spans="2:32" ht="23.1" customHeight="1" x14ac:dyDescent="0.25">
      <c r="B23" s="45" t="s">
        <v>50</v>
      </c>
      <c r="C23" s="50">
        <v>97</v>
      </c>
      <c r="D23" s="50">
        <v>6</v>
      </c>
      <c r="E23" s="50">
        <v>4</v>
      </c>
      <c r="F23" s="50">
        <v>77</v>
      </c>
      <c r="G23" s="50">
        <v>1</v>
      </c>
      <c r="H23" s="50">
        <v>1</v>
      </c>
      <c r="I23" s="50">
        <v>9</v>
      </c>
      <c r="J23" s="50">
        <v>6</v>
      </c>
      <c r="K23" s="50">
        <v>1</v>
      </c>
      <c r="L23" s="50">
        <v>1</v>
      </c>
      <c r="M23" s="50">
        <v>230</v>
      </c>
      <c r="N23" s="50">
        <v>0</v>
      </c>
      <c r="O23" s="15">
        <f t="shared" si="0"/>
        <v>203</v>
      </c>
      <c r="P23" s="15">
        <f t="shared" si="1"/>
        <v>433</v>
      </c>
      <c r="R23" s="36" t="s">
        <v>147</v>
      </c>
      <c r="S23" s="34">
        <f>SUM(C62:C65)</f>
        <v>142</v>
      </c>
      <c r="T23" s="34">
        <f t="shared" ref="T23:AF23" si="15">SUM(D62:D65)</f>
        <v>11</v>
      </c>
      <c r="U23" s="34">
        <f t="shared" si="15"/>
        <v>20</v>
      </c>
      <c r="V23" s="34">
        <f t="shared" si="15"/>
        <v>205</v>
      </c>
      <c r="W23" s="34">
        <f t="shared" si="15"/>
        <v>8</v>
      </c>
      <c r="X23" s="34">
        <f t="shared" si="15"/>
        <v>7</v>
      </c>
      <c r="Y23" s="34">
        <f t="shared" si="15"/>
        <v>20</v>
      </c>
      <c r="Z23" s="34">
        <f t="shared" si="15"/>
        <v>13</v>
      </c>
      <c r="AA23" s="34">
        <f t="shared" si="15"/>
        <v>8</v>
      </c>
      <c r="AB23" s="34">
        <f t="shared" si="15"/>
        <v>4</v>
      </c>
      <c r="AC23" s="34">
        <f t="shared" si="15"/>
        <v>805</v>
      </c>
      <c r="AD23" s="34">
        <f t="shared" si="15"/>
        <v>0</v>
      </c>
      <c r="AE23" s="31">
        <f t="shared" si="15"/>
        <v>438</v>
      </c>
      <c r="AF23" s="31">
        <f t="shared" si="15"/>
        <v>1243</v>
      </c>
    </row>
    <row r="24" spans="2:32" ht="23.1" customHeight="1" x14ac:dyDescent="0.25">
      <c r="B24" s="45" t="s">
        <v>51</v>
      </c>
      <c r="C24" s="50">
        <v>20</v>
      </c>
      <c r="D24" s="50">
        <v>1</v>
      </c>
      <c r="E24" s="50">
        <v>1</v>
      </c>
      <c r="F24" s="50">
        <v>20</v>
      </c>
      <c r="G24" s="50">
        <v>0</v>
      </c>
      <c r="H24" s="50">
        <v>0</v>
      </c>
      <c r="I24" s="50">
        <v>2</v>
      </c>
      <c r="J24" s="50">
        <v>4</v>
      </c>
      <c r="K24" s="50">
        <v>1</v>
      </c>
      <c r="L24" s="50">
        <v>1</v>
      </c>
      <c r="M24" s="50">
        <v>245</v>
      </c>
      <c r="N24" s="50">
        <v>0</v>
      </c>
      <c r="O24" s="15">
        <f t="shared" si="0"/>
        <v>50</v>
      </c>
      <c r="P24" s="15">
        <f t="shared" si="1"/>
        <v>295</v>
      </c>
      <c r="R24" s="36" t="s">
        <v>148</v>
      </c>
      <c r="S24" s="34">
        <f>SUM(C66:C69)</f>
        <v>70</v>
      </c>
      <c r="T24" s="34">
        <f t="shared" ref="T24:AF24" si="16">SUM(D66:D69)</f>
        <v>11</v>
      </c>
      <c r="U24" s="34">
        <f t="shared" si="16"/>
        <v>18</v>
      </c>
      <c r="V24" s="34">
        <f t="shared" si="16"/>
        <v>84</v>
      </c>
      <c r="W24" s="34">
        <f t="shared" si="16"/>
        <v>14</v>
      </c>
      <c r="X24" s="34">
        <f t="shared" si="16"/>
        <v>5</v>
      </c>
      <c r="Y24" s="34">
        <f t="shared" si="16"/>
        <v>27</v>
      </c>
      <c r="Z24" s="34">
        <f t="shared" si="16"/>
        <v>12</v>
      </c>
      <c r="AA24" s="34">
        <f t="shared" si="16"/>
        <v>13</v>
      </c>
      <c r="AB24" s="34">
        <f t="shared" si="16"/>
        <v>9</v>
      </c>
      <c r="AC24" s="34">
        <f t="shared" si="16"/>
        <v>695</v>
      </c>
      <c r="AD24" s="34">
        <f t="shared" si="16"/>
        <v>0</v>
      </c>
      <c r="AE24" s="31">
        <f t="shared" si="16"/>
        <v>263</v>
      </c>
      <c r="AF24" s="31">
        <f t="shared" si="16"/>
        <v>958</v>
      </c>
    </row>
    <row r="25" spans="2:32" ht="23.1" customHeight="1" x14ac:dyDescent="0.25">
      <c r="B25" s="45" t="s">
        <v>52</v>
      </c>
      <c r="C25" s="50">
        <v>76</v>
      </c>
      <c r="D25" s="50">
        <v>8</v>
      </c>
      <c r="E25" s="50">
        <v>6</v>
      </c>
      <c r="F25" s="50">
        <v>70</v>
      </c>
      <c r="G25" s="50">
        <v>0</v>
      </c>
      <c r="H25" s="50">
        <v>0</v>
      </c>
      <c r="I25" s="50">
        <v>11</v>
      </c>
      <c r="J25" s="50">
        <v>6</v>
      </c>
      <c r="K25" s="50">
        <v>3</v>
      </c>
      <c r="L25" s="50">
        <v>2</v>
      </c>
      <c r="M25" s="50">
        <v>185</v>
      </c>
      <c r="N25" s="50">
        <v>0</v>
      </c>
      <c r="O25" s="15">
        <f t="shared" si="0"/>
        <v>182</v>
      </c>
      <c r="P25" s="15">
        <f t="shared" si="1"/>
        <v>367</v>
      </c>
      <c r="R25" s="36" t="s">
        <v>149</v>
      </c>
      <c r="S25" s="34">
        <f>SUM(C70:C73)</f>
        <v>150</v>
      </c>
      <c r="T25" s="34">
        <f t="shared" ref="T25:AF25" si="17">SUM(D70:D73)</f>
        <v>23</v>
      </c>
      <c r="U25" s="34">
        <f t="shared" si="17"/>
        <v>54</v>
      </c>
      <c r="V25" s="34">
        <f t="shared" si="17"/>
        <v>126</v>
      </c>
      <c r="W25" s="34">
        <f t="shared" si="17"/>
        <v>3</v>
      </c>
      <c r="X25" s="34">
        <f t="shared" si="17"/>
        <v>2</v>
      </c>
      <c r="Y25" s="34">
        <f t="shared" si="17"/>
        <v>43</v>
      </c>
      <c r="Z25" s="34">
        <f t="shared" si="17"/>
        <v>21</v>
      </c>
      <c r="AA25" s="34">
        <f t="shared" si="17"/>
        <v>6</v>
      </c>
      <c r="AB25" s="34">
        <f t="shared" si="17"/>
        <v>11</v>
      </c>
      <c r="AC25" s="34">
        <f t="shared" si="17"/>
        <v>613</v>
      </c>
      <c r="AD25" s="34">
        <f t="shared" si="17"/>
        <v>0</v>
      </c>
      <c r="AE25" s="31">
        <f t="shared" si="17"/>
        <v>439</v>
      </c>
      <c r="AF25" s="31">
        <f t="shared" si="17"/>
        <v>1052</v>
      </c>
    </row>
    <row r="26" spans="2:32" ht="23.1" customHeight="1" x14ac:dyDescent="0.25">
      <c r="B26" s="45" t="s">
        <v>53</v>
      </c>
      <c r="C26" s="50">
        <v>60</v>
      </c>
      <c r="D26" s="50">
        <v>18</v>
      </c>
      <c r="E26" s="50">
        <v>6</v>
      </c>
      <c r="F26" s="50">
        <v>67</v>
      </c>
      <c r="G26" s="50">
        <v>1</v>
      </c>
      <c r="H26" s="50">
        <v>0</v>
      </c>
      <c r="I26" s="50">
        <v>12</v>
      </c>
      <c r="J26" s="50">
        <v>11</v>
      </c>
      <c r="K26" s="50">
        <v>2</v>
      </c>
      <c r="L26" s="50">
        <v>0</v>
      </c>
      <c r="M26" s="50">
        <v>230</v>
      </c>
      <c r="N26" s="50">
        <v>0</v>
      </c>
      <c r="O26" s="15">
        <f t="shared" si="0"/>
        <v>177</v>
      </c>
      <c r="P26" s="15">
        <f t="shared" si="1"/>
        <v>407</v>
      </c>
      <c r="R26" s="36" t="s">
        <v>150</v>
      </c>
      <c r="S26" s="34">
        <f>SUM(C74:C77)</f>
        <v>94</v>
      </c>
      <c r="T26" s="34">
        <f t="shared" ref="T26:AF26" si="18">SUM(D74:D77)</f>
        <v>10</v>
      </c>
      <c r="U26" s="34">
        <f t="shared" si="18"/>
        <v>32</v>
      </c>
      <c r="V26" s="34">
        <f t="shared" si="18"/>
        <v>69</v>
      </c>
      <c r="W26" s="34">
        <f t="shared" si="18"/>
        <v>1</v>
      </c>
      <c r="X26" s="34">
        <f t="shared" si="18"/>
        <v>6</v>
      </c>
      <c r="Y26" s="34">
        <f t="shared" si="18"/>
        <v>36</v>
      </c>
      <c r="Z26" s="34">
        <f t="shared" si="18"/>
        <v>19</v>
      </c>
      <c r="AA26" s="34">
        <f t="shared" si="18"/>
        <v>5</v>
      </c>
      <c r="AB26" s="34">
        <f t="shared" si="18"/>
        <v>9</v>
      </c>
      <c r="AC26" s="34">
        <f t="shared" si="18"/>
        <v>317</v>
      </c>
      <c r="AD26" s="34">
        <f t="shared" si="18"/>
        <v>0</v>
      </c>
      <c r="AE26" s="31">
        <f t="shared" si="18"/>
        <v>281</v>
      </c>
      <c r="AF26" s="31">
        <f t="shared" si="18"/>
        <v>598</v>
      </c>
    </row>
    <row r="27" spans="2:32" ht="23.1" customHeight="1" x14ac:dyDescent="0.25">
      <c r="B27" s="45" t="s">
        <v>54</v>
      </c>
      <c r="C27" s="50">
        <v>86</v>
      </c>
      <c r="D27" s="50">
        <v>12</v>
      </c>
      <c r="E27" s="50">
        <v>6</v>
      </c>
      <c r="F27" s="50">
        <v>64</v>
      </c>
      <c r="G27" s="50">
        <v>1</v>
      </c>
      <c r="H27" s="50">
        <v>1</v>
      </c>
      <c r="I27" s="50">
        <v>22</v>
      </c>
      <c r="J27" s="50">
        <v>7</v>
      </c>
      <c r="K27" s="50">
        <v>4</v>
      </c>
      <c r="L27" s="50">
        <v>4</v>
      </c>
      <c r="M27" s="50">
        <v>285</v>
      </c>
      <c r="N27" s="50">
        <v>0</v>
      </c>
      <c r="O27" s="15">
        <f t="shared" si="0"/>
        <v>207</v>
      </c>
      <c r="P27" s="15">
        <f t="shared" si="1"/>
        <v>492</v>
      </c>
      <c r="R27" s="36" t="s">
        <v>151</v>
      </c>
      <c r="S27" s="34">
        <f>SUM(C78:C81)</f>
        <v>79</v>
      </c>
      <c r="T27" s="34">
        <f t="shared" ref="T27:AF27" si="19">SUM(D78:D81)</f>
        <v>7</v>
      </c>
      <c r="U27" s="34">
        <f t="shared" si="19"/>
        <v>19</v>
      </c>
      <c r="V27" s="34">
        <f t="shared" si="19"/>
        <v>43</v>
      </c>
      <c r="W27" s="34">
        <f t="shared" si="19"/>
        <v>2</v>
      </c>
      <c r="X27" s="34">
        <f t="shared" si="19"/>
        <v>3</v>
      </c>
      <c r="Y27" s="34">
        <f t="shared" si="19"/>
        <v>24</v>
      </c>
      <c r="Z27" s="34">
        <f t="shared" si="19"/>
        <v>19</v>
      </c>
      <c r="AA27" s="34">
        <f t="shared" si="19"/>
        <v>9</v>
      </c>
      <c r="AB27" s="34">
        <f t="shared" si="19"/>
        <v>8</v>
      </c>
      <c r="AC27" s="34">
        <f t="shared" si="19"/>
        <v>372</v>
      </c>
      <c r="AD27" s="34">
        <f t="shared" si="19"/>
        <v>0</v>
      </c>
      <c r="AE27" s="31">
        <f t="shared" si="19"/>
        <v>213</v>
      </c>
      <c r="AF27" s="31">
        <f t="shared" si="19"/>
        <v>585</v>
      </c>
    </row>
    <row r="28" spans="2:32" ht="23.1" customHeight="1" x14ac:dyDescent="0.25">
      <c r="B28" s="45" t="s">
        <v>55</v>
      </c>
      <c r="C28" s="50">
        <v>85</v>
      </c>
      <c r="D28" s="50">
        <v>6</v>
      </c>
      <c r="E28" s="50">
        <v>7</v>
      </c>
      <c r="F28" s="50">
        <v>86</v>
      </c>
      <c r="G28" s="50">
        <v>1</v>
      </c>
      <c r="H28" s="50">
        <v>1</v>
      </c>
      <c r="I28" s="50">
        <v>11</v>
      </c>
      <c r="J28" s="50">
        <v>2</v>
      </c>
      <c r="K28" s="50">
        <v>0</v>
      </c>
      <c r="L28" s="50">
        <v>3</v>
      </c>
      <c r="M28" s="50">
        <v>166</v>
      </c>
      <c r="N28" s="50">
        <v>0</v>
      </c>
      <c r="O28" s="15">
        <f t="shared" si="0"/>
        <v>202</v>
      </c>
      <c r="P28" s="15">
        <f t="shared" si="1"/>
        <v>368</v>
      </c>
      <c r="R28" s="36" t="s">
        <v>152</v>
      </c>
      <c r="S28" s="34">
        <f>SUM(C82:C85)</f>
        <v>35</v>
      </c>
      <c r="T28" s="34">
        <f t="shared" ref="T28:AF28" si="20">SUM(D82:D85)</f>
        <v>8</v>
      </c>
      <c r="U28" s="34">
        <f t="shared" si="20"/>
        <v>10</v>
      </c>
      <c r="V28" s="34">
        <f t="shared" si="20"/>
        <v>14</v>
      </c>
      <c r="W28" s="34">
        <f t="shared" si="20"/>
        <v>1</v>
      </c>
      <c r="X28" s="34">
        <f t="shared" si="20"/>
        <v>2</v>
      </c>
      <c r="Y28" s="34">
        <f t="shared" si="20"/>
        <v>24</v>
      </c>
      <c r="Z28" s="34">
        <f t="shared" si="20"/>
        <v>47</v>
      </c>
      <c r="AA28" s="34">
        <f t="shared" si="20"/>
        <v>26</v>
      </c>
      <c r="AB28" s="34">
        <f t="shared" si="20"/>
        <v>5</v>
      </c>
      <c r="AC28" s="34">
        <f t="shared" si="20"/>
        <v>261</v>
      </c>
      <c r="AD28" s="34">
        <f t="shared" si="20"/>
        <v>0</v>
      </c>
      <c r="AE28" s="31">
        <f t="shared" si="20"/>
        <v>172</v>
      </c>
      <c r="AF28" s="31">
        <f t="shared" si="20"/>
        <v>433</v>
      </c>
    </row>
    <row r="29" spans="2:32" ht="23.1" customHeight="1" x14ac:dyDescent="0.25">
      <c r="B29" s="45" t="s">
        <v>56</v>
      </c>
      <c r="C29" s="50">
        <v>60</v>
      </c>
      <c r="D29" s="50">
        <v>7</v>
      </c>
      <c r="E29" s="50">
        <v>4</v>
      </c>
      <c r="F29" s="50">
        <v>85</v>
      </c>
      <c r="G29" s="50">
        <v>0</v>
      </c>
      <c r="H29" s="50">
        <v>0</v>
      </c>
      <c r="I29" s="50">
        <v>6</v>
      </c>
      <c r="J29" s="50">
        <v>3</v>
      </c>
      <c r="K29" s="50">
        <v>0</v>
      </c>
      <c r="L29" s="50">
        <v>0</v>
      </c>
      <c r="M29" s="50">
        <v>265</v>
      </c>
      <c r="N29" s="50">
        <v>0</v>
      </c>
      <c r="O29" s="15">
        <f t="shared" si="0"/>
        <v>165</v>
      </c>
      <c r="P29" s="15">
        <f t="shared" si="1"/>
        <v>430</v>
      </c>
      <c r="R29" s="36" t="s">
        <v>153</v>
      </c>
      <c r="S29" s="34">
        <f>SUM(C86:C89)</f>
        <v>33</v>
      </c>
      <c r="T29" s="34">
        <f t="shared" ref="T29:AF29" si="21">SUM(D86:D89)</f>
        <v>1</v>
      </c>
      <c r="U29" s="34">
        <f t="shared" si="21"/>
        <v>7</v>
      </c>
      <c r="V29" s="34">
        <f t="shared" si="21"/>
        <v>21</v>
      </c>
      <c r="W29" s="34">
        <f t="shared" si="21"/>
        <v>0</v>
      </c>
      <c r="X29" s="34">
        <f t="shared" si="21"/>
        <v>5</v>
      </c>
      <c r="Y29" s="34">
        <f t="shared" si="21"/>
        <v>27</v>
      </c>
      <c r="Z29" s="34">
        <f t="shared" si="21"/>
        <v>29</v>
      </c>
      <c r="AA29" s="34">
        <f t="shared" si="21"/>
        <v>8</v>
      </c>
      <c r="AB29" s="34">
        <f t="shared" si="21"/>
        <v>17</v>
      </c>
      <c r="AC29" s="34">
        <f t="shared" si="21"/>
        <v>62</v>
      </c>
      <c r="AD29" s="34">
        <f t="shared" si="21"/>
        <v>0</v>
      </c>
      <c r="AE29" s="31">
        <f t="shared" si="21"/>
        <v>148</v>
      </c>
      <c r="AF29" s="31">
        <f t="shared" si="21"/>
        <v>210</v>
      </c>
    </row>
    <row r="30" spans="2:32" ht="23.1" customHeight="1" x14ac:dyDescent="0.25">
      <c r="B30" s="45" t="s">
        <v>57</v>
      </c>
      <c r="C30" s="50">
        <v>67</v>
      </c>
      <c r="D30" s="50">
        <v>11</v>
      </c>
      <c r="E30" s="50">
        <v>7</v>
      </c>
      <c r="F30" s="50">
        <v>50</v>
      </c>
      <c r="G30" s="50">
        <v>0</v>
      </c>
      <c r="H30" s="50">
        <v>0</v>
      </c>
      <c r="I30" s="50">
        <v>12</v>
      </c>
      <c r="J30" s="50">
        <v>7</v>
      </c>
      <c r="K30" s="50">
        <v>0</v>
      </c>
      <c r="L30" s="50">
        <v>5</v>
      </c>
      <c r="M30" s="50">
        <v>280</v>
      </c>
      <c r="N30" s="50">
        <v>0</v>
      </c>
      <c r="O30" s="15">
        <f t="shared" si="0"/>
        <v>159</v>
      </c>
      <c r="P30" s="15">
        <f t="shared" si="1"/>
        <v>439</v>
      </c>
      <c r="R30" s="36" t="s">
        <v>154</v>
      </c>
      <c r="S30" s="34">
        <f>SUM(C90:C93)</f>
        <v>44</v>
      </c>
      <c r="T30" s="34">
        <f t="shared" ref="T30:AF30" si="22">SUM(D90:D93)</f>
        <v>7</v>
      </c>
      <c r="U30" s="34">
        <f t="shared" si="22"/>
        <v>8</v>
      </c>
      <c r="V30" s="34">
        <f t="shared" si="22"/>
        <v>16</v>
      </c>
      <c r="W30" s="34">
        <f t="shared" si="22"/>
        <v>2</v>
      </c>
      <c r="X30" s="34">
        <f t="shared" si="22"/>
        <v>22</v>
      </c>
      <c r="Y30" s="34">
        <f t="shared" si="22"/>
        <v>18</v>
      </c>
      <c r="Z30" s="34">
        <f t="shared" si="22"/>
        <v>36</v>
      </c>
      <c r="AA30" s="34">
        <f t="shared" si="22"/>
        <v>18</v>
      </c>
      <c r="AB30" s="34">
        <f t="shared" si="22"/>
        <v>6</v>
      </c>
      <c r="AC30" s="34">
        <f t="shared" si="22"/>
        <v>122</v>
      </c>
      <c r="AD30" s="34">
        <f t="shared" si="22"/>
        <v>0</v>
      </c>
      <c r="AE30" s="31">
        <f t="shared" si="22"/>
        <v>177</v>
      </c>
      <c r="AF30" s="31">
        <f t="shared" si="22"/>
        <v>299</v>
      </c>
    </row>
    <row r="31" spans="2:32" ht="23.1" customHeight="1" x14ac:dyDescent="0.25">
      <c r="B31" s="46" t="s">
        <v>58</v>
      </c>
      <c r="C31" s="50">
        <v>54</v>
      </c>
      <c r="D31" s="50">
        <v>4</v>
      </c>
      <c r="E31" s="50">
        <v>9</v>
      </c>
      <c r="F31" s="50">
        <v>63</v>
      </c>
      <c r="G31" s="50">
        <v>3</v>
      </c>
      <c r="H31" s="50">
        <v>1</v>
      </c>
      <c r="I31" s="50">
        <v>11</v>
      </c>
      <c r="J31" s="50">
        <v>3</v>
      </c>
      <c r="K31" s="50">
        <v>4</v>
      </c>
      <c r="L31" s="50">
        <v>1</v>
      </c>
      <c r="M31" s="50">
        <v>200</v>
      </c>
      <c r="N31" s="50">
        <v>0</v>
      </c>
      <c r="O31" s="15">
        <f t="shared" si="0"/>
        <v>153</v>
      </c>
      <c r="P31" s="15">
        <f t="shared" si="1"/>
        <v>353</v>
      </c>
      <c r="R31" s="36" t="s">
        <v>155</v>
      </c>
      <c r="S31" s="34">
        <f>SUM(C94:C97)</f>
        <v>35</v>
      </c>
      <c r="T31" s="34">
        <f t="shared" ref="T31:AF31" si="23">SUM(D94:D97)</f>
        <v>5</v>
      </c>
      <c r="U31" s="34">
        <f t="shared" si="23"/>
        <v>11</v>
      </c>
      <c r="V31" s="34">
        <f t="shared" si="23"/>
        <v>32</v>
      </c>
      <c r="W31" s="34">
        <f t="shared" si="23"/>
        <v>17</v>
      </c>
      <c r="X31" s="34">
        <f t="shared" si="23"/>
        <v>44</v>
      </c>
      <c r="Y31" s="34">
        <f t="shared" si="23"/>
        <v>36</v>
      </c>
      <c r="Z31" s="34">
        <f t="shared" si="23"/>
        <v>83</v>
      </c>
      <c r="AA31" s="34">
        <f t="shared" si="23"/>
        <v>52</v>
      </c>
      <c r="AB31" s="34">
        <f t="shared" si="23"/>
        <v>22</v>
      </c>
      <c r="AC31" s="34">
        <f t="shared" si="23"/>
        <v>302</v>
      </c>
      <c r="AD31" s="34">
        <f t="shared" si="23"/>
        <v>0</v>
      </c>
      <c r="AE31" s="31">
        <f t="shared" si="23"/>
        <v>337</v>
      </c>
      <c r="AF31" s="31">
        <f t="shared" si="23"/>
        <v>639</v>
      </c>
    </row>
    <row r="32" spans="2:32" ht="23.1" customHeight="1" x14ac:dyDescent="0.25">
      <c r="B32" s="46" t="s">
        <v>59</v>
      </c>
      <c r="C32" s="50">
        <v>75</v>
      </c>
      <c r="D32" s="50">
        <v>31</v>
      </c>
      <c r="E32" s="50">
        <v>4</v>
      </c>
      <c r="F32" s="50">
        <v>100</v>
      </c>
      <c r="G32" s="50">
        <v>1</v>
      </c>
      <c r="H32" s="50">
        <v>3</v>
      </c>
      <c r="I32" s="50">
        <v>15</v>
      </c>
      <c r="J32" s="50">
        <v>7</v>
      </c>
      <c r="K32" s="50">
        <v>4</v>
      </c>
      <c r="L32" s="50">
        <v>6</v>
      </c>
      <c r="M32" s="50">
        <v>310</v>
      </c>
      <c r="N32" s="50">
        <v>0</v>
      </c>
      <c r="O32" s="15">
        <f t="shared" si="0"/>
        <v>246</v>
      </c>
      <c r="P32" s="15">
        <f t="shared" si="1"/>
        <v>556</v>
      </c>
      <c r="R32" s="33" t="s">
        <v>156</v>
      </c>
      <c r="S32" s="34">
        <f>SUM(C98:C101)</f>
        <v>56</v>
      </c>
      <c r="T32" s="34">
        <f t="shared" ref="T32:AF32" si="24">SUM(D98:D101)</f>
        <v>9</v>
      </c>
      <c r="U32" s="34">
        <f t="shared" si="24"/>
        <v>26</v>
      </c>
      <c r="V32" s="34">
        <f t="shared" si="24"/>
        <v>132</v>
      </c>
      <c r="W32" s="34">
        <f t="shared" si="24"/>
        <v>5</v>
      </c>
      <c r="X32" s="34">
        <f t="shared" si="24"/>
        <v>15</v>
      </c>
      <c r="Y32" s="34">
        <f t="shared" si="24"/>
        <v>38</v>
      </c>
      <c r="Z32" s="34">
        <f t="shared" si="24"/>
        <v>34</v>
      </c>
      <c r="AA32" s="34">
        <f t="shared" si="24"/>
        <v>15</v>
      </c>
      <c r="AB32" s="34">
        <f t="shared" si="24"/>
        <v>18</v>
      </c>
      <c r="AC32" s="34">
        <f t="shared" si="24"/>
        <v>260</v>
      </c>
      <c r="AD32" s="34">
        <f t="shared" si="24"/>
        <v>0</v>
      </c>
      <c r="AE32" s="31">
        <f t="shared" si="24"/>
        <v>348</v>
      </c>
      <c r="AF32" s="31">
        <f t="shared" si="24"/>
        <v>608</v>
      </c>
    </row>
    <row r="33" spans="2:32" ht="23.1" customHeight="1" x14ac:dyDescent="0.25">
      <c r="B33" s="45" t="s">
        <v>60</v>
      </c>
      <c r="C33" s="50">
        <v>65</v>
      </c>
      <c r="D33" s="50">
        <v>10</v>
      </c>
      <c r="E33" s="50">
        <v>14</v>
      </c>
      <c r="F33" s="50">
        <v>90</v>
      </c>
      <c r="G33" s="50">
        <v>0</v>
      </c>
      <c r="H33" s="50">
        <v>2</v>
      </c>
      <c r="I33" s="50">
        <v>13</v>
      </c>
      <c r="J33" s="50">
        <v>6</v>
      </c>
      <c r="K33" s="50">
        <v>0</v>
      </c>
      <c r="L33" s="50">
        <v>2</v>
      </c>
      <c r="M33" s="50">
        <v>201</v>
      </c>
      <c r="N33" s="50">
        <v>0</v>
      </c>
      <c r="O33" s="15">
        <f t="shared" si="0"/>
        <v>202</v>
      </c>
      <c r="P33" s="15">
        <f t="shared" si="1"/>
        <v>403</v>
      </c>
      <c r="R33" s="33" t="s">
        <v>157</v>
      </c>
      <c r="S33" s="34">
        <f>SUM(C102:C105)</f>
        <v>206</v>
      </c>
      <c r="T33" s="34">
        <f t="shared" ref="T33:AF33" si="25">SUM(D102:D105)</f>
        <v>19</v>
      </c>
      <c r="U33" s="34">
        <f t="shared" si="25"/>
        <v>40</v>
      </c>
      <c r="V33" s="34">
        <f t="shared" si="25"/>
        <v>220</v>
      </c>
      <c r="W33" s="34">
        <f t="shared" si="25"/>
        <v>3</v>
      </c>
      <c r="X33" s="34">
        <f t="shared" si="25"/>
        <v>4</v>
      </c>
      <c r="Y33" s="34">
        <f t="shared" si="25"/>
        <v>36</v>
      </c>
      <c r="Z33" s="34">
        <f t="shared" si="25"/>
        <v>38</v>
      </c>
      <c r="AA33" s="34">
        <f t="shared" si="25"/>
        <v>4</v>
      </c>
      <c r="AB33" s="34">
        <f t="shared" si="25"/>
        <v>8</v>
      </c>
      <c r="AC33" s="34">
        <f t="shared" si="25"/>
        <v>465</v>
      </c>
      <c r="AD33" s="34">
        <f t="shared" si="25"/>
        <v>0</v>
      </c>
      <c r="AE33" s="31">
        <f t="shared" si="25"/>
        <v>578</v>
      </c>
      <c r="AF33" s="31">
        <f t="shared" si="25"/>
        <v>1043</v>
      </c>
    </row>
    <row r="34" spans="2:32" ht="23.1" customHeight="1" x14ac:dyDescent="0.25">
      <c r="B34" s="46" t="s">
        <v>61</v>
      </c>
      <c r="C34" s="50">
        <v>60</v>
      </c>
      <c r="D34" s="50">
        <v>2</v>
      </c>
      <c r="E34" s="50">
        <v>15</v>
      </c>
      <c r="F34" s="50">
        <v>54</v>
      </c>
      <c r="G34" s="50">
        <v>2</v>
      </c>
      <c r="H34" s="50">
        <v>2</v>
      </c>
      <c r="I34" s="50">
        <v>13</v>
      </c>
      <c r="J34" s="50">
        <v>3</v>
      </c>
      <c r="K34" s="50">
        <v>5</v>
      </c>
      <c r="L34" s="50">
        <v>6</v>
      </c>
      <c r="M34" s="50">
        <v>320</v>
      </c>
      <c r="N34" s="50">
        <v>0</v>
      </c>
      <c r="O34" s="15">
        <f t="shared" si="0"/>
        <v>162</v>
      </c>
      <c r="P34" s="15">
        <f t="shared" si="1"/>
        <v>482</v>
      </c>
      <c r="R34" s="38" t="s">
        <v>90</v>
      </c>
      <c r="S34" s="39">
        <f t="shared" ref="S34:AF34" si="26">MAX(S10:S12)</f>
        <v>435</v>
      </c>
      <c r="T34" s="39">
        <f t="shared" si="26"/>
        <v>50</v>
      </c>
      <c r="U34" s="39">
        <f t="shared" si="26"/>
        <v>32</v>
      </c>
      <c r="V34" s="39">
        <f t="shared" si="26"/>
        <v>345</v>
      </c>
      <c r="W34" s="39">
        <f t="shared" si="26"/>
        <v>15</v>
      </c>
      <c r="X34" s="39">
        <f t="shared" si="26"/>
        <v>6</v>
      </c>
      <c r="Y34" s="39">
        <f t="shared" si="26"/>
        <v>34</v>
      </c>
      <c r="Z34" s="39">
        <f t="shared" si="26"/>
        <v>30</v>
      </c>
      <c r="AA34" s="39">
        <f t="shared" si="26"/>
        <v>5</v>
      </c>
      <c r="AB34" s="39">
        <f t="shared" si="26"/>
        <v>7</v>
      </c>
      <c r="AC34" s="39">
        <f t="shared" si="26"/>
        <v>1187</v>
      </c>
      <c r="AD34" s="39">
        <f t="shared" si="26"/>
        <v>0</v>
      </c>
      <c r="AE34" s="40">
        <f t="shared" si="26"/>
        <v>881</v>
      </c>
      <c r="AF34" s="40">
        <f t="shared" si="26"/>
        <v>2068</v>
      </c>
    </row>
    <row r="35" spans="2:32" ht="23.1" customHeight="1" x14ac:dyDescent="0.25">
      <c r="B35" s="46" t="s">
        <v>62</v>
      </c>
      <c r="C35" s="50">
        <v>43</v>
      </c>
      <c r="D35" s="50">
        <v>10</v>
      </c>
      <c r="E35" s="50">
        <v>6</v>
      </c>
      <c r="F35" s="50">
        <v>54</v>
      </c>
      <c r="G35" s="50">
        <v>1</v>
      </c>
      <c r="H35" s="50">
        <v>0</v>
      </c>
      <c r="I35" s="50">
        <v>16</v>
      </c>
      <c r="J35" s="50">
        <v>4</v>
      </c>
      <c r="K35" s="50">
        <v>4</v>
      </c>
      <c r="L35" s="50">
        <v>3</v>
      </c>
      <c r="M35" s="50">
        <v>255</v>
      </c>
      <c r="N35" s="50">
        <v>0</v>
      </c>
      <c r="O35" s="15">
        <f t="shared" si="0"/>
        <v>141</v>
      </c>
      <c r="P35" s="15">
        <f t="shared" si="1"/>
        <v>396</v>
      </c>
      <c r="R35" s="38" t="s">
        <v>91</v>
      </c>
      <c r="S35" s="39">
        <f t="shared" ref="S35:AF35" si="27">MAX(S13:S18)</f>
        <v>293</v>
      </c>
      <c r="T35" s="39">
        <f t="shared" si="27"/>
        <v>56</v>
      </c>
      <c r="U35" s="39">
        <f t="shared" si="27"/>
        <v>43</v>
      </c>
      <c r="V35" s="39">
        <f t="shared" si="27"/>
        <v>303</v>
      </c>
      <c r="W35" s="39">
        <f t="shared" si="27"/>
        <v>6</v>
      </c>
      <c r="X35" s="39">
        <f t="shared" si="27"/>
        <v>13</v>
      </c>
      <c r="Y35" s="39">
        <f t="shared" si="27"/>
        <v>51</v>
      </c>
      <c r="Z35" s="39">
        <f t="shared" si="27"/>
        <v>23</v>
      </c>
      <c r="AA35" s="39">
        <f t="shared" si="27"/>
        <v>14</v>
      </c>
      <c r="AB35" s="39">
        <f t="shared" si="27"/>
        <v>14</v>
      </c>
      <c r="AC35" s="39">
        <f t="shared" si="27"/>
        <v>1120</v>
      </c>
      <c r="AD35" s="39">
        <f t="shared" si="27"/>
        <v>0</v>
      </c>
      <c r="AE35" s="40">
        <f t="shared" si="27"/>
        <v>760</v>
      </c>
      <c r="AF35" s="40">
        <f t="shared" si="27"/>
        <v>1751</v>
      </c>
    </row>
    <row r="36" spans="2:32" ht="23.1" customHeight="1" x14ac:dyDescent="0.25">
      <c r="B36" s="46" t="s">
        <v>63</v>
      </c>
      <c r="C36" s="50">
        <v>52</v>
      </c>
      <c r="D36" s="50">
        <v>10</v>
      </c>
      <c r="E36" s="50">
        <v>4</v>
      </c>
      <c r="F36" s="50">
        <v>52</v>
      </c>
      <c r="G36" s="50">
        <v>0</v>
      </c>
      <c r="H36" s="50">
        <v>1</v>
      </c>
      <c r="I36" s="50">
        <v>11</v>
      </c>
      <c r="J36" s="50">
        <v>9</v>
      </c>
      <c r="K36" s="50">
        <v>3</v>
      </c>
      <c r="L36" s="50">
        <v>3</v>
      </c>
      <c r="M36" s="50">
        <v>295</v>
      </c>
      <c r="N36" s="50">
        <v>0</v>
      </c>
      <c r="O36" s="15">
        <f t="shared" si="0"/>
        <v>145</v>
      </c>
      <c r="P36" s="15">
        <f t="shared" si="1"/>
        <v>440</v>
      </c>
      <c r="R36" s="38" t="s">
        <v>92</v>
      </c>
      <c r="S36" s="39">
        <f t="shared" ref="S36:AF36" si="28">MAX(S19:S21)</f>
        <v>300</v>
      </c>
      <c r="T36" s="39">
        <f t="shared" si="28"/>
        <v>70</v>
      </c>
      <c r="U36" s="39">
        <f t="shared" si="28"/>
        <v>48</v>
      </c>
      <c r="V36" s="39">
        <f t="shared" si="28"/>
        <v>307</v>
      </c>
      <c r="W36" s="39">
        <f t="shared" si="28"/>
        <v>20</v>
      </c>
      <c r="X36" s="39">
        <f t="shared" si="28"/>
        <v>17</v>
      </c>
      <c r="Y36" s="39">
        <f t="shared" si="28"/>
        <v>45</v>
      </c>
      <c r="Z36" s="39">
        <f t="shared" si="28"/>
        <v>21</v>
      </c>
      <c r="AA36" s="39">
        <f t="shared" si="28"/>
        <v>30</v>
      </c>
      <c r="AB36" s="39">
        <f t="shared" si="28"/>
        <v>15</v>
      </c>
      <c r="AC36" s="39">
        <f t="shared" si="28"/>
        <v>743</v>
      </c>
      <c r="AD36" s="39">
        <f t="shared" si="28"/>
        <v>0</v>
      </c>
      <c r="AE36" s="40">
        <f t="shared" si="28"/>
        <v>825</v>
      </c>
      <c r="AF36" s="40">
        <f t="shared" si="28"/>
        <v>1555</v>
      </c>
    </row>
    <row r="37" spans="2:32" ht="23.1" customHeight="1" x14ac:dyDescent="0.25">
      <c r="B37" s="45" t="s">
        <v>64</v>
      </c>
      <c r="C37" s="50">
        <v>50</v>
      </c>
      <c r="D37" s="50">
        <v>11</v>
      </c>
      <c r="E37" s="50">
        <v>7</v>
      </c>
      <c r="F37" s="50">
        <v>57</v>
      </c>
      <c r="G37" s="50">
        <v>2</v>
      </c>
      <c r="H37" s="50">
        <v>1</v>
      </c>
      <c r="I37" s="50">
        <v>11</v>
      </c>
      <c r="J37" s="50">
        <v>6</v>
      </c>
      <c r="K37" s="50">
        <v>2</v>
      </c>
      <c r="L37" s="50">
        <v>2</v>
      </c>
      <c r="M37" s="50">
        <v>250</v>
      </c>
      <c r="N37" s="50">
        <v>0</v>
      </c>
      <c r="O37" s="15">
        <f t="shared" si="0"/>
        <v>149</v>
      </c>
      <c r="P37" s="15">
        <f t="shared" si="1"/>
        <v>399</v>
      </c>
      <c r="R37" s="37" t="s">
        <v>85</v>
      </c>
      <c r="S37" s="35">
        <f t="shared" ref="S37:AF37" si="29">SUM(S10:S12)</f>
        <v>1148</v>
      </c>
      <c r="T37" s="16">
        <f t="shared" si="29"/>
        <v>135</v>
      </c>
      <c r="U37" s="16">
        <f t="shared" si="29"/>
        <v>76</v>
      </c>
      <c r="V37" s="16">
        <f t="shared" si="29"/>
        <v>933</v>
      </c>
      <c r="W37" s="16">
        <f t="shared" si="29"/>
        <v>31</v>
      </c>
      <c r="X37" s="16">
        <f t="shared" si="29"/>
        <v>13</v>
      </c>
      <c r="Y37" s="16">
        <f t="shared" si="29"/>
        <v>100</v>
      </c>
      <c r="Z37" s="16">
        <f t="shared" si="29"/>
        <v>76</v>
      </c>
      <c r="AA37" s="16">
        <f t="shared" si="29"/>
        <v>13</v>
      </c>
      <c r="AB37" s="16">
        <f t="shared" si="29"/>
        <v>18</v>
      </c>
      <c r="AC37" s="16">
        <f t="shared" si="29"/>
        <v>3387</v>
      </c>
      <c r="AD37" s="16">
        <f t="shared" si="29"/>
        <v>0</v>
      </c>
      <c r="AE37" s="32">
        <f t="shared" si="29"/>
        <v>2543</v>
      </c>
      <c r="AF37" s="32">
        <f t="shared" si="29"/>
        <v>5930</v>
      </c>
    </row>
    <row r="38" spans="2:32" ht="23.1" customHeight="1" x14ac:dyDescent="0.25">
      <c r="B38" s="46" t="s">
        <v>65</v>
      </c>
      <c r="C38" s="50">
        <v>54</v>
      </c>
      <c r="D38" s="50">
        <v>13</v>
      </c>
      <c r="E38" s="50">
        <v>5</v>
      </c>
      <c r="F38" s="50">
        <v>55</v>
      </c>
      <c r="G38" s="50">
        <v>0</v>
      </c>
      <c r="H38" s="50">
        <v>2</v>
      </c>
      <c r="I38" s="50">
        <v>5</v>
      </c>
      <c r="J38" s="50">
        <v>1</v>
      </c>
      <c r="K38" s="50">
        <v>1</v>
      </c>
      <c r="L38" s="50">
        <v>2</v>
      </c>
      <c r="M38" s="50">
        <v>285</v>
      </c>
      <c r="N38" s="50">
        <v>0</v>
      </c>
      <c r="O38" s="15">
        <f t="shared" si="0"/>
        <v>138</v>
      </c>
      <c r="P38" s="15">
        <f t="shared" si="1"/>
        <v>423</v>
      </c>
      <c r="R38" s="28" t="s">
        <v>86</v>
      </c>
      <c r="S38" s="16">
        <f t="shared" ref="S38:AF38" si="30">SUM(S13:S18)</f>
        <v>1482</v>
      </c>
      <c r="T38" s="16">
        <f t="shared" si="30"/>
        <v>235</v>
      </c>
      <c r="U38" s="16">
        <f t="shared" si="30"/>
        <v>186</v>
      </c>
      <c r="V38" s="16">
        <f t="shared" si="30"/>
        <v>1480</v>
      </c>
      <c r="W38" s="16">
        <f t="shared" si="30"/>
        <v>23</v>
      </c>
      <c r="X38" s="16">
        <f t="shared" si="30"/>
        <v>31</v>
      </c>
      <c r="Y38" s="16">
        <f t="shared" si="30"/>
        <v>274</v>
      </c>
      <c r="Z38" s="16">
        <f t="shared" si="30"/>
        <v>126</v>
      </c>
      <c r="AA38" s="16">
        <f t="shared" si="30"/>
        <v>44</v>
      </c>
      <c r="AB38" s="16">
        <f t="shared" si="30"/>
        <v>59</v>
      </c>
      <c r="AC38" s="16">
        <f t="shared" si="30"/>
        <v>5453</v>
      </c>
      <c r="AD38" s="16">
        <f t="shared" si="30"/>
        <v>0</v>
      </c>
      <c r="AE38" s="32">
        <f t="shared" si="30"/>
        <v>3940</v>
      </c>
      <c r="AF38" s="32">
        <f t="shared" si="30"/>
        <v>9393</v>
      </c>
    </row>
    <row r="39" spans="2:32" ht="23.1" customHeight="1" x14ac:dyDescent="0.25">
      <c r="B39" s="46" t="s">
        <v>66</v>
      </c>
      <c r="C39" s="50">
        <v>40</v>
      </c>
      <c r="D39" s="50">
        <v>8</v>
      </c>
      <c r="E39" s="50">
        <v>7</v>
      </c>
      <c r="F39" s="50">
        <v>47</v>
      </c>
      <c r="G39" s="50">
        <v>0</v>
      </c>
      <c r="H39" s="50">
        <v>1</v>
      </c>
      <c r="I39" s="50">
        <v>18</v>
      </c>
      <c r="J39" s="50">
        <v>3</v>
      </c>
      <c r="K39" s="50">
        <v>0</v>
      </c>
      <c r="L39" s="50">
        <v>7</v>
      </c>
      <c r="M39" s="50">
        <v>215</v>
      </c>
      <c r="N39" s="50">
        <v>0</v>
      </c>
      <c r="O39" s="15">
        <f t="shared" si="0"/>
        <v>131</v>
      </c>
      <c r="P39" s="15">
        <f t="shared" si="1"/>
        <v>346</v>
      </c>
      <c r="R39" s="29" t="s">
        <v>87</v>
      </c>
      <c r="S39" s="16">
        <f t="shared" ref="S39:AF39" si="31">SUM(S19:S21)</f>
        <v>734</v>
      </c>
      <c r="T39" s="16">
        <f t="shared" si="31"/>
        <v>175</v>
      </c>
      <c r="U39" s="16">
        <f t="shared" si="31"/>
        <v>120</v>
      </c>
      <c r="V39" s="16">
        <f t="shared" si="31"/>
        <v>860</v>
      </c>
      <c r="W39" s="16">
        <f t="shared" si="31"/>
        <v>31</v>
      </c>
      <c r="X39" s="16">
        <f t="shared" si="31"/>
        <v>43</v>
      </c>
      <c r="Y39" s="16">
        <f t="shared" si="31"/>
        <v>116</v>
      </c>
      <c r="Z39" s="16">
        <f t="shared" si="31"/>
        <v>56</v>
      </c>
      <c r="AA39" s="16">
        <f t="shared" si="31"/>
        <v>60</v>
      </c>
      <c r="AB39" s="16">
        <f t="shared" si="31"/>
        <v>41</v>
      </c>
      <c r="AC39" s="16">
        <f t="shared" si="31"/>
        <v>1946</v>
      </c>
      <c r="AD39" s="16">
        <f t="shared" si="31"/>
        <v>0</v>
      </c>
      <c r="AE39" s="32">
        <f t="shared" si="31"/>
        <v>2236</v>
      </c>
      <c r="AF39" s="32">
        <f t="shared" si="31"/>
        <v>4182</v>
      </c>
    </row>
    <row r="40" spans="2:32" ht="23.1" customHeight="1" x14ac:dyDescent="0.25">
      <c r="B40" s="46" t="s">
        <v>67</v>
      </c>
      <c r="C40" s="50">
        <v>50</v>
      </c>
      <c r="D40" s="50">
        <v>11</v>
      </c>
      <c r="E40" s="50">
        <v>11</v>
      </c>
      <c r="F40" s="50">
        <v>49</v>
      </c>
      <c r="G40" s="50">
        <v>0</v>
      </c>
      <c r="H40" s="50">
        <v>1</v>
      </c>
      <c r="I40" s="50">
        <v>5</v>
      </c>
      <c r="J40" s="50">
        <v>8</v>
      </c>
      <c r="K40" s="50">
        <v>1</v>
      </c>
      <c r="L40" s="50">
        <v>1</v>
      </c>
      <c r="M40" s="50">
        <v>170</v>
      </c>
      <c r="N40" s="50">
        <v>0</v>
      </c>
      <c r="O40" s="15">
        <f t="shared" si="0"/>
        <v>137</v>
      </c>
      <c r="P40" s="15">
        <f t="shared" si="1"/>
        <v>307</v>
      </c>
      <c r="R40" s="5" t="s">
        <v>17</v>
      </c>
      <c r="S40" s="16">
        <f t="shared" ref="S40:AF40" si="32">SUM(S10:S21)</f>
        <v>3364</v>
      </c>
      <c r="T40" s="16">
        <f t="shared" si="32"/>
        <v>545</v>
      </c>
      <c r="U40" s="16">
        <f t="shared" si="32"/>
        <v>382</v>
      </c>
      <c r="V40" s="16">
        <f t="shared" si="32"/>
        <v>3273</v>
      </c>
      <c r="W40" s="16">
        <f t="shared" si="32"/>
        <v>85</v>
      </c>
      <c r="X40" s="16">
        <f t="shared" si="32"/>
        <v>87</v>
      </c>
      <c r="Y40" s="16">
        <f t="shared" si="32"/>
        <v>490</v>
      </c>
      <c r="Z40" s="16">
        <f t="shared" si="32"/>
        <v>258</v>
      </c>
      <c r="AA40" s="16">
        <f t="shared" si="32"/>
        <v>117</v>
      </c>
      <c r="AB40" s="16">
        <f t="shared" si="32"/>
        <v>118</v>
      </c>
      <c r="AC40" s="16">
        <f t="shared" si="32"/>
        <v>10786</v>
      </c>
      <c r="AD40" s="16">
        <f t="shared" si="32"/>
        <v>0</v>
      </c>
      <c r="AE40" s="32">
        <f t="shared" si="32"/>
        <v>8719</v>
      </c>
      <c r="AF40" s="32">
        <f t="shared" si="32"/>
        <v>19505</v>
      </c>
    </row>
    <row r="41" spans="2:32" ht="23.1" customHeight="1" x14ac:dyDescent="0.25">
      <c r="B41" s="45" t="s">
        <v>68</v>
      </c>
      <c r="C41" s="50">
        <v>71</v>
      </c>
      <c r="D41" s="50">
        <v>9</v>
      </c>
      <c r="E41" s="50">
        <v>15</v>
      </c>
      <c r="F41" s="50">
        <v>57</v>
      </c>
      <c r="G41" s="50">
        <v>3</v>
      </c>
      <c r="H41" s="50">
        <v>1</v>
      </c>
      <c r="I41" s="50">
        <v>9</v>
      </c>
      <c r="J41" s="50">
        <v>8</v>
      </c>
      <c r="K41" s="50">
        <v>0</v>
      </c>
      <c r="L41" s="50">
        <v>3</v>
      </c>
      <c r="M41" s="50">
        <v>123</v>
      </c>
      <c r="N41" s="50">
        <v>0</v>
      </c>
      <c r="O41" s="15">
        <f t="shared" si="0"/>
        <v>176</v>
      </c>
      <c r="P41" s="15">
        <f t="shared" si="1"/>
        <v>299</v>
      </c>
      <c r="R41" s="5" t="s">
        <v>159</v>
      </c>
      <c r="S41" s="16">
        <f>SUM(S10:S33)</f>
        <v>4454</v>
      </c>
      <c r="T41" s="16">
        <f t="shared" ref="T41:AF41" si="33">SUM(T10:T33)</f>
        <v>684</v>
      </c>
      <c r="U41" s="16">
        <f t="shared" si="33"/>
        <v>649</v>
      </c>
      <c r="V41" s="16">
        <f t="shared" si="33"/>
        <v>4415</v>
      </c>
      <c r="W41" s="16">
        <f t="shared" si="33"/>
        <v>150</v>
      </c>
      <c r="X41" s="16">
        <f t="shared" si="33"/>
        <v>210</v>
      </c>
      <c r="Y41" s="16">
        <f t="shared" si="33"/>
        <v>844</v>
      </c>
      <c r="Z41" s="16">
        <f t="shared" si="33"/>
        <v>626</v>
      </c>
      <c r="AA41" s="16">
        <f t="shared" si="33"/>
        <v>286</v>
      </c>
      <c r="AB41" s="16">
        <f t="shared" si="33"/>
        <v>240</v>
      </c>
      <c r="AC41" s="16">
        <f t="shared" si="33"/>
        <v>15768</v>
      </c>
      <c r="AD41" s="16">
        <f t="shared" si="33"/>
        <v>0</v>
      </c>
      <c r="AE41" s="32">
        <f t="shared" si="33"/>
        <v>12558</v>
      </c>
      <c r="AF41" s="32">
        <f t="shared" si="33"/>
        <v>28326</v>
      </c>
    </row>
    <row r="42" spans="2:32" ht="23.1" customHeight="1" x14ac:dyDescent="0.25">
      <c r="B42" s="46" t="s">
        <v>69</v>
      </c>
      <c r="C42" s="50">
        <v>65</v>
      </c>
      <c r="D42" s="50">
        <v>6</v>
      </c>
      <c r="E42" s="50">
        <v>9</v>
      </c>
      <c r="F42" s="50">
        <v>54</v>
      </c>
      <c r="G42" s="50">
        <v>0</v>
      </c>
      <c r="H42" s="50">
        <v>2</v>
      </c>
      <c r="I42" s="50">
        <v>11</v>
      </c>
      <c r="J42" s="50">
        <v>6</v>
      </c>
      <c r="K42" s="50">
        <v>4</v>
      </c>
      <c r="L42" s="50">
        <v>2</v>
      </c>
      <c r="M42" s="50">
        <v>242</v>
      </c>
      <c r="N42" s="50">
        <v>0</v>
      </c>
      <c r="O42" s="15">
        <f t="shared" si="0"/>
        <v>159</v>
      </c>
      <c r="P42" s="15">
        <f t="shared" si="1"/>
        <v>401</v>
      </c>
      <c r="R42" s="5" t="s">
        <v>160</v>
      </c>
      <c r="S42" s="48">
        <f>S41/S40</f>
        <v>1.3240190249702735</v>
      </c>
      <c r="T42" s="48">
        <f t="shared" ref="T42:AF42" si="34">T41/T40</f>
        <v>1.2550458715596331</v>
      </c>
      <c r="U42" s="48">
        <f t="shared" si="34"/>
        <v>1.6989528795811519</v>
      </c>
      <c r="V42" s="48">
        <f t="shared" si="34"/>
        <v>1.3489153681637642</v>
      </c>
      <c r="W42" s="48">
        <f t="shared" si="34"/>
        <v>1.7647058823529411</v>
      </c>
      <c r="X42" s="48">
        <f t="shared" si="34"/>
        <v>2.4137931034482758</v>
      </c>
      <c r="Y42" s="48">
        <f t="shared" si="34"/>
        <v>1.7224489795918367</v>
      </c>
      <c r="Z42" s="48">
        <f t="shared" si="34"/>
        <v>2.4263565891472867</v>
      </c>
      <c r="AA42" s="48">
        <f t="shared" si="34"/>
        <v>2.4444444444444446</v>
      </c>
      <c r="AB42" s="48">
        <f t="shared" si="34"/>
        <v>2.0338983050847457</v>
      </c>
      <c r="AC42" s="48">
        <f t="shared" si="34"/>
        <v>1.4618950491377711</v>
      </c>
      <c r="AD42" s="48" t="e">
        <f t="shared" si="34"/>
        <v>#DIV/0!</v>
      </c>
      <c r="AE42" s="48">
        <f t="shared" si="34"/>
        <v>1.4403027870168597</v>
      </c>
      <c r="AF42" s="48">
        <f t="shared" si="34"/>
        <v>1.4522430146116381</v>
      </c>
    </row>
    <row r="43" spans="2:32" ht="23.1" customHeight="1" x14ac:dyDescent="0.25">
      <c r="B43" s="45" t="s">
        <v>70</v>
      </c>
      <c r="C43" s="50">
        <v>37</v>
      </c>
      <c r="D43" s="50">
        <v>11</v>
      </c>
      <c r="E43" s="50">
        <v>14</v>
      </c>
      <c r="F43" s="50">
        <v>47</v>
      </c>
      <c r="G43" s="50">
        <v>1</v>
      </c>
      <c r="H43" s="50">
        <v>2</v>
      </c>
      <c r="I43" s="50">
        <v>12</v>
      </c>
      <c r="J43" s="50">
        <v>1</v>
      </c>
      <c r="K43" s="50">
        <v>0</v>
      </c>
      <c r="L43" s="50">
        <v>2</v>
      </c>
      <c r="M43" s="50">
        <v>190</v>
      </c>
      <c r="N43" s="50">
        <v>0</v>
      </c>
      <c r="O43" s="15">
        <f t="shared" si="0"/>
        <v>127</v>
      </c>
      <c r="P43" s="15">
        <f t="shared" si="1"/>
        <v>317</v>
      </c>
    </row>
    <row r="44" spans="2:32" ht="23.1" customHeight="1" x14ac:dyDescent="0.25">
      <c r="B44" s="47" t="s">
        <v>71</v>
      </c>
      <c r="C44" s="50">
        <v>75</v>
      </c>
      <c r="D44" s="50">
        <v>8</v>
      </c>
      <c r="E44" s="50">
        <v>11</v>
      </c>
      <c r="F44" s="50">
        <v>60</v>
      </c>
      <c r="G44" s="50">
        <v>1</v>
      </c>
      <c r="H44" s="50">
        <v>7</v>
      </c>
      <c r="I44" s="50">
        <v>17</v>
      </c>
      <c r="J44" s="50">
        <v>7</v>
      </c>
      <c r="K44" s="50">
        <v>2</v>
      </c>
      <c r="L44" s="50">
        <v>1</v>
      </c>
      <c r="M44" s="50">
        <v>135</v>
      </c>
      <c r="N44" s="50">
        <v>0</v>
      </c>
      <c r="O44" s="15">
        <f t="shared" si="0"/>
        <v>189</v>
      </c>
      <c r="P44" s="15">
        <f t="shared" si="1"/>
        <v>324</v>
      </c>
    </row>
    <row r="45" spans="2:32" ht="23.1" customHeight="1" x14ac:dyDescent="0.25">
      <c r="B45" s="45" t="s">
        <v>72</v>
      </c>
      <c r="C45" s="50">
        <v>40</v>
      </c>
      <c r="D45" s="50">
        <v>10</v>
      </c>
      <c r="E45" s="50">
        <v>9</v>
      </c>
      <c r="F45" s="50">
        <v>51</v>
      </c>
      <c r="G45" s="50">
        <v>0</v>
      </c>
      <c r="H45" s="50">
        <v>2</v>
      </c>
      <c r="I45" s="50">
        <v>11</v>
      </c>
      <c r="J45" s="50">
        <v>3</v>
      </c>
      <c r="K45" s="50">
        <v>1</v>
      </c>
      <c r="L45" s="50">
        <v>1</v>
      </c>
      <c r="M45" s="50">
        <v>126</v>
      </c>
      <c r="N45" s="50">
        <v>0</v>
      </c>
      <c r="O45" s="15">
        <f t="shared" si="0"/>
        <v>128</v>
      </c>
      <c r="P45" s="15">
        <f t="shared" si="1"/>
        <v>254</v>
      </c>
    </row>
    <row r="46" spans="2:32" ht="23.1" customHeight="1" x14ac:dyDescent="0.25">
      <c r="B46" s="46" t="s">
        <v>73</v>
      </c>
      <c r="C46" s="50">
        <v>60</v>
      </c>
      <c r="D46" s="50">
        <v>8</v>
      </c>
      <c r="E46" s="50">
        <v>13</v>
      </c>
      <c r="F46" s="50">
        <v>62</v>
      </c>
      <c r="G46" s="50">
        <v>0</v>
      </c>
      <c r="H46" s="50">
        <v>0</v>
      </c>
      <c r="I46" s="50">
        <v>14</v>
      </c>
      <c r="J46" s="50">
        <v>3</v>
      </c>
      <c r="K46" s="50">
        <v>3</v>
      </c>
      <c r="L46" s="50">
        <v>3</v>
      </c>
      <c r="M46" s="50">
        <v>140</v>
      </c>
      <c r="N46" s="50">
        <v>0</v>
      </c>
      <c r="O46" s="15">
        <f t="shared" si="0"/>
        <v>166</v>
      </c>
      <c r="P46" s="15">
        <f t="shared" si="1"/>
        <v>306</v>
      </c>
      <c r="R46" s="8"/>
      <c r="T46"/>
    </row>
    <row r="47" spans="2:32" ht="23.1" customHeight="1" x14ac:dyDescent="0.25">
      <c r="B47" s="46" t="s">
        <v>74</v>
      </c>
      <c r="C47" s="50">
        <v>55</v>
      </c>
      <c r="D47" s="50">
        <v>7</v>
      </c>
      <c r="E47" s="50">
        <v>9</v>
      </c>
      <c r="F47" s="50">
        <v>90</v>
      </c>
      <c r="G47" s="50">
        <v>0</v>
      </c>
      <c r="H47" s="50">
        <v>6</v>
      </c>
      <c r="I47" s="50">
        <v>10</v>
      </c>
      <c r="J47" s="50">
        <v>5</v>
      </c>
      <c r="K47" s="50">
        <v>4</v>
      </c>
      <c r="L47" s="50">
        <v>3</v>
      </c>
      <c r="M47" s="50">
        <v>190</v>
      </c>
      <c r="N47" s="50">
        <v>0</v>
      </c>
      <c r="O47" s="15">
        <f t="shared" si="0"/>
        <v>189</v>
      </c>
      <c r="P47" s="15">
        <f t="shared" si="1"/>
        <v>379</v>
      </c>
      <c r="R47" s="8"/>
      <c r="T47"/>
    </row>
    <row r="48" spans="2:32" ht="23.1" customHeight="1" x14ac:dyDescent="0.25">
      <c r="B48" s="46" t="s">
        <v>75</v>
      </c>
      <c r="C48" s="50">
        <v>60</v>
      </c>
      <c r="D48" s="50">
        <v>13</v>
      </c>
      <c r="E48" s="50">
        <v>7</v>
      </c>
      <c r="F48" s="50">
        <v>55</v>
      </c>
      <c r="G48" s="50">
        <v>1</v>
      </c>
      <c r="H48" s="50">
        <v>3</v>
      </c>
      <c r="I48" s="50">
        <v>7</v>
      </c>
      <c r="J48" s="50">
        <v>4</v>
      </c>
      <c r="K48" s="50">
        <v>4</v>
      </c>
      <c r="L48" s="50">
        <v>2</v>
      </c>
      <c r="M48" s="50">
        <v>260</v>
      </c>
      <c r="N48" s="50">
        <v>0</v>
      </c>
      <c r="O48" s="15">
        <f t="shared" si="0"/>
        <v>156</v>
      </c>
      <c r="P48" s="15">
        <f t="shared" si="1"/>
        <v>416</v>
      </c>
      <c r="R48" s="8"/>
      <c r="T48"/>
    </row>
    <row r="49" spans="2:20" ht="23.1" customHeight="1" x14ac:dyDescent="0.25">
      <c r="B49" s="45" t="s">
        <v>76</v>
      </c>
      <c r="C49" s="50">
        <v>44</v>
      </c>
      <c r="D49" s="50">
        <v>14</v>
      </c>
      <c r="E49" s="50">
        <v>6</v>
      </c>
      <c r="F49" s="50">
        <v>69</v>
      </c>
      <c r="G49" s="50">
        <v>3</v>
      </c>
      <c r="H49" s="50">
        <v>2</v>
      </c>
      <c r="I49" s="50">
        <v>14</v>
      </c>
      <c r="J49" s="50">
        <v>3</v>
      </c>
      <c r="K49" s="50">
        <v>8</v>
      </c>
      <c r="L49" s="50">
        <v>7</v>
      </c>
      <c r="M49" s="50">
        <v>153</v>
      </c>
      <c r="N49" s="50">
        <v>0</v>
      </c>
      <c r="O49" s="15">
        <f t="shared" si="0"/>
        <v>170</v>
      </c>
      <c r="P49" s="15">
        <f t="shared" si="1"/>
        <v>323</v>
      </c>
      <c r="R49" s="8"/>
      <c r="T49"/>
    </row>
    <row r="50" spans="2:20" ht="23.1" customHeight="1" x14ac:dyDescent="0.25">
      <c r="B50" s="46" t="s">
        <v>77</v>
      </c>
      <c r="C50" s="50">
        <v>72</v>
      </c>
      <c r="D50" s="50">
        <v>8</v>
      </c>
      <c r="E50" s="50">
        <v>12</v>
      </c>
      <c r="F50" s="50">
        <v>80</v>
      </c>
      <c r="G50" s="50">
        <v>1</v>
      </c>
      <c r="H50" s="50">
        <v>2</v>
      </c>
      <c r="I50" s="50">
        <v>14</v>
      </c>
      <c r="J50" s="50">
        <v>0</v>
      </c>
      <c r="K50" s="50">
        <v>1</v>
      </c>
      <c r="L50" s="50">
        <v>2</v>
      </c>
      <c r="M50" s="50">
        <v>260</v>
      </c>
      <c r="N50" s="50">
        <v>0</v>
      </c>
      <c r="O50" s="15">
        <f t="shared" si="0"/>
        <v>192</v>
      </c>
      <c r="P50" s="15">
        <f t="shared" si="1"/>
        <v>452</v>
      </c>
      <c r="R50" s="8"/>
      <c r="T50"/>
    </row>
    <row r="51" spans="2:20" ht="23.1" customHeight="1" x14ac:dyDescent="0.25">
      <c r="B51" s="46" t="s">
        <v>78</v>
      </c>
      <c r="C51" s="50">
        <v>73</v>
      </c>
      <c r="D51" s="50">
        <v>15</v>
      </c>
      <c r="E51" s="50">
        <v>7</v>
      </c>
      <c r="F51" s="50">
        <v>73</v>
      </c>
      <c r="G51" s="50">
        <v>1</v>
      </c>
      <c r="H51" s="50">
        <v>3</v>
      </c>
      <c r="I51" s="50">
        <v>7</v>
      </c>
      <c r="J51" s="50">
        <v>6</v>
      </c>
      <c r="K51" s="50">
        <v>2</v>
      </c>
      <c r="L51" s="50">
        <v>5</v>
      </c>
      <c r="M51" s="50">
        <v>140</v>
      </c>
      <c r="N51" s="50">
        <v>0</v>
      </c>
      <c r="O51" s="15">
        <f t="shared" si="0"/>
        <v>192</v>
      </c>
      <c r="P51" s="15">
        <f t="shared" si="1"/>
        <v>332</v>
      </c>
      <c r="R51" s="8"/>
      <c r="T51"/>
    </row>
    <row r="52" spans="2:20" ht="23.1" customHeight="1" x14ac:dyDescent="0.25">
      <c r="B52" s="46" t="s">
        <v>79</v>
      </c>
      <c r="C52" s="50">
        <v>80</v>
      </c>
      <c r="D52" s="50">
        <v>20</v>
      </c>
      <c r="E52" s="50">
        <v>11</v>
      </c>
      <c r="F52" s="50">
        <v>82</v>
      </c>
      <c r="G52" s="50">
        <v>1</v>
      </c>
      <c r="H52" s="50">
        <v>5</v>
      </c>
      <c r="I52" s="50">
        <v>11</v>
      </c>
      <c r="J52" s="50">
        <v>8</v>
      </c>
      <c r="K52" s="50">
        <v>5</v>
      </c>
      <c r="L52" s="50">
        <v>2</v>
      </c>
      <c r="M52" s="50">
        <v>125</v>
      </c>
      <c r="N52" s="50">
        <v>0</v>
      </c>
      <c r="O52" s="15">
        <f t="shared" si="0"/>
        <v>225</v>
      </c>
      <c r="P52" s="15">
        <f t="shared" si="1"/>
        <v>350</v>
      </c>
      <c r="R52" s="8"/>
      <c r="T52"/>
    </row>
    <row r="53" spans="2:20" ht="23.1" customHeight="1" x14ac:dyDescent="0.25">
      <c r="B53" s="45" t="s">
        <v>80</v>
      </c>
      <c r="C53" s="50">
        <v>75</v>
      </c>
      <c r="D53" s="50">
        <v>20</v>
      </c>
      <c r="E53" s="50">
        <v>18</v>
      </c>
      <c r="F53" s="50">
        <v>72</v>
      </c>
      <c r="G53" s="50">
        <v>4</v>
      </c>
      <c r="H53" s="50">
        <v>7</v>
      </c>
      <c r="I53" s="50">
        <v>8</v>
      </c>
      <c r="J53" s="50">
        <v>6</v>
      </c>
      <c r="K53" s="50">
        <v>3</v>
      </c>
      <c r="L53" s="50">
        <v>3</v>
      </c>
      <c r="M53" s="50">
        <v>205</v>
      </c>
      <c r="N53" s="50">
        <v>0</v>
      </c>
      <c r="O53" s="15">
        <f t="shared" si="0"/>
        <v>216</v>
      </c>
      <c r="P53" s="15">
        <f t="shared" si="1"/>
        <v>421</v>
      </c>
      <c r="R53" s="8"/>
      <c r="T53"/>
    </row>
    <row r="54" spans="2:20" ht="23.1" customHeight="1" x14ac:dyDescent="0.25">
      <c r="B54" s="45" t="s">
        <v>81</v>
      </c>
      <c r="C54" s="50">
        <v>72</v>
      </c>
      <c r="D54" s="50">
        <v>22</v>
      </c>
      <c r="E54" s="50">
        <v>9</v>
      </c>
      <c r="F54" s="50">
        <v>85</v>
      </c>
      <c r="G54" s="50">
        <v>1</v>
      </c>
      <c r="H54" s="50">
        <v>2</v>
      </c>
      <c r="I54" s="50">
        <v>8</v>
      </c>
      <c r="J54" s="50">
        <v>8</v>
      </c>
      <c r="K54" s="50">
        <v>6</v>
      </c>
      <c r="L54" s="50">
        <v>3</v>
      </c>
      <c r="M54" s="50">
        <v>105</v>
      </c>
      <c r="N54" s="50">
        <v>0</v>
      </c>
      <c r="O54" s="15">
        <f t="shared" si="0"/>
        <v>216</v>
      </c>
      <c r="P54" s="15">
        <f t="shared" si="1"/>
        <v>321</v>
      </c>
      <c r="R54" s="8"/>
      <c r="T54"/>
    </row>
    <row r="55" spans="2:20" ht="23.1" customHeight="1" x14ac:dyDescent="0.25">
      <c r="B55" s="45" t="s">
        <v>82</v>
      </c>
      <c r="C55" s="50">
        <v>43</v>
      </c>
      <c r="D55" s="50">
        <v>18</v>
      </c>
      <c r="E55" s="50">
        <v>7</v>
      </c>
      <c r="F55" s="50">
        <v>65</v>
      </c>
      <c r="G55" s="50">
        <v>6</v>
      </c>
      <c r="H55" s="50">
        <v>0</v>
      </c>
      <c r="I55" s="50">
        <v>8</v>
      </c>
      <c r="J55" s="50">
        <v>5</v>
      </c>
      <c r="K55" s="50">
        <v>11</v>
      </c>
      <c r="L55" s="50">
        <v>3</v>
      </c>
      <c r="M55" s="50">
        <v>110</v>
      </c>
      <c r="N55" s="50">
        <v>0</v>
      </c>
      <c r="O55" s="15">
        <f t="shared" si="0"/>
        <v>166</v>
      </c>
      <c r="P55" s="15">
        <f t="shared" si="1"/>
        <v>276</v>
      </c>
      <c r="R55" s="8"/>
      <c r="T55"/>
    </row>
    <row r="56" spans="2:20" ht="23.1" customHeight="1" x14ac:dyDescent="0.25">
      <c r="B56" s="45" t="s">
        <v>83</v>
      </c>
      <c r="C56" s="50">
        <v>50</v>
      </c>
      <c r="D56" s="50">
        <v>10</v>
      </c>
      <c r="E56" s="50">
        <v>8</v>
      </c>
      <c r="F56" s="50">
        <v>72</v>
      </c>
      <c r="G56" s="50">
        <v>6</v>
      </c>
      <c r="H56" s="50">
        <v>5</v>
      </c>
      <c r="I56" s="50">
        <v>7</v>
      </c>
      <c r="J56" s="50">
        <v>3</v>
      </c>
      <c r="K56" s="50">
        <v>7</v>
      </c>
      <c r="L56" s="50">
        <v>6</v>
      </c>
      <c r="M56" s="50">
        <v>135</v>
      </c>
      <c r="N56" s="50">
        <v>0</v>
      </c>
      <c r="O56" s="15">
        <f t="shared" si="0"/>
        <v>174</v>
      </c>
      <c r="P56" s="15">
        <f t="shared" si="1"/>
        <v>309</v>
      </c>
      <c r="R56" s="8"/>
      <c r="T56"/>
    </row>
    <row r="57" spans="2:20" ht="23.1" customHeight="1" x14ac:dyDescent="0.25">
      <c r="B57" s="45" t="s">
        <v>84</v>
      </c>
      <c r="C57" s="50">
        <v>50</v>
      </c>
      <c r="D57" s="50">
        <v>20</v>
      </c>
      <c r="E57" s="50">
        <v>13</v>
      </c>
      <c r="F57" s="50">
        <v>55</v>
      </c>
      <c r="G57" s="50">
        <v>7</v>
      </c>
      <c r="H57" s="50">
        <v>8</v>
      </c>
      <c r="I57" s="50">
        <v>8</v>
      </c>
      <c r="J57" s="50">
        <v>5</v>
      </c>
      <c r="K57" s="50">
        <v>6</v>
      </c>
      <c r="L57" s="50">
        <v>2</v>
      </c>
      <c r="M57" s="50">
        <v>123</v>
      </c>
      <c r="N57" s="50">
        <v>0</v>
      </c>
      <c r="O57" s="15">
        <f t="shared" si="0"/>
        <v>174</v>
      </c>
      <c r="P57" s="15">
        <f t="shared" si="1"/>
        <v>297</v>
      </c>
      <c r="R57" s="8"/>
      <c r="T57"/>
    </row>
    <row r="58" spans="2:20" ht="23.1" customHeight="1" x14ac:dyDescent="0.25">
      <c r="B58" s="45" t="s">
        <v>99</v>
      </c>
      <c r="C58" s="50">
        <v>54</v>
      </c>
      <c r="D58" s="50">
        <v>8</v>
      </c>
      <c r="E58" s="50">
        <v>5</v>
      </c>
      <c r="F58" s="50">
        <v>48</v>
      </c>
      <c r="G58" s="50">
        <v>1</v>
      </c>
      <c r="H58" s="50">
        <v>0</v>
      </c>
      <c r="I58" s="50">
        <v>9</v>
      </c>
      <c r="J58" s="50">
        <v>5</v>
      </c>
      <c r="K58" s="50">
        <v>3</v>
      </c>
      <c r="L58" s="50">
        <v>1</v>
      </c>
      <c r="M58" s="50">
        <v>180</v>
      </c>
      <c r="N58" s="50">
        <v>0</v>
      </c>
      <c r="O58" s="15">
        <f t="shared" si="0"/>
        <v>134</v>
      </c>
      <c r="P58" s="15">
        <f t="shared" si="1"/>
        <v>314</v>
      </c>
      <c r="R58" s="8"/>
      <c r="T58"/>
    </row>
    <row r="59" spans="2:20" ht="23.1" customHeight="1" x14ac:dyDescent="0.25">
      <c r="B59" s="45" t="s">
        <v>100</v>
      </c>
      <c r="C59" s="50">
        <v>30</v>
      </c>
      <c r="D59" s="50">
        <v>8</v>
      </c>
      <c r="E59" s="50">
        <v>5</v>
      </c>
      <c r="F59" s="50">
        <v>48</v>
      </c>
      <c r="G59" s="50">
        <v>2</v>
      </c>
      <c r="H59" s="50">
        <v>2</v>
      </c>
      <c r="I59" s="50">
        <v>2</v>
      </c>
      <c r="J59" s="50">
        <v>0</v>
      </c>
      <c r="K59" s="50">
        <v>0</v>
      </c>
      <c r="L59" s="50">
        <v>0</v>
      </c>
      <c r="M59" s="50">
        <v>153</v>
      </c>
      <c r="N59" s="50">
        <v>0</v>
      </c>
      <c r="O59" s="15">
        <f t="shared" si="0"/>
        <v>97</v>
      </c>
      <c r="P59" s="15">
        <f t="shared" si="1"/>
        <v>250</v>
      </c>
      <c r="R59" s="8"/>
      <c r="T59"/>
    </row>
    <row r="60" spans="2:20" ht="23.1" customHeight="1" x14ac:dyDescent="0.25">
      <c r="B60" s="45" t="s">
        <v>101</v>
      </c>
      <c r="C60" s="50">
        <v>31</v>
      </c>
      <c r="D60" s="50">
        <v>7</v>
      </c>
      <c r="E60" s="50">
        <v>8</v>
      </c>
      <c r="F60" s="50">
        <v>44</v>
      </c>
      <c r="G60" s="50">
        <v>2</v>
      </c>
      <c r="H60" s="50">
        <v>2</v>
      </c>
      <c r="I60" s="50">
        <v>4</v>
      </c>
      <c r="J60" s="50">
        <v>3</v>
      </c>
      <c r="K60" s="50">
        <v>0</v>
      </c>
      <c r="L60" s="50">
        <v>2</v>
      </c>
      <c r="M60" s="50">
        <v>220</v>
      </c>
      <c r="N60" s="50">
        <v>0</v>
      </c>
      <c r="O60" s="15">
        <f t="shared" si="0"/>
        <v>103</v>
      </c>
      <c r="P60" s="15">
        <f t="shared" si="1"/>
        <v>323</v>
      </c>
      <c r="R60" s="8"/>
      <c r="T60"/>
    </row>
    <row r="61" spans="2:20" ht="23.1" customHeight="1" x14ac:dyDescent="0.25">
      <c r="B61" s="45" t="s">
        <v>102</v>
      </c>
      <c r="C61" s="50">
        <v>31</v>
      </c>
      <c r="D61" s="50">
        <v>5</v>
      </c>
      <c r="E61" s="50">
        <v>4</v>
      </c>
      <c r="F61" s="50">
        <v>40</v>
      </c>
      <c r="G61" s="50">
        <v>4</v>
      </c>
      <c r="H61" s="50">
        <v>4</v>
      </c>
      <c r="I61" s="50">
        <v>10</v>
      </c>
      <c r="J61" s="50">
        <v>9</v>
      </c>
      <c r="K61" s="50">
        <v>2</v>
      </c>
      <c r="L61" s="50">
        <v>2</v>
      </c>
      <c r="M61" s="50">
        <v>155</v>
      </c>
      <c r="N61" s="50">
        <v>0</v>
      </c>
      <c r="O61" s="15">
        <f t="shared" si="0"/>
        <v>111</v>
      </c>
      <c r="P61" s="15">
        <f t="shared" si="1"/>
        <v>266</v>
      </c>
      <c r="R61" s="8"/>
      <c r="T61"/>
    </row>
    <row r="62" spans="2:20" ht="23.1" customHeight="1" x14ac:dyDescent="0.25">
      <c r="B62" s="45" t="s">
        <v>107</v>
      </c>
      <c r="C62" s="50">
        <v>39</v>
      </c>
      <c r="D62" s="50">
        <v>3</v>
      </c>
      <c r="E62" s="50">
        <v>1</v>
      </c>
      <c r="F62" s="50">
        <v>69</v>
      </c>
      <c r="G62" s="50">
        <v>3</v>
      </c>
      <c r="H62" s="50">
        <v>1</v>
      </c>
      <c r="I62" s="50">
        <v>1</v>
      </c>
      <c r="J62" s="50">
        <v>3</v>
      </c>
      <c r="K62" s="50">
        <v>2</v>
      </c>
      <c r="L62" s="50">
        <v>1</v>
      </c>
      <c r="M62" s="50">
        <v>245</v>
      </c>
      <c r="N62" s="50">
        <v>0</v>
      </c>
      <c r="O62" s="15">
        <f t="shared" si="0"/>
        <v>123</v>
      </c>
      <c r="P62" s="15">
        <f t="shared" si="1"/>
        <v>368</v>
      </c>
      <c r="R62" s="8"/>
      <c r="T62"/>
    </row>
    <row r="63" spans="2:20" ht="23.1" customHeight="1" x14ac:dyDescent="0.25">
      <c r="B63" s="45" t="s">
        <v>108</v>
      </c>
      <c r="C63" s="50">
        <v>31</v>
      </c>
      <c r="D63" s="50">
        <v>3</v>
      </c>
      <c r="E63" s="50">
        <v>4</v>
      </c>
      <c r="F63" s="50">
        <v>44</v>
      </c>
      <c r="G63" s="50">
        <v>2</v>
      </c>
      <c r="H63" s="50">
        <v>3</v>
      </c>
      <c r="I63" s="50">
        <v>5</v>
      </c>
      <c r="J63" s="50">
        <v>3</v>
      </c>
      <c r="K63" s="50">
        <v>1</v>
      </c>
      <c r="L63" s="50">
        <v>0</v>
      </c>
      <c r="M63" s="50">
        <v>185</v>
      </c>
      <c r="N63" s="50">
        <v>0</v>
      </c>
      <c r="O63" s="15">
        <f t="shared" si="0"/>
        <v>96</v>
      </c>
      <c r="P63" s="15">
        <f t="shared" si="1"/>
        <v>281</v>
      </c>
      <c r="R63" s="8"/>
      <c r="T63"/>
    </row>
    <row r="64" spans="2:20" ht="23.1" customHeight="1" x14ac:dyDescent="0.25">
      <c r="B64" s="45" t="s">
        <v>109</v>
      </c>
      <c r="C64" s="50">
        <v>42</v>
      </c>
      <c r="D64" s="50">
        <v>2</v>
      </c>
      <c r="E64" s="50">
        <v>6</v>
      </c>
      <c r="F64" s="50">
        <v>49</v>
      </c>
      <c r="G64" s="50">
        <v>2</v>
      </c>
      <c r="H64" s="50">
        <v>1</v>
      </c>
      <c r="I64" s="50">
        <v>8</v>
      </c>
      <c r="J64" s="50">
        <v>4</v>
      </c>
      <c r="K64" s="50">
        <v>2</v>
      </c>
      <c r="L64" s="50">
        <v>2</v>
      </c>
      <c r="M64" s="50">
        <v>155</v>
      </c>
      <c r="N64" s="50">
        <v>0</v>
      </c>
      <c r="O64" s="15">
        <f t="shared" si="0"/>
        <v>118</v>
      </c>
      <c r="P64" s="15">
        <f t="shared" si="1"/>
        <v>273</v>
      </c>
      <c r="R64" s="8"/>
      <c r="T64"/>
    </row>
    <row r="65" spans="2:20" ht="23.1" customHeight="1" x14ac:dyDescent="0.25">
      <c r="B65" s="45" t="s">
        <v>158</v>
      </c>
      <c r="C65" s="50">
        <v>30</v>
      </c>
      <c r="D65" s="50">
        <v>3</v>
      </c>
      <c r="E65" s="50">
        <v>9</v>
      </c>
      <c r="F65" s="50">
        <v>43</v>
      </c>
      <c r="G65" s="50">
        <v>1</v>
      </c>
      <c r="H65" s="50">
        <v>2</v>
      </c>
      <c r="I65" s="50">
        <v>6</v>
      </c>
      <c r="J65" s="50">
        <v>3</v>
      </c>
      <c r="K65" s="50">
        <v>3</v>
      </c>
      <c r="L65" s="50">
        <v>1</v>
      </c>
      <c r="M65" s="50">
        <v>220</v>
      </c>
      <c r="N65" s="50">
        <v>0</v>
      </c>
      <c r="O65" s="15">
        <f t="shared" si="0"/>
        <v>101</v>
      </c>
      <c r="P65" s="15">
        <f t="shared" si="1"/>
        <v>321</v>
      </c>
      <c r="R65" s="8"/>
      <c r="T65"/>
    </row>
    <row r="66" spans="2:20" ht="23.1" customHeight="1" x14ac:dyDescent="0.25">
      <c r="B66" s="45" t="s">
        <v>103</v>
      </c>
      <c r="C66" s="50">
        <v>35</v>
      </c>
      <c r="D66" s="50">
        <v>4</v>
      </c>
      <c r="E66" s="50">
        <v>9</v>
      </c>
      <c r="F66" s="50">
        <v>38</v>
      </c>
      <c r="G66" s="50">
        <v>11</v>
      </c>
      <c r="H66" s="50">
        <v>0</v>
      </c>
      <c r="I66" s="50">
        <v>10</v>
      </c>
      <c r="J66" s="50">
        <v>5</v>
      </c>
      <c r="K66" s="50">
        <v>4</v>
      </c>
      <c r="L66" s="50">
        <v>5</v>
      </c>
      <c r="M66" s="50">
        <v>300</v>
      </c>
      <c r="N66" s="50">
        <v>0</v>
      </c>
      <c r="O66" s="15">
        <f t="shared" si="0"/>
        <v>121</v>
      </c>
      <c r="P66" s="15">
        <f t="shared" si="1"/>
        <v>421</v>
      </c>
      <c r="R66" s="8"/>
      <c r="T66"/>
    </row>
    <row r="67" spans="2:20" ht="23.1" customHeight="1" x14ac:dyDescent="0.25">
      <c r="B67" s="45" t="s">
        <v>104</v>
      </c>
      <c r="C67" s="50">
        <v>14</v>
      </c>
      <c r="D67" s="50">
        <v>3</v>
      </c>
      <c r="E67" s="50">
        <v>3</v>
      </c>
      <c r="F67" s="50">
        <v>21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155</v>
      </c>
      <c r="N67" s="50">
        <v>0</v>
      </c>
      <c r="O67" s="15">
        <f t="shared" si="0"/>
        <v>41</v>
      </c>
      <c r="P67" s="15">
        <f t="shared" si="1"/>
        <v>196</v>
      </c>
      <c r="R67" s="8"/>
      <c r="T67"/>
    </row>
    <row r="68" spans="2:20" ht="23.1" customHeight="1" x14ac:dyDescent="0.25">
      <c r="B68" s="45" t="s">
        <v>105</v>
      </c>
      <c r="C68" s="50">
        <v>7</v>
      </c>
      <c r="D68" s="50">
        <v>2</v>
      </c>
      <c r="E68" s="50">
        <v>1</v>
      </c>
      <c r="F68" s="50">
        <v>5</v>
      </c>
      <c r="G68" s="50">
        <v>1</v>
      </c>
      <c r="H68" s="50">
        <v>4</v>
      </c>
      <c r="I68" s="50">
        <v>10</v>
      </c>
      <c r="J68" s="50">
        <v>3</v>
      </c>
      <c r="K68" s="50">
        <v>4</v>
      </c>
      <c r="L68" s="50">
        <v>4</v>
      </c>
      <c r="M68" s="50">
        <v>120</v>
      </c>
      <c r="N68" s="50">
        <v>0</v>
      </c>
      <c r="O68" s="15">
        <f t="shared" si="0"/>
        <v>41</v>
      </c>
      <c r="P68" s="15">
        <f t="shared" si="1"/>
        <v>161</v>
      </c>
      <c r="R68" s="8"/>
      <c r="T68"/>
    </row>
    <row r="69" spans="2:20" ht="23.1" customHeight="1" x14ac:dyDescent="0.25">
      <c r="B69" s="45" t="s">
        <v>106</v>
      </c>
      <c r="C69" s="50">
        <v>14</v>
      </c>
      <c r="D69" s="50">
        <v>2</v>
      </c>
      <c r="E69" s="50">
        <v>5</v>
      </c>
      <c r="F69" s="50">
        <v>20</v>
      </c>
      <c r="G69" s="50">
        <v>2</v>
      </c>
      <c r="H69" s="50">
        <v>1</v>
      </c>
      <c r="I69" s="50">
        <v>7</v>
      </c>
      <c r="J69" s="50">
        <v>4</v>
      </c>
      <c r="K69" s="50">
        <v>5</v>
      </c>
      <c r="L69" s="50">
        <v>0</v>
      </c>
      <c r="M69" s="50">
        <v>120</v>
      </c>
      <c r="N69" s="50">
        <v>0</v>
      </c>
      <c r="O69" s="15">
        <f t="shared" si="0"/>
        <v>60</v>
      </c>
      <c r="P69" s="15">
        <f t="shared" si="1"/>
        <v>180</v>
      </c>
      <c r="R69" s="8"/>
      <c r="T69"/>
    </row>
    <row r="70" spans="2:20" ht="23.1" customHeight="1" x14ac:dyDescent="0.25">
      <c r="B70" s="45" t="s">
        <v>110</v>
      </c>
      <c r="C70" s="50">
        <v>37</v>
      </c>
      <c r="D70" s="50">
        <v>5</v>
      </c>
      <c r="E70" s="50">
        <v>11</v>
      </c>
      <c r="F70" s="50">
        <v>30</v>
      </c>
      <c r="G70" s="50">
        <v>1</v>
      </c>
      <c r="H70" s="50">
        <v>0</v>
      </c>
      <c r="I70" s="50">
        <v>13</v>
      </c>
      <c r="J70" s="50">
        <v>5</v>
      </c>
      <c r="K70" s="50">
        <v>2</v>
      </c>
      <c r="L70" s="50">
        <v>3</v>
      </c>
      <c r="M70" s="50">
        <v>120</v>
      </c>
      <c r="N70" s="50">
        <v>0</v>
      </c>
      <c r="O70" s="15">
        <f t="shared" si="0"/>
        <v>107</v>
      </c>
      <c r="P70" s="15">
        <f t="shared" si="1"/>
        <v>227</v>
      </c>
      <c r="R70" s="8"/>
      <c r="T70"/>
    </row>
    <row r="71" spans="2:20" ht="23.1" customHeight="1" x14ac:dyDescent="0.25">
      <c r="B71" s="45" t="s">
        <v>111</v>
      </c>
      <c r="C71" s="50">
        <v>40</v>
      </c>
      <c r="D71" s="50">
        <v>7</v>
      </c>
      <c r="E71" s="50">
        <v>9</v>
      </c>
      <c r="F71" s="50">
        <v>24</v>
      </c>
      <c r="G71" s="50">
        <v>1</v>
      </c>
      <c r="H71" s="50">
        <v>1</v>
      </c>
      <c r="I71" s="50">
        <v>8</v>
      </c>
      <c r="J71" s="50">
        <v>0</v>
      </c>
      <c r="K71" s="50">
        <v>2</v>
      </c>
      <c r="L71" s="50">
        <v>2</v>
      </c>
      <c r="M71" s="50">
        <v>173</v>
      </c>
      <c r="N71" s="50">
        <v>0</v>
      </c>
      <c r="O71" s="15">
        <f t="shared" si="0"/>
        <v>94</v>
      </c>
      <c r="P71" s="15">
        <f t="shared" si="1"/>
        <v>267</v>
      </c>
      <c r="R71" s="8"/>
      <c r="T71"/>
    </row>
    <row r="72" spans="2:20" ht="23.1" customHeight="1" x14ac:dyDescent="0.25">
      <c r="B72" s="45" t="s">
        <v>112</v>
      </c>
      <c r="C72" s="50">
        <v>44</v>
      </c>
      <c r="D72" s="50">
        <v>5</v>
      </c>
      <c r="E72" s="50">
        <v>14</v>
      </c>
      <c r="F72" s="50">
        <v>49</v>
      </c>
      <c r="G72" s="50">
        <v>1</v>
      </c>
      <c r="H72" s="50">
        <v>1</v>
      </c>
      <c r="I72" s="50">
        <v>9</v>
      </c>
      <c r="J72" s="50">
        <v>8</v>
      </c>
      <c r="K72" s="50">
        <v>2</v>
      </c>
      <c r="L72" s="50">
        <v>2</v>
      </c>
      <c r="M72" s="50">
        <v>180</v>
      </c>
      <c r="N72" s="50">
        <v>0</v>
      </c>
      <c r="O72" s="15">
        <f t="shared" si="0"/>
        <v>135</v>
      </c>
      <c r="P72" s="15">
        <f t="shared" si="1"/>
        <v>315</v>
      </c>
      <c r="R72" s="8"/>
      <c r="T72"/>
    </row>
    <row r="73" spans="2:20" ht="23.1" customHeight="1" x14ac:dyDescent="0.25">
      <c r="B73" s="45" t="s">
        <v>113</v>
      </c>
      <c r="C73" s="50">
        <v>29</v>
      </c>
      <c r="D73" s="50">
        <v>6</v>
      </c>
      <c r="E73" s="50">
        <v>20</v>
      </c>
      <c r="F73" s="50">
        <v>23</v>
      </c>
      <c r="G73" s="50">
        <v>0</v>
      </c>
      <c r="H73" s="50">
        <v>0</v>
      </c>
      <c r="I73" s="50">
        <v>13</v>
      </c>
      <c r="J73" s="50">
        <v>8</v>
      </c>
      <c r="K73" s="50">
        <v>0</v>
      </c>
      <c r="L73" s="50">
        <v>4</v>
      </c>
      <c r="M73" s="50">
        <v>140</v>
      </c>
      <c r="N73" s="50">
        <v>0</v>
      </c>
      <c r="O73" s="15">
        <f t="shared" si="0"/>
        <v>103</v>
      </c>
      <c r="P73" s="15">
        <f t="shared" si="1"/>
        <v>243</v>
      </c>
      <c r="R73" s="8"/>
      <c r="T73"/>
    </row>
    <row r="74" spans="2:20" ht="23.1" customHeight="1" x14ac:dyDescent="0.25">
      <c r="B74" s="45" t="s">
        <v>114</v>
      </c>
      <c r="C74" s="50">
        <v>25</v>
      </c>
      <c r="D74" s="50">
        <v>1</v>
      </c>
      <c r="E74" s="50">
        <v>10</v>
      </c>
      <c r="F74" s="50">
        <v>22</v>
      </c>
      <c r="G74" s="50">
        <v>0</v>
      </c>
      <c r="H74" s="50">
        <v>2</v>
      </c>
      <c r="I74" s="50">
        <v>10</v>
      </c>
      <c r="J74" s="50">
        <v>4</v>
      </c>
      <c r="K74" s="50">
        <v>1</v>
      </c>
      <c r="L74" s="50">
        <v>3</v>
      </c>
      <c r="M74" s="50">
        <v>100</v>
      </c>
      <c r="N74" s="50">
        <v>0</v>
      </c>
      <c r="O74" s="15">
        <f t="shared" ref="O74:O105" si="35">SUM(C74:L74,N74)</f>
        <v>78</v>
      </c>
      <c r="P74" s="15">
        <f t="shared" ref="P74:P105" si="36">SUM(C74:N74)</f>
        <v>178</v>
      </c>
      <c r="R74" s="8"/>
      <c r="T74"/>
    </row>
    <row r="75" spans="2:20" ht="23.1" customHeight="1" x14ac:dyDescent="0.25">
      <c r="B75" s="45" t="s">
        <v>115</v>
      </c>
      <c r="C75" s="50">
        <v>7</v>
      </c>
      <c r="D75" s="50">
        <v>2</v>
      </c>
      <c r="E75" s="50">
        <v>1</v>
      </c>
      <c r="F75" s="50">
        <v>10</v>
      </c>
      <c r="G75" s="50">
        <v>0</v>
      </c>
      <c r="H75" s="50">
        <v>4</v>
      </c>
      <c r="I75" s="50">
        <v>9</v>
      </c>
      <c r="J75" s="50">
        <v>4</v>
      </c>
      <c r="K75" s="50">
        <v>2</v>
      </c>
      <c r="L75" s="50">
        <v>2</v>
      </c>
      <c r="M75" s="50">
        <v>115</v>
      </c>
      <c r="N75" s="50">
        <v>0</v>
      </c>
      <c r="O75" s="15">
        <f t="shared" si="35"/>
        <v>41</v>
      </c>
      <c r="P75" s="15">
        <f t="shared" si="36"/>
        <v>156</v>
      </c>
      <c r="R75" s="8"/>
      <c r="T75"/>
    </row>
    <row r="76" spans="2:20" ht="23.1" customHeight="1" x14ac:dyDescent="0.25">
      <c r="B76" s="45" t="s">
        <v>116</v>
      </c>
      <c r="C76" s="50">
        <v>33</v>
      </c>
      <c r="D76" s="50">
        <v>1</v>
      </c>
      <c r="E76" s="50">
        <v>8</v>
      </c>
      <c r="F76" s="50">
        <v>19</v>
      </c>
      <c r="G76" s="50">
        <v>0</v>
      </c>
      <c r="H76" s="50">
        <v>0</v>
      </c>
      <c r="I76" s="50">
        <v>7</v>
      </c>
      <c r="J76" s="50">
        <v>8</v>
      </c>
      <c r="K76" s="50">
        <v>1</v>
      </c>
      <c r="L76" s="50">
        <v>3</v>
      </c>
      <c r="M76" s="50">
        <v>85</v>
      </c>
      <c r="N76" s="50">
        <v>0</v>
      </c>
      <c r="O76" s="15">
        <f t="shared" si="35"/>
        <v>80</v>
      </c>
      <c r="P76" s="15">
        <f t="shared" si="36"/>
        <v>165</v>
      </c>
      <c r="R76" s="8"/>
      <c r="T76"/>
    </row>
    <row r="77" spans="2:20" ht="23.1" customHeight="1" x14ac:dyDescent="0.25">
      <c r="B77" s="45" t="s">
        <v>117</v>
      </c>
      <c r="C77" s="50">
        <v>29</v>
      </c>
      <c r="D77" s="50">
        <v>6</v>
      </c>
      <c r="E77" s="50">
        <v>13</v>
      </c>
      <c r="F77" s="50">
        <v>18</v>
      </c>
      <c r="G77" s="50">
        <v>1</v>
      </c>
      <c r="H77" s="50">
        <v>0</v>
      </c>
      <c r="I77" s="50">
        <v>10</v>
      </c>
      <c r="J77" s="50">
        <v>3</v>
      </c>
      <c r="K77" s="50">
        <v>1</v>
      </c>
      <c r="L77" s="50">
        <v>1</v>
      </c>
      <c r="M77" s="50">
        <v>17</v>
      </c>
      <c r="N77" s="50">
        <v>0</v>
      </c>
      <c r="O77" s="15">
        <f t="shared" si="35"/>
        <v>82</v>
      </c>
      <c r="P77" s="15">
        <f t="shared" si="36"/>
        <v>99</v>
      </c>
      <c r="R77" s="8"/>
      <c r="T77"/>
    </row>
    <row r="78" spans="2:20" ht="23.1" customHeight="1" x14ac:dyDescent="0.25">
      <c r="B78" s="46" t="s">
        <v>118</v>
      </c>
      <c r="C78" s="50">
        <v>12</v>
      </c>
      <c r="D78" s="50">
        <v>3</v>
      </c>
      <c r="E78" s="50">
        <v>3</v>
      </c>
      <c r="F78" s="50">
        <v>11</v>
      </c>
      <c r="G78" s="50">
        <v>1</v>
      </c>
      <c r="H78" s="50">
        <v>1</v>
      </c>
      <c r="I78" s="50">
        <v>6</v>
      </c>
      <c r="J78" s="50">
        <v>7</v>
      </c>
      <c r="K78" s="50">
        <v>0</v>
      </c>
      <c r="L78" s="50">
        <v>1</v>
      </c>
      <c r="M78" s="50">
        <v>95</v>
      </c>
      <c r="N78" s="50">
        <v>0</v>
      </c>
      <c r="O78" s="15">
        <f t="shared" si="35"/>
        <v>45</v>
      </c>
      <c r="P78" s="15">
        <f t="shared" si="36"/>
        <v>140</v>
      </c>
      <c r="R78" s="8"/>
      <c r="T78"/>
    </row>
    <row r="79" spans="2:20" ht="23.1" customHeight="1" x14ac:dyDescent="0.25">
      <c r="B79" s="45" t="s">
        <v>119</v>
      </c>
      <c r="C79" s="50">
        <v>31</v>
      </c>
      <c r="D79" s="50">
        <v>1</v>
      </c>
      <c r="E79" s="50">
        <v>5</v>
      </c>
      <c r="F79" s="50">
        <v>12</v>
      </c>
      <c r="G79" s="50">
        <v>0</v>
      </c>
      <c r="H79" s="50">
        <v>0</v>
      </c>
      <c r="I79" s="50">
        <v>6</v>
      </c>
      <c r="J79" s="50">
        <v>4</v>
      </c>
      <c r="K79" s="50">
        <v>7</v>
      </c>
      <c r="L79" s="50">
        <v>4</v>
      </c>
      <c r="M79" s="50">
        <v>83</v>
      </c>
      <c r="N79" s="50">
        <v>0</v>
      </c>
      <c r="O79" s="15">
        <f t="shared" si="35"/>
        <v>70</v>
      </c>
      <c r="P79" s="15">
        <f t="shared" si="36"/>
        <v>153</v>
      </c>
      <c r="R79" s="8"/>
      <c r="T79"/>
    </row>
    <row r="80" spans="2:20" ht="23.1" customHeight="1" x14ac:dyDescent="0.25">
      <c r="B80" s="47" t="s">
        <v>120</v>
      </c>
      <c r="C80" s="50">
        <v>21</v>
      </c>
      <c r="D80" s="50">
        <v>1</v>
      </c>
      <c r="E80" s="50">
        <v>5</v>
      </c>
      <c r="F80" s="50">
        <v>8</v>
      </c>
      <c r="G80" s="50">
        <v>1</v>
      </c>
      <c r="H80" s="50">
        <v>0</v>
      </c>
      <c r="I80" s="50">
        <v>1</v>
      </c>
      <c r="J80" s="50">
        <v>2</v>
      </c>
      <c r="K80" s="50">
        <v>1</v>
      </c>
      <c r="L80" s="50">
        <v>2</v>
      </c>
      <c r="M80" s="50">
        <v>94</v>
      </c>
      <c r="N80" s="50">
        <v>0</v>
      </c>
      <c r="O80" s="15">
        <f t="shared" si="35"/>
        <v>42</v>
      </c>
      <c r="P80" s="15">
        <f t="shared" si="36"/>
        <v>136</v>
      </c>
      <c r="R80" s="8"/>
      <c r="T80"/>
    </row>
    <row r="81" spans="2:20" ht="23.1" customHeight="1" x14ac:dyDescent="0.25">
      <c r="B81" s="45" t="s">
        <v>121</v>
      </c>
      <c r="C81" s="50">
        <v>15</v>
      </c>
      <c r="D81" s="50">
        <v>2</v>
      </c>
      <c r="E81" s="50">
        <v>6</v>
      </c>
      <c r="F81" s="50">
        <v>12</v>
      </c>
      <c r="G81" s="50">
        <v>0</v>
      </c>
      <c r="H81" s="50">
        <v>2</v>
      </c>
      <c r="I81" s="50">
        <v>11</v>
      </c>
      <c r="J81" s="50">
        <v>6</v>
      </c>
      <c r="K81" s="50">
        <v>1</v>
      </c>
      <c r="L81" s="50">
        <v>1</v>
      </c>
      <c r="M81" s="50">
        <v>100</v>
      </c>
      <c r="N81" s="50">
        <v>0</v>
      </c>
      <c r="O81" s="15">
        <f t="shared" si="35"/>
        <v>56</v>
      </c>
      <c r="P81" s="15">
        <f t="shared" si="36"/>
        <v>156</v>
      </c>
      <c r="R81" s="8"/>
      <c r="T81"/>
    </row>
    <row r="82" spans="2:20" ht="23.1" customHeight="1" x14ac:dyDescent="0.25">
      <c r="B82" s="46" t="s">
        <v>122</v>
      </c>
      <c r="C82" s="50">
        <v>5</v>
      </c>
      <c r="D82" s="50">
        <v>0</v>
      </c>
      <c r="E82" s="50">
        <v>3</v>
      </c>
      <c r="F82" s="50">
        <v>1</v>
      </c>
      <c r="G82" s="50">
        <v>0</v>
      </c>
      <c r="H82" s="50">
        <v>1</v>
      </c>
      <c r="I82" s="50">
        <v>6</v>
      </c>
      <c r="J82" s="50">
        <v>15</v>
      </c>
      <c r="K82" s="50">
        <v>9</v>
      </c>
      <c r="L82" s="50">
        <v>2</v>
      </c>
      <c r="M82" s="50">
        <v>63</v>
      </c>
      <c r="N82" s="50">
        <v>0</v>
      </c>
      <c r="O82" s="15">
        <f t="shared" si="35"/>
        <v>42</v>
      </c>
      <c r="P82" s="15">
        <f t="shared" si="36"/>
        <v>105</v>
      </c>
      <c r="R82" s="8"/>
      <c r="T82"/>
    </row>
    <row r="83" spans="2:20" ht="23.1" customHeight="1" x14ac:dyDescent="0.25">
      <c r="B83" s="45" t="s">
        <v>123</v>
      </c>
      <c r="C83" s="50">
        <v>12</v>
      </c>
      <c r="D83" s="50">
        <v>2</v>
      </c>
      <c r="E83" s="50">
        <v>0</v>
      </c>
      <c r="F83" s="50">
        <v>4</v>
      </c>
      <c r="G83" s="50">
        <v>0</v>
      </c>
      <c r="H83" s="50">
        <v>0</v>
      </c>
      <c r="I83" s="50">
        <v>6</v>
      </c>
      <c r="J83" s="50">
        <v>11</v>
      </c>
      <c r="K83" s="50">
        <v>3</v>
      </c>
      <c r="L83" s="50">
        <v>0</v>
      </c>
      <c r="M83" s="50">
        <v>95</v>
      </c>
      <c r="N83" s="50">
        <v>0</v>
      </c>
      <c r="O83" s="15">
        <f t="shared" si="35"/>
        <v>38</v>
      </c>
      <c r="P83" s="15">
        <f t="shared" si="36"/>
        <v>133</v>
      </c>
      <c r="R83" s="8"/>
      <c r="T83"/>
    </row>
    <row r="84" spans="2:20" ht="23.1" customHeight="1" x14ac:dyDescent="0.25">
      <c r="B84" s="47" t="s">
        <v>124</v>
      </c>
      <c r="C84" s="50">
        <v>10</v>
      </c>
      <c r="D84" s="50">
        <v>4</v>
      </c>
      <c r="E84" s="50">
        <v>2</v>
      </c>
      <c r="F84" s="50">
        <v>6</v>
      </c>
      <c r="G84" s="50">
        <v>1</v>
      </c>
      <c r="H84" s="50">
        <v>0</v>
      </c>
      <c r="I84" s="50">
        <v>7</v>
      </c>
      <c r="J84" s="50">
        <v>8</v>
      </c>
      <c r="K84" s="50">
        <v>6</v>
      </c>
      <c r="L84" s="50">
        <v>2</v>
      </c>
      <c r="M84" s="50">
        <v>45</v>
      </c>
      <c r="N84" s="50">
        <v>0</v>
      </c>
      <c r="O84" s="15">
        <f t="shared" si="35"/>
        <v>46</v>
      </c>
      <c r="P84" s="15">
        <f t="shared" si="36"/>
        <v>91</v>
      </c>
      <c r="R84" s="8"/>
      <c r="T84"/>
    </row>
    <row r="85" spans="2:20" ht="23.1" customHeight="1" x14ac:dyDescent="0.25">
      <c r="B85" s="45" t="s">
        <v>125</v>
      </c>
      <c r="C85" s="50">
        <v>8</v>
      </c>
      <c r="D85" s="50">
        <v>2</v>
      </c>
      <c r="E85" s="50">
        <v>5</v>
      </c>
      <c r="F85" s="50">
        <v>3</v>
      </c>
      <c r="G85" s="50">
        <v>0</v>
      </c>
      <c r="H85" s="50">
        <v>1</v>
      </c>
      <c r="I85" s="50">
        <v>5</v>
      </c>
      <c r="J85" s="50">
        <v>13</v>
      </c>
      <c r="K85" s="50">
        <v>8</v>
      </c>
      <c r="L85" s="50">
        <v>1</v>
      </c>
      <c r="M85" s="50">
        <v>58</v>
      </c>
      <c r="N85" s="50">
        <v>0</v>
      </c>
      <c r="O85" s="15">
        <f t="shared" si="35"/>
        <v>46</v>
      </c>
      <c r="P85" s="15">
        <f t="shared" si="36"/>
        <v>104</v>
      </c>
      <c r="R85" s="8"/>
      <c r="T85"/>
    </row>
    <row r="86" spans="2:20" ht="23.1" customHeight="1" x14ac:dyDescent="0.25">
      <c r="B86" s="46" t="s">
        <v>126</v>
      </c>
      <c r="C86" s="50">
        <v>9</v>
      </c>
      <c r="D86" s="50">
        <v>1</v>
      </c>
      <c r="E86" s="50">
        <v>1</v>
      </c>
      <c r="F86" s="50">
        <v>9</v>
      </c>
      <c r="G86" s="50">
        <v>0</v>
      </c>
      <c r="H86" s="50">
        <v>2</v>
      </c>
      <c r="I86" s="50">
        <v>9</v>
      </c>
      <c r="J86" s="50">
        <v>11</v>
      </c>
      <c r="K86" s="50">
        <v>2</v>
      </c>
      <c r="L86" s="50">
        <v>5</v>
      </c>
      <c r="M86" s="50">
        <v>17</v>
      </c>
      <c r="N86" s="50">
        <v>0</v>
      </c>
      <c r="O86" s="15">
        <f t="shared" si="35"/>
        <v>49</v>
      </c>
      <c r="P86" s="15">
        <f t="shared" si="36"/>
        <v>66</v>
      </c>
      <c r="R86" s="8"/>
      <c r="T86"/>
    </row>
    <row r="87" spans="2:20" ht="23.1" customHeight="1" x14ac:dyDescent="0.25">
      <c r="B87" s="45" t="s">
        <v>127</v>
      </c>
      <c r="C87" s="50">
        <v>9</v>
      </c>
      <c r="D87" s="50">
        <v>0</v>
      </c>
      <c r="E87" s="50">
        <v>1</v>
      </c>
      <c r="F87" s="50">
        <v>3</v>
      </c>
      <c r="G87" s="50">
        <v>0</v>
      </c>
      <c r="H87" s="50">
        <v>1</v>
      </c>
      <c r="I87" s="50">
        <v>3</v>
      </c>
      <c r="J87" s="50">
        <v>6</v>
      </c>
      <c r="K87" s="50">
        <v>1</v>
      </c>
      <c r="L87" s="50">
        <v>3</v>
      </c>
      <c r="M87" s="50">
        <v>12</v>
      </c>
      <c r="N87" s="50">
        <v>0</v>
      </c>
      <c r="O87" s="15">
        <f t="shared" si="35"/>
        <v>27</v>
      </c>
      <c r="P87" s="15">
        <f t="shared" si="36"/>
        <v>39</v>
      </c>
      <c r="R87" s="8"/>
      <c r="T87"/>
    </row>
    <row r="88" spans="2:20" ht="23.1" customHeight="1" x14ac:dyDescent="0.25">
      <c r="B88" s="47" t="s">
        <v>128</v>
      </c>
      <c r="C88" s="50">
        <v>9</v>
      </c>
      <c r="D88" s="50">
        <v>0</v>
      </c>
      <c r="E88" s="50">
        <v>2</v>
      </c>
      <c r="F88" s="50">
        <v>5</v>
      </c>
      <c r="G88" s="50">
        <v>0</v>
      </c>
      <c r="H88" s="50">
        <v>0</v>
      </c>
      <c r="I88" s="50">
        <v>7</v>
      </c>
      <c r="J88" s="50">
        <v>4</v>
      </c>
      <c r="K88" s="50">
        <v>3</v>
      </c>
      <c r="L88" s="50">
        <v>3</v>
      </c>
      <c r="M88" s="50">
        <v>16</v>
      </c>
      <c r="N88" s="50">
        <v>0</v>
      </c>
      <c r="O88" s="15">
        <f t="shared" si="35"/>
        <v>33</v>
      </c>
      <c r="P88" s="15">
        <f t="shared" si="36"/>
        <v>49</v>
      </c>
      <c r="R88" s="8"/>
      <c r="T88"/>
    </row>
    <row r="89" spans="2:20" ht="23.1" customHeight="1" x14ac:dyDescent="0.25">
      <c r="B89" s="45" t="s">
        <v>129</v>
      </c>
      <c r="C89" s="50">
        <v>6</v>
      </c>
      <c r="D89" s="50">
        <v>0</v>
      </c>
      <c r="E89" s="50">
        <v>3</v>
      </c>
      <c r="F89" s="50">
        <v>4</v>
      </c>
      <c r="G89" s="50">
        <v>0</v>
      </c>
      <c r="H89" s="50">
        <v>2</v>
      </c>
      <c r="I89" s="50">
        <v>8</v>
      </c>
      <c r="J89" s="50">
        <v>8</v>
      </c>
      <c r="K89" s="50">
        <v>2</v>
      </c>
      <c r="L89" s="50">
        <v>6</v>
      </c>
      <c r="M89" s="50">
        <v>17</v>
      </c>
      <c r="N89" s="50">
        <v>0</v>
      </c>
      <c r="O89" s="15">
        <f t="shared" si="35"/>
        <v>39</v>
      </c>
      <c r="P89" s="15">
        <f t="shared" si="36"/>
        <v>56</v>
      </c>
      <c r="R89" s="8"/>
      <c r="T89"/>
    </row>
    <row r="90" spans="2:20" ht="23.1" customHeight="1" x14ac:dyDescent="0.25">
      <c r="B90" s="46" t="s">
        <v>130</v>
      </c>
      <c r="C90" s="50">
        <v>7</v>
      </c>
      <c r="D90" s="50">
        <v>2</v>
      </c>
      <c r="E90" s="50">
        <v>0</v>
      </c>
      <c r="F90" s="50">
        <v>4</v>
      </c>
      <c r="G90" s="50">
        <v>0</v>
      </c>
      <c r="H90" s="50">
        <v>0</v>
      </c>
      <c r="I90" s="50">
        <v>5</v>
      </c>
      <c r="J90" s="50">
        <v>3</v>
      </c>
      <c r="K90" s="50">
        <v>0</v>
      </c>
      <c r="L90" s="50">
        <v>2</v>
      </c>
      <c r="M90" s="50">
        <v>17</v>
      </c>
      <c r="N90" s="50">
        <v>0</v>
      </c>
      <c r="O90" s="15">
        <f t="shared" si="35"/>
        <v>23</v>
      </c>
      <c r="P90" s="15">
        <f t="shared" si="36"/>
        <v>40</v>
      </c>
      <c r="R90" s="8"/>
      <c r="T90"/>
    </row>
    <row r="91" spans="2:20" ht="23.1" customHeight="1" x14ac:dyDescent="0.25">
      <c r="B91" s="45" t="s">
        <v>131</v>
      </c>
      <c r="C91" s="50">
        <v>14</v>
      </c>
      <c r="D91" s="50">
        <v>2</v>
      </c>
      <c r="E91" s="50">
        <v>1</v>
      </c>
      <c r="F91" s="50">
        <v>3</v>
      </c>
      <c r="G91" s="50">
        <v>0</v>
      </c>
      <c r="H91" s="50">
        <v>1</v>
      </c>
      <c r="I91" s="50">
        <v>9</v>
      </c>
      <c r="J91" s="50">
        <v>6</v>
      </c>
      <c r="K91" s="50">
        <v>8</v>
      </c>
      <c r="L91" s="50">
        <v>1</v>
      </c>
      <c r="M91" s="50">
        <v>30</v>
      </c>
      <c r="N91" s="50">
        <v>0</v>
      </c>
      <c r="O91" s="15">
        <f t="shared" si="35"/>
        <v>45</v>
      </c>
      <c r="P91" s="15">
        <f t="shared" si="36"/>
        <v>75</v>
      </c>
      <c r="R91" s="8"/>
      <c r="T91"/>
    </row>
    <row r="92" spans="2:20" ht="23.1" customHeight="1" x14ac:dyDescent="0.25">
      <c r="B92" s="47" t="s">
        <v>132</v>
      </c>
      <c r="C92" s="50">
        <v>13</v>
      </c>
      <c r="D92" s="50">
        <v>2</v>
      </c>
      <c r="E92" s="50">
        <v>2</v>
      </c>
      <c r="F92" s="50">
        <v>5</v>
      </c>
      <c r="G92" s="50">
        <v>1</v>
      </c>
      <c r="H92" s="50">
        <v>8</v>
      </c>
      <c r="I92" s="50">
        <v>2</v>
      </c>
      <c r="J92" s="50">
        <v>12</v>
      </c>
      <c r="K92" s="50">
        <v>4</v>
      </c>
      <c r="L92" s="50">
        <v>2</v>
      </c>
      <c r="M92" s="50">
        <v>15</v>
      </c>
      <c r="N92" s="50">
        <v>0</v>
      </c>
      <c r="O92" s="15">
        <f t="shared" si="35"/>
        <v>51</v>
      </c>
      <c r="P92" s="15">
        <f t="shared" si="36"/>
        <v>66</v>
      </c>
      <c r="R92" s="8"/>
      <c r="T92"/>
    </row>
    <row r="93" spans="2:20" ht="23.1" customHeight="1" x14ac:dyDescent="0.25">
      <c r="B93" s="45" t="s">
        <v>133</v>
      </c>
      <c r="C93" s="50">
        <v>10</v>
      </c>
      <c r="D93" s="50">
        <v>1</v>
      </c>
      <c r="E93" s="50">
        <v>5</v>
      </c>
      <c r="F93" s="50">
        <v>4</v>
      </c>
      <c r="G93" s="50">
        <v>1</v>
      </c>
      <c r="H93" s="50">
        <v>13</v>
      </c>
      <c r="I93" s="50">
        <v>2</v>
      </c>
      <c r="J93" s="50">
        <v>15</v>
      </c>
      <c r="K93" s="50">
        <v>6</v>
      </c>
      <c r="L93" s="50">
        <v>1</v>
      </c>
      <c r="M93" s="50">
        <v>60</v>
      </c>
      <c r="N93" s="50">
        <v>0</v>
      </c>
      <c r="O93" s="15">
        <f t="shared" si="35"/>
        <v>58</v>
      </c>
      <c r="P93" s="15">
        <f t="shared" si="36"/>
        <v>118</v>
      </c>
      <c r="R93" s="8"/>
      <c r="T93"/>
    </row>
    <row r="94" spans="2:20" ht="23.1" customHeight="1" x14ac:dyDescent="0.25">
      <c r="B94" s="46" t="s">
        <v>134</v>
      </c>
      <c r="C94" s="50">
        <v>9</v>
      </c>
      <c r="D94" s="50">
        <v>1</v>
      </c>
      <c r="E94" s="50">
        <v>3</v>
      </c>
      <c r="F94" s="50">
        <v>6</v>
      </c>
      <c r="G94" s="50">
        <v>7</v>
      </c>
      <c r="H94" s="50">
        <v>6</v>
      </c>
      <c r="I94" s="50">
        <v>5</v>
      </c>
      <c r="J94" s="50">
        <v>30</v>
      </c>
      <c r="K94" s="50">
        <v>25</v>
      </c>
      <c r="L94" s="50">
        <v>6</v>
      </c>
      <c r="M94" s="50">
        <v>75</v>
      </c>
      <c r="N94" s="50">
        <v>0</v>
      </c>
      <c r="O94" s="15">
        <f t="shared" si="35"/>
        <v>98</v>
      </c>
      <c r="P94" s="15">
        <f t="shared" si="36"/>
        <v>173</v>
      </c>
      <c r="R94" s="8"/>
      <c r="T94"/>
    </row>
    <row r="95" spans="2:20" ht="23.1" customHeight="1" x14ac:dyDescent="0.25">
      <c r="B95" s="45" t="s">
        <v>135</v>
      </c>
      <c r="C95" s="50">
        <v>10</v>
      </c>
      <c r="D95" s="50">
        <v>3</v>
      </c>
      <c r="E95" s="50">
        <v>3</v>
      </c>
      <c r="F95" s="50">
        <v>1</v>
      </c>
      <c r="G95" s="50">
        <v>4</v>
      </c>
      <c r="H95" s="50">
        <v>15</v>
      </c>
      <c r="I95" s="50">
        <v>5</v>
      </c>
      <c r="J95" s="50">
        <v>13</v>
      </c>
      <c r="K95" s="50">
        <v>10</v>
      </c>
      <c r="L95" s="50">
        <v>8</v>
      </c>
      <c r="M95" s="50">
        <v>65</v>
      </c>
      <c r="N95" s="50">
        <v>0</v>
      </c>
      <c r="O95" s="15">
        <f t="shared" si="35"/>
        <v>72</v>
      </c>
      <c r="P95" s="15">
        <f t="shared" si="36"/>
        <v>137</v>
      </c>
      <c r="R95" s="8"/>
      <c r="T95"/>
    </row>
    <row r="96" spans="2:20" ht="23.1" customHeight="1" x14ac:dyDescent="0.25">
      <c r="B96" s="47" t="s">
        <v>136</v>
      </c>
      <c r="C96" s="50">
        <v>8</v>
      </c>
      <c r="D96" s="50">
        <v>0</v>
      </c>
      <c r="E96" s="50">
        <v>3</v>
      </c>
      <c r="F96" s="50">
        <v>10</v>
      </c>
      <c r="G96" s="50">
        <v>2</v>
      </c>
      <c r="H96" s="50">
        <v>18</v>
      </c>
      <c r="I96" s="50">
        <v>11</v>
      </c>
      <c r="J96" s="50">
        <v>18</v>
      </c>
      <c r="K96" s="50">
        <v>7</v>
      </c>
      <c r="L96" s="50">
        <v>5</v>
      </c>
      <c r="M96" s="50">
        <v>77</v>
      </c>
      <c r="N96" s="50">
        <v>0</v>
      </c>
      <c r="O96" s="15">
        <f t="shared" si="35"/>
        <v>82</v>
      </c>
      <c r="P96" s="15">
        <f t="shared" si="36"/>
        <v>159</v>
      </c>
      <c r="R96" s="8"/>
      <c r="T96"/>
    </row>
    <row r="97" spans="2:20" ht="23.1" customHeight="1" x14ac:dyDescent="0.25">
      <c r="B97" s="45" t="s">
        <v>137</v>
      </c>
      <c r="C97" s="50">
        <v>8</v>
      </c>
      <c r="D97" s="50">
        <v>1</v>
      </c>
      <c r="E97" s="50">
        <v>2</v>
      </c>
      <c r="F97" s="50">
        <v>15</v>
      </c>
      <c r="G97" s="50">
        <v>4</v>
      </c>
      <c r="H97" s="50">
        <v>5</v>
      </c>
      <c r="I97" s="50">
        <v>15</v>
      </c>
      <c r="J97" s="50">
        <v>22</v>
      </c>
      <c r="K97" s="50">
        <v>10</v>
      </c>
      <c r="L97" s="50">
        <v>3</v>
      </c>
      <c r="M97" s="50">
        <v>85</v>
      </c>
      <c r="N97" s="50">
        <v>0</v>
      </c>
      <c r="O97" s="15">
        <f t="shared" si="35"/>
        <v>85</v>
      </c>
      <c r="P97" s="15">
        <f t="shared" si="36"/>
        <v>170</v>
      </c>
      <c r="R97" s="8"/>
      <c r="T97"/>
    </row>
    <row r="98" spans="2:20" ht="23.1" customHeight="1" x14ac:dyDescent="0.25">
      <c r="B98" s="46" t="s">
        <v>138</v>
      </c>
      <c r="C98" s="50">
        <v>8</v>
      </c>
      <c r="D98" s="50">
        <v>1</v>
      </c>
      <c r="E98" s="50">
        <v>2</v>
      </c>
      <c r="F98" s="50">
        <v>17</v>
      </c>
      <c r="G98" s="50">
        <v>0</v>
      </c>
      <c r="H98" s="50">
        <v>8</v>
      </c>
      <c r="I98" s="50">
        <v>26</v>
      </c>
      <c r="J98" s="50">
        <v>17</v>
      </c>
      <c r="K98" s="50">
        <v>6</v>
      </c>
      <c r="L98" s="50">
        <v>11</v>
      </c>
      <c r="M98" s="50">
        <v>85</v>
      </c>
      <c r="N98" s="50">
        <v>0</v>
      </c>
      <c r="O98" s="15">
        <f t="shared" si="35"/>
        <v>96</v>
      </c>
      <c r="P98" s="15">
        <f t="shared" si="36"/>
        <v>181</v>
      </c>
      <c r="R98" s="8"/>
      <c r="T98"/>
    </row>
    <row r="99" spans="2:20" ht="23.1" customHeight="1" x14ac:dyDescent="0.25">
      <c r="B99" s="45" t="s">
        <v>139</v>
      </c>
      <c r="C99" s="50">
        <v>17</v>
      </c>
      <c r="D99" s="50">
        <v>3</v>
      </c>
      <c r="E99" s="50">
        <v>6</v>
      </c>
      <c r="F99" s="50">
        <v>26</v>
      </c>
      <c r="G99" s="50">
        <v>1</v>
      </c>
      <c r="H99" s="50">
        <v>1</v>
      </c>
      <c r="I99" s="50">
        <v>1</v>
      </c>
      <c r="J99" s="50">
        <v>9</v>
      </c>
      <c r="K99" s="50">
        <v>3</v>
      </c>
      <c r="L99" s="50">
        <v>2</v>
      </c>
      <c r="M99" s="50">
        <v>50</v>
      </c>
      <c r="N99" s="50">
        <v>0</v>
      </c>
      <c r="O99" s="15">
        <f t="shared" si="35"/>
        <v>69</v>
      </c>
      <c r="P99" s="15">
        <f t="shared" si="36"/>
        <v>119</v>
      </c>
      <c r="R99" s="8"/>
      <c r="T99"/>
    </row>
    <row r="100" spans="2:20" ht="23.1" customHeight="1" x14ac:dyDescent="0.25">
      <c r="B100" s="47" t="s">
        <v>140</v>
      </c>
      <c r="C100" s="50">
        <v>15</v>
      </c>
      <c r="D100" s="50">
        <v>2</v>
      </c>
      <c r="E100" s="50">
        <v>8</v>
      </c>
      <c r="F100" s="50">
        <v>38</v>
      </c>
      <c r="G100" s="50">
        <v>2</v>
      </c>
      <c r="H100" s="50">
        <v>2</v>
      </c>
      <c r="I100" s="50">
        <v>5</v>
      </c>
      <c r="J100" s="50">
        <v>3</v>
      </c>
      <c r="K100" s="50">
        <v>0</v>
      </c>
      <c r="L100" s="50">
        <v>1</v>
      </c>
      <c r="M100" s="50">
        <v>45</v>
      </c>
      <c r="N100" s="50">
        <v>0</v>
      </c>
      <c r="O100" s="15">
        <f t="shared" si="35"/>
        <v>76</v>
      </c>
      <c r="P100" s="15">
        <f t="shared" si="36"/>
        <v>121</v>
      </c>
      <c r="R100" s="8"/>
      <c r="T100"/>
    </row>
    <row r="101" spans="2:20" ht="23.1" customHeight="1" x14ac:dyDescent="0.25">
      <c r="B101" s="45" t="s">
        <v>141</v>
      </c>
      <c r="C101" s="50">
        <v>16</v>
      </c>
      <c r="D101" s="50">
        <v>3</v>
      </c>
      <c r="E101" s="50">
        <v>10</v>
      </c>
      <c r="F101" s="50">
        <v>51</v>
      </c>
      <c r="G101" s="50">
        <v>2</v>
      </c>
      <c r="H101" s="50">
        <v>4</v>
      </c>
      <c r="I101" s="50">
        <v>6</v>
      </c>
      <c r="J101" s="50">
        <v>5</v>
      </c>
      <c r="K101" s="50">
        <v>6</v>
      </c>
      <c r="L101" s="50">
        <v>4</v>
      </c>
      <c r="M101" s="50">
        <v>80</v>
      </c>
      <c r="N101" s="50">
        <v>0</v>
      </c>
      <c r="O101" s="15">
        <f t="shared" si="35"/>
        <v>107</v>
      </c>
      <c r="P101" s="15">
        <f t="shared" si="36"/>
        <v>187</v>
      </c>
      <c r="R101" s="8"/>
      <c r="T101"/>
    </row>
    <row r="102" spans="2:20" ht="23.1" customHeight="1" x14ac:dyDescent="0.25">
      <c r="B102" s="46" t="s">
        <v>142</v>
      </c>
      <c r="C102" s="50">
        <v>34</v>
      </c>
      <c r="D102" s="50">
        <v>4</v>
      </c>
      <c r="E102" s="50">
        <v>5</v>
      </c>
      <c r="F102" s="50">
        <v>61</v>
      </c>
      <c r="G102" s="50">
        <v>1</v>
      </c>
      <c r="H102" s="50">
        <v>1</v>
      </c>
      <c r="I102" s="50">
        <v>3</v>
      </c>
      <c r="J102" s="50">
        <v>7</v>
      </c>
      <c r="K102" s="50">
        <v>1</v>
      </c>
      <c r="L102" s="50">
        <v>4</v>
      </c>
      <c r="M102" s="50">
        <v>85</v>
      </c>
      <c r="N102" s="50">
        <v>0</v>
      </c>
      <c r="O102" s="15">
        <f t="shared" si="35"/>
        <v>121</v>
      </c>
      <c r="P102" s="15">
        <f t="shared" si="36"/>
        <v>206</v>
      </c>
      <c r="R102" s="8"/>
      <c r="T102"/>
    </row>
    <row r="103" spans="2:20" ht="23.1" customHeight="1" x14ac:dyDescent="0.25">
      <c r="B103" s="45" t="s">
        <v>143</v>
      </c>
      <c r="C103" s="50">
        <v>56</v>
      </c>
      <c r="D103" s="50">
        <v>3</v>
      </c>
      <c r="E103" s="50">
        <v>13</v>
      </c>
      <c r="F103" s="50">
        <v>50</v>
      </c>
      <c r="G103" s="50">
        <v>0</v>
      </c>
      <c r="H103" s="50">
        <v>0</v>
      </c>
      <c r="I103" s="50">
        <v>10</v>
      </c>
      <c r="J103" s="50">
        <v>15</v>
      </c>
      <c r="K103" s="50">
        <v>1</v>
      </c>
      <c r="L103" s="50">
        <v>1</v>
      </c>
      <c r="M103" s="50">
        <v>80</v>
      </c>
      <c r="N103" s="50">
        <v>0</v>
      </c>
      <c r="O103" s="15">
        <f t="shared" si="35"/>
        <v>149</v>
      </c>
      <c r="P103" s="15">
        <f t="shared" si="36"/>
        <v>229</v>
      </c>
      <c r="R103" s="8"/>
      <c r="T103"/>
    </row>
    <row r="104" spans="2:20" ht="23.1" customHeight="1" x14ac:dyDescent="0.25">
      <c r="B104" s="47" t="s">
        <v>144</v>
      </c>
      <c r="C104" s="50">
        <v>56</v>
      </c>
      <c r="D104" s="50">
        <v>2</v>
      </c>
      <c r="E104" s="50">
        <v>10</v>
      </c>
      <c r="F104" s="50">
        <v>60</v>
      </c>
      <c r="G104" s="50">
        <v>1</v>
      </c>
      <c r="H104" s="50">
        <v>1</v>
      </c>
      <c r="I104" s="50">
        <v>16</v>
      </c>
      <c r="J104" s="50">
        <v>11</v>
      </c>
      <c r="K104" s="50">
        <v>1</v>
      </c>
      <c r="L104" s="50">
        <v>2</v>
      </c>
      <c r="M104" s="50">
        <v>125</v>
      </c>
      <c r="N104" s="50">
        <v>0</v>
      </c>
      <c r="O104" s="15">
        <f t="shared" si="35"/>
        <v>160</v>
      </c>
      <c r="P104" s="15">
        <f t="shared" si="36"/>
        <v>285</v>
      </c>
      <c r="R104" s="8"/>
      <c r="T104"/>
    </row>
    <row r="105" spans="2:20" ht="23.1" customHeight="1" x14ac:dyDescent="0.25">
      <c r="B105" s="45" t="s">
        <v>145</v>
      </c>
      <c r="C105" s="50">
        <v>60</v>
      </c>
      <c r="D105" s="50">
        <v>10</v>
      </c>
      <c r="E105" s="50">
        <v>12</v>
      </c>
      <c r="F105" s="50">
        <v>49</v>
      </c>
      <c r="G105" s="50">
        <v>1</v>
      </c>
      <c r="H105" s="50">
        <v>2</v>
      </c>
      <c r="I105" s="50">
        <v>7</v>
      </c>
      <c r="J105" s="50">
        <v>5</v>
      </c>
      <c r="K105" s="50">
        <v>1</v>
      </c>
      <c r="L105" s="50">
        <v>1</v>
      </c>
      <c r="M105" s="50">
        <v>175</v>
      </c>
      <c r="N105" s="50">
        <v>0</v>
      </c>
      <c r="O105" s="15">
        <f t="shared" si="35"/>
        <v>148</v>
      </c>
      <c r="P105" s="15">
        <f t="shared" si="36"/>
        <v>323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4454</v>
      </c>
      <c r="D106" s="16">
        <f t="shared" ref="D106:P106" si="37">SUM(D10:D105)</f>
        <v>684</v>
      </c>
      <c r="E106" s="16">
        <f t="shared" si="37"/>
        <v>649</v>
      </c>
      <c r="F106" s="16">
        <f t="shared" si="37"/>
        <v>4415</v>
      </c>
      <c r="G106" s="16">
        <f t="shared" si="37"/>
        <v>150</v>
      </c>
      <c r="H106" s="16">
        <f t="shared" si="37"/>
        <v>210</v>
      </c>
      <c r="I106" s="16">
        <f t="shared" si="37"/>
        <v>844</v>
      </c>
      <c r="J106" s="16">
        <f t="shared" si="37"/>
        <v>626</v>
      </c>
      <c r="K106" s="16">
        <f t="shared" si="37"/>
        <v>286</v>
      </c>
      <c r="L106" s="16">
        <f t="shared" si="37"/>
        <v>240</v>
      </c>
      <c r="M106" s="16">
        <f t="shared" si="37"/>
        <v>15768</v>
      </c>
      <c r="N106" s="16">
        <f t="shared" si="37"/>
        <v>0</v>
      </c>
      <c r="O106" s="16">
        <f t="shared" si="37"/>
        <v>12558</v>
      </c>
      <c r="P106" s="16">
        <f t="shared" si="37"/>
        <v>28326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0.15724069759231801</v>
      </c>
      <c r="D107" s="43">
        <f t="shared" si="38"/>
        <v>2.4147426392713407E-2</v>
      </c>
      <c r="E107" s="43">
        <f t="shared" si="38"/>
        <v>2.2911812469109651E-2</v>
      </c>
      <c r="F107" s="43">
        <f t="shared" si="38"/>
        <v>0.15586387064887383</v>
      </c>
      <c r="G107" s="43">
        <f t="shared" si="38"/>
        <v>5.2954882440160982E-3</v>
      </c>
      <c r="H107" s="43">
        <f t="shared" si="38"/>
        <v>7.4136835416225375E-3</v>
      </c>
      <c r="I107" s="43">
        <f t="shared" si="38"/>
        <v>2.9795947186330579E-2</v>
      </c>
      <c r="J107" s="43">
        <f t="shared" si="38"/>
        <v>2.2099837605027182E-2</v>
      </c>
      <c r="K107" s="43">
        <f t="shared" si="38"/>
        <v>1.0096730918590695E-2</v>
      </c>
      <c r="L107" s="43">
        <f t="shared" si="38"/>
        <v>8.4727811904257572E-3</v>
      </c>
      <c r="M107" s="43">
        <f t="shared" si="38"/>
        <v>0.55666172421097226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0.35467431119605031</v>
      </c>
      <c r="D108" s="44">
        <f t="shared" ref="D108:N108" si="39">D106/$O$106</f>
        <v>5.4467271858576208E-2</v>
      </c>
      <c r="E108" s="44">
        <f t="shared" si="39"/>
        <v>5.1680203854116896E-2</v>
      </c>
      <c r="F108" s="44">
        <f t="shared" si="39"/>
        <v>0.3515687211339385</v>
      </c>
      <c r="G108" s="44">
        <f t="shared" si="39"/>
        <v>1.1944577161968466E-2</v>
      </c>
      <c r="H108" s="44">
        <f t="shared" si="39"/>
        <v>1.6722408026755852E-2</v>
      </c>
      <c r="I108" s="44">
        <f t="shared" si="39"/>
        <v>6.7208154164675904E-2</v>
      </c>
      <c r="J108" s="44">
        <f t="shared" si="39"/>
        <v>4.9848702022615064E-2</v>
      </c>
      <c r="K108" s="44">
        <f t="shared" si="39"/>
        <v>2.2774327122153208E-2</v>
      </c>
      <c r="L108" s="44">
        <f t="shared" si="39"/>
        <v>1.9111323459149548E-2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2" tint="-0.249977111117893"/>
  </sheetPr>
  <dimension ref="B1:AF174"/>
  <sheetViews>
    <sheetView view="pageBreakPreview" zoomScale="60" workbookViewId="0">
      <selection activeCell="N105" sqref="N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4" t="str">
        <f>'22.07 NATEETE-BUSEGA'!C3:G3</f>
        <v>MCC - C1 - STN10- MASAKA ROAD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167</v>
      </c>
      <c r="E5" s="3"/>
      <c r="F5" s="41" t="s">
        <v>1</v>
      </c>
      <c r="G5" s="62" t="str">
        <f>'26.07 BUSEGA-NATEETE'!G5:H5</f>
        <v>GOD'S MERCY SUPERMARKET</v>
      </c>
      <c r="H5" s="63"/>
      <c r="I5" s="14"/>
      <c r="J5" s="2" t="s">
        <v>5</v>
      </c>
      <c r="K5" s="62" t="s">
        <v>175</v>
      </c>
      <c r="L5" s="63"/>
      <c r="M5" s="10"/>
      <c r="N5" s="10"/>
      <c r="O5" s="3"/>
      <c r="P5" s="3"/>
    </row>
    <row r="6" spans="2:32" ht="23.25" customHeight="1" x14ac:dyDescent="0.25">
      <c r="C6" s="2" t="s">
        <v>4</v>
      </c>
      <c r="D6" s="62" t="str">
        <f>'22.07 NATEETE-BUSEGA'!D6:E6</f>
        <v>NATEETE</v>
      </c>
      <c r="E6" s="63"/>
      <c r="F6" s="2" t="s">
        <v>2</v>
      </c>
      <c r="G6" s="62" t="str">
        <f>'22.07 NATEETE-BUSEGA'!G6:H6</f>
        <v>BUSEGA</v>
      </c>
      <c r="H6" s="63"/>
      <c r="J6" s="2" t="s">
        <v>21</v>
      </c>
      <c r="K6" s="62" t="str">
        <f>'26.07 BUSEGA-NATEETE'!K6:L6</f>
        <v>BEATRACE</v>
      </c>
      <c r="L6" s="6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68</v>
      </c>
      <c r="D10" s="50">
        <v>6</v>
      </c>
      <c r="E10" s="50">
        <v>5</v>
      </c>
      <c r="F10" s="50">
        <v>65</v>
      </c>
      <c r="G10" s="50">
        <v>1</v>
      </c>
      <c r="H10" s="50">
        <v>2</v>
      </c>
      <c r="I10" s="50">
        <v>7</v>
      </c>
      <c r="J10" s="50">
        <v>3</v>
      </c>
      <c r="K10" s="50">
        <v>4</v>
      </c>
      <c r="L10" s="50">
        <v>3</v>
      </c>
      <c r="M10" s="50">
        <v>178</v>
      </c>
      <c r="N10" s="50">
        <v>0</v>
      </c>
      <c r="O10" s="15">
        <f t="shared" ref="O10:O73" si="0">SUM(C10:L10,N10)</f>
        <v>164</v>
      </c>
      <c r="P10" s="15">
        <f t="shared" ref="P10:P73" si="1">SUM(C10:N10)</f>
        <v>342</v>
      </c>
      <c r="R10" s="1" t="s">
        <v>6</v>
      </c>
      <c r="S10" s="17">
        <f t="shared" ref="S10:AF10" si="2">SUM(C10:C13)</f>
        <v>205</v>
      </c>
      <c r="T10" s="17">
        <f t="shared" si="2"/>
        <v>36</v>
      </c>
      <c r="U10" s="17">
        <f t="shared" si="2"/>
        <v>17</v>
      </c>
      <c r="V10" s="17">
        <f t="shared" si="2"/>
        <v>223</v>
      </c>
      <c r="W10" s="17">
        <f t="shared" si="2"/>
        <v>6</v>
      </c>
      <c r="X10" s="17">
        <f t="shared" si="2"/>
        <v>6</v>
      </c>
      <c r="Y10" s="17">
        <f t="shared" si="2"/>
        <v>29</v>
      </c>
      <c r="Z10" s="17">
        <f t="shared" si="2"/>
        <v>19</v>
      </c>
      <c r="AA10" s="17">
        <f t="shared" si="2"/>
        <v>9</v>
      </c>
      <c r="AB10" s="17">
        <f t="shared" si="2"/>
        <v>7</v>
      </c>
      <c r="AC10" s="17">
        <f t="shared" si="2"/>
        <v>586</v>
      </c>
      <c r="AD10" s="17">
        <f t="shared" si="2"/>
        <v>0</v>
      </c>
      <c r="AE10" s="31">
        <f t="shared" si="2"/>
        <v>557</v>
      </c>
      <c r="AF10" s="31">
        <f t="shared" si="2"/>
        <v>1143</v>
      </c>
    </row>
    <row r="11" spans="2:32" s="6" customFormat="1" ht="23.1" customHeight="1" x14ac:dyDescent="0.25">
      <c r="B11" s="45" t="s">
        <v>38</v>
      </c>
      <c r="C11" s="50">
        <v>62</v>
      </c>
      <c r="D11" s="50">
        <v>11</v>
      </c>
      <c r="E11" s="50">
        <v>4</v>
      </c>
      <c r="F11" s="50">
        <v>76</v>
      </c>
      <c r="G11" s="50">
        <v>3</v>
      </c>
      <c r="H11" s="50">
        <v>0</v>
      </c>
      <c r="I11" s="50">
        <v>4</v>
      </c>
      <c r="J11" s="50">
        <v>2</v>
      </c>
      <c r="K11" s="50">
        <v>2</v>
      </c>
      <c r="L11" s="50">
        <v>0</v>
      </c>
      <c r="M11" s="50">
        <v>183</v>
      </c>
      <c r="N11" s="50">
        <v>0</v>
      </c>
      <c r="O11" s="15">
        <f t="shared" si="0"/>
        <v>164</v>
      </c>
      <c r="P11" s="15">
        <f t="shared" si="1"/>
        <v>347</v>
      </c>
      <c r="R11" s="1" t="s">
        <v>7</v>
      </c>
      <c r="S11" s="17">
        <f t="shared" ref="S11:AF11" si="3">SUM(C14:C17)</f>
        <v>159</v>
      </c>
      <c r="T11" s="17">
        <f t="shared" si="3"/>
        <v>10</v>
      </c>
      <c r="U11" s="17">
        <f t="shared" si="3"/>
        <v>17</v>
      </c>
      <c r="V11" s="17">
        <f t="shared" si="3"/>
        <v>187</v>
      </c>
      <c r="W11" s="17">
        <f t="shared" si="3"/>
        <v>7</v>
      </c>
      <c r="X11" s="17">
        <f t="shared" si="3"/>
        <v>7</v>
      </c>
      <c r="Y11" s="17">
        <f t="shared" si="3"/>
        <v>32</v>
      </c>
      <c r="Z11" s="17">
        <f t="shared" si="3"/>
        <v>16</v>
      </c>
      <c r="AA11" s="17">
        <f t="shared" si="3"/>
        <v>5</v>
      </c>
      <c r="AB11" s="17">
        <f t="shared" si="3"/>
        <v>4</v>
      </c>
      <c r="AC11" s="17">
        <f t="shared" si="3"/>
        <v>765</v>
      </c>
      <c r="AD11" s="17">
        <f t="shared" si="3"/>
        <v>0</v>
      </c>
      <c r="AE11" s="31">
        <f t="shared" si="3"/>
        <v>444</v>
      </c>
      <c r="AF11" s="31">
        <f t="shared" si="3"/>
        <v>1209</v>
      </c>
    </row>
    <row r="12" spans="2:32" ht="23.1" customHeight="1" x14ac:dyDescent="0.25">
      <c r="B12" s="45" t="s">
        <v>39</v>
      </c>
      <c r="C12" s="50">
        <v>24</v>
      </c>
      <c r="D12" s="50">
        <v>12</v>
      </c>
      <c r="E12" s="50">
        <v>5</v>
      </c>
      <c r="F12" s="50">
        <v>42</v>
      </c>
      <c r="G12" s="50">
        <v>1</v>
      </c>
      <c r="H12" s="50">
        <v>1</v>
      </c>
      <c r="I12" s="50">
        <v>8</v>
      </c>
      <c r="J12" s="50">
        <v>6</v>
      </c>
      <c r="K12" s="50">
        <v>2</v>
      </c>
      <c r="L12" s="50">
        <v>3</v>
      </c>
      <c r="M12" s="50">
        <v>0</v>
      </c>
      <c r="N12" s="50">
        <v>0</v>
      </c>
      <c r="O12" s="15">
        <f t="shared" si="0"/>
        <v>104</v>
      </c>
      <c r="P12" s="15">
        <f t="shared" si="1"/>
        <v>104</v>
      </c>
      <c r="R12" s="1" t="s">
        <v>8</v>
      </c>
      <c r="S12" s="17">
        <f t="shared" ref="S12:AF12" si="4">SUM(C18:C21)</f>
        <v>164</v>
      </c>
      <c r="T12" s="17">
        <f t="shared" si="4"/>
        <v>30</v>
      </c>
      <c r="U12" s="17">
        <f t="shared" si="4"/>
        <v>9</v>
      </c>
      <c r="V12" s="17">
        <f t="shared" si="4"/>
        <v>195</v>
      </c>
      <c r="W12" s="17">
        <f t="shared" si="4"/>
        <v>1</v>
      </c>
      <c r="X12" s="17">
        <f t="shared" si="4"/>
        <v>3</v>
      </c>
      <c r="Y12" s="17">
        <f t="shared" si="4"/>
        <v>41</v>
      </c>
      <c r="Z12" s="17">
        <f t="shared" si="4"/>
        <v>12</v>
      </c>
      <c r="AA12" s="17">
        <f t="shared" si="4"/>
        <v>6</v>
      </c>
      <c r="AB12" s="17">
        <f t="shared" si="4"/>
        <v>4</v>
      </c>
      <c r="AC12" s="17">
        <f t="shared" si="4"/>
        <v>744</v>
      </c>
      <c r="AD12" s="17">
        <f t="shared" si="4"/>
        <v>0</v>
      </c>
      <c r="AE12" s="31">
        <f t="shared" si="4"/>
        <v>465</v>
      </c>
      <c r="AF12" s="31">
        <f t="shared" si="4"/>
        <v>1209</v>
      </c>
    </row>
    <row r="13" spans="2:32" ht="23.1" customHeight="1" x14ac:dyDescent="0.25">
      <c r="B13" s="45" t="s">
        <v>40</v>
      </c>
      <c r="C13" s="50">
        <v>51</v>
      </c>
      <c r="D13" s="50">
        <v>7</v>
      </c>
      <c r="E13" s="50">
        <v>3</v>
      </c>
      <c r="F13" s="50">
        <v>40</v>
      </c>
      <c r="G13" s="50">
        <v>1</v>
      </c>
      <c r="H13" s="50">
        <v>3</v>
      </c>
      <c r="I13" s="50">
        <v>10</v>
      </c>
      <c r="J13" s="50">
        <v>8</v>
      </c>
      <c r="K13" s="50">
        <v>1</v>
      </c>
      <c r="L13" s="50">
        <v>1</v>
      </c>
      <c r="M13" s="50">
        <v>225</v>
      </c>
      <c r="N13" s="50">
        <v>0</v>
      </c>
      <c r="O13" s="15">
        <f t="shared" si="0"/>
        <v>125</v>
      </c>
      <c r="P13" s="15">
        <f t="shared" si="1"/>
        <v>350</v>
      </c>
      <c r="R13" s="1" t="s">
        <v>9</v>
      </c>
      <c r="S13" s="17">
        <f t="shared" ref="S13:AF13" si="5">SUM(C22:C25)</f>
        <v>185</v>
      </c>
      <c r="T13" s="17">
        <f t="shared" si="5"/>
        <v>19</v>
      </c>
      <c r="U13" s="17">
        <f t="shared" si="5"/>
        <v>27</v>
      </c>
      <c r="V13" s="17">
        <f t="shared" si="5"/>
        <v>157</v>
      </c>
      <c r="W13" s="17">
        <f t="shared" si="5"/>
        <v>5</v>
      </c>
      <c r="X13" s="17">
        <f t="shared" si="5"/>
        <v>7</v>
      </c>
      <c r="Y13" s="17">
        <f t="shared" si="5"/>
        <v>35</v>
      </c>
      <c r="Z13" s="17">
        <f t="shared" si="5"/>
        <v>19</v>
      </c>
      <c r="AA13" s="17">
        <f t="shared" si="5"/>
        <v>9</v>
      </c>
      <c r="AB13" s="17">
        <f t="shared" si="5"/>
        <v>5</v>
      </c>
      <c r="AC13" s="17">
        <f t="shared" si="5"/>
        <v>775</v>
      </c>
      <c r="AD13" s="17">
        <f t="shared" si="5"/>
        <v>0</v>
      </c>
      <c r="AE13" s="31">
        <f t="shared" si="5"/>
        <v>468</v>
      </c>
      <c r="AF13" s="31">
        <f t="shared" si="5"/>
        <v>1243</v>
      </c>
    </row>
    <row r="14" spans="2:32" ht="23.1" customHeight="1" x14ac:dyDescent="0.25">
      <c r="B14" s="45" t="s">
        <v>41</v>
      </c>
      <c r="C14" s="50">
        <v>31</v>
      </c>
      <c r="D14" s="50">
        <v>1</v>
      </c>
      <c r="E14" s="50">
        <v>3</v>
      </c>
      <c r="F14" s="50">
        <v>34</v>
      </c>
      <c r="G14" s="50">
        <v>2</v>
      </c>
      <c r="H14" s="50">
        <v>1</v>
      </c>
      <c r="I14" s="50">
        <v>9</v>
      </c>
      <c r="J14" s="50">
        <v>5</v>
      </c>
      <c r="K14" s="50">
        <v>3</v>
      </c>
      <c r="L14" s="50">
        <v>3</v>
      </c>
      <c r="M14" s="50">
        <v>145</v>
      </c>
      <c r="N14" s="50">
        <v>0</v>
      </c>
      <c r="O14" s="15">
        <f t="shared" si="0"/>
        <v>92</v>
      </c>
      <c r="P14" s="15">
        <f t="shared" si="1"/>
        <v>237</v>
      </c>
      <c r="R14" s="1" t="s">
        <v>10</v>
      </c>
      <c r="S14" s="17">
        <f t="shared" ref="S14:AF14" si="6">SUM(C26:C29)</f>
        <v>175</v>
      </c>
      <c r="T14" s="17">
        <f t="shared" si="6"/>
        <v>41</v>
      </c>
      <c r="U14" s="17">
        <f t="shared" si="6"/>
        <v>25</v>
      </c>
      <c r="V14" s="17">
        <f t="shared" si="6"/>
        <v>170</v>
      </c>
      <c r="W14" s="17">
        <f t="shared" si="6"/>
        <v>7</v>
      </c>
      <c r="X14" s="17">
        <f t="shared" si="6"/>
        <v>6</v>
      </c>
      <c r="Y14" s="17">
        <f t="shared" si="6"/>
        <v>51</v>
      </c>
      <c r="Z14" s="17">
        <f t="shared" si="6"/>
        <v>18</v>
      </c>
      <c r="AA14" s="17">
        <f t="shared" si="6"/>
        <v>8</v>
      </c>
      <c r="AB14" s="17">
        <f t="shared" si="6"/>
        <v>7</v>
      </c>
      <c r="AC14" s="17">
        <f t="shared" si="6"/>
        <v>662</v>
      </c>
      <c r="AD14" s="17">
        <f t="shared" si="6"/>
        <v>0</v>
      </c>
      <c r="AE14" s="31">
        <f t="shared" si="6"/>
        <v>508</v>
      </c>
      <c r="AF14" s="31">
        <f t="shared" si="6"/>
        <v>1170</v>
      </c>
    </row>
    <row r="15" spans="2:32" ht="23.1" customHeight="1" x14ac:dyDescent="0.25">
      <c r="B15" s="45" t="s">
        <v>42</v>
      </c>
      <c r="C15" s="50">
        <v>42</v>
      </c>
      <c r="D15" s="50">
        <v>2</v>
      </c>
      <c r="E15" s="50">
        <v>7</v>
      </c>
      <c r="F15" s="50">
        <v>46</v>
      </c>
      <c r="G15" s="50">
        <v>3</v>
      </c>
      <c r="H15" s="50">
        <v>2</v>
      </c>
      <c r="I15" s="50">
        <v>4</v>
      </c>
      <c r="J15" s="50">
        <v>4</v>
      </c>
      <c r="K15" s="50">
        <v>0</v>
      </c>
      <c r="L15" s="50">
        <v>1</v>
      </c>
      <c r="M15" s="50">
        <v>240</v>
      </c>
      <c r="N15" s="50">
        <v>0</v>
      </c>
      <c r="O15" s="15">
        <f t="shared" si="0"/>
        <v>111</v>
      </c>
      <c r="P15" s="15">
        <f t="shared" si="1"/>
        <v>351</v>
      </c>
      <c r="R15" s="1" t="s">
        <v>11</v>
      </c>
      <c r="S15" s="17">
        <f t="shared" ref="S15:AF15" si="7">SUM(C30:C33)</f>
        <v>256</v>
      </c>
      <c r="T15" s="17">
        <f t="shared" si="7"/>
        <v>41</v>
      </c>
      <c r="U15" s="17">
        <f t="shared" si="7"/>
        <v>38</v>
      </c>
      <c r="V15" s="17">
        <f t="shared" si="7"/>
        <v>142</v>
      </c>
      <c r="W15" s="17">
        <f t="shared" si="7"/>
        <v>9</v>
      </c>
      <c r="X15" s="17">
        <f t="shared" si="7"/>
        <v>0</v>
      </c>
      <c r="Y15" s="17">
        <f t="shared" si="7"/>
        <v>21</v>
      </c>
      <c r="Z15" s="17">
        <f t="shared" si="7"/>
        <v>19</v>
      </c>
      <c r="AA15" s="17">
        <f t="shared" si="7"/>
        <v>3</v>
      </c>
      <c r="AB15" s="17">
        <f t="shared" si="7"/>
        <v>3</v>
      </c>
      <c r="AC15" s="17">
        <f t="shared" si="7"/>
        <v>430</v>
      </c>
      <c r="AD15" s="17">
        <f t="shared" si="7"/>
        <v>0</v>
      </c>
      <c r="AE15" s="31">
        <f t="shared" si="7"/>
        <v>532</v>
      </c>
      <c r="AF15" s="31">
        <f t="shared" si="7"/>
        <v>962</v>
      </c>
    </row>
    <row r="16" spans="2:32" ht="23.1" customHeight="1" x14ac:dyDescent="0.25">
      <c r="B16" s="45" t="s">
        <v>43</v>
      </c>
      <c r="C16" s="50">
        <v>33</v>
      </c>
      <c r="D16" s="50">
        <v>5</v>
      </c>
      <c r="E16" s="50">
        <v>3</v>
      </c>
      <c r="F16" s="50">
        <v>46</v>
      </c>
      <c r="G16" s="50">
        <v>1</v>
      </c>
      <c r="H16" s="50">
        <v>4</v>
      </c>
      <c r="I16" s="50">
        <v>6</v>
      </c>
      <c r="J16" s="50">
        <v>3</v>
      </c>
      <c r="K16" s="50">
        <v>1</v>
      </c>
      <c r="L16" s="50">
        <v>0</v>
      </c>
      <c r="M16" s="50">
        <v>195</v>
      </c>
      <c r="N16" s="50">
        <v>0</v>
      </c>
      <c r="O16" s="15">
        <f t="shared" si="0"/>
        <v>102</v>
      </c>
      <c r="P16" s="15">
        <f t="shared" si="1"/>
        <v>297</v>
      </c>
      <c r="R16" s="1" t="s">
        <v>12</v>
      </c>
      <c r="S16" s="17">
        <f t="shared" ref="S16:AF16" si="8">SUM(C34:C37)</f>
        <v>139</v>
      </c>
      <c r="T16" s="17">
        <f t="shared" si="8"/>
        <v>19</v>
      </c>
      <c r="U16" s="17">
        <f t="shared" si="8"/>
        <v>14</v>
      </c>
      <c r="V16" s="17">
        <f t="shared" si="8"/>
        <v>107</v>
      </c>
      <c r="W16" s="17">
        <f t="shared" si="8"/>
        <v>10</v>
      </c>
      <c r="X16" s="17">
        <f t="shared" si="8"/>
        <v>0</v>
      </c>
      <c r="Y16" s="17">
        <f t="shared" si="8"/>
        <v>17</v>
      </c>
      <c r="Z16" s="17">
        <f t="shared" si="8"/>
        <v>21</v>
      </c>
      <c r="AA16" s="17">
        <f t="shared" si="8"/>
        <v>1</v>
      </c>
      <c r="AB16" s="17">
        <f t="shared" si="8"/>
        <v>5</v>
      </c>
      <c r="AC16" s="17">
        <f t="shared" si="8"/>
        <v>515</v>
      </c>
      <c r="AD16" s="17">
        <f t="shared" si="8"/>
        <v>0</v>
      </c>
      <c r="AE16" s="31">
        <f t="shared" si="8"/>
        <v>333</v>
      </c>
      <c r="AF16" s="31">
        <f t="shared" si="8"/>
        <v>848</v>
      </c>
    </row>
    <row r="17" spans="2:32" ht="23.1" customHeight="1" x14ac:dyDescent="0.25">
      <c r="B17" s="45" t="s">
        <v>44</v>
      </c>
      <c r="C17" s="50">
        <v>53</v>
      </c>
      <c r="D17" s="50">
        <v>2</v>
      </c>
      <c r="E17" s="50">
        <v>4</v>
      </c>
      <c r="F17" s="50">
        <v>61</v>
      </c>
      <c r="G17" s="50">
        <v>1</v>
      </c>
      <c r="H17" s="50">
        <v>0</v>
      </c>
      <c r="I17" s="50">
        <v>13</v>
      </c>
      <c r="J17" s="50">
        <v>4</v>
      </c>
      <c r="K17" s="50">
        <v>1</v>
      </c>
      <c r="L17" s="50">
        <v>0</v>
      </c>
      <c r="M17" s="50">
        <v>185</v>
      </c>
      <c r="N17" s="50">
        <v>0</v>
      </c>
      <c r="O17" s="15">
        <f t="shared" si="0"/>
        <v>139</v>
      </c>
      <c r="P17" s="15">
        <f t="shared" si="1"/>
        <v>324</v>
      </c>
      <c r="R17" s="1" t="s">
        <v>13</v>
      </c>
      <c r="S17" s="17">
        <f t="shared" ref="S17:AF17" si="9">SUM(C38:C41)</f>
        <v>199</v>
      </c>
      <c r="T17" s="17">
        <f t="shared" si="9"/>
        <v>51</v>
      </c>
      <c r="U17" s="17">
        <f t="shared" si="9"/>
        <v>28</v>
      </c>
      <c r="V17" s="17">
        <f t="shared" si="9"/>
        <v>105</v>
      </c>
      <c r="W17" s="17">
        <f t="shared" si="9"/>
        <v>9</v>
      </c>
      <c r="X17" s="17">
        <f t="shared" si="9"/>
        <v>2</v>
      </c>
      <c r="Y17" s="17">
        <f t="shared" si="9"/>
        <v>34</v>
      </c>
      <c r="Z17" s="17">
        <f t="shared" si="9"/>
        <v>38</v>
      </c>
      <c r="AA17" s="17">
        <f t="shared" si="9"/>
        <v>6</v>
      </c>
      <c r="AB17" s="17">
        <f t="shared" si="9"/>
        <v>11</v>
      </c>
      <c r="AC17" s="17">
        <f t="shared" si="9"/>
        <v>535</v>
      </c>
      <c r="AD17" s="17">
        <f t="shared" si="9"/>
        <v>0</v>
      </c>
      <c r="AE17" s="31">
        <f t="shared" si="9"/>
        <v>483</v>
      </c>
      <c r="AF17" s="31">
        <f t="shared" si="9"/>
        <v>1018</v>
      </c>
    </row>
    <row r="18" spans="2:32" ht="23.1" customHeight="1" x14ac:dyDescent="0.25">
      <c r="B18" s="45" t="s">
        <v>45</v>
      </c>
      <c r="C18" s="50">
        <v>43</v>
      </c>
      <c r="D18" s="50">
        <v>3</v>
      </c>
      <c r="E18" s="50">
        <v>1</v>
      </c>
      <c r="F18" s="50">
        <v>52</v>
      </c>
      <c r="G18" s="50">
        <v>1</v>
      </c>
      <c r="H18" s="50">
        <v>0</v>
      </c>
      <c r="I18" s="50">
        <v>12</v>
      </c>
      <c r="J18" s="50">
        <v>3</v>
      </c>
      <c r="K18" s="50">
        <v>0</v>
      </c>
      <c r="L18" s="50">
        <v>1</v>
      </c>
      <c r="M18" s="50">
        <v>220</v>
      </c>
      <c r="N18" s="50">
        <v>0</v>
      </c>
      <c r="O18" s="15">
        <f t="shared" si="0"/>
        <v>116</v>
      </c>
      <c r="P18" s="15">
        <f t="shared" si="1"/>
        <v>336</v>
      </c>
      <c r="R18" s="1" t="s">
        <v>14</v>
      </c>
      <c r="S18" s="17">
        <f t="shared" ref="S18:AF18" si="10">SUM(C42:C45)</f>
        <v>268</v>
      </c>
      <c r="T18" s="17">
        <f t="shared" si="10"/>
        <v>20</v>
      </c>
      <c r="U18" s="17">
        <f t="shared" si="10"/>
        <v>28</v>
      </c>
      <c r="V18" s="17">
        <f t="shared" si="10"/>
        <v>251</v>
      </c>
      <c r="W18" s="17">
        <f t="shared" si="10"/>
        <v>18</v>
      </c>
      <c r="X18" s="17">
        <f t="shared" si="10"/>
        <v>2</v>
      </c>
      <c r="Y18" s="17">
        <f t="shared" si="10"/>
        <v>67</v>
      </c>
      <c r="Z18" s="17">
        <f t="shared" si="10"/>
        <v>30</v>
      </c>
      <c r="AA18" s="17">
        <f t="shared" si="10"/>
        <v>2</v>
      </c>
      <c r="AB18" s="17">
        <f t="shared" si="10"/>
        <v>15</v>
      </c>
      <c r="AC18" s="17">
        <f t="shared" si="10"/>
        <v>603</v>
      </c>
      <c r="AD18" s="17">
        <f t="shared" si="10"/>
        <v>0</v>
      </c>
      <c r="AE18" s="31">
        <f t="shared" si="10"/>
        <v>701</v>
      </c>
      <c r="AF18" s="31">
        <f t="shared" si="10"/>
        <v>1304</v>
      </c>
    </row>
    <row r="19" spans="2:32" ht="23.1" customHeight="1" x14ac:dyDescent="0.25">
      <c r="B19" s="45" t="s">
        <v>46</v>
      </c>
      <c r="C19" s="50">
        <v>46</v>
      </c>
      <c r="D19" s="50">
        <v>14</v>
      </c>
      <c r="E19" s="50">
        <v>0</v>
      </c>
      <c r="F19" s="50">
        <v>51</v>
      </c>
      <c r="G19" s="50">
        <v>0</v>
      </c>
      <c r="H19" s="50">
        <v>0</v>
      </c>
      <c r="I19" s="50">
        <v>8</v>
      </c>
      <c r="J19" s="50">
        <v>1</v>
      </c>
      <c r="K19" s="50">
        <v>4</v>
      </c>
      <c r="L19" s="50">
        <v>0</v>
      </c>
      <c r="M19" s="50">
        <v>229</v>
      </c>
      <c r="N19" s="50">
        <v>0</v>
      </c>
      <c r="O19" s="15">
        <f t="shared" si="0"/>
        <v>124</v>
      </c>
      <c r="P19" s="15">
        <f t="shared" si="1"/>
        <v>353</v>
      </c>
      <c r="R19" s="1" t="s">
        <v>15</v>
      </c>
      <c r="S19" s="17">
        <f t="shared" ref="S19:AF19" si="11">SUM(C46:C49)</f>
        <v>230</v>
      </c>
      <c r="T19" s="17">
        <f t="shared" si="11"/>
        <v>35</v>
      </c>
      <c r="U19" s="17">
        <f t="shared" si="11"/>
        <v>34</v>
      </c>
      <c r="V19" s="17">
        <f t="shared" si="11"/>
        <v>275</v>
      </c>
      <c r="W19" s="17">
        <f t="shared" si="11"/>
        <v>30</v>
      </c>
      <c r="X19" s="17">
        <f t="shared" si="11"/>
        <v>2</v>
      </c>
      <c r="Y19" s="17">
        <f t="shared" si="11"/>
        <v>35</v>
      </c>
      <c r="Z19" s="17">
        <f t="shared" si="11"/>
        <v>30</v>
      </c>
      <c r="AA19" s="17">
        <f t="shared" si="11"/>
        <v>8</v>
      </c>
      <c r="AB19" s="17">
        <f t="shared" si="11"/>
        <v>12</v>
      </c>
      <c r="AC19" s="17">
        <f t="shared" si="11"/>
        <v>665</v>
      </c>
      <c r="AD19" s="17">
        <f t="shared" si="11"/>
        <v>0</v>
      </c>
      <c r="AE19" s="31">
        <f t="shared" si="11"/>
        <v>691</v>
      </c>
      <c r="AF19" s="31">
        <f t="shared" si="11"/>
        <v>1356</v>
      </c>
    </row>
    <row r="20" spans="2:32" ht="23.1" customHeight="1" x14ac:dyDescent="0.25">
      <c r="B20" s="45" t="s">
        <v>47</v>
      </c>
      <c r="C20" s="50">
        <v>32</v>
      </c>
      <c r="D20" s="50">
        <v>7</v>
      </c>
      <c r="E20" s="50">
        <v>6</v>
      </c>
      <c r="F20" s="50">
        <v>37</v>
      </c>
      <c r="G20" s="50">
        <v>0</v>
      </c>
      <c r="H20" s="50">
        <v>3</v>
      </c>
      <c r="I20" s="50">
        <v>9</v>
      </c>
      <c r="J20" s="50">
        <v>2</v>
      </c>
      <c r="K20" s="50">
        <v>1</v>
      </c>
      <c r="L20" s="50">
        <v>0</v>
      </c>
      <c r="M20" s="50">
        <v>90</v>
      </c>
      <c r="N20" s="50">
        <v>0</v>
      </c>
      <c r="O20" s="15">
        <f t="shared" si="0"/>
        <v>97</v>
      </c>
      <c r="P20" s="15">
        <f t="shared" si="1"/>
        <v>187</v>
      </c>
      <c r="R20" s="1" t="s">
        <v>16</v>
      </c>
      <c r="S20" s="17">
        <f t="shared" ref="S20:AF20" si="12">SUM(C50:C53)</f>
        <v>168</v>
      </c>
      <c r="T20" s="17">
        <f t="shared" si="12"/>
        <v>25</v>
      </c>
      <c r="U20" s="17">
        <f t="shared" si="12"/>
        <v>30</v>
      </c>
      <c r="V20" s="17">
        <f t="shared" si="12"/>
        <v>148</v>
      </c>
      <c r="W20" s="17">
        <f t="shared" si="12"/>
        <v>21</v>
      </c>
      <c r="X20" s="17">
        <f t="shared" si="12"/>
        <v>3</v>
      </c>
      <c r="Y20" s="17">
        <f t="shared" si="12"/>
        <v>41</v>
      </c>
      <c r="Z20" s="17">
        <f t="shared" si="12"/>
        <v>37</v>
      </c>
      <c r="AA20" s="17">
        <f t="shared" si="12"/>
        <v>11</v>
      </c>
      <c r="AB20" s="17">
        <f t="shared" si="12"/>
        <v>17</v>
      </c>
      <c r="AC20" s="17">
        <f t="shared" si="12"/>
        <v>845</v>
      </c>
      <c r="AD20" s="17">
        <f t="shared" si="12"/>
        <v>0</v>
      </c>
      <c r="AE20" s="31">
        <f t="shared" si="12"/>
        <v>501</v>
      </c>
      <c r="AF20" s="31">
        <f t="shared" si="12"/>
        <v>1346</v>
      </c>
    </row>
    <row r="21" spans="2:32" ht="23.1" customHeight="1" x14ac:dyDescent="0.25">
      <c r="B21" s="45" t="s">
        <v>48</v>
      </c>
      <c r="C21" s="50">
        <v>43</v>
      </c>
      <c r="D21" s="50">
        <v>6</v>
      </c>
      <c r="E21" s="50">
        <v>2</v>
      </c>
      <c r="F21" s="50">
        <v>55</v>
      </c>
      <c r="G21" s="50">
        <v>0</v>
      </c>
      <c r="H21" s="50">
        <v>0</v>
      </c>
      <c r="I21" s="50">
        <v>12</v>
      </c>
      <c r="J21" s="50">
        <v>6</v>
      </c>
      <c r="K21" s="50">
        <v>1</v>
      </c>
      <c r="L21" s="50">
        <v>3</v>
      </c>
      <c r="M21" s="50">
        <v>205</v>
      </c>
      <c r="N21" s="50">
        <v>0</v>
      </c>
      <c r="O21" s="15">
        <f t="shared" si="0"/>
        <v>128</v>
      </c>
      <c r="P21" s="15">
        <f t="shared" si="1"/>
        <v>333</v>
      </c>
      <c r="R21" s="36" t="s">
        <v>20</v>
      </c>
      <c r="S21" s="34">
        <f t="shared" ref="S21:AF21" si="13">SUM(C54:C57)</f>
        <v>149</v>
      </c>
      <c r="T21" s="17">
        <f t="shared" si="13"/>
        <v>13</v>
      </c>
      <c r="U21" s="17">
        <f t="shared" si="13"/>
        <v>24</v>
      </c>
      <c r="V21" s="17">
        <f t="shared" si="13"/>
        <v>126</v>
      </c>
      <c r="W21" s="17">
        <f t="shared" si="13"/>
        <v>11</v>
      </c>
      <c r="X21" s="17">
        <f t="shared" si="13"/>
        <v>1</v>
      </c>
      <c r="Y21" s="17">
        <f t="shared" si="13"/>
        <v>32</v>
      </c>
      <c r="Z21" s="17">
        <f t="shared" si="13"/>
        <v>35</v>
      </c>
      <c r="AA21" s="17">
        <f t="shared" si="13"/>
        <v>10</v>
      </c>
      <c r="AB21" s="17">
        <f t="shared" si="13"/>
        <v>6</v>
      </c>
      <c r="AC21" s="17">
        <f t="shared" si="13"/>
        <v>1050</v>
      </c>
      <c r="AD21" s="17">
        <f t="shared" si="13"/>
        <v>0</v>
      </c>
      <c r="AE21" s="31">
        <f t="shared" si="13"/>
        <v>407</v>
      </c>
      <c r="AF21" s="31">
        <f t="shared" si="13"/>
        <v>1457</v>
      </c>
    </row>
    <row r="22" spans="2:32" ht="23.1" customHeight="1" x14ac:dyDescent="0.25">
      <c r="B22" s="45" t="s">
        <v>49</v>
      </c>
      <c r="C22" s="50">
        <v>51</v>
      </c>
      <c r="D22" s="50">
        <v>8</v>
      </c>
      <c r="E22" s="50">
        <v>5</v>
      </c>
      <c r="F22" s="50">
        <v>35</v>
      </c>
      <c r="G22" s="50">
        <v>2</v>
      </c>
      <c r="H22" s="50">
        <v>0</v>
      </c>
      <c r="I22" s="50">
        <v>10</v>
      </c>
      <c r="J22" s="50">
        <v>2</v>
      </c>
      <c r="K22" s="50">
        <v>1</v>
      </c>
      <c r="L22" s="50">
        <v>4</v>
      </c>
      <c r="M22" s="50">
        <v>190</v>
      </c>
      <c r="N22" s="50">
        <v>0</v>
      </c>
      <c r="O22" s="15">
        <f t="shared" si="0"/>
        <v>118</v>
      </c>
      <c r="P22" s="15">
        <f t="shared" si="1"/>
        <v>308</v>
      </c>
      <c r="R22" s="36" t="s">
        <v>146</v>
      </c>
      <c r="S22" s="34">
        <f>SUM(C58:C61)</f>
        <v>258</v>
      </c>
      <c r="T22" s="34">
        <f t="shared" ref="T22:AF22" si="14">SUM(D58:D61)</f>
        <v>26</v>
      </c>
      <c r="U22" s="34">
        <f t="shared" si="14"/>
        <v>30</v>
      </c>
      <c r="V22" s="34">
        <f t="shared" si="14"/>
        <v>132</v>
      </c>
      <c r="W22" s="34">
        <f t="shared" si="14"/>
        <v>2</v>
      </c>
      <c r="X22" s="34">
        <f t="shared" si="14"/>
        <v>4</v>
      </c>
      <c r="Y22" s="34">
        <f t="shared" si="14"/>
        <v>19</v>
      </c>
      <c r="Z22" s="34">
        <f t="shared" si="14"/>
        <v>21</v>
      </c>
      <c r="AA22" s="34">
        <f t="shared" si="14"/>
        <v>7</v>
      </c>
      <c r="AB22" s="34">
        <f t="shared" si="14"/>
        <v>12</v>
      </c>
      <c r="AC22" s="34">
        <f t="shared" si="14"/>
        <v>1129</v>
      </c>
      <c r="AD22" s="34">
        <f t="shared" si="14"/>
        <v>0</v>
      </c>
      <c r="AE22" s="31">
        <f t="shared" si="14"/>
        <v>511</v>
      </c>
      <c r="AF22" s="31">
        <f t="shared" si="14"/>
        <v>1640</v>
      </c>
    </row>
    <row r="23" spans="2:32" ht="23.1" customHeight="1" x14ac:dyDescent="0.25">
      <c r="B23" s="45" t="s">
        <v>50</v>
      </c>
      <c r="C23" s="50">
        <v>45</v>
      </c>
      <c r="D23" s="50">
        <v>4</v>
      </c>
      <c r="E23" s="50">
        <v>3</v>
      </c>
      <c r="F23" s="50">
        <v>41</v>
      </c>
      <c r="G23" s="50">
        <v>0</v>
      </c>
      <c r="H23" s="50">
        <v>0</v>
      </c>
      <c r="I23" s="50">
        <v>8</v>
      </c>
      <c r="J23" s="50">
        <v>6</v>
      </c>
      <c r="K23" s="50">
        <v>1</v>
      </c>
      <c r="L23" s="50">
        <v>0</v>
      </c>
      <c r="M23" s="50">
        <v>175</v>
      </c>
      <c r="N23" s="50">
        <v>0</v>
      </c>
      <c r="O23" s="15">
        <f t="shared" si="0"/>
        <v>108</v>
      </c>
      <c r="P23" s="15">
        <f t="shared" si="1"/>
        <v>283</v>
      </c>
      <c r="R23" s="36" t="s">
        <v>147</v>
      </c>
      <c r="S23" s="34">
        <f>SUM(C62:C65)</f>
        <v>301</v>
      </c>
      <c r="T23" s="34">
        <f t="shared" ref="T23:AF23" si="15">SUM(D62:D65)</f>
        <v>46</v>
      </c>
      <c r="U23" s="34">
        <f t="shared" si="15"/>
        <v>33</v>
      </c>
      <c r="V23" s="34">
        <f t="shared" si="15"/>
        <v>119</v>
      </c>
      <c r="W23" s="34">
        <f t="shared" si="15"/>
        <v>8</v>
      </c>
      <c r="X23" s="34">
        <f t="shared" si="15"/>
        <v>4</v>
      </c>
      <c r="Y23" s="34">
        <f t="shared" si="15"/>
        <v>28</v>
      </c>
      <c r="Z23" s="34">
        <f t="shared" si="15"/>
        <v>26</v>
      </c>
      <c r="AA23" s="34">
        <f t="shared" si="15"/>
        <v>19</v>
      </c>
      <c r="AB23" s="34">
        <f t="shared" si="15"/>
        <v>8</v>
      </c>
      <c r="AC23" s="34">
        <f t="shared" si="15"/>
        <v>1085</v>
      </c>
      <c r="AD23" s="34">
        <f t="shared" si="15"/>
        <v>0</v>
      </c>
      <c r="AE23" s="31">
        <f t="shared" si="15"/>
        <v>592</v>
      </c>
      <c r="AF23" s="31">
        <f t="shared" si="15"/>
        <v>1677</v>
      </c>
    </row>
    <row r="24" spans="2:32" ht="23.1" customHeight="1" x14ac:dyDescent="0.25">
      <c r="B24" s="45" t="s">
        <v>51</v>
      </c>
      <c r="C24" s="50">
        <v>49</v>
      </c>
      <c r="D24" s="50">
        <v>3</v>
      </c>
      <c r="E24" s="50">
        <v>10</v>
      </c>
      <c r="F24" s="50">
        <v>27</v>
      </c>
      <c r="G24" s="50">
        <v>0</v>
      </c>
      <c r="H24" s="50">
        <v>5</v>
      </c>
      <c r="I24" s="50">
        <v>9</v>
      </c>
      <c r="J24" s="50">
        <v>6</v>
      </c>
      <c r="K24" s="50">
        <v>6</v>
      </c>
      <c r="L24" s="50">
        <v>0</v>
      </c>
      <c r="M24" s="50">
        <v>220</v>
      </c>
      <c r="N24" s="50">
        <v>0</v>
      </c>
      <c r="O24" s="15">
        <f t="shared" si="0"/>
        <v>115</v>
      </c>
      <c r="P24" s="15">
        <f t="shared" si="1"/>
        <v>335</v>
      </c>
      <c r="R24" s="36" t="s">
        <v>148</v>
      </c>
      <c r="S24" s="34">
        <f>SUM(C66:C69)</f>
        <v>260</v>
      </c>
      <c r="T24" s="34">
        <f t="shared" ref="T24:AF24" si="16">SUM(D66:D69)</f>
        <v>24</v>
      </c>
      <c r="U24" s="34">
        <f t="shared" si="16"/>
        <v>13</v>
      </c>
      <c r="V24" s="34">
        <f t="shared" si="16"/>
        <v>155</v>
      </c>
      <c r="W24" s="34">
        <f t="shared" si="16"/>
        <v>2</v>
      </c>
      <c r="X24" s="34">
        <f t="shared" si="16"/>
        <v>4</v>
      </c>
      <c r="Y24" s="34">
        <f t="shared" si="16"/>
        <v>14</v>
      </c>
      <c r="Z24" s="34">
        <f t="shared" si="16"/>
        <v>14</v>
      </c>
      <c r="AA24" s="34">
        <f t="shared" si="16"/>
        <v>9</v>
      </c>
      <c r="AB24" s="34">
        <f t="shared" si="16"/>
        <v>7</v>
      </c>
      <c r="AC24" s="34">
        <f t="shared" si="16"/>
        <v>1002</v>
      </c>
      <c r="AD24" s="34">
        <f t="shared" si="16"/>
        <v>0</v>
      </c>
      <c r="AE24" s="31">
        <f t="shared" si="16"/>
        <v>502</v>
      </c>
      <c r="AF24" s="31">
        <f t="shared" si="16"/>
        <v>1504</v>
      </c>
    </row>
    <row r="25" spans="2:32" ht="23.1" customHeight="1" x14ac:dyDescent="0.25">
      <c r="B25" s="45" t="s">
        <v>52</v>
      </c>
      <c r="C25" s="50">
        <v>40</v>
      </c>
      <c r="D25" s="50">
        <v>4</v>
      </c>
      <c r="E25" s="50">
        <v>9</v>
      </c>
      <c r="F25" s="50">
        <v>54</v>
      </c>
      <c r="G25" s="50">
        <v>3</v>
      </c>
      <c r="H25" s="50">
        <v>2</v>
      </c>
      <c r="I25" s="50">
        <v>8</v>
      </c>
      <c r="J25" s="50">
        <v>5</v>
      </c>
      <c r="K25" s="50">
        <v>1</v>
      </c>
      <c r="L25" s="50">
        <v>1</v>
      </c>
      <c r="M25" s="50">
        <v>190</v>
      </c>
      <c r="N25" s="50">
        <v>0</v>
      </c>
      <c r="O25" s="15">
        <f t="shared" si="0"/>
        <v>127</v>
      </c>
      <c r="P25" s="15">
        <f t="shared" si="1"/>
        <v>317</v>
      </c>
      <c r="R25" s="36" t="s">
        <v>149</v>
      </c>
      <c r="S25" s="34">
        <f>SUM(C70:C73)</f>
        <v>260</v>
      </c>
      <c r="T25" s="34">
        <f t="shared" ref="T25:AF25" si="17">SUM(D70:D73)</f>
        <v>17</v>
      </c>
      <c r="U25" s="34">
        <f t="shared" si="17"/>
        <v>9</v>
      </c>
      <c r="V25" s="34">
        <f t="shared" si="17"/>
        <v>206</v>
      </c>
      <c r="W25" s="34">
        <f t="shared" si="17"/>
        <v>0</v>
      </c>
      <c r="X25" s="34">
        <f t="shared" si="17"/>
        <v>4</v>
      </c>
      <c r="Y25" s="34">
        <f t="shared" si="17"/>
        <v>22</v>
      </c>
      <c r="Z25" s="34">
        <f t="shared" si="17"/>
        <v>16</v>
      </c>
      <c r="AA25" s="34">
        <f t="shared" si="17"/>
        <v>4</v>
      </c>
      <c r="AB25" s="34">
        <f t="shared" si="17"/>
        <v>9</v>
      </c>
      <c r="AC25" s="34">
        <f t="shared" si="17"/>
        <v>625</v>
      </c>
      <c r="AD25" s="34">
        <f t="shared" si="17"/>
        <v>0</v>
      </c>
      <c r="AE25" s="31">
        <f t="shared" si="17"/>
        <v>547</v>
      </c>
      <c r="AF25" s="31">
        <f t="shared" si="17"/>
        <v>1172</v>
      </c>
    </row>
    <row r="26" spans="2:32" ht="23.1" customHeight="1" x14ac:dyDescent="0.25">
      <c r="B26" s="45" t="s">
        <v>53</v>
      </c>
      <c r="C26" s="50">
        <v>54</v>
      </c>
      <c r="D26" s="50">
        <v>7</v>
      </c>
      <c r="E26" s="50">
        <v>15</v>
      </c>
      <c r="F26" s="50">
        <v>48</v>
      </c>
      <c r="G26" s="50">
        <v>2</v>
      </c>
      <c r="H26" s="50">
        <v>2</v>
      </c>
      <c r="I26" s="50">
        <v>18</v>
      </c>
      <c r="J26" s="50">
        <v>6</v>
      </c>
      <c r="K26" s="50">
        <v>2</v>
      </c>
      <c r="L26" s="50">
        <v>1</v>
      </c>
      <c r="M26" s="50">
        <v>185</v>
      </c>
      <c r="N26" s="50">
        <v>0</v>
      </c>
      <c r="O26" s="15">
        <f t="shared" si="0"/>
        <v>155</v>
      </c>
      <c r="P26" s="15">
        <f t="shared" si="1"/>
        <v>340</v>
      </c>
      <c r="R26" s="36" t="s">
        <v>150</v>
      </c>
      <c r="S26" s="34">
        <f>SUM(C74:C77)</f>
        <v>286</v>
      </c>
      <c r="T26" s="34">
        <f t="shared" ref="T26:AF26" si="18">SUM(D74:D77)</f>
        <v>27</v>
      </c>
      <c r="U26" s="34">
        <f t="shared" si="18"/>
        <v>21</v>
      </c>
      <c r="V26" s="34">
        <f t="shared" si="18"/>
        <v>103</v>
      </c>
      <c r="W26" s="34">
        <f t="shared" si="18"/>
        <v>3</v>
      </c>
      <c r="X26" s="34">
        <f t="shared" si="18"/>
        <v>3</v>
      </c>
      <c r="Y26" s="34">
        <f t="shared" si="18"/>
        <v>8</v>
      </c>
      <c r="Z26" s="34">
        <f t="shared" si="18"/>
        <v>9</v>
      </c>
      <c r="AA26" s="34">
        <f t="shared" si="18"/>
        <v>0</v>
      </c>
      <c r="AB26" s="34">
        <f t="shared" si="18"/>
        <v>3</v>
      </c>
      <c r="AC26" s="34">
        <f t="shared" si="18"/>
        <v>342</v>
      </c>
      <c r="AD26" s="34">
        <f t="shared" si="18"/>
        <v>0</v>
      </c>
      <c r="AE26" s="31">
        <f t="shared" si="18"/>
        <v>463</v>
      </c>
      <c r="AF26" s="31">
        <f t="shared" si="18"/>
        <v>805</v>
      </c>
    </row>
    <row r="27" spans="2:32" ht="23.1" customHeight="1" x14ac:dyDescent="0.25">
      <c r="B27" s="45" t="s">
        <v>54</v>
      </c>
      <c r="C27" s="50">
        <v>46</v>
      </c>
      <c r="D27" s="50">
        <v>11</v>
      </c>
      <c r="E27" s="50">
        <v>2</v>
      </c>
      <c r="F27" s="50">
        <v>51</v>
      </c>
      <c r="G27" s="50">
        <v>0</v>
      </c>
      <c r="H27" s="50">
        <v>2</v>
      </c>
      <c r="I27" s="50">
        <v>10</v>
      </c>
      <c r="J27" s="50">
        <v>7</v>
      </c>
      <c r="K27" s="50">
        <v>3</v>
      </c>
      <c r="L27" s="50">
        <v>2</v>
      </c>
      <c r="M27" s="50">
        <v>170</v>
      </c>
      <c r="N27" s="50">
        <v>0</v>
      </c>
      <c r="O27" s="15">
        <f t="shared" si="0"/>
        <v>134</v>
      </c>
      <c r="P27" s="15">
        <f t="shared" si="1"/>
        <v>304</v>
      </c>
      <c r="R27" s="36" t="s">
        <v>151</v>
      </c>
      <c r="S27" s="34">
        <f>SUM(C78:C81)</f>
        <v>184</v>
      </c>
      <c r="T27" s="34">
        <f t="shared" ref="T27:AF27" si="19">SUM(D78:D81)</f>
        <v>26</v>
      </c>
      <c r="U27" s="34">
        <f t="shared" si="19"/>
        <v>22</v>
      </c>
      <c r="V27" s="34">
        <f t="shared" si="19"/>
        <v>51</v>
      </c>
      <c r="W27" s="34">
        <f t="shared" si="19"/>
        <v>0</v>
      </c>
      <c r="X27" s="34">
        <f t="shared" si="19"/>
        <v>5</v>
      </c>
      <c r="Y27" s="34">
        <f t="shared" si="19"/>
        <v>10</v>
      </c>
      <c r="Z27" s="34">
        <f t="shared" si="19"/>
        <v>8</v>
      </c>
      <c r="AA27" s="34">
        <f t="shared" si="19"/>
        <v>2</v>
      </c>
      <c r="AB27" s="34">
        <f t="shared" si="19"/>
        <v>2</v>
      </c>
      <c r="AC27" s="34">
        <f t="shared" si="19"/>
        <v>280</v>
      </c>
      <c r="AD27" s="34">
        <f t="shared" si="19"/>
        <v>0</v>
      </c>
      <c r="AE27" s="31">
        <f t="shared" si="19"/>
        <v>310</v>
      </c>
      <c r="AF27" s="31">
        <f t="shared" si="19"/>
        <v>590</v>
      </c>
    </row>
    <row r="28" spans="2:32" ht="23.1" customHeight="1" x14ac:dyDescent="0.25">
      <c r="B28" s="45" t="s">
        <v>55</v>
      </c>
      <c r="C28" s="50">
        <v>31</v>
      </c>
      <c r="D28" s="50">
        <v>11</v>
      </c>
      <c r="E28" s="50">
        <v>3</v>
      </c>
      <c r="F28" s="50">
        <v>35</v>
      </c>
      <c r="G28" s="50">
        <v>3</v>
      </c>
      <c r="H28" s="50">
        <v>1</v>
      </c>
      <c r="I28" s="50">
        <v>12</v>
      </c>
      <c r="J28" s="50">
        <v>4</v>
      </c>
      <c r="K28" s="50">
        <v>0</v>
      </c>
      <c r="L28" s="50">
        <v>2</v>
      </c>
      <c r="M28" s="50">
        <v>190</v>
      </c>
      <c r="N28" s="50">
        <v>0</v>
      </c>
      <c r="O28" s="15">
        <f t="shared" si="0"/>
        <v>102</v>
      </c>
      <c r="P28" s="15">
        <f t="shared" si="1"/>
        <v>292</v>
      </c>
      <c r="R28" s="36" t="s">
        <v>152</v>
      </c>
      <c r="S28" s="34">
        <f>SUM(C82:C85)</f>
        <v>136</v>
      </c>
      <c r="T28" s="34">
        <f t="shared" ref="T28:AF28" si="20">SUM(D82:D85)</f>
        <v>12</v>
      </c>
      <c r="U28" s="34">
        <f t="shared" si="20"/>
        <v>17</v>
      </c>
      <c r="V28" s="34">
        <f t="shared" si="20"/>
        <v>32</v>
      </c>
      <c r="W28" s="34">
        <f t="shared" si="20"/>
        <v>0</v>
      </c>
      <c r="X28" s="34">
        <f t="shared" si="20"/>
        <v>5</v>
      </c>
      <c r="Y28" s="34">
        <f t="shared" si="20"/>
        <v>17</v>
      </c>
      <c r="Z28" s="34">
        <f t="shared" si="20"/>
        <v>12</v>
      </c>
      <c r="AA28" s="34">
        <f t="shared" si="20"/>
        <v>2</v>
      </c>
      <c r="AB28" s="34">
        <f t="shared" si="20"/>
        <v>2</v>
      </c>
      <c r="AC28" s="34">
        <f t="shared" si="20"/>
        <v>252</v>
      </c>
      <c r="AD28" s="34">
        <f t="shared" si="20"/>
        <v>0</v>
      </c>
      <c r="AE28" s="31">
        <f t="shared" si="20"/>
        <v>235</v>
      </c>
      <c r="AF28" s="31">
        <f t="shared" si="20"/>
        <v>487</v>
      </c>
    </row>
    <row r="29" spans="2:32" ht="23.1" customHeight="1" x14ac:dyDescent="0.25">
      <c r="B29" s="45" t="s">
        <v>56</v>
      </c>
      <c r="C29" s="50">
        <v>44</v>
      </c>
      <c r="D29" s="50">
        <v>12</v>
      </c>
      <c r="E29" s="50">
        <v>5</v>
      </c>
      <c r="F29" s="50">
        <v>36</v>
      </c>
      <c r="G29" s="50">
        <v>2</v>
      </c>
      <c r="H29" s="50">
        <v>1</v>
      </c>
      <c r="I29" s="50">
        <v>11</v>
      </c>
      <c r="J29" s="50">
        <v>1</v>
      </c>
      <c r="K29" s="50">
        <v>3</v>
      </c>
      <c r="L29" s="50">
        <v>2</v>
      </c>
      <c r="M29" s="50">
        <v>117</v>
      </c>
      <c r="N29" s="50">
        <v>0</v>
      </c>
      <c r="O29" s="15">
        <f t="shared" si="0"/>
        <v>117</v>
      </c>
      <c r="P29" s="15">
        <f t="shared" si="1"/>
        <v>234</v>
      </c>
      <c r="R29" s="36" t="s">
        <v>153</v>
      </c>
      <c r="S29" s="34">
        <f>SUM(C86:C89)</f>
        <v>84</v>
      </c>
      <c r="T29" s="34">
        <f t="shared" ref="T29:AF29" si="21">SUM(D86:D89)</f>
        <v>7</v>
      </c>
      <c r="U29" s="34">
        <f t="shared" si="21"/>
        <v>4</v>
      </c>
      <c r="V29" s="34">
        <f t="shared" si="21"/>
        <v>9</v>
      </c>
      <c r="W29" s="34">
        <f t="shared" si="21"/>
        <v>0</v>
      </c>
      <c r="X29" s="34">
        <f t="shared" si="21"/>
        <v>2</v>
      </c>
      <c r="Y29" s="34">
        <f t="shared" si="21"/>
        <v>7</v>
      </c>
      <c r="Z29" s="34">
        <f t="shared" si="21"/>
        <v>9</v>
      </c>
      <c r="AA29" s="34">
        <f t="shared" si="21"/>
        <v>1</v>
      </c>
      <c r="AB29" s="34">
        <f t="shared" si="21"/>
        <v>4</v>
      </c>
      <c r="AC29" s="34">
        <f t="shared" si="21"/>
        <v>218</v>
      </c>
      <c r="AD29" s="34">
        <f t="shared" si="21"/>
        <v>0</v>
      </c>
      <c r="AE29" s="31">
        <f t="shared" si="21"/>
        <v>127</v>
      </c>
      <c r="AF29" s="31">
        <f t="shared" si="21"/>
        <v>345</v>
      </c>
    </row>
    <row r="30" spans="2:32" ht="23.1" customHeight="1" x14ac:dyDescent="0.25">
      <c r="B30" s="45" t="s">
        <v>57</v>
      </c>
      <c r="C30" s="50">
        <v>120</v>
      </c>
      <c r="D30" s="50">
        <v>17</v>
      </c>
      <c r="E30" s="50">
        <v>15</v>
      </c>
      <c r="F30" s="50">
        <v>51</v>
      </c>
      <c r="G30" s="50">
        <v>2</v>
      </c>
      <c r="H30" s="50">
        <v>0</v>
      </c>
      <c r="I30" s="50">
        <v>8</v>
      </c>
      <c r="J30" s="50">
        <v>4</v>
      </c>
      <c r="K30" s="50">
        <v>1</v>
      </c>
      <c r="L30" s="50">
        <v>0</v>
      </c>
      <c r="M30" s="50">
        <v>100</v>
      </c>
      <c r="N30" s="50">
        <v>0</v>
      </c>
      <c r="O30" s="15">
        <f t="shared" si="0"/>
        <v>218</v>
      </c>
      <c r="P30" s="15">
        <f t="shared" si="1"/>
        <v>318</v>
      </c>
      <c r="R30" s="36" t="s">
        <v>154</v>
      </c>
      <c r="S30" s="34">
        <f>SUM(C90:C93)</f>
        <v>103</v>
      </c>
      <c r="T30" s="34">
        <f t="shared" ref="T30:AF30" si="22">SUM(D90:D93)</f>
        <v>9</v>
      </c>
      <c r="U30" s="34">
        <f t="shared" si="22"/>
        <v>13</v>
      </c>
      <c r="V30" s="34">
        <f t="shared" si="22"/>
        <v>8</v>
      </c>
      <c r="W30" s="34">
        <f t="shared" si="22"/>
        <v>0</v>
      </c>
      <c r="X30" s="34">
        <f t="shared" si="22"/>
        <v>2</v>
      </c>
      <c r="Y30" s="34">
        <f t="shared" si="22"/>
        <v>8</v>
      </c>
      <c r="Z30" s="34">
        <f t="shared" si="22"/>
        <v>8</v>
      </c>
      <c r="AA30" s="34">
        <f t="shared" si="22"/>
        <v>7</v>
      </c>
      <c r="AB30" s="34">
        <f t="shared" si="22"/>
        <v>1</v>
      </c>
      <c r="AC30" s="34">
        <f t="shared" si="22"/>
        <v>229</v>
      </c>
      <c r="AD30" s="34">
        <f t="shared" si="22"/>
        <v>0</v>
      </c>
      <c r="AE30" s="31">
        <f t="shared" si="22"/>
        <v>159</v>
      </c>
      <c r="AF30" s="31">
        <f t="shared" si="22"/>
        <v>388</v>
      </c>
    </row>
    <row r="31" spans="2:32" ht="23.1" customHeight="1" x14ac:dyDescent="0.25">
      <c r="B31" s="46" t="s">
        <v>58</v>
      </c>
      <c r="C31" s="50">
        <v>35</v>
      </c>
      <c r="D31" s="50">
        <v>6</v>
      </c>
      <c r="E31" s="50">
        <v>6</v>
      </c>
      <c r="F31" s="50">
        <v>41</v>
      </c>
      <c r="G31" s="50">
        <v>1</v>
      </c>
      <c r="H31" s="50">
        <v>0</v>
      </c>
      <c r="I31" s="50">
        <v>4</v>
      </c>
      <c r="J31" s="50">
        <v>5</v>
      </c>
      <c r="K31" s="50">
        <v>0</v>
      </c>
      <c r="L31" s="50">
        <v>2</v>
      </c>
      <c r="M31" s="50">
        <v>130</v>
      </c>
      <c r="N31" s="50">
        <v>0</v>
      </c>
      <c r="O31" s="15">
        <f t="shared" si="0"/>
        <v>100</v>
      </c>
      <c r="P31" s="15">
        <f t="shared" si="1"/>
        <v>230</v>
      </c>
      <c r="R31" s="36" t="s">
        <v>155</v>
      </c>
      <c r="S31" s="34">
        <f>SUM(C94:C97)</f>
        <v>89</v>
      </c>
      <c r="T31" s="34">
        <f t="shared" ref="T31:AF31" si="23">SUM(D94:D97)</f>
        <v>2</v>
      </c>
      <c r="U31" s="34">
        <f t="shared" si="23"/>
        <v>10</v>
      </c>
      <c r="V31" s="34">
        <f t="shared" si="23"/>
        <v>17</v>
      </c>
      <c r="W31" s="34">
        <f t="shared" si="23"/>
        <v>2</v>
      </c>
      <c r="X31" s="34">
        <f t="shared" si="23"/>
        <v>1</v>
      </c>
      <c r="Y31" s="34">
        <f t="shared" si="23"/>
        <v>8</v>
      </c>
      <c r="Z31" s="34">
        <f t="shared" si="23"/>
        <v>4</v>
      </c>
      <c r="AA31" s="34">
        <f t="shared" si="23"/>
        <v>3</v>
      </c>
      <c r="AB31" s="34">
        <f t="shared" si="23"/>
        <v>0</v>
      </c>
      <c r="AC31" s="34">
        <f t="shared" si="23"/>
        <v>208</v>
      </c>
      <c r="AD31" s="34">
        <f t="shared" si="23"/>
        <v>0</v>
      </c>
      <c r="AE31" s="31">
        <f t="shared" si="23"/>
        <v>136</v>
      </c>
      <c r="AF31" s="31">
        <f t="shared" si="23"/>
        <v>344</v>
      </c>
    </row>
    <row r="32" spans="2:32" ht="23.1" customHeight="1" x14ac:dyDescent="0.25">
      <c r="B32" s="46" t="s">
        <v>59</v>
      </c>
      <c r="C32" s="50">
        <v>56</v>
      </c>
      <c r="D32" s="50">
        <v>13</v>
      </c>
      <c r="E32" s="50">
        <v>13</v>
      </c>
      <c r="F32" s="50">
        <v>30</v>
      </c>
      <c r="G32" s="50">
        <v>2</v>
      </c>
      <c r="H32" s="50">
        <v>0</v>
      </c>
      <c r="I32" s="50">
        <v>2</v>
      </c>
      <c r="J32" s="50">
        <v>4</v>
      </c>
      <c r="K32" s="50">
        <v>2</v>
      </c>
      <c r="L32" s="50">
        <v>1</v>
      </c>
      <c r="M32" s="50">
        <v>80</v>
      </c>
      <c r="N32" s="50">
        <v>0</v>
      </c>
      <c r="O32" s="15">
        <f t="shared" si="0"/>
        <v>123</v>
      </c>
      <c r="P32" s="15">
        <f t="shared" si="1"/>
        <v>203</v>
      </c>
      <c r="R32" s="33" t="s">
        <v>156</v>
      </c>
      <c r="S32" s="34">
        <f>SUM(C98:C101)</f>
        <v>72</v>
      </c>
      <c r="T32" s="34">
        <f t="shared" ref="T32:AF32" si="24">SUM(D98:D101)</f>
        <v>7</v>
      </c>
      <c r="U32" s="34">
        <f t="shared" si="24"/>
        <v>15</v>
      </c>
      <c r="V32" s="34">
        <f t="shared" si="24"/>
        <v>30</v>
      </c>
      <c r="W32" s="34">
        <f t="shared" si="24"/>
        <v>0</v>
      </c>
      <c r="X32" s="34">
        <f t="shared" si="24"/>
        <v>6</v>
      </c>
      <c r="Y32" s="34">
        <f t="shared" si="24"/>
        <v>16</v>
      </c>
      <c r="Z32" s="34">
        <f t="shared" si="24"/>
        <v>10</v>
      </c>
      <c r="AA32" s="34">
        <f t="shared" si="24"/>
        <v>5</v>
      </c>
      <c r="AB32" s="34">
        <f t="shared" si="24"/>
        <v>9</v>
      </c>
      <c r="AC32" s="34">
        <f t="shared" si="24"/>
        <v>214</v>
      </c>
      <c r="AD32" s="34">
        <f t="shared" si="24"/>
        <v>0</v>
      </c>
      <c r="AE32" s="31">
        <f t="shared" si="24"/>
        <v>170</v>
      </c>
      <c r="AF32" s="31">
        <f t="shared" si="24"/>
        <v>384</v>
      </c>
    </row>
    <row r="33" spans="2:32" ht="23.1" customHeight="1" x14ac:dyDescent="0.25">
      <c r="B33" s="45" t="s">
        <v>60</v>
      </c>
      <c r="C33" s="50">
        <v>45</v>
      </c>
      <c r="D33" s="50">
        <v>5</v>
      </c>
      <c r="E33" s="50">
        <v>4</v>
      </c>
      <c r="F33" s="50">
        <v>20</v>
      </c>
      <c r="G33" s="50">
        <v>4</v>
      </c>
      <c r="H33" s="50">
        <v>0</v>
      </c>
      <c r="I33" s="50">
        <v>7</v>
      </c>
      <c r="J33" s="50">
        <v>6</v>
      </c>
      <c r="K33" s="50">
        <v>0</v>
      </c>
      <c r="L33" s="50">
        <v>0</v>
      </c>
      <c r="M33" s="50">
        <v>120</v>
      </c>
      <c r="N33" s="50">
        <v>0</v>
      </c>
      <c r="O33" s="15">
        <f t="shared" si="0"/>
        <v>91</v>
      </c>
      <c r="P33" s="15">
        <f t="shared" si="1"/>
        <v>211</v>
      </c>
      <c r="R33" s="33" t="s">
        <v>157</v>
      </c>
      <c r="S33" s="34">
        <f>SUM(C102:C105)</f>
        <v>111</v>
      </c>
      <c r="T33" s="34">
        <f t="shared" ref="T33:AF33" si="25">SUM(D102:D105)</f>
        <v>22</v>
      </c>
      <c r="U33" s="34">
        <f t="shared" si="25"/>
        <v>19</v>
      </c>
      <c r="V33" s="34">
        <f t="shared" si="25"/>
        <v>114</v>
      </c>
      <c r="W33" s="34">
        <f t="shared" si="25"/>
        <v>3</v>
      </c>
      <c r="X33" s="34">
        <f t="shared" si="25"/>
        <v>5</v>
      </c>
      <c r="Y33" s="34">
        <f t="shared" si="25"/>
        <v>27</v>
      </c>
      <c r="Z33" s="34">
        <f t="shared" si="25"/>
        <v>14</v>
      </c>
      <c r="AA33" s="34">
        <f t="shared" si="25"/>
        <v>11</v>
      </c>
      <c r="AB33" s="34">
        <f t="shared" si="25"/>
        <v>8</v>
      </c>
      <c r="AC33" s="34">
        <f t="shared" si="25"/>
        <v>520</v>
      </c>
      <c r="AD33" s="34">
        <f t="shared" si="25"/>
        <v>0</v>
      </c>
      <c r="AE33" s="31">
        <f t="shared" si="25"/>
        <v>334</v>
      </c>
      <c r="AF33" s="31">
        <f t="shared" si="25"/>
        <v>854</v>
      </c>
    </row>
    <row r="34" spans="2:32" ht="23.1" customHeight="1" x14ac:dyDescent="0.25">
      <c r="B34" s="46" t="s">
        <v>61</v>
      </c>
      <c r="C34" s="50">
        <v>20</v>
      </c>
      <c r="D34" s="50">
        <v>1</v>
      </c>
      <c r="E34" s="50">
        <v>4</v>
      </c>
      <c r="F34" s="50">
        <v>15</v>
      </c>
      <c r="G34" s="50">
        <v>1</v>
      </c>
      <c r="H34" s="50">
        <v>0</v>
      </c>
      <c r="I34" s="50">
        <v>7</v>
      </c>
      <c r="J34" s="50">
        <v>7</v>
      </c>
      <c r="K34" s="50">
        <v>0</v>
      </c>
      <c r="L34" s="50">
        <v>2</v>
      </c>
      <c r="M34" s="50">
        <v>135</v>
      </c>
      <c r="N34" s="50">
        <v>0</v>
      </c>
      <c r="O34" s="15">
        <f t="shared" si="0"/>
        <v>57</v>
      </c>
      <c r="P34" s="15">
        <f t="shared" si="1"/>
        <v>192</v>
      </c>
      <c r="R34" s="38" t="s">
        <v>90</v>
      </c>
      <c r="S34" s="39">
        <f t="shared" ref="S34:AF34" si="26">MAX(S10:S12)</f>
        <v>205</v>
      </c>
      <c r="T34" s="39">
        <f t="shared" si="26"/>
        <v>36</v>
      </c>
      <c r="U34" s="39">
        <f t="shared" si="26"/>
        <v>17</v>
      </c>
      <c r="V34" s="39">
        <f t="shared" si="26"/>
        <v>223</v>
      </c>
      <c r="W34" s="39">
        <f t="shared" si="26"/>
        <v>7</v>
      </c>
      <c r="X34" s="39">
        <f t="shared" si="26"/>
        <v>7</v>
      </c>
      <c r="Y34" s="39">
        <f t="shared" si="26"/>
        <v>41</v>
      </c>
      <c r="Z34" s="39">
        <f t="shared" si="26"/>
        <v>19</v>
      </c>
      <c r="AA34" s="39">
        <f t="shared" si="26"/>
        <v>9</v>
      </c>
      <c r="AB34" s="39">
        <f t="shared" si="26"/>
        <v>7</v>
      </c>
      <c r="AC34" s="39">
        <f t="shared" si="26"/>
        <v>765</v>
      </c>
      <c r="AD34" s="39">
        <f t="shared" si="26"/>
        <v>0</v>
      </c>
      <c r="AE34" s="40">
        <f t="shared" si="26"/>
        <v>557</v>
      </c>
      <c r="AF34" s="40">
        <f t="shared" si="26"/>
        <v>1209</v>
      </c>
    </row>
    <row r="35" spans="2:32" ht="23.1" customHeight="1" x14ac:dyDescent="0.25">
      <c r="B35" s="46" t="s">
        <v>62</v>
      </c>
      <c r="C35" s="50">
        <v>43</v>
      </c>
      <c r="D35" s="50">
        <v>3</v>
      </c>
      <c r="E35" s="50">
        <v>3</v>
      </c>
      <c r="F35" s="50">
        <v>33</v>
      </c>
      <c r="G35" s="50">
        <v>1</v>
      </c>
      <c r="H35" s="50">
        <v>0</v>
      </c>
      <c r="I35" s="50">
        <v>2</v>
      </c>
      <c r="J35" s="50">
        <v>6</v>
      </c>
      <c r="K35" s="50">
        <v>0</v>
      </c>
      <c r="L35" s="50">
        <v>0</v>
      </c>
      <c r="M35" s="50">
        <v>180</v>
      </c>
      <c r="N35" s="50">
        <v>0</v>
      </c>
      <c r="O35" s="15">
        <f t="shared" si="0"/>
        <v>91</v>
      </c>
      <c r="P35" s="15">
        <f t="shared" si="1"/>
        <v>271</v>
      </c>
      <c r="R35" s="38" t="s">
        <v>91</v>
      </c>
      <c r="S35" s="39">
        <f t="shared" ref="S35:AF35" si="27">MAX(S13:S18)</f>
        <v>268</v>
      </c>
      <c r="T35" s="39">
        <f t="shared" si="27"/>
        <v>51</v>
      </c>
      <c r="U35" s="39">
        <f t="shared" si="27"/>
        <v>38</v>
      </c>
      <c r="V35" s="39">
        <f t="shared" si="27"/>
        <v>251</v>
      </c>
      <c r="W35" s="39">
        <f t="shared" si="27"/>
        <v>18</v>
      </c>
      <c r="X35" s="39">
        <f t="shared" si="27"/>
        <v>7</v>
      </c>
      <c r="Y35" s="39">
        <f t="shared" si="27"/>
        <v>67</v>
      </c>
      <c r="Z35" s="39">
        <f t="shared" si="27"/>
        <v>38</v>
      </c>
      <c r="AA35" s="39">
        <f t="shared" si="27"/>
        <v>9</v>
      </c>
      <c r="AB35" s="39">
        <f t="shared" si="27"/>
        <v>15</v>
      </c>
      <c r="AC35" s="39">
        <f t="shared" si="27"/>
        <v>775</v>
      </c>
      <c r="AD35" s="39">
        <f t="shared" si="27"/>
        <v>0</v>
      </c>
      <c r="AE35" s="40">
        <f t="shared" si="27"/>
        <v>701</v>
      </c>
      <c r="AF35" s="40">
        <f t="shared" si="27"/>
        <v>1304</v>
      </c>
    </row>
    <row r="36" spans="2:32" ht="23.1" customHeight="1" x14ac:dyDescent="0.25">
      <c r="B36" s="46" t="s">
        <v>63</v>
      </c>
      <c r="C36" s="50">
        <v>46</v>
      </c>
      <c r="D36" s="50">
        <v>10</v>
      </c>
      <c r="E36" s="50">
        <v>2</v>
      </c>
      <c r="F36" s="50">
        <v>19</v>
      </c>
      <c r="G36" s="50">
        <v>5</v>
      </c>
      <c r="H36" s="50">
        <v>0</v>
      </c>
      <c r="I36" s="50">
        <v>4</v>
      </c>
      <c r="J36" s="50">
        <v>7</v>
      </c>
      <c r="K36" s="50">
        <v>1</v>
      </c>
      <c r="L36" s="50">
        <v>2</v>
      </c>
      <c r="M36" s="50">
        <v>110</v>
      </c>
      <c r="N36" s="50">
        <v>0</v>
      </c>
      <c r="O36" s="15">
        <f t="shared" si="0"/>
        <v>96</v>
      </c>
      <c r="P36" s="15">
        <f t="shared" si="1"/>
        <v>206</v>
      </c>
      <c r="R36" s="38" t="s">
        <v>92</v>
      </c>
      <c r="S36" s="39">
        <f t="shared" ref="S36:AF36" si="28">MAX(S19:S21)</f>
        <v>230</v>
      </c>
      <c r="T36" s="39">
        <f t="shared" si="28"/>
        <v>35</v>
      </c>
      <c r="U36" s="39">
        <f t="shared" si="28"/>
        <v>34</v>
      </c>
      <c r="V36" s="39">
        <f t="shared" si="28"/>
        <v>275</v>
      </c>
      <c r="W36" s="39">
        <f t="shared" si="28"/>
        <v>30</v>
      </c>
      <c r="X36" s="39">
        <f t="shared" si="28"/>
        <v>3</v>
      </c>
      <c r="Y36" s="39">
        <f t="shared" si="28"/>
        <v>41</v>
      </c>
      <c r="Z36" s="39">
        <f t="shared" si="28"/>
        <v>37</v>
      </c>
      <c r="AA36" s="39">
        <f t="shared" si="28"/>
        <v>11</v>
      </c>
      <c r="AB36" s="39">
        <f t="shared" si="28"/>
        <v>17</v>
      </c>
      <c r="AC36" s="39">
        <f t="shared" si="28"/>
        <v>1050</v>
      </c>
      <c r="AD36" s="39">
        <f t="shared" si="28"/>
        <v>0</v>
      </c>
      <c r="AE36" s="40">
        <f t="shared" si="28"/>
        <v>691</v>
      </c>
      <c r="AF36" s="40">
        <f t="shared" si="28"/>
        <v>1457</v>
      </c>
    </row>
    <row r="37" spans="2:32" ht="23.1" customHeight="1" x14ac:dyDescent="0.25">
      <c r="B37" s="45" t="s">
        <v>64</v>
      </c>
      <c r="C37" s="50">
        <v>30</v>
      </c>
      <c r="D37" s="50">
        <v>5</v>
      </c>
      <c r="E37" s="50">
        <v>5</v>
      </c>
      <c r="F37" s="50">
        <v>40</v>
      </c>
      <c r="G37" s="50">
        <v>3</v>
      </c>
      <c r="H37" s="50">
        <v>0</v>
      </c>
      <c r="I37" s="50">
        <v>4</v>
      </c>
      <c r="J37" s="50">
        <v>1</v>
      </c>
      <c r="K37" s="50">
        <v>0</v>
      </c>
      <c r="L37" s="50">
        <v>1</v>
      </c>
      <c r="M37" s="50">
        <v>90</v>
      </c>
      <c r="N37" s="50">
        <v>0</v>
      </c>
      <c r="O37" s="15">
        <f t="shared" si="0"/>
        <v>89</v>
      </c>
      <c r="P37" s="15">
        <f t="shared" si="1"/>
        <v>179</v>
      </c>
      <c r="R37" s="37" t="s">
        <v>85</v>
      </c>
      <c r="S37" s="35">
        <f t="shared" ref="S37:AF37" si="29">SUM(S10:S12)</f>
        <v>528</v>
      </c>
      <c r="T37" s="16">
        <f t="shared" si="29"/>
        <v>76</v>
      </c>
      <c r="U37" s="16">
        <f t="shared" si="29"/>
        <v>43</v>
      </c>
      <c r="V37" s="16">
        <f t="shared" si="29"/>
        <v>605</v>
      </c>
      <c r="W37" s="16">
        <f t="shared" si="29"/>
        <v>14</v>
      </c>
      <c r="X37" s="16">
        <f t="shared" si="29"/>
        <v>16</v>
      </c>
      <c r="Y37" s="16">
        <f t="shared" si="29"/>
        <v>102</v>
      </c>
      <c r="Z37" s="16">
        <f t="shared" si="29"/>
        <v>47</v>
      </c>
      <c r="AA37" s="16">
        <f t="shared" si="29"/>
        <v>20</v>
      </c>
      <c r="AB37" s="16">
        <f t="shared" si="29"/>
        <v>15</v>
      </c>
      <c r="AC37" s="16">
        <f t="shared" si="29"/>
        <v>2095</v>
      </c>
      <c r="AD37" s="16">
        <f t="shared" si="29"/>
        <v>0</v>
      </c>
      <c r="AE37" s="32">
        <f t="shared" si="29"/>
        <v>1466</v>
      </c>
      <c r="AF37" s="32">
        <f t="shared" si="29"/>
        <v>3561</v>
      </c>
    </row>
    <row r="38" spans="2:32" ht="23.1" customHeight="1" x14ac:dyDescent="0.25">
      <c r="B38" s="46" t="s">
        <v>65</v>
      </c>
      <c r="C38" s="50">
        <v>35</v>
      </c>
      <c r="D38" s="50">
        <v>33</v>
      </c>
      <c r="E38" s="50">
        <v>10</v>
      </c>
      <c r="F38" s="50">
        <v>36</v>
      </c>
      <c r="G38" s="50">
        <v>2</v>
      </c>
      <c r="H38" s="50">
        <v>0</v>
      </c>
      <c r="I38" s="50">
        <v>12</v>
      </c>
      <c r="J38" s="50">
        <v>11</v>
      </c>
      <c r="K38" s="50">
        <v>5</v>
      </c>
      <c r="L38" s="50">
        <v>3</v>
      </c>
      <c r="M38" s="50">
        <v>120</v>
      </c>
      <c r="N38" s="50">
        <v>0</v>
      </c>
      <c r="O38" s="15">
        <f t="shared" si="0"/>
        <v>147</v>
      </c>
      <c r="P38" s="15">
        <f t="shared" si="1"/>
        <v>267</v>
      </c>
      <c r="R38" s="28" t="s">
        <v>86</v>
      </c>
      <c r="S38" s="16">
        <f t="shared" ref="S38:AF38" si="30">SUM(S13:S18)</f>
        <v>1222</v>
      </c>
      <c r="T38" s="16">
        <f t="shared" si="30"/>
        <v>191</v>
      </c>
      <c r="U38" s="16">
        <f t="shared" si="30"/>
        <v>160</v>
      </c>
      <c r="V38" s="16">
        <f t="shared" si="30"/>
        <v>932</v>
      </c>
      <c r="W38" s="16">
        <f t="shared" si="30"/>
        <v>58</v>
      </c>
      <c r="X38" s="16">
        <f t="shared" si="30"/>
        <v>17</v>
      </c>
      <c r="Y38" s="16">
        <f t="shared" si="30"/>
        <v>225</v>
      </c>
      <c r="Z38" s="16">
        <f t="shared" si="30"/>
        <v>145</v>
      </c>
      <c r="AA38" s="16">
        <f t="shared" si="30"/>
        <v>29</v>
      </c>
      <c r="AB38" s="16">
        <f t="shared" si="30"/>
        <v>46</v>
      </c>
      <c r="AC38" s="16">
        <f t="shared" si="30"/>
        <v>3520</v>
      </c>
      <c r="AD38" s="16">
        <f t="shared" si="30"/>
        <v>0</v>
      </c>
      <c r="AE38" s="32">
        <f t="shared" si="30"/>
        <v>3025</v>
      </c>
      <c r="AF38" s="32">
        <f t="shared" si="30"/>
        <v>6545</v>
      </c>
    </row>
    <row r="39" spans="2:32" ht="23.1" customHeight="1" x14ac:dyDescent="0.25">
      <c r="B39" s="46" t="s">
        <v>66</v>
      </c>
      <c r="C39" s="50">
        <v>36</v>
      </c>
      <c r="D39" s="50">
        <v>7</v>
      </c>
      <c r="E39" s="50">
        <v>8</v>
      </c>
      <c r="F39" s="50">
        <v>22</v>
      </c>
      <c r="G39" s="50">
        <v>6</v>
      </c>
      <c r="H39" s="50">
        <v>0</v>
      </c>
      <c r="I39" s="50">
        <v>4</v>
      </c>
      <c r="J39" s="50">
        <v>15</v>
      </c>
      <c r="K39" s="50">
        <v>1</v>
      </c>
      <c r="L39" s="50">
        <v>4</v>
      </c>
      <c r="M39" s="50">
        <v>115</v>
      </c>
      <c r="N39" s="50">
        <v>0</v>
      </c>
      <c r="O39" s="15">
        <f t="shared" si="0"/>
        <v>103</v>
      </c>
      <c r="P39" s="15">
        <f t="shared" si="1"/>
        <v>218</v>
      </c>
      <c r="R39" s="29" t="s">
        <v>87</v>
      </c>
      <c r="S39" s="16">
        <f t="shared" ref="S39:AF39" si="31">SUM(S19:S21)</f>
        <v>547</v>
      </c>
      <c r="T39" s="16">
        <f t="shared" si="31"/>
        <v>73</v>
      </c>
      <c r="U39" s="16">
        <f t="shared" si="31"/>
        <v>88</v>
      </c>
      <c r="V39" s="16">
        <f t="shared" si="31"/>
        <v>549</v>
      </c>
      <c r="W39" s="16">
        <f t="shared" si="31"/>
        <v>62</v>
      </c>
      <c r="X39" s="16">
        <f t="shared" si="31"/>
        <v>6</v>
      </c>
      <c r="Y39" s="16">
        <f t="shared" si="31"/>
        <v>108</v>
      </c>
      <c r="Z39" s="16">
        <f t="shared" si="31"/>
        <v>102</v>
      </c>
      <c r="AA39" s="16">
        <f t="shared" si="31"/>
        <v>29</v>
      </c>
      <c r="AB39" s="16">
        <f t="shared" si="31"/>
        <v>35</v>
      </c>
      <c r="AC39" s="16">
        <f t="shared" si="31"/>
        <v>2560</v>
      </c>
      <c r="AD39" s="16">
        <f t="shared" si="31"/>
        <v>0</v>
      </c>
      <c r="AE39" s="32">
        <f t="shared" si="31"/>
        <v>1599</v>
      </c>
      <c r="AF39" s="32">
        <f t="shared" si="31"/>
        <v>4159</v>
      </c>
    </row>
    <row r="40" spans="2:32" ht="23.1" customHeight="1" x14ac:dyDescent="0.25">
      <c r="B40" s="46" t="s">
        <v>67</v>
      </c>
      <c r="C40" s="50">
        <v>75</v>
      </c>
      <c r="D40" s="50">
        <v>6</v>
      </c>
      <c r="E40" s="50">
        <v>4</v>
      </c>
      <c r="F40" s="50">
        <v>30</v>
      </c>
      <c r="G40" s="50">
        <v>1</v>
      </c>
      <c r="H40" s="50">
        <v>1</v>
      </c>
      <c r="I40" s="50">
        <v>6</v>
      </c>
      <c r="J40" s="50">
        <v>5</v>
      </c>
      <c r="K40" s="50">
        <v>0</v>
      </c>
      <c r="L40" s="50">
        <v>4</v>
      </c>
      <c r="M40" s="50">
        <v>105</v>
      </c>
      <c r="N40" s="50">
        <v>0</v>
      </c>
      <c r="O40" s="15">
        <f t="shared" si="0"/>
        <v>132</v>
      </c>
      <c r="P40" s="15">
        <f t="shared" si="1"/>
        <v>237</v>
      </c>
      <c r="R40" s="5" t="s">
        <v>17</v>
      </c>
      <c r="S40" s="16">
        <f t="shared" ref="S40:AF40" si="32">SUM(S10:S21)</f>
        <v>2297</v>
      </c>
      <c r="T40" s="16">
        <f t="shared" si="32"/>
        <v>340</v>
      </c>
      <c r="U40" s="16">
        <f t="shared" si="32"/>
        <v>291</v>
      </c>
      <c r="V40" s="16">
        <f t="shared" si="32"/>
        <v>2086</v>
      </c>
      <c r="W40" s="16">
        <f t="shared" si="32"/>
        <v>134</v>
      </c>
      <c r="X40" s="16">
        <f t="shared" si="32"/>
        <v>39</v>
      </c>
      <c r="Y40" s="16">
        <f t="shared" si="32"/>
        <v>435</v>
      </c>
      <c r="Z40" s="16">
        <f t="shared" si="32"/>
        <v>294</v>
      </c>
      <c r="AA40" s="16">
        <f t="shared" si="32"/>
        <v>78</v>
      </c>
      <c r="AB40" s="16">
        <f t="shared" si="32"/>
        <v>96</v>
      </c>
      <c r="AC40" s="16">
        <f t="shared" si="32"/>
        <v>8175</v>
      </c>
      <c r="AD40" s="16">
        <f t="shared" si="32"/>
        <v>0</v>
      </c>
      <c r="AE40" s="32">
        <f t="shared" si="32"/>
        <v>6090</v>
      </c>
      <c r="AF40" s="32">
        <f t="shared" si="32"/>
        <v>14265</v>
      </c>
    </row>
    <row r="41" spans="2:32" ht="23.1" customHeight="1" x14ac:dyDescent="0.25">
      <c r="B41" s="45" t="s">
        <v>68</v>
      </c>
      <c r="C41" s="50">
        <v>53</v>
      </c>
      <c r="D41" s="50">
        <v>5</v>
      </c>
      <c r="E41" s="50">
        <v>6</v>
      </c>
      <c r="F41" s="50">
        <v>17</v>
      </c>
      <c r="G41" s="50">
        <v>0</v>
      </c>
      <c r="H41" s="50">
        <v>1</v>
      </c>
      <c r="I41" s="50">
        <v>12</v>
      </c>
      <c r="J41" s="50">
        <v>7</v>
      </c>
      <c r="K41" s="50">
        <v>0</v>
      </c>
      <c r="L41" s="50">
        <v>0</v>
      </c>
      <c r="M41" s="50">
        <v>195</v>
      </c>
      <c r="N41" s="50">
        <v>0</v>
      </c>
      <c r="O41" s="15">
        <f t="shared" si="0"/>
        <v>101</v>
      </c>
      <c r="P41" s="15">
        <f t="shared" si="1"/>
        <v>296</v>
      </c>
      <c r="R41" s="5" t="s">
        <v>159</v>
      </c>
      <c r="S41" s="16">
        <f>SUM(S10:S33)</f>
        <v>4441</v>
      </c>
      <c r="T41" s="16">
        <f t="shared" ref="T41:AF41" si="33">SUM(T10:T33)</f>
        <v>565</v>
      </c>
      <c r="U41" s="16">
        <f t="shared" si="33"/>
        <v>497</v>
      </c>
      <c r="V41" s="16">
        <f t="shared" si="33"/>
        <v>3062</v>
      </c>
      <c r="W41" s="16">
        <f t="shared" si="33"/>
        <v>154</v>
      </c>
      <c r="X41" s="16">
        <f t="shared" si="33"/>
        <v>84</v>
      </c>
      <c r="Y41" s="16">
        <f t="shared" si="33"/>
        <v>619</v>
      </c>
      <c r="Z41" s="16">
        <f t="shared" si="33"/>
        <v>445</v>
      </c>
      <c r="AA41" s="16">
        <f t="shared" si="33"/>
        <v>148</v>
      </c>
      <c r="AB41" s="16">
        <f t="shared" si="33"/>
        <v>161</v>
      </c>
      <c r="AC41" s="16">
        <f t="shared" si="33"/>
        <v>14279</v>
      </c>
      <c r="AD41" s="16">
        <f t="shared" si="33"/>
        <v>0</v>
      </c>
      <c r="AE41" s="32">
        <f t="shared" si="33"/>
        <v>10176</v>
      </c>
      <c r="AF41" s="32">
        <f t="shared" si="33"/>
        <v>24455</v>
      </c>
    </row>
    <row r="42" spans="2:32" ht="23.1" customHeight="1" x14ac:dyDescent="0.25">
      <c r="B42" s="46" t="s">
        <v>69</v>
      </c>
      <c r="C42" s="50">
        <v>51</v>
      </c>
      <c r="D42" s="50">
        <v>3</v>
      </c>
      <c r="E42" s="50">
        <v>8</v>
      </c>
      <c r="F42" s="50">
        <v>18</v>
      </c>
      <c r="G42" s="50">
        <v>1</v>
      </c>
      <c r="H42" s="50">
        <v>0</v>
      </c>
      <c r="I42" s="50">
        <v>22</v>
      </c>
      <c r="J42" s="50">
        <v>1</v>
      </c>
      <c r="K42" s="50">
        <v>0</v>
      </c>
      <c r="L42" s="50">
        <v>6</v>
      </c>
      <c r="M42" s="50">
        <v>215</v>
      </c>
      <c r="N42" s="50">
        <v>0</v>
      </c>
      <c r="O42" s="15">
        <f t="shared" si="0"/>
        <v>110</v>
      </c>
      <c r="P42" s="15">
        <f t="shared" si="1"/>
        <v>325</v>
      </c>
      <c r="R42" s="5" t="s">
        <v>160</v>
      </c>
      <c r="S42" s="48">
        <f>S41/S40</f>
        <v>1.933391380060949</v>
      </c>
      <c r="T42" s="48">
        <f t="shared" ref="T42:AF42" si="34">T41/T40</f>
        <v>1.661764705882353</v>
      </c>
      <c r="U42" s="48">
        <f t="shared" si="34"/>
        <v>1.7079037800687284</v>
      </c>
      <c r="V42" s="48">
        <f t="shared" si="34"/>
        <v>1.4678811121764141</v>
      </c>
      <c r="W42" s="48">
        <f t="shared" si="34"/>
        <v>1.1492537313432836</v>
      </c>
      <c r="X42" s="48">
        <f t="shared" si="34"/>
        <v>2.1538461538461537</v>
      </c>
      <c r="Y42" s="48">
        <f t="shared" si="34"/>
        <v>1.4229885057471265</v>
      </c>
      <c r="Z42" s="48">
        <f t="shared" si="34"/>
        <v>1.5136054421768708</v>
      </c>
      <c r="AA42" s="48">
        <f t="shared" si="34"/>
        <v>1.8974358974358974</v>
      </c>
      <c r="AB42" s="48">
        <f t="shared" si="34"/>
        <v>1.6770833333333333</v>
      </c>
      <c r="AC42" s="48">
        <f t="shared" si="34"/>
        <v>1.7466666666666666</v>
      </c>
      <c r="AD42" s="48" t="e">
        <f t="shared" si="34"/>
        <v>#DIV/0!</v>
      </c>
      <c r="AE42" s="48">
        <f t="shared" si="34"/>
        <v>1.6709359605911329</v>
      </c>
      <c r="AF42" s="48">
        <f t="shared" si="34"/>
        <v>1.7143357868909919</v>
      </c>
    </row>
    <row r="43" spans="2:32" ht="23.1" customHeight="1" x14ac:dyDescent="0.25">
      <c r="B43" s="45" t="s">
        <v>70</v>
      </c>
      <c r="C43" s="50">
        <v>65</v>
      </c>
      <c r="D43" s="50">
        <v>10</v>
      </c>
      <c r="E43" s="50">
        <v>12</v>
      </c>
      <c r="F43" s="50">
        <v>36</v>
      </c>
      <c r="G43" s="50">
        <v>2</v>
      </c>
      <c r="H43" s="50">
        <v>0</v>
      </c>
      <c r="I43" s="50">
        <v>16</v>
      </c>
      <c r="J43" s="50">
        <v>13</v>
      </c>
      <c r="K43" s="50">
        <v>0</v>
      </c>
      <c r="L43" s="50">
        <v>2</v>
      </c>
      <c r="M43" s="50">
        <v>168</v>
      </c>
      <c r="N43" s="50">
        <v>0</v>
      </c>
      <c r="O43" s="15">
        <f t="shared" si="0"/>
        <v>156</v>
      </c>
      <c r="P43" s="15">
        <f t="shared" si="1"/>
        <v>324</v>
      </c>
    </row>
    <row r="44" spans="2:32" ht="23.1" customHeight="1" x14ac:dyDescent="0.25">
      <c r="B44" s="47" t="s">
        <v>71</v>
      </c>
      <c r="C44" s="50">
        <v>82</v>
      </c>
      <c r="D44" s="50">
        <v>7</v>
      </c>
      <c r="E44" s="50">
        <v>8</v>
      </c>
      <c r="F44" s="50">
        <v>87</v>
      </c>
      <c r="G44" s="50">
        <v>3</v>
      </c>
      <c r="H44" s="50">
        <v>1</v>
      </c>
      <c r="I44" s="50">
        <v>8</v>
      </c>
      <c r="J44" s="50">
        <v>5</v>
      </c>
      <c r="K44" s="50">
        <v>1</v>
      </c>
      <c r="L44" s="50">
        <v>6</v>
      </c>
      <c r="M44" s="50">
        <v>130</v>
      </c>
      <c r="N44" s="50">
        <v>0</v>
      </c>
      <c r="O44" s="15">
        <f t="shared" si="0"/>
        <v>208</v>
      </c>
      <c r="P44" s="15">
        <f t="shared" si="1"/>
        <v>338</v>
      </c>
    </row>
    <row r="45" spans="2:32" ht="23.1" customHeight="1" x14ac:dyDescent="0.25">
      <c r="B45" s="45" t="s">
        <v>72</v>
      </c>
      <c r="C45" s="50">
        <v>70</v>
      </c>
      <c r="D45" s="50">
        <v>0</v>
      </c>
      <c r="E45" s="50">
        <v>0</v>
      </c>
      <c r="F45" s="50">
        <v>110</v>
      </c>
      <c r="G45" s="50">
        <v>12</v>
      </c>
      <c r="H45" s="50">
        <v>1</v>
      </c>
      <c r="I45" s="50">
        <v>21</v>
      </c>
      <c r="J45" s="50">
        <v>11</v>
      </c>
      <c r="K45" s="50">
        <v>1</v>
      </c>
      <c r="L45" s="50">
        <v>1</v>
      </c>
      <c r="M45" s="50">
        <v>90</v>
      </c>
      <c r="N45" s="50">
        <v>0</v>
      </c>
      <c r="O45" s="15">
        <f t="shared" si="0"/>
        <v>227</v>
      </c>
      <c r="P45" s="15">
        <f t="shared" si="1"/>
        <v>317</v>
      </c>
    </row>
    <row r="46" spans="2:32" ht="23.1" customHeight="1" x14ac:dyDescent="0.25">
      <c r="B46" s="46" t="s">
        <v>73</v>
      </c>
      <c r="C46" s="50">
        <v>73</v>
      </c>
      <c r="D46" s="50">
        <v>12</v>
      </c>
      <c r="E46" s="50">
        <v>6</v>
      </c>
      <c r="F46" s="50">
        <v>82</v>
      </c>
      <c r="G46" s="50">
        <v>7</v>
      </c>
      <c r="H46" s="50">
        <v>0</v>
      </c>
      <c r="I46" s="50">
        <v>14</v>
      </c>
      <c r="J46" s="50">
        <v>9</v>
      </c>
      <c r="K46" s="50">
        <v>4</v>
      </c>
      <c r="L46" s="50">
        <v>2</v>
      </c>
      <c r="M46" s="50">
        <v>110</v>
      </c>
      <c r="N46" s="50">
        <v>0</v>
      </c>
      <c r="O46" s="15">
        <f t="shared" si="0"/>
        <v>209</v>
      </c>
      <c r="P46" s="15">
        <f t="shared" si="1"/>
        <v>319</v>
      </c>
      <c r="R46" s="8"/>
      <c r="T46"/>
    </row>
    <row r="47" spans="2:32" ht="23.1" customHeight="1" x14ac:dyDescent="0.25">
      <c r="B47" s="46" t="s">
        <v>74</v>
      </c>
      <c r="C47" s="50">
        <v>66</v>
      </c>
      <c r="D47" s="50">
        <v>11</v>
      </c>
      <c r="E47" s="50">
        <v>9</v>
      </c>
      <c r="F47" s="50">
        <v>73</v>
      </c>
      <c r="G47" s="50">
        <v>12</v>
      </c>
      <c r="H47" s="50">
        <v>0</v>
      </c>
      <c r="I47" s="50">
        <v>6</v>
      </c>
      <c r="J47" s="50">
        <v>7</v>
      </c>
      <c r="K47" s="50">
        <v>1</v>
      </c>
      <c r="L47" s="50">
        <v>4</v>
      </c>
      <c r="M47" s="50">
        <v>170</v>
      </c>
      <c r="N47" s="50">
        <v>0</v>
      </c>
      <c r="O47" s="15">
        <f t="shared" si="0"/>
        <v>189</v>
      </c>
      <c r="P47" s="15">
        <f t="shared" si="1"/>
        <v>359</v>
      </c>
      <c r="R47" s="8"/>
      <c r="T47"/>
    </row>
    <row r="48" spans="2:32" ht="23.1" customHeight="1" x14ac:dyDescent="0.25">
      <c r="B48" s="46" t="s">
        <v>75</v>
      </c>
      <c r="C48" s="50">
        <v>51</v>
      </c>
      <c r="D48" s="50">
        <v>5</v>
      </c>
      <c r="E48" s="50">
        <v>7</v>
      </c>
      <c r="F48" s="50">
        <v>65</v>
      </c>
      <c r="G48" s="50">
        <v>8</v>
      </c>
      <c r="H48" s="50">
        <v>1</v>
      </c>
      <c r="I48" s="50">
        <v>7</v>
      </c>
      <c r="J48" s="50">
        <v>7</v>
      </c>
      <c r="K48" s="50">
        <v>1</v>
      </c>
      <c r="L48" s="50">
        <v>3</v>
      </c>
      <c r="M48" s="50">
        <v>175</v>
      </c>
      <c r="N48" s="50">
        <v>0</v>
      </c>
      <c r="O48" s="15">
        <f t="shared" si="0"/>
        <v>155</v>
      </c>
      <c r="P48" s="15">
        <f t="shared" si="1"/>
        <v>330</v>
      </c>
      <c r="R48" s="8"/>
      <c r="T48"/>
    </row>
    <row r="49" spans="2:20" ht="23.1" customHeight="1" x14ac:dyDescent="0.25">
      <c r="B49" s="45" t="s">
        <v>76</v>
      </c>
      <c r="C49" s="50">
        <v>40</v>
      </c>
      <c r="D49" s="50">
        <v>7</v>
      </c>
      <c r="E49" s="50">
        <v>12</v>
      </c>
      <c r="F49" s="50">
        <v>55</v>
      </c>
      <c r="G49" s="50">
        <v>3</v>
      </c>
      <c r="H49" s="50">
        <v>1</v>
      </c>
      <c r="I49" s="50">
        <v>8</v>
      </c>
      <c r="J49" s="50">
        <v>7</v>
      </c>
      <c r="K49" s="50">
        <v>2</v>
      </c>
      <c r="L49" s="50">
        <v>3</v>
      </c>
      <c r="M49" s="50">
        <v>210</v>
      </c>
      <c r="N49" s="50">
        <v>0</v>
      </c>
      <c r="O49" s="15">
        <f t="shared" si="0"/>
        <v>138</v>
      </c>
      <c r="P49" s="15">
        <f t="shared" si="1"/>
        <v>348</v>
      </c>
      <c r="R49" s="8"/>
      <c r="T49"/>
    </row>
    <row r="50" spans="2:20" ht="23.1" customHeight="1" x14ac:dyDescent="0.25">
      <c r="B50" s="46" t="s">
        <v>77</v>
      </c>
      <c r="C50" s="50">
        <v>51</v>
      </c>
      <c r="D50" s="50">
        <v>5</v>
      </c>
      <c r="E50" s="50">
        <v>6</v>
      </c>
      <c r="F50" s="50">
        <v>45</v>
      </c>
      <c r="G50" s="50">
        <v>4</v>
      </c>
      <c r="H50" s="50">
        <v>0</v>
      </c>
      <c r="I50" s="50">
        <v>8</v>
      </c>
      <c r="J50" s="50">
        <v>12</v>
      </c>
      <c r="K50" s="50">
        <v>3</v>
      </c>
      <c r="L50" s="50">
        <v>5</v>
      </c>
      <c r="M50" s="50">
        <v>235</v>
      </c>
      <c r="N50" s="50">
        <v>0</v>
      </c>
      <c r="O50" s="15">
        <f t="shared" si="0"/>
        <v>139</v>
      </c>
      <c r="P50" s="15">
        <f t="shared" si="1"/>
        <v>374</v>
      </c>
      <c r="R50" s="8"/>
      <c r="T50"/>
    </row>
    <row r="51" spans="2:20" ht="23.1" customHeight="1" x14ac:dyDescent="0.25">
      <c r="B51" s="46" t="s">
        <v>78</v>
      </c>
      <c r="C51" s="50">
        <v>40</v>
      </c>
      <c r="D51" s="50">
        <v>7</v>
      </c>
      <c r="E51" s="50">
        <v>8</v>
      </c>
      <c r="F51" s="50">
        <v>30</v>
      </c>
      <c r="G51" s="50">
        <v>10</v>
      </c>
      <c r="H51" s="50">
        <v>1</v>
      </c>
      <c r="I51" s="50">
        <v>11</v>
      </c>
      <c r="J51" s="50">
        <v>8</v>
      </c>
      <c r="K51" s="50">
        <v>0</v>
      </c>
      <c r="L51" s="50">
        <v>4</v>
      </c>
      <c r="M51" s="50">
        <v>220</v>
      </c>
      <c r="N51" s="50">
        <v>0</v>
      </c>
      <c r="O51" s="15">
        <f t="shared" si="0"/>
        <v>119</v>
      </c>
      <c r="P51" s="15">
        <f t="shared" si="1"/>
        <v>339</v>
      </c>
      <c r="R51" s="8"/>
      <c r="T51"/>
    </row>
    <row r="52" spans="2:20" ht="23.1" customHeight="1" x14ac:dyDescent="0.25">
      <c r="B52" s="46" t="s">
        <v>79</v>
      </c>
      <c r="C52" s="50">
        <v>41</v>
      </c>
      <c r="D52" s="50">
        <v>10</v>
      </c>
      <c r="E52" s="50">
        <v>9</v>
      </c>
      <c r="F52" s="50">
        <v>42</v>
      </c>
      <c r="G52" s="50">
        <v>3</v>
      </c>
      <c r="H52" s="50">
        <v>1</v>
      </c>
      <c r="I52" s="50">
        <v>12</v>
      </c>
      <c r="J52" s="50">
        <v>13</v>
      </c>
      <c r="K52" s="50">
        <v>3</v>
      </c>
      <c r="L52" s="50">
        <v>2</v>
      </c>
      <c r="M52" s="50">
        <v>220</v>
      </c>
      <c r="N52" s="50">
        <v>0</v>
      </c>
      <c r="O52" s="15">
        <f t="shared" si="0"/>
        <v>136</v>
      </c>
      <c r="P52" s="15">
        <f t="shared" si="1"/>
        <v>356</v>
      </c>
      <c r="R52" s="8"/>
      <c r="T52"/>
    </row>
    <row r="53" spans="2:20" ht="23.1" customHeight="1" x14ac:dyDescent="0.25">
      <c r="B53" s="45" t="s">
        <v>80</v>
      </c>
      <c r="C53" s="50">
        <v>36</v>
      </c>
      <c r="D53" s="50">
        <v>3</v>
      </c>
      <c r="E53" s="50">
        <v>7</v>
      </c>
      <c r="F53" s="50">
        <v>31</v>
      </c>
      <c r="G53" s="50">
        <v>4</v>
      </c>
      <c r="H53" s="50">
        <v>1</v>
      </c>
      <c r="I53" s="50">
        <v>10</v>
      </c>
      <c r="J53" s="50">
        <v>4</v>
      </c>
      <c r="K53" s="50">
        <v>5</v>
      </c>
      <c r="L53" s="50">
        <v>6</v>
      </c>
      <c r="M53" s="50">
        <v>170</v>
      </c>
      <c r="N53" s="50">
        <v>0</v>
      </c>
      <c r="O53" s="15">
        <f t="shared" si="0"/>
        <v>107</v>
      </c>
      <c r="P53" s="15">
        <f t="shared" si="1"/>
        <v>277</v>
      </c>
      <c r="R53" s="8"/>
      <c r="T53"/>
    </row>
    <row r="54" spans="2:20" ht="23.1" customHeight="1" x14ac:dyDescent="0.25">
      <c r="B54" s="45" t="s">
        <v>81</v>
      </c>
      <c r="C54" s="50">
        <v>41</v>
      </c>
      <c r="D54" s="50">
        <v>2</v>
      </c>
      <c r="E54" s="50">
        <v>2</v>
      </c>
      <c r="F54" s="50">
        <v>35</v>
      </c>
      <c r="G54" s="50">
        <v>6</v>
      </c>
      <c r="H54" s="50">
        <v>0</v>
      </c>
      <c r="I54" s="50">
        <v>9</v>
      </c>
      <c r="J54" s="50">
        <v>12</v>
      </c>
      <c r="K54" s="50">
        <v>3</v>
      </c>
      <c r="L54" s="50">
        <v>0</v>
      </c>
      <c r="M54" s="50">
        <v>255</v>
      </c>
      <c r="N54" s="50">
        <v>0</v>
      </c>
      <c r="O54" s="15">
        <f t="shared" si="0"/>
        <v>110</v>
      </c>
      <c r="P54" s="15">
        <f t="shared" si="1"/>
        <v>365</v>
      </c>
      <c r="R54" s="8"/>
      <c r="T54"/>
    </row>
    <row r="55" spans="2:20" ht="23.1" customHeight="1" x14ac:dyDescent="0.25">
      <c r="B55" s="45" t="s">
        <v>82</v>
      </c>
      <c r="C55" s="50">
        <v>31</v>
      </c>
      <c r="D55" s="50">
        <v>5</v>
      </c>
      <c r="E55" s="50">
        <v>9</v>
      </c>
      <c r="F55" s="50">
        <v>33</v>
      </c>
      <c r="G55" s="50">
        <v>2</v>
      </c>
      <c r="H55" s="50">
        <v>0</v>
      </c>
      <c r="I55" s="50">
        <v>6</v>
      </c>
      <c r="J55" s="50">
        <v>9</v>
      </c>
      <c r="K55" s="50">
        <v>2</v>
      </c>
      <c r="L55" s="50">
        <v>3</v>
      </c>
      <c r="M55" s="50">
        <v>280</v>
      </c>
      <c r="N55" s="50">
        <v>0</v>
      </c>
      <c r="O55" s="15">
        <f t="shared" si="0"/>
        <v>100</v>
      </c>
      <c r="P55" s="15">
        <f t="shared" si="1"/>
        <v>380</v>
      </c>
      <c r="R55" s="8"/>
      <c r="T55"/>
    </row>
    <row r="56" spans="2:20" ht="23.1" customHeight="1" x14ac:dyDescent="0.25">
      <c r="B56" s="45" t="s">
        <v>83</v>
      </c>
      <c r="C56" s="50">
        <v>41</v>
      </c>
      <c r="D56" s="50">
        <v>3</v>
      </c>
      <c r="E56" s="50">
        <v>6</v>
      </c>
      <c r="F56" s="50">
        <v>23</v>
      </c>
      <c r="G56" s="50">
        <v>3</v>
      </c>
      <c r="H56" s="50">
        <v>1</v>
      </c>
      <c r="I56" s="50">
        <v>11</v>
      </c>
      <c r="J56" s="50">
        <v>7</v>
      </c>
      <c r="K56" s="50">
        <v>1</v>
      </c>
      <c r="L56" s="50">
        <v>0</v>
      </c>
      <c r="M56" s="50">
        <v>265</v>
      </c>
      <c r="N56" s="50">
        <v>0</v>
      </c>
      <c r="O56" s="15">
        <f t="shared" si="0"/>
        <v>96</v>
      </c>
      <c r="P56" s="15">
        <f t="shared" si="1"/>
        <v>361</v>
      </c>
      <c r="R56" s="8"/>
      <c r="T56"/>
    </row>
    <row r="57" spans="2:20" ht="23.1" customHeight="1" x14ac:dyDescent="0.25">
      <c r="B57" s="45" t="s">
        <v>84</v>
      </c>
      <c r="C57" s="50">
        <v>36</v>
      </c>
      <c r="D57" s="50">
        <v>3</v>
      </c>
      <c r="E57" s="50">
        <v>7</v>
      </c>
      <c r="F57" s="50">
        <v>35</v>
      </c>
      <c r="G57" s="50">
        <v>0</v>
      </c>
      <c r="H57" s="50">
        <v>0</v>
      </c>
      <c r="I57" s="50">
        <v>6</v>
      </c>
      <c r="J57" s="50">
        <v>7</v>
      </c>
      <c r="K57" s="50">
        <v>4</v>
      </c>
      <c r="L57" s="50">
        <v>3</v>
      </c>
      <c r="M57" s="50">
        <v>250</v>
      </c>
      <c r="N57" s="50">
        <v>0</v>
      </c>
      <c r="O57" s="15">
        <f t="shared" si="0"/>
        <v>101</v>
      </c>
      <c r="P57" s="15">
        <f t="shared" si="1"/>
        <v>351</v>
      </c>
      <c r="R57" s="8"/>
      <c r="T57"/>
    </row>
    <row r="58" spans="2:20" ht="23.1" customHeight="1" x14ac:dyDescent="0.25">
      <c r="B58" s="45" t="s">
        <v>99</v>
      </c>
      <c r="C58" s="50">
        <v>66</v>
      </c>
      <c r="D58" s="50">
        <v>5</v>
      </c>
      <c r="E58" s="50">
        <v>13</v>
      </c>
      <c r="F58" s="50">
        <v>25</v>
      </c>
      <c r="G58" s="50">
        <v>1</v>
      </c>
      <c r="H58" s="50">
        <v>0</v>
      </c>
      <c r="I58" s="50">
        <v>10</v>
      </c>
      <c r="J58" s="50">
        <v>8</v>
      </c>
      <c r="K58" s="50">
        <v>4</v>
      </c>
      <c r="L58" s="50">
        <v>5</v>
      </c>
      <c r="M58" s="50">
        <v>289</v>
      </c>
      <c r="N58" s="50">
        <v>0</v>
      </c>
      <c r="O58" s="15">
        <f t="shared" si="0"/>
        <v>137</v>
      </c>
      <c r="P58" s="15">
        <f t="shared" si="1"/>
        <v>426</v>
      </c>
      <c r="R58" s="8"/>
      <c r="T58"/>
    </row>
    <row r="59" spans="2:20" ht="23.1" customHeight="1" x14ac:dyDescent="0.25">
      <c r="B59" s="45" t="s">
        <v>100</v>
      </c>
      <c r="C59" s="50">
        <v>62</v>
      </c>
      <c r="D59" s="50">
        <v>4</v>
      </c>
      <c r="E59" s="50">
        <v>5</v>
      </c>
      <c r="F59" s="50">
        <v>32</v>
      </c>
      <c r="G59" s="50">
        <v>1</v>
      </c>
      <c r="H59" s="50">
        <v>0</v>
      </c>
      <c r="I59" s="50">
        <v>6</v>
      </c>
      <c r="J59" s="50">
        <v>8</v>
      </c>
      <c r="K59" s="50">
        <v>2</v>
      </c>
      <c r="L59" s="50">
        <v>2</v>
      </c>
      <c r="M59" s="50">
        <v>290</v>
      </c>
      <c r="N59" s="50">
        <v>0</v>
      </c>
      <c r="O59" s="15">
        <f t="shared" si="0"/>
        <v>122</v>
      </c>
      <c r="P59" s="15">
        <f t="shared" si="1"/>
        <v>412</v>
      </c>
      <c r="R59" s="8"/>
      <c r="T59"/>
    </row>
    <row r="60" spans="2:20" ht="23.1" customHeight="1" x14ac:dyDescent="0.25">
      <c r="B60" s="45" t="s">
        <v>101</v>
      </c>
      <c r="C60" s="50">
        <v>70</v>
      </c>
      <c r="D60" s="50">
        <v>13</v>
      </c>
      <c r="E60" s="50">
        <v>8</v>
      </c>
      <c r="F60" s="50">
        <v>23</v>
      </c>
      <c r="G60" s="50">
        <v>0</v>
      </c>
      <c r="H60" s="50">
        <v>1</v>
      </c>
      <c r="I60" s="50">
        <v>2</v>
      </c>
      <c r="J60" s="50">
        <v>2</v>
      </c>
      <c r="K60" s="50">
        <v>1</v>
      </c>
      <c r="L60" s="50">
        <v>3</v>
      </c>
      <c r="M60" s="50">
        <v>262</v>
      </c>
      <c r="N60" s="50">
        <v>0</v>
      </c>
      <c r="O60" s="15">
        <f t="shared" si="0"/>
        <v>123</v>
      </c>
      <c r="P60" s="15">
        <f t="shared" si="1"/>
        <v>385</v>
      </c>
      <c r="R60" s="8"/>
      <c r="T60"/>
    </row>
    <row r="61" spans="2:20" ht="23.1" customHeight="1" x14ac:dyDescent="0.25">
      <c r="B61" s="45" t="s">
        <v>102</v>
      </c>
      <c r="C61" s="50">
        <v>60</v>
      </c>
      <c r="D61" s="50">
        <v>4</v>
      </c>
      <c r="E61" s="50">
        <v>4</v>
      </c>
      <c r="F61" s="50">
        <v>52</v>
      </c>
      <c r="G61" s="50">
        <v>0</v>
      </c>
      <c r="H61" s="50">
        <v>3</v>
      </c>
      <c r="I61" s="50">
        <v>1</v>
      </c>
      <c r="J61" s="50">
        <v>3</v>
      </c>
      <c r="K61" s="50">
        <v>0</v>
      </c>
      <c r="L61" s="50">
        <v>2</v>
      </c>
      <c r="M61" s="50">
        <v>288</v>
      </c>
      <c r="N61" s="50">
        <v>0</v>
      </c>
      <c r="O61" s="15">
        <f t="shared" si="0"/>
        <v>129</v>
      </c>
      <c r="P61" s="15">
        <f t="shared" si="1"/>
        <v>417</v>
      </c>
      <c r="R61" s="8"/>
      <c r="T61"/>
    </row>
    <row r="62" spans="2:20" ht="23.1" customHeight="1" x14ac:dyDescent="0.25">
      <c r="B62" s="45" t="s">
        <v>107</v>
      </c>
      <c r="C62" s="50">
        <v>59</v>
      </c>
      <c r="D62" s="50">
        <v>11</v>
      </c>
      <c r="E62" s="50">
        <v>9</v>
      </c>
      <c r="F62" s="50">
        <v>26</v>
      </c>
      <c r="G62" s="50">
        <v>0</v>
      </c>
      <c r="H62" s="50">
        <v>3</v>
      </c>
      <c r="I62" s="50">
        <v>6</v>
      </c>
      <c r="J62" s="50">
        <v>8</v>
      </c>
      <c r="K62" s="50">
        <v>6</v>
      </c>
      <c r="L62" s="50">
        <v>2</v>
      </c>
      <c r="M62" s="50">
        <v>252</v>
      </c>
      <c r="N62" s="50">
        <v>0</v>
      </c>
      <c r="O62" s="15">
        <f t="shared" si="0"/>
        <v>130</v>
      </c>
      <c r="P62" s="15">
        <f t="shared" si="1"/>
        <v>382</v>
      </c>
      <c r="R62" s="8"/>
      <c r="T62"/>
    </row>
    <row r="63" spans="2:20" ht="23.1" customHeight="1" x14ac:dyDescent="0.25">
      <c r="B63" s="45" t="s">
        <v>108</v>
      </c>
      <c r="C63" s="50">
        <v>64</v>
      </c>
      <c r="D63" s="50">
        <v>17</v>
      </c>
      <c r="E63" s="50">
        <v>16</v>
      </c>
      <c r="F63" s="50">
        <v>27</v>
      </c>
      <c r="G63" s="50">
        <v>1</v>
      </c>
      <c r="H63" s="50">
        <v>1</v>
      </c>
      <c r="I63" s="50">
        <v>5</v>
      </c>
      <c r="J63" s="50">
        <v>3</v>
      </c>
      <c r="K63" s="50">
        <v>5</v>
      </c>
      <c r="L63" s="50">
        <v>1</v>
      </c>
      <c r="M63" s="50">
        <v>268</v>
      </c>
      <c r="N63" s="50">
        <v>0</v>
      </c>
      <c r="O63" s="15">
        <f t="shared" si="0"/>
        <v>140</v>
      </c>
      <c r="P63" s="15">
        <f t="shared" si="1"/>
        <v>408</v>
      </c>
      <c r="R63" s="8"/>
      <c r="T63"/>
    </row>
    <row r="64" spans="2:20" ht="23.1" customHeight="1" x14ac:dyDescent="0.25">
      <c r="B64" s="45" t="s">
        <v>109</v>
      </c>
      <c r="C64" s="50">
        <v>84</v>
      </c>
      <c r="D64" s="50">
        <v>6</v>
      </c>
      <c r="E64" s="50">
        <v>3</v>
      </c>
      <c r="F64" s="50">
        <v>38</v>
      </c>
      <c r="G64" s="50">
        <v>3</v>
      </c>
      <c r="H64" s="50">
        <v>0</v>
      </c>
      <c r="I64" s="50">
        <v>6</v>
      </c>
      <c r="J64" s="50">
        <v>7</v>
      </c>
      <c r="K64" s="50">
        <v>3</v>
      </c>
      <c r="L64" s="50">
        <v>3</v>
      </c>
      <c r="M64" s="50">
        <v>286</v>
      </c>
      <c r="N64" s="50">
        <v>0</v>
      </c>
      <c r="O64" s="15">
        <f t="shared" si="0"/>
        <v>153</v>
      </c>
      <c r="P64" s="15">
        <f t="shared" si="1"/>
        <v>439</v>
      </c>
      <c r="R64" s="8"/>
      <c r="T64"/>
    </row>
    <row r="65" spans="2:20" ht="23.1" customHeight="1" x14ac:dyDescent="0.25">
      <c r="B65" s="45" t="s">
        <v>158</v>
      </c>
      <c r="C65" s="50">
        <v>94</v>
      </c>
      <c r="D65" s="50">
        <v>12</v>
      </c>
      <c r="E65" s="50">
        <v>5</v>
      </c>
      <c r="F65" s="50">
        <v>28</v>
      </c>
      <c r="G65" s="50">
        <v>4</v>
      </c>
      <c r="H65" s="50">
        <v>0</v>
      </c>
      <c r="I65" s="50">
        <v>11</v>
      </c>
      <c r="J65" s="50">
        <v>8</v>
      </c>
      <c r="K65" s="50">
        <v>5</v>
      </c>
      <c r="L65" s="50">
        <v>2</v>
      </c>
      <c r="M65" s="50">
        <v>279</v>
      </c>
      <c r="N65" s="50">
        <v>0</v>
      </c>
      <c r="O65" s="15">
        <f t="shared" si="0"/>
        <v>169</v>
      </c>
      <c r="P65" s="15">
        <f t="shared" si="1"/>
        <v>448</v>
      </c>
      <c r="R65" s="8"/>
      <c r="T65"/>
    </row>
    <row r="66" spans="2:20" ht="23.1" customHeight="1" x14ac:dyDescent="0.25">
      <c r="B66" s="45" t="s">
        <v>103</v>
      </c>
      <c r="C66" s="50">
        <v>47</v>
      </c>
      <c r="D66" s="50">
        <v>2</v>
      </c>
      <c r="E66" s="50">
        <v>3</v>
      </c>
      <c r="F66" s="50">
        <v>54</v>
      </c>
      <c r="G66" s="50">
        <v>1</v>
      </c>
      <c r="H66" s="50">
        <v>2</v>
      </c>
      <c r="I66" s="50">
        <v>4</v>
      </c>
      <c r="J66" s="50">
        <v>2</v>
      </c>
      <c r="K66" s="50">
        <v>3</v>
      </c>
      <c r="L66" s="50">
        <v>1</v>
      </c>
      <c r="M66" s="50">
        <v>277</v>
      </c>
      <c r="N66" s="50">
        <v>0</v>
      </c>
      <c r="O66" s="15">
        <f t="shared" si="0"/>
        <v>119</v>
      </c>
      <c r="P66" s="15">
        <f t="shared" si="1"/>
        <v>396</v>
      </c>
      <c r="R66" s="8"/>
      <c r="T66"/>
    </row>
    <row r="67" spans="2:20" ht="23.1" customHeight="1" x14ac:dyDescent="0.25">
      <c r="B67" s="45" t="s">
        <v>104</v>
      </c>
      <c r="C67" s="50">
        <v>85</v>
      </c>
      <c r="D67" s="50">
        <v>5</v>
      </c>
      <c r="E67" s="50">
        <v>1</v>
      </c>
      <c r="F67" s="50">
        <v>41</v>
      </c>
      <c r="G67" s="50">
        <v>0</v>
      </c>
      <c r="H67" s="50">
        <v>1</v>
      </c>
      <c r="I67" s="50">
        <v>1</v>
      </c>
      <c r="J67" s="50">
        <v>5</v>
      </c>
      <c r="K67" s="50">
        <v>1</v>
      </c>
      <c r="L67" s="50">
        <v>3</v>
      </c>
      <c r="M67" s="50">
        <v>261</v>
      </c>
      <c r="N67" s="50">
        <v>0</v>
      </c>
      <c r="O67" s="15">
        <f t="shared" si="0"/>
        <v>143</v>
      </c>
      <c r="P67" s="15">
        <f t="shared" si="1"/>
        <v>404</v>
      </c>
      <c r="R67" s="8"/>
      <c r="T67"/>
    </row>
    <row r="68" spans="2:20" ht="23.1" customHeight="1" x14ac:dyDescent="0.25">
      <c r="B68" s="45" t="s">
        <v>105</v>
      </c>
      <c r="C68" s="50">
        <v>78</v>
      </c>
      <c r="D68" s="50">
        <v>10</v>
      </c>
      <c r="E68" s="50">
        <v>6</v>
      </c>
      <c r="F68" s="50">
        <v>30</v>
      </c>
      <c r="G68" s="50">
        <v>1</v>
      </c>
      <c r="H68" s="50">
        <v>1</v>
      </c>
      <c r="I68" s="50">
        <v>3</v>
      </c>
      <c r="J68" s="50">
        <v>4</v>
      </c>
      <c r="K68" s="50">
        <v>3</v>
      </c>
      <c r="L68" s="50">
        <v>0</v>
      </c>
      <c r="M68" s="50">
        <v>247</v>
      </c>
      <c r="N68" s="50">
        <v>0</v>
      </c>
      <c r="O68" s="15">
        <f t="shared" si="0"/>
        <v>136</v>
      </c>
      <c r="P68" s="15">
        <f t="shared" si="1"/>
        <v>383</v>
      </c>
      <c r="R68" s="8"/>
      <c r="T68"/>
    </row>
    <row r="69" spans="2:20" ht="23.1" customHeight="1" x14ac:dyDescent="0.25">
      <c r="B69" s="45" t="s">
        <v>106</v>
      </c>
      <c r="C69" s="50">
        <v>50</v>
      </c>
      <c r="D69" s="50">
        <v>7</v>
      </c>
      <c r="E69" s="50">
        <v>3</v>
      </c>
      <c r="F69" s="50">
        <v>30</v>
      </c>
      <c r="G69" s="50">
        <v>0</v>
      </c>
      <c r="H69" s="50">
        <v>0</v>
      </c>
      <c r="I69" s="50">
        <v>6</v>
      </c>
      <c r="J69" s="50">
        <v>3</v>
      </c>
      <c r="K69" s="50">
        <v>2</v>
      </c>
      <c r="L69" s="50">
        <v>3</v>
      </c>
      <c r="M69" s="50">
        <v>217</v>
      </c>
      <c r="N69" s="50">
        <v>0</v>
      </c>
      <c r="O69" s="15">
        <f t="shared" si="0"/>
        <v>104</v>
      </c>
      <c r="P69" s="15">
        <f t="shared" si="1"/>
        <v>321</v>
      </c>
      <c r="R69" s="8"/>
      <c r="T69"/>
    </row>
    <row r="70" spans="2:20" ht="23.1" customHeight="1" x14ac:dyDescent="0.25">
      <c r="B70" s="45" t="s">
        <v>110</v>
      </c>
      <c r="C70" s="50">
        <v>63</v>
      </c>
      <c r="D70" s="50">
        <v>7</v>
      </c>
      <c r="E70" s="50">
        <v>2</v>
      </c>
      <c r="F70" s="50">
        <v>58</v>
      </c>
      <c r="G70" s="50">
        <v>0</v>
      </c>
      <c r="H70" s="50">
        <v>1</v>
      </c>
      <c r="I70" s="50">
        <v>4</v>
      </c>
      <c r="J70" s="50">
        <v>5</v>
      </c>
      <c r="K70" s="50">
        <v>2</v>
      </c>
      <c r="L70" s="50">
        <v>3</v>
      </c>
      <c r="M70" s="50">
        <v>186</v>
      </c>
      <c r="N70" s="50">
        <v>0</v>
      </c>
      <c r="O70" s="15">
        <f t="shared" si="0"/>
        <v>145</v>
      </c>
      <c r="P70" s="15">
        <f t="shared" si="1"/>
        <v>331</v>
      </c>
      <c r="R70" s="8"/>
      <c r="T70"/>
    </row>
    <row r="71" spans="2:20" ht="23.1" customHeight="1" x14ac:dyDescent="0.25">
      <c r="B71" s="45" t="s">
        <v>111</v>
      </c>
      <c r="C71" s="50">
        <v>30</v>
      </c>
      <c r="D71" s="50">
        <v>3</v>
      </c>
      <c r="E71" s="50">
        <v>0</v>
      </c>
      <c r="F71" s="50">
        <v>56</v>
      </c>
      <c r="G71" s="50">
        <v>0</v>
      </c>
      <c r="H71" s="50">
        <v>0</v>
      </c>
      <c r="I71" s="50">
        <v>12</v>
      </c>
      <c r="J71" s="50">
        <v>8</v>
      </c>
      <c r="K71" s="50">
        <v>2</v>
      </c>
      <c r="L71" s="50">
        <v>4</v>
      </c>
      <c r="M71" s="50">
        <v>156</v>
      </c>
      <c r="N71" s="50">
        <v>0</v>
      </c>
      <c r="O71" s="15">
        <f t="shared" si="0"/>
        <v>115</v>
      </c>
      <c r="P71" s="15">
        <f t="shared" si="1"/>
        <v>271</v>
      </c>
      <c r="R71" s="8"/>
      <c r="T71"/>
    </row>
    <row r="72" spans="2:20" ht="23.1" customHeight="1" x14ac:dyDescent="0.25">
      <c r="B72" s="45" t="s">
        <v>112</v>
      </c>
      <c r="C72" s="50">
        <v>61</v>
      </c>
      <c r="D72" s="50">
        <v>4</v>
      </c>
      <c r="E72" s="50">
        <v>1</v>
      </c>
      <c r="F72" s="50">
        <v>58</v>
      </c>
      <c r="G72" s="50">
        <v>0</v>
      </c>
      <c r="H72" s="50">
        <v>2</v>
      </c>
      <c r="I72" s="50">
        <v>2</v>
      </c>
      <c r="J72" s="50">
        <v>1</v>
      </c>
      <c r="K72" s="50">
        <v>0</v>
      </c>
      <c r="L72" s="50">
        <v>2</v>
      </c>
      <c r="M72" s="50">
        <v>177</v>
      </c>
      <c r="N72" s="50">
        <v>0</v>
      </c>
      <c r="O72" s="15">
        <f t="shared" si="0"/>
        <v>131</v>
      </c>
      <c r="P72" s="15">
        <f t="shared" si="1"/>
        <v>308</v>
      </c>
      <c r="R72" s="8"/>
      <c r="T72"/>
    </row>
    <row r="73" spans="2:20" ht="23.1" customHeight="1" x14ac:dyDescent="0.25">
      <c r="B73" s="45" t="s">
        <v>113</v>
      </c>
      <c r="C73" s="50">
        <v>106</v>
      </c>
      <c r="D73" s="50">
        <v>3</v>
      </c>
      <c r="E73" s="50">
        <v>6</v>
      </c>
      <c r="F73" s="50">
        <v>34</v>
      </c>
      <c r="G73" s="50">
        <v>0</v>
      </c>
      <c r="H73" s="50">
        <v>1</v>
      </c>
      <c r="I73" s="50">
        <v>4</v>
      </c>
      <c r="J73" s="50">
        <v>2</v>
      </c>
      <c r="K73" s="50">
        <v>0</v>
      </c>
      <c r="L73" s="50">
        <v>0</v>
      </c>
      <c r="M73" s="50">
        <v>106</v>
      </c>
      <c r="N73" s="50">
        <v>0</v>
      </c>
      <c r="O73" s="15">
        <f t="shared" si="0"/>
        <v>156</v>
      </c>
      <c r="P73" s="15">
        <f t="shared" si="1"/>
        <v>262</v>
      </c>
      <c r="R73" s="8"/>
      <c r="T73"/>
    </row>
    <row r="74" spans="2:20" ht="23.1" customHeight="1" x14ac:dyDescent="0.25">
      <c r="B74" s="45" t="s">
        <v>114</v>
      </c>
      <c r="C74" s="50">
        <v>86</v>
      </c>
      <c r="D74" s="50">
        <v>8</v>
      </c>
      <c r="E74" s="50">
        <v>6</v>
      </c>
      <c r="F74" s="50">
        <v>24</v>
      </c>
      <c r="G74" s="50">
        <v>2</v>
      </c>
      <c r="H74" s="50">
        <v>1</v>
      </c>
      <c r="I74" s="50">
        <v>2</v>
      </c>
      <c r="J74" s="50">
        <v>3</v>
      </c>
      <c r="K74" s="50">
        <v>0</v>
      </c>
      <c r="L74" s="50">
        <v>1</v>
      </c>
      <c r="M74" s="50">
        <v>107</v>
      </c>
      <c r="N74" s="50">
        <v>0</v>
      </c>
      <c r="O74" s="15">
        <f t="shared" ref="O74:O105" si="35">SUM(C74:L74,N74)</f>
        <v>133</v>
      </c>
      <c r="P74" s="15">
        <f t="shared" ref="P74:P105" si="36">SUM(C74:N74)</f>
        <v>240</v>
      </c>
      <c r="R74" s="8"/>
      <c r="T74"/>
    </row>
    <row r="75" spans="2:20" ht="23.1" customHeight="1" x14ac:dyDescent="0.25">
      <c r="B75" s="45" t="s">
        <v>115</v>
      </c>
      <c r="C75" s="50">
        <v>87</v>
      </c>
      <c r="D75" s="50">
        <v>12</v>
      </c>
      <c r="E75" s="50">
        <v>4</v>
      </c>
      <c r="F75" s="50">
        <v>27</v>
      </c>
      <c r="G75" s="50">
        <v>0</v>
      </c>
      <c r="H75" s="50">
        <v>0</v>
      </c>
      <c r="I75" s="50">
        <v>2</v>
      </c>
      <c r="J75" s="50">
        <v>1</v>
      </c>
      <c r="K75" s="50">
        <v>0</v>
      </c>
      <c r="L75" s="50">
        <v>0</v>
      </c>
      <c r="M75" s="50">
        <v>93</v>
      </c>
      <c r="N75" s="50">
        <v>0</v>
      </c>
      <c r="O75" s="15">
        <f t="shared" si="35"/>
        <v>133</v>
      </c>
      <c r="P75" s="15">
        <f t="shared" si="36"/>
        <v>226</v>
      </c>
      <c r="R75" s="8"/>
      <c r="T75"/>
    </row>
    <row r="76" spans="2:20" ht="23.1" customHeight="1" x14ac:dyDescent="0.25">
      <c r="B76" s="45" t="s">
        <v>116</v>
      </c>
      <c r="C76" s="50">
        <v>60</v>
      </c>
      <c r="D76" s="50">
        <v>4</v>
      </c>
      <c r="E76" s="50">
        <v>4</v>
      </c>
      <c r="F76" s="50">
        <v>31</v>
      </c>
      <c r="G76" s="50">
        <v>1</v>
      </c>
      <c r="H76" s="50">
        <v>0</v>
      </c>
      <c r="I76" s="50">
        <v>3</v>
      </c>
      <c r="J76" s="50">
        <v>3</v>
      </c>
      <c r="K76" s="50">
        <v>0</v>
      </c>
      <c r="L76" s="50">
        <v>2</v>
      </c>
      <c r="M76" s="50">
        <v>77</v>
      </c>
      <c r="N76" s="50">
        <v>0</v>
      </c>
      <c r="O76" s="15">
        <f t="shared" si="35"/>
        <v>108</v>
      </c>
      <c r="P76" s="15">
        <f t="shared" si="36"/>
        <v>185</v>
      </c>
      <c r="R76" s="8"/>
      <c r="T76"/>
    </row>
    <row r="77" spans="2:20" ht="23.1" customHeight="1" x14ac:dyDescent="0.25">
      <c r="B77" s="45" t="s">
        <v>117</v>
      </c>
      <c r="C77" s="50">
        <v>53</v>
      </c>
      <c r="D77" s="50">
        <v>3</v>
      </c>
      <c r="E77" s="50">
        <v>7</v>
      </c>
      <c r="F77" s="50">
        <v>21</v>
      </c>
      <c r="G77" s="50">
        <v>0</v>
      </c>
      <c r="H77" s="50">
        <v>2</v>
      </c>
      <c r="I77" s="50">
        <v>1</v>
      </c>
      <c r="J77" s="50">
        <v>2</v>
      </c>
      <c r="K77" s="50">
        <v>0</v>
      </c>
      <c r="L77" s="50">
        <v>0</v>
      </c>
      <c r="M77" s="50">
        <v>65</v>
      </c>
      <c r="N77" s="50">
        <v>0</v>
      </c>
      <c r="O77" s="15">
        <f t="shared" si="35"/>
        <v>89</v>
      </c>
      <c r="P77" s="15">
        <f t="shared" si="36"/>
        <v>154</v>
      </c>
      <c r="R77" s="8"/>
      <c r="T77"/>
    </row>
    <row r="78" spans="2:20" ht="23.1" customHeight="1" x14ac:dyDescent="0.25">
      <c r="B78" s="46" t="s">
        <v>118</v>
      </c>
      <c r="C78" s="50">
        <v>56</v>
      </c>
      <c r="D78" s="50">
        <v>4</v>
      </c>
      <c r="E78" s="50">
        <v>4</v>
      </c>
      <c r="F78" s="50">
        <v>14</v>
      </c>
      <c r="G78" s="50">
        <v>0</v>
      </c>
      <c r="H78" s="50">
        <v>0</v>
      </c>
      <c r="I78" s="50">
        <v>1</v>
      </c>
      <c r="J78" s="50">
        <v>1</v>
      </c>
      <c r="K78" s="50">
        <v>0</v>
      </c>
      <c r="L78" s="50">
        <v>0</v>
      </c>
      <c r="M78" s="50">
        <v>52</v>
      </c>
      <c r="N78" s="50">
        <v>0</v>
      </c>
      <c r="O78" s="15">
        <f t="shared" si="35"/>
        <v>80</v>
      </c>
      <c r="P78" s="15">
        <f t="shared" si="36"/>
        <v>132</v>
      </c>
      <c r="R78" s="8"/>
      <c r="T78"/>
    </row>
    <row r="79" spans="2:20" ht="23.1" customHeight="1" x14ac:dyDescent="0.25">
      <c r="B79" s="45" t="s">
        <v>119</v>
      </c>
      <c r="C79" s="50">
        <v>56</v>
      </c>
      <c r="D79" s="50">
        <v>7</v>
      </c>
      <c r="E79" s="50">
        <v>4</v>
      </c>
      <c r="F79" s="50">
        <v>19</v>
      </c>
      <c r="G79" s="50">
        <v>0</v>
      </c>
      <c r="H79" s="50">
        <v>2</v>
      </c>
      <c r="I79" s="50">
        <v>2</v>
      </c>
      <c r="J79" s="50">
        <v>2</v>
      </c>
      <c r="K79" s="50">
        <v>1</v>
      </c>
      <c r="L79" s="50">
        <v>2</v>
      </c>
      <c r="M79" s="50">
        <v>73</v>
      </c>
      <c r="N79" s="50">
        <v>0</v>
      </c>
      <c r="O79" s="15">
        <f t="shared" si="35"/>
        <v>95</v>
      </c>
      <c r="P79" s="15">
        <f t="shared" si="36"/>
        <v>168</v>
      </c>
      <c r="R79" s="8"/>
      <c r="T79"/>
    </row>
    <row r="80" spans="2:20" ht="23.1" customHeight="1" x14ac:dyDescent="0.25">
      <c r="B80" s="47" t="s">
        <v>120</v>
      </c>
      <c r="C80" s="50">
        <v>44</v>
      </c>
      <c r="D80" s="50">
        <v>7</v>
      </c>
      <c r="E80" s="50">
        <v>9</v>
      </c>
      <c r="F80" s="50">
        <v>8</v>
      </c>
      <c r="G80" s="50">
        <v>0</v>
      </c>
      <c r="H80" s="50">
        <v>2</v>
      </c>
      <c r="I80" s="50">
        <v>4</v>
      </c>
      <c r="J80" s="50">
        <v>3</v>
      </c>
      <c r="K80" s="50">
        <v>0</v>
      </c>
      <c r="L80" s="50">
        <v>0</v>
      </c>
      <c r="M80" s="50">
        <v>79</v>
      </c>
      <c r="N80" s="50">
        <v>0</v>
      </c>
      <c r="O80" s="15">
        <f t="shared" si="35"/>
        <v>77</v>
      </c>
      <c r="P80" s="15">
        <f t="shared" si="36"/>
        <v>156</v>
      </c>
      <c r="R80" s="8"/>
      <c r="T80"/>
    </row>
    <row r="81" spans="2:20" ht="23.1" customHeight="1" x14ac:dyDescent="0.25">
      <c r="B81" s="45" t="s">
        <v>121</v>
      </c>
      <c r="C81" s="50">
        <v>28</v>
      </c>
      <c r="D81" s="50">
        <v>8</v>
      </c>
      <c r="E81" s="50">
        <v>5</v>
      </c>
      <c r="F81" s="50">
        <v>10</v>
      </c>
      <c r="G81" s="50">
        <v>0</v>
      </c>
      <c r="H81" s="50">
        <v>1</v>
      </c>
      <c r="I81" s="50">
        <v>3</v>
      </c>
      <c r="J81" s="50">
        <v>2</v>
      </c>
      <c r="K81" s="50">
        <v>1</v>
      </c>
      <c r="L81" s="50">
        <v>0</v>
      </c>
      <c r="M81" s="50">
        <v>76</v>
      </c>
      <c r="N81" s="50">
        <v>0</v>
      </c>
      <c r="O81" s="15">
        <f t="shared" si="35"/>
        <v>58</v>
      </c>
      <c r="P81" s="15">
        <f t="shared" si="36"/>
        <v>134</v>
      </c>
      <c r="R81" s="8"/>
      <c r="T81"/>
    </row>
    <row r="82" spans="2:20" ht="23.1" customHeight="1" x14ac:dyDescent="0.25">
      <c r="B82" s="46" t="s">
        <v>122</v>
      </c>
      <c r="C82" s="50">
        <v>49</v>
      </c>
      <c r="D82" s="50">
        <v>4</v>
      </c>
      <c r="E82" s="50">
        <v>2</v>
      </c>
      <c r="F82" s="50">
        <v>16</v>
      </c>
      <c r="G82" s="50">
        <v>0</v>
      </c>
      <c r="H82" s="50">
        <v>1</v>
      </c>
      <c r="I82" s="50">
        <v>4</v>
      </c>
      <c r="J82" s="50">
        <v>2</v>
      </c>
      <c r="K82" s="50">
        <v>1</v>
      </c>
      <c r="L82" s="50">
        <v>0</v>
      </c>
      <c r="M82" s="50">
        <v>67</v>
      </c>
      <c r="N82" s="50">
        <v>0</v>
      </c>
      <c r="O82" s="15">
        <f t="shared" si="35"/>
        <v>79</v>
      </c>
      <c r="P82" s="15">
        <f t="shared" si="36"/>
        <v>146</v>
      </c>
      <c r="R82" s="8"/>
      <c r="T82"/>
    </row>
    <row r="83" spans="2:20" ht="23.1" customHeight="1" x14ac:dyDescent="0.25">
      <c r="B83" s="45" t="s">
        <v>123</v>
      </c>
      <c r="C83" s="50">
        <v>37</v>
      </c>
      <c r="D83" s="50">
        <v>5</v>
      </c>
      <c r="E83" s="50">
        <v>6</v>
      </c>
      <c r="F83" s="50">
        <v>7</v>
      </c>
      <c r="G83" s="50">
        <v>0</v>
      </c>
      <c r="H83" s="50">
        <v>1</v>
      </c>
      <c r="I83" s="50">
        <v>6</v>
      </c>
      <c r="J83" s="50">
        <v>3</v>
      </c>
      <c r="K83" s="50">
        <v>0</v>
      </c>
      <c r="L83" s="50">
        <v>0</v>
      </c>
      <c r="M83" s="50">
        <v>63</v>
      </c>
      <c r="N83" s="50">
        <v>0</v>
      </c>
      <c r="O83" s="15">
        <f t="shared" si="35"/>
        <v>65</v>
      </c>
      <c r="P83" s="15">
        <f t="shared" si="36"/>
        <v>128</v>
      </c>
      <c r="R83" s="8"/>
      <c r="T83"/>
    </row>
    <row r="84" spans="2:20" ht="23.1" customHeight="1" x14ac:dyDescent="0.25">
      <c r="B84" s="47" t="s">
        <v>124</v>
      </c>
      <c r="C84" s="50">
        <v>20</v>
      </c>
      <c r="D84" s="50">
        <v>2</v>
      </c>
      <c r="E84" s="50">
        <v>6</v>
      </c>
      <c r="F84" s="50">
        <v>6</v>
      </c>
      <c r="G84" s="50">
        <v>0</v>
      </c>
      <c r="H84" s="50">
        <v>2</v>
      </c>
      <c r="I84" s="50">
        <v>3</v>
      </c>
      <c r="J84" s="50">
        <v>5</v>
      </c>
      <c r="K84" s="50">
        <v>0</v>
      </c>
      <c r="L84" s="50">
        <v>1</v>
      </c>
      <c r="M84" s="50">
        <v>66</v>
      </c>
      <c r="N84" s="50">
        <v>0</v>
      </c>
      <c r="O84" s="15">
        <f t="shared" si="35"/>
        <v>45</v>
      </c>
      <c r="P84" s="15">
        <f t="shared" si="36"/>
        <v>111</v>
      </c>
      <c r="R84" s="8"/>
      <c r="T84"/>
    </row>
    <row r="85" spans="2:20" ht="23.1" customHeight="1" x14ac:dyDescent="0.25">
      <c r="B85" s="45" t="s">
        <v>125</v>
      </c>
      <c r="C85" s="50">
        <v>30</v>
      </c>
      <c r="D85" s="50">
        <v>1</v>
      </c>
      <c r="E85" s="50">
        <v>3</v>
      </c>
      <c r="F85" s="50">
        <v>3</v>
      </c>
      <c r="G85" s="50">
        <v>0</v>
      </c>
      <c r="H85" s="50">
        <v>1</v>
      </c>
      <c r="I85" s="50">
        <v>4</v>
      </c>
      <c r="J85" s="50">
        <v>2</v>
      </c>
      <c r="K85" s="50">
        <v>1</v>
      </c>
      <c r="L85" s="50">
        <v>1</v>
      </c>
      <c r="M85" s="50">
        <v>56</v>
      </c>
      <c r="N85" s="50">
        <v>0</v>
      </c>
      <c r="O85" s="15">
        <f t="shared" si="35"/>
        <v>46</v>
      </c>
      <c r="P85" s="15">
        <f t="shared" si="36"/>
        <v>102</v>
      </c>
      <c r="R85" s="8"/>
      <c r="T85"/>
    </row>
    <row r="86" spans="2:20" ht="23.1" customHeight="1" x14ac:dyDescent="0.25">
      <c r="B86" s="46" t="s">
        <v>126</v>
      </c>
      <c r="C86" s="50">
        <v>21</v>
      </c>
      <c r="D86" s="50">
        <v>1</v>
      </c>
      <c r="E86" s="50">
        <v>3</v>
      </c>
      <c r="F86" s="50">
        <v>4</v>
      </c>
      <c r="G86" s="50">
        <v>0</v>
      </c>
      <c r="H86" s="50">
        <v>1</v>
      </c>
      <c r="I86" s="50">
        <v>3</v>
      </c>
      <c r="J86" s="50">
        <v>2</v>
      </c>
      <c r="K86" s="50">
        <v>0</v>
      </c>
      <c r="L86" s="50">
        <v>0</v>
      </c>
      <c r="M86" s="50">
        <v>56</v>
      </c>
      <c r="N86" s="50">
        <v>0</v>
      </c>
      <c r="O86" s="15">
        <f t="shared" si="35"/>
        <v>35</v>
      </c>
      <c r="P86" s="15">
        <f t="shared" si="36"/>
        <v>91</v>
      </c>
      <c r="R86" s="8"/>
      <c r="T86"/>
    </row>
    <row r="87" spans="2:20" ht="23.1" customHeight="1" x14ac:dyDescent="0.25">
      <c r="B87" s="45" t="s">
        <v>127</v>
      </c>
      <c r="C87" s="50">
        <v>23</v>
      </c>
      <c r="D87" s="50">
        <v>3</v>
      </c>
      <c r="E87" s="50">
        <v>0</v>
      </c>
      <c r="F87" s="50">
        <v>4</v>
      </c>
      <c r="G87" s="50">
        <v>0</v>
      </c>
      <c r="H87" s="50">
        <v>1</v>
      </c>
      <c r="I87" s="50">
        <v>2</v>
      </c>
      <c r="J87" s="50">
        <v>1</v>
      </c>
      <c r="K87" s="50">
        <v>1</v>
      </c>
      <c r="L87" s="50">
        <v>2</v>
      </c>
      <c r="M87" s="50">
        <v>61</v>
      </c>
      <c r="N87" s="50">
        <v>0</v>
      </c>
      <c r="O87" s="15">
        <f t="shared" si="35"/>
        <v>37</v>
      </c>
      <c r="P87" s="15">
        <f t="shared" si="36"/>
        <v>98</v>
      </c>
      <c r="R87" s="8"/>
      <c r="T87"/>
    </row>
    <row r="88" spans="2:20" ht="23.1" customHeight="1" x14ac:dyDescent="0.25">
      <c r="B88" s="47" t="s">
        <v>128</v>
      </c>
      <c r="C88" s="50">
        <v>21</v>
      </c>
      <c r="D88" s="50">
        <v>1</v>
      </c>
      <c r="E88" s="50">
        <v>1</v>
      </c>
      <c r="F88" s="50">
        <v>0</v>
      </c>
      <c r="G88" s="50">
        <v>0</v>
      </c>
      <c r="H88" s="50">
        <v>0</v>
      </c>
      <c r="I88" s="50">
        <v>0</v>
      </c>
      <c r="J88" s="50">
        <v>2</v>
      </c>
      <c r="K88" s="50">
        <v>0</v>
      </c>
      <c r="L88" s="50">
        <v>0</v>
      </c>
      <c r="M88" s="50">
        <v>48</v>
      </c>
      <c r="N88" s="50">
        <v>0</v>
      </c>
      <c r="O88" s="15">
        <f t="shared" si="35"/>
        <v>25</v>
      </c>
      <c r="P88" s="15">
        <f t="shared" si="36"/>
        <v>73</v>
      </c>
      <c r="R88" s="8"/>
      <c r="T88"/>
    </row>
    <row r="89" spans="2:20" ht="23.1" customHeight="1" x14ac:dyDescent="0.25">
      <c r="B89" s="45" t="s">
        <v>129</v>
      </c>
      <c r="C89" s="50">
        <v>19</v>
      </c>
      <c r="D89" s="50">
        <v>2</v>
      </c>
      <c r="E89" s="50">
        <v>0</v>
      </c>
      <c r="F89" s="50">
        <v>1</v>
      </c>
      <c r="G89" s="50">
        <v>0</v>
      </c>
      <c r="H89" s="50">
        <v>0</v>
      </c>
      <c r="I89" s="50">
        <v>2</v>
      </c>
      <c r="J89" s="50">
        <v>4</v>
      </c>
      <c r="K89" s="50">
        <v>0</v>
      </c>
      <c r="L89" s="50">
        <v>2</v>
      </c>
      <c r="M89" s="50">
        <v>53</v>
      </c>
      <c r="N89" s="50">
        <v>0</v>
      </c>
      <c r="O89" s="15">
        <f t="shared" si="35"/>
        <v>30</v>
      </c>
      <c r="P89" s="15">
        <f t="shared" si="36"/>
        <v>83</v>
      </c>
      <c r="R89" s="8"/>
      <c r="T89"/>
    </row>
    <row r="90" spans="2:20" ht="23.1" customHeight="1" x14ac:dyDescent="0.25">
      <c r="B90" s="46" t="s">
        <v>130</v>
      </c>
      <c r="C90" s="50">
        <v>17</v>
      </c>
      <c r="D90" s="50">
        <v>2</v>
      </c>
      <c r="E90" s="50">
        <v>6</v>
      </c>
      <c r="F90" s="50">
        <v>1</v>
      </c>
      <c r="G90" s="50">
        <v>0</v>
      </c>
      <c r="H90" s="50">
        <v>0</v>
      </c>
      <c r="I90" s="50">
        <v>3</v>
      </c>
      <c r="J90" s="50">
        <v>2</v>
      </c>
      <c r="K90" s="50">
        <v>1</v>
      </c>
      <c r="L90" s="50">
        <v>1</v>
      </c>
      <c r="M90" s="50">
        <v>48</v>
      </c>
      <c r="N90" s="50">
        <v>0</v>
      </c>
      <c r="O90" s="15">
        <f t="shared" si="35"/>
        <v>33</v>
      </c>
      <c r="P90" s="15">
        <f t="shared" si="36"/>
        <v>81</v>
      </c>
      <c r="R90" s="8"/>
      <c r="T90"/>
    </row>
    <row r="91" spans="2:20" ht="23.1" customHeight="1" x14ac:dyDescent="0.25">
      <c r="B91" s="45" t="s">
        <v>131</v>
      </c>
      <c r="C91" s="50">
        <v>29</v>
      </c>
      <c r="D91" s="50">
        <v>5</v>
      </c>
      <c r="E91" s="50">
        <v>3</v>
      </c>
      <c r="F91" s="50">
        <v>2</v>
      </c>
      <c r="G91" s="50">
        <v>0</v>
      </c>
      <c r="H91" s="50">
        <v>2</v>
      </c>
      <c r="I91" s="50">
        <v>0</v>
      </c>
      <c r="J91" s="50">
        <v>3</v>
      </c>
      <c r="K91" s="50">
        <v>2</v>
      </c>
      <c r="L91" s="50">
        <v>0</v>
      </c>
      <c r="M91" s="50">
        <v>68</v>
      </c>
      <c r="N91" s="50">
        <v>0</v>
      </c>
      <c r="O91" s="15">
        <f t="shared" si="35"/>
        <v>46</v>
      </c>
      <c r="P91" s="15">
        <f t="shared" si="36"/>
        <v>114</v>
      </c>
      <c r="R91" s="8"/>
      <c r="T91"/>
    </row>
    <row r="92" spans="2:20" ht="23.1" customHeight="1" x14ac:dyDescent="0.25">
      <c r="B92" s="47" t="s">
        <v>132</v>
      </c>
      <c r="C92" s="50">
        <v>24</v>
      </c>
      <c r="D92" s="50">
        <v>1</v>
      </c>
      <c r="E92" s="50">
        <v>1</v>
      </c>
      <c r="F92" s="50">
        <v>5</v>
      </c>
      <c r="G92" s="50">
        <v>0</v>
      </c>
      <c r="H92" s="50">
        <v>0</v>
      </c>
      <c r="I92" s="50">
        <v>2</v>
      </c>
      <c r="J92" s="50">
        <v>1</v>
      </c>
      <c r="K92" s="50">
        <v>3</v>
      </c>
      <c r="L92" s="50">
        <v>0</v>
      </c>
      <c r="M92" s="50">
        <v>52</v>
      </c>
      <c r="N92" s="50">
        <v>0</v>
      </c>
      <c r="O92" s="15">
        <f t="shared" si="35"/>
        <v>37</v>
      </c>
      <c r="P92" s="15">
        <f t="shared" si="36"/>
        <v>89</v>
      </c>
      <c r="R92" s="8"/>
      <c r="T92"/>
    </row>
    <row r="93" spans="2:20" ht="23.1" customHeight="1" x14ac:dyDescent="0.25">
      <c r="B93" s="45" t="s">
        <v>133</v>
      </c>
      <c r="C93" s="50">
        <v>33</v>
      </c>
      <c r="D93" s="50">
        <v>1</v>
      </c>
      <c r="E93" s="50">
        <v>3</v>
      </c>
      <c r="F93" s="50">
        <v>0</v>
      </c>
      <c r="G93" s="50">
        <v>0</v>
      </c>
      <c r="H93" s="50">
        <v>0</v>
      </c>
      <c r="I93" s="50">
        <v>3</v>
      </c>
      <c r="J93" s="50">
        <v>2</v>
      </c>
      <c r="K93" s="50">
        <v>1</v>
      </c>
      <c r="L93" s="50">
        <v>0</v>
      </c>
      <c r="M93" s="50">
        <v>61</v>
      </c>
      <c r="N93" s="50">
        <v>0</v>
      </c>
      <c r="O93" s="15">
        <f t="shared" si="35"/>
        <v>43</v>
      </c>
      <c r="P93" s="15">
        <f t="shared" si="36"/>
        <v>104</v>
      </c>
      <c r="R93" s="8"/>
      <c r="T93"/>
    </row>
    <row r="94" spans="2:20" ht="23.1" customHeight="1" x14ac:dyDescent="0.25">
      <c r="B94" s="46" t="s">
        <v>134</v>
      </c>
      <c r="C94" s="50">
        <v>21</v>
      </c>
      <c r="D94" s="50">
        <v>1</v>
      </c>
      <c r="E94" s="50">
        <v>3</v>
      </c>
      <c r="F94" s="50">
        <v>4</v>
      </c>
      <c r="G94" s="50">
        <v>0</v>
      </c>
      <c r="H94" s="50">
        <v>1</v>
      </c>
      <c r="I94" s="50">
        <v>2</v>
      </c>
      <c r="J94" s="50">
        <v>3</v>
      </c>
      <c r="K94" s="50">
        <v>0</v>
      </c>
      <c r="L94" s="50">
        <v>0</v>
      </c>
      <c r="M94" s="50">
        <v>58</v>
      </c>
      <c r="N94" s="50">
        <v>0</v>
      </c>
      <c r="O94" s="15">
        <f t="shared" si="35"/>
        <v>35</v>
      </c>
      <c r="P94" s="15">
        <f t="shared" si="36"/>
        <v>93</v>
      </c>
      <c r="R94" s="8"/>
      <c r="T94"/>
    </row>
    <row r="95" spans="2:20" ht="23.1" customHeight="1" x14ac:dyDescent="0.25">
      <c r="B95" s="45" t="s">
        <v>135</v>
      </c>
      <c r="C95" s="50">
        <v>11</v>
      </c>
      <c r="D95" s="50">
        <v>0</v>
      </c>
      <c r="E95" s="50">
        <v>2</v>
      </c>
      <c r="F95" s="50">
        <v>4</v>
      </c>
      <c r="G95" s="50">
        <v>0</v>
      </c>
      <c r="H95" s="50">
        <v>0</v>
      </c>
      <c r="I95" s="50">
        <v>1</v>
      </c>
      <c r="J95" s="50">
        <v>0</v>
      </c>
      <c r="K95" s="50">
        <v>3</v>
      </c>
      <c r="L95" s="50">
        <v>0</v>
      </c>
      <c r="M95" s="50">
        <v>39</v>
      </c>
      <c r="N95" s="50">
        <v>0</v>
      </c>
      <c r="O95" s="15">
        <f t="shared" si="35"/>
        <v>21</v>
      </c>
      <c r="P95" s="15">
        <f t="shared" si="36"/>
        <v>60</v>
      </c>
      <c r="R95" s="8"/>
      <c r="T95"/>
    </row>
    <row r="96" spans="2:20" ht="23.1" customHeight="1" x14ac:dyDescent="0.25">
      <c r="B96" s="47" t="s">
        <v>136</v>
      </c>
      <c r="C96" s="50">
        <v>25</v>
      </c>
      <c r="D96" s="50">
        <v>0</v>
      </c>
      <c r="E96" s="50">
        <v>3</v>
      </c>
      <c r="F96" s="50">
        <v>5</v>
      </c>
      <c r="G96" s="50">
        <v>0</v>
      </c>
      <c r="H96" s="50">
        <v>0</v>
      </c>
      <c r="I96" s="50">
        <v>3</v>
      </c>
      <c r="J96" s="50">
        <v>0</v>
      </c>
      <c r="K96" s="50">
        <v>0</v>
      </c>
      <c r="L96" s="50">
        <v>0</v>
      </c>
      <c r="M96" s="50">
        <v>50</v>
      </c>
      <c r="N96" s="50">
        <v>0</v>
      </c>
      <c r="O96" s="15">
        <f t="shared" si="35"/>
        <v>36</v>
      </c>
      <c r="P96" s="15">
        <f t="shared" si="36"/>
        <v>86</v>
      </c>
      <c r="R96" s="8"/>
      <c r="T96"/>
    </row>
    <row r="97" spans="2:20" ht="23.1" customHeight="1" x14ac:dyDescent="0.25">
      <c r="B97" s="45" t="s">
        <v>137</v>
      </c>
      <c r="C97" s="50">
        <v>32</v>
      </c>
      <c r="D97" s="50">
        <v>1</v>
      </c>
      <c r="E97" s="50">
        <v>2</v>
      </c>
      <c r="F97" s="50">
        <v>4</v>
      </c>
      <c r="G97" s="50">
        <v>2</v>
      </c>
      <c r="H97" s="50">
        <v>0</v>
      </c>
      <c r="I97" s="50">
        <v>2</v>
      </c>
      <c r="J97" s="50">
        <v>1</v>
      </c>
      <c r="K97" s="50">
        <v>0</v>
      </c>
      <c r="L97" s="50">
        <v>0</v>
      </c>
      <c r="M97" s="50">
        <v>61</v>
      </c>
      <c r="N97" s="50">
        <v>0</v>
      </c>
      <c r="O97" s="15">
        <f t="shared" si="35"/>
        <v>44</v>
      </c>
      <c r="P97" s="15">
        <f t="shared" si="36"/>
        <v>105</v>
      </c>
      <c r="R97" s="8"/>
      <c r="T97"/>
    </row>
    <row r="98" spans="2:20" ht="23.1" customHeight="1" x14ac:dyDescent="0.25">
      <c r="B98" s="46" t="s">
        <v>138</v>
      </c>
      <c r="C98" s="50">
        <v>13</v>
      </c>
      <c r="D98" s="50">
        <v>5</v>
      </c>
      <c r="E98" s="50">
        <v>2</v>
      </c>
      <c r="F98" s="50">
        <v>4</v>
      </c>
      <c r="G98" s="50">
        <v>0</v>
      </c>
      <c r="H98" s="50">
        <v>2</v>
      </c>
      <c r="I98" s="50">
        <v>3</v>
      </c>
      <c r="J98" s="50">
        <v>1</v>
      </c>
      <c r="K98" s="50">
        <v>0</v>
      </c>
      <c r="L98" s="50">
        <v>0</v>
      </c>
      <c r="M98" s="50">
        <v>47</v>
      </c>
      <c r="N98" s="50">
        <v>0</v>
      </c>
      <c r="O98" s="15">
        <f t="shared" si="35"/>
        <v>30</v>
      </c>
      <c r="P98" s="15">
        <f t="shared" si="36"/>
        <v>77</v>
      </c>
      <c r="R98" s="8"/>
      <c r="T98"/>
    </row>
    <row r="99" spans="2:20" ht="23.1" customHeight="1" x14ac:dyDescent="0.25">
      <c r="B99" s="45" t="s">
        <v>139</v>
      </c>
      <c r="C99" s="50">
        <v>19</v>
      </c>
      <c r="D99" s="50">
        <v>1</v>
      </c>
      <c r="E99" s="50">
        <v>4</v>
      </c>
      <c r="F99" s="50">
        <v>5</v>
      </c>
      <c r="G99" s="50">
        <v>0</v>
      </c>
      <c r="H99" s="50">
        <v>1</v>
      </c>
      <c r="I99" s="50">
        <v>3</v>
      </c>
      <c r="J99" s="50">
        <v>3</v>
      </c>
      <c r="K99" s="50">
        <v>0</v>
      </c>
      <c r="L99" s="50">
        <v>0</v>
      </c>
      <c r="M99" s="50">
        <v>40</v>
      </c>
      <c r="N99" s="50">
        <v>0</v>
      </c>
      <c r="O99" s="15">
        <f t="shared" si="35"/>
        <v>36</v>
      </c>
      <c r="P99" s="15">
        <f t="shared" si="36"/>
        <v>76</v>
      </c>
      <c r="R99" s="8"/>
      <c r="T99"/>
    </row>
    <row r="100" spans="2:20" ht="23.1" customHeight="1" x14ac:dyDescent="0.25">
      <c r="B100" s="47" t="s">
        <v>140</v>
      </c>
      <c r="C100" s="50">
        <v>20</v>
      </c>
      <c r="D100" s="50">
        <v>1</v>
      </c>
      <c r="E100" s="50">
        <v>4</v>
      </c>
      <c r="F100" s="50">
        <v>10</v>
      </c>
      <c r="G100" s="50">
        <v>0</v>
      </c>
      <c r="H100" s="50">
        <v>0</v>
      </c>
      <c r="I100" s="50">
        <v>4</v>
      </c>
      <c r="J100" s="50">
        <v>1</v>
      </c>
      <c r="K100" s="50">
        <v>2</v>
      </c>
      <c r="L100" s="50">
        <v>5</v>
      </c>
      <c r="M100" s="50">
        <v>49</v>
      </c>
      <c r="N100" s="50">
        <v>0</v>
      </c>
      <c r="O100" s="15">
        <f t="shared" si="35"/>
        <v>47</v>
      </c>
      <c r="P100" s="15">
        <f t="shared" si="36"/>
        <v>96</v>
      </c>
      <c r="R100" s="8"/>
      <c r="T100"/>
    </row>
    <row r="101" spans="2:20" ht="23.1" customHeight="1" x14ac:dyDescent="0.25">
      <c r="B101" s="45" t="s">
        <v>141</v>
      </c>
      <c r="C101" s="50">
        <v>20</v>
      </c>
      <c r="D101" s="50">
        <v>0</v>
      </c>
      <c r="E101" s="50">
        <v>5</v>
      </c>
      <c r="F101" s="50">
        <v>11</v>
      </c>
      <c r="G101" s="50">
        <v>0</v>
      </c>
      <c r="H101" s="50">
        <v>3</v>
      </c>
      <c r="I101" s="50">
        <v>6</v>
      </c>
      <c r="J101" s="50">
        <v>5</v>
      </c>
      <c r="K101" s="50">
        <v>3</v>
      </c>
      <c r="L101" s="50">
        <v>4</v>
      </c>
      <c r="M101" s="50">
        <v>78</v>
      </c>
      <c r="N101" s="50">
        <v>0</v>
      </c>
      <c r="O101" s="15">
        <f t="shared" si="35"/>
        <v>57</v>
      </c>
      <c r="P101" s="15">
        <f t="shared" si="36"/>
        <v>135</v>
      </c>
      <c r="R101" s="8"/>
      <c r="T101"/>
    </row>
    <row r="102" spans="2:20" ht="23.1" customHeight="1" x14ac:dyDescent="0.25">
      <c r="B102" s="46" t="s">
        <v>142</v>
      </c>
      <c r="C102" s="50">
        <v>17</v>
      </c>
      <c r="D102" s="50">
        <v>5</v>
      </c>
      <c r="E102" s="50">
        <v>3</v>
      </c>
      <c r="F102" s="50">
        <v>18</v>
      </c>
      <c r="G102" s="50">
        <v>1</v>
      </c>
      <c r="H102" s="50">
        <v>0</v>
      </c>
      <c r="I102" s="50">
        <v>4</v>
      </c>
      <c r="J102" s="50">
        <v>2</v>
      </c>
      <c r="K102" s="50">
        <v>3</v>
      </c>
      <c r="L102" s="50">
        <v>4</v>
      </c>
      <c r="M102" s="50">
        <v>113</v>
      </c>
      <c r="N102" s="50">
        <v>0</v>
      </c>
      <c r="O102" s="15">
        <f t="shared" si="35"/>
        <v>57</v>
      </c>
      <c r="P102" s="15">
        <f t="shared" si="36"/>
        <v>170</v>
      </c>
      <c r="R102" s="8"/>
      <c r="T102"/>
    </row>
    <row r="103" spans="2:20" ht="23.1" customHeight="1" x14ac:dyDescent="0.25">
      <c r="B103" s="45" t="s">
        <v>143</v>
      </c>
      <c r="C103" s="50">
        <v>23</v>
      </c>
      <c r="D103" s="50">
        <v>4</v>
      </c>
      <c r="E103" s="50">
        <v>4</v>
      </c>
      <c r="F103" s="50">
        <v>22</v>
      </c>
      <c r="G103" s="50">
        <v>1</v>
      </c>
      <c r="H103" s="50">
        <v>2</v>
      </c>
      <c r="I103" s="50">
        <v>10</v>
      </c>
      <c r="J103" s="50">
        <v>5</v>
      </c>
      <c r="K103" s="50">
        <v>2</v>
      </c>
      <c r="L103" s="50">
        <v>1</v>
      </c>
      <c r="M103" s="50">
        <v>124</v>
      </c>
      <c r="N103" s="50">
        <v>0</v>
      </c>
      <c r="O103" s="15">
        <f t="shared" si="35"/>
        <v>74</v>
      </c>
      <c r="P103" s="15">
        <f t="shared" si="36"/>
        <v>198</v>
      </c>
      <c r="R103" s="8"/>
      <c r="T103"/>
    </row>
    <row r="104" spans="2:20" ht="23.1" customHeight="1" x14ac:dyDescent="0.25">
      <c r="B104" s="47" t="s">
        <v>144</v>
      </c>
      <c r="C104" s="50">
        <v>33</v>
      </c>
      <c r="D104" s="50">
        <v>5</v>
      </c>
      <c r="E104" s="50">
        <v>5</v>
      </c>
      <c r="F104" s="50">
        <v>45</v>
      </c>
      <c r="G104" s="50">
        <v>0</v>
      </c>
      <c r="H104" s="50">
        <v>1</v>
      </c>
      <c r="I104" s="50">
        <v>7</v>
      </c>
      <c r="J104" s="50">
        <v>4</v>
      </c>
      <c r="K104" s="50">
        <v>0</v>
      </c>
      <c r="L104" s="50">
        <v>0</v>
      </c>
      <c r="M104" s="50">
        <v>120</v>
      </c>
      <c r="N104" s="50">
        <v>0</v>
      </c>
      <c r="O104" s="15">
        <f t="shared" si="35"/>
        <v>100</v>
      </c>
      <c r="P104" s="15">
        <f t="shared" si="36"/>
        <v>220</v>
      </c>
      <c r="R104" s="8"/>
      <c r="T104"/>
    </row>
    <row r="105" spans="2:20" ht="23.1" customHeight="1" x14ac:dyDescent="0.25">
      <c r="B105" s="45" t="s">
        <v>145</v>
      </c>
      <c r="C105" s="50">
        <v>38</v>
      </c>
      <c r="D105" s="50">
        <v>8</v>
      </c>
      <c r="E105" s="50">
        <v>7</v>
      </c>
      <c r="F105" s="50">
        <v>29</v>
      </c>
      <c r="G105" s="50">
        <v>1</v>
      </c>
      <c r="H105" s="50">
        <v>2</v>
      </c>
      <c r="I105" s="50">
        <v>6</v>
      </c>
      <c r="J105" s="50">
        <v>3</v>
      </c>
      <c r="K105" s="50">
        <v>6</v>
      </c>
      <c r="L105" s="50">
        <v>3</v>
      </c>
      <c r="M105" s="50">
        <v>163</v>
      </c>
      <c r="N105" s="50">
        <v>0</v>
      </c>
      <c r="O105" s="15">
        <f t="shared" si="35"/>
        <v>103</v>
      </c>
      <c r="P105" s="15">
        <f t="shared" si="36"/>
        <v>266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4441</v>
      </c>
      <c r="D106" s="16">
        <f t="shared" ref="D106:P106" si="37">SUM(D10:D105)</f>
        <v>565</v>
      </c>
      <c r="E106" s="16">
        <f t="shared" si="37"/>
        <v>497</v>
      </c>
      <c r="F106" s="16">
        <f t="shared" si="37"/>
        <v>3062</v>
      </c>
      <c r="G106" s="16">
        <f t="shared" si="37"/>
        <v>154</v>
      </c>
      <c r="H106" s="16">
        <f t="shared" si="37"/>
        <v>84</v>
      </c>
      <c r="I106" s="16">
        <f t="shared" si="37"/>
        <v>619</v>
      </c>
      <c r="J106" s="16">
        <f t="shared" si="37"/>
        <v>445</v>
      </c>
      <c r="K106" s="16">
        <f t="shared" si="37"/>
        <v>148</v>
      </c>
      <c r="L106" s="16">
        <f t="shared" si="37"/>
        <v>161</v>
      </c>
      <c r="M106" s="16">
        <f t="shared" si="37"/>
        <v>14279</v>
      </c>
      <c r="N106" s="16">
        <f t="shared" si="37"/>
        <v>0</v>
      </c>
      <c r="O106" s="16">
        <f t="shared" si="37"/>
        <v>10176</v>
      </c>
      <c r="P106" s="16">
        <f t="shared" si="37"/>
        <v>24455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0.18159885503986914</v>
      </c>
      <c r="D107" s="43">
        <f t="shared" si="38"/>
        <v>2.3103659783275405E-2</v>
      </c>
      <c r="E107" s="43">
        <f t="shared" si="38"/>
        <v>2.0323042322633409E-2</v>
      </c>
      <c r="F107" s="43">
        <f t="shared" si="38"/>
        <v>0.12520956859537927</v>
      </c>
      <c r="G107" s="43">
        <f t="shared" si="38"/>
        <v>6.2972807196892255E-3</v>
      </c>
      <c r="H107" s="43">
        <f t="shared" si="38"/>
        <v>3.4348803925577593E-3</v>
      </c>
      <c r="I107" s="43">
        <f t="shared" si="38"/>
        <v>2.5311797178491108E-2</v>
      </c>
      <c r="J107" s="43">
        <f t="shared" si="38"/>
        <v>1.8196687793907176E-2</v>
      </c>
      <c r="K107" s="43">
        <f t="shared" si="38"/>
        <v>6.0519321202208137E-3</v>
      </c>
      <c r="L107" s="43">
        <f t="shared" si="38"/>
        <v>6.583520752402372E-3</v>
      </c>
      <c r="M107" s="43">
        <f t="shared" si="38"/>
        <v>0.58388877530157435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0.43641902515723269</v>
      </c>
      <c r="D108" s="44">
        <f t="shared" ref="D108:N108" si="39">D106/$O$106</f>
        <v>5.5522798742138363E-2</v>
      </c>
      <c r="E108" s="44">
        <f t="shared" si="39"/>
        <v>4.8840408805031446E-2</v>
      </c>
      <c r="F108" s="44">
        <f t="shared" si="39"/>
        <v>0.30090408805031449</v>
      </c>
      <c r="G108" s="44">
        <f t="shared" si="39"/>
        <v>1.5133647798742138E-2</v>
      </c>
      <c r="H108" s="44">
        <f t="shared" si="39"/>
        <v>8.2547169811320754E-3</v>
      </c>
      <c r="I108" s="44">
        <f t="shared" si="39"/>
        <v>6.0829402515723267E-2</v>
      </c>
      <c r="J108" s="44">
        <f t="shared" si="39"/>
        <v>4.3730345911949686E-2</v>
      </c>
      <c r="K108" s="44">
        <f t="shared" si="39"/>
        <v>1.4544025157232705E-2</v>
      </c>
      <c r="L108" s="44">
        <f t="shared" si="39"/>
        <v>1.5821540880503145E-2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2" tint="-0.249977111117893"/>
  </sheetPr>
  <dimension ref="B1:AF174"/>
  <sheetViews>
    <sheetView view="pageBreakPreview" topLeftCell="A10" zoomScale="60" workbookViewId="0">
      <selection activeCell="N105" sqref="N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4" t="str">
        <f>'22.07 NATEETE-BUSEGA'!C3:G3</f>
        <v>MCC - C1 - STN10- MASAKA ROAD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'27.07 NATEETE-BUSEGA'!D5</f>
        <v>27.07.19</v>
      </c>
      <c r="E5" s="3"/>
      <c r="F5" s="41" t="s">
        <v>1</v>
      </c>
      <c r="G5" s="62" t="str">
        <f>'27.07 NATEETE-BUSEGA'!G5:H5</f>
        <v>GOD'S MERCY SUPERMARKET</v>
      </c>
      <c r="H5" s="63"/>
      <c r="I5" s="14"/>
      <c r="J5" s="2" t="s">
        <v>5</v>
      </c>
      <c r="K5" s="62" t="s">
        <v>182</v>
      </c>
      <c r="L5" s="63"/>
      <c r="M5" s="10"/>
      <c r="N5" s="10"/>
      <c r="O5" s="3"/>
      <c r="P5" s="3"/>
    </row>
    <row r="6" spans="2:32" ht="23.25" customHeight="1" x14ac:dyDescent="0.25">
      <c r="C6" s="2" t="s">
        <v>4</v>
      </c>
      <c r="D6" s="62" t="str">
        <f>'22.07 BUSEGA-NATEETE'!D6:E6</f>
        <v>BUSEGA</v>
      </c>
      <c r="E6" s="63"/>
      <c r="F6" s="2" t="s">
        <v>2</v>
      </c>
      <c r="G6" s="62" t="str">
        <f>'22.07 BUSEGA-NATEETE'!G6:H6</f>
        <v>NATEETE</v>
      </c>
      <c r="H6" s="63"/>
      <c r="J6" s="2" t="s">
        <v>21</v>
      </c>
      <c r="K6" s="62" t="str">
        <f>'27.07 NATEETE-BUSEGA'!K6:L6</f>
        <v>BEATRACE</v>
      </c>
      <c r="L6" s="6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52</v>
      </c>
      <c r="D10" s="50">
        <v>6</v>
      </c>
      <c r="E10" s="50">
        <v>3</v>
      </c>
      <c r="F10" s="50">
        <v>60</v>
      </c>
      <c r="G10" s="50">
        <v>0</v>
      </c>
      <c r="H10" s="50">
        <v>1</v>
      </c>
      <c r="I10" s="50">
        <v>2</v>
      </c>
      <c r="J10" s="50">
        <v>2</v>
      </c>
      <c r="K10" s="50">
        <v>0</v>
      </c>
      <c r="L10" s="50">
        <v>0</v>
      </c>
      <c r="M10" s="50">
        <v>150</v>
      </c>
      <c r="N10" s="50">
        <v>0</v>
      </c>
      <c r="O10" s="15">
        <f t="shared" ref="O10:O73" si="0">SUM(C10:L10,N10)</f>
        <v>126</v>
      </c>
      <c r="P10" s="15">
        <f t="shared" ref="P10:P73" si="1">SUM(C10:N10)</f>
        <v>276</v>
      </c>
      <c r="R10" s="1" t="s">
        <v>6</v>
      </c>
      <c r="S10" s="17">
        <f t="shared" ref="S10:AF10" si="2">SUM(C10:C13)</f>
        <v>276</v>
      </c>
      <c r="T10" s="17">
        <f t="shared" si="2"/>
        <v>36</v>
      </c>
      <c r="U10" s="17">
        <f t="shared" si="2"/>
        <v>42</v>
      </c>
      <c r="V10" s="17">
        <f t="shared" si="2"/>
        <v>297</v>
      </c>
      <c r="W10" s="17">
        <f t="shared" si="2"/>
        <v>6</v>
      </c>
      <c r="X10" s="17">
        <f t="shared" si="2"/>
        <v>5</v>
      </c>
      <c r="Y10" s="17">
        <f t="shared" si="2"/>
        <v>16</v>
      </c>
      <c r="Z10" s="17">
        <f t="shared" si="2"/>
        <v>15</v>
      </c>
      <c r="AA10" s="17">
        <f t="shared" si="2"/>
        <v>2</v>
      </c>
      <c r="AB10" s="17">
        <f t="shared" si="2"/>
        <v>12</v>
      </c>
      <c r="AC10" s="17">
        <f t="shared" si="2"/>
        <v>665</v>
      </c>
      <c r="AD10" s="17">
        <f t="shared" si="2"/>
        <v>0</v>
      </c>
      <c r="AE10" s="31">
        <f t="shared" si="2"/>
        <v>707</v>
      </c>
      <c r="AF10" s="31">
        <f t="shared" si="2"/>
        <v>1372</v>
      </c>
    </row>
    <row r="11" spans="2:32" s="6" customFormat="1" ht="23.1" customHeight="1" x14ac:dyDescent="0.25">
      <c r="B11" s="45" t="s">
        <v>38</v>
      </c>
      <c r="C11" s="50">
        <v>85</v>
      </c>
      <c r="D11" s="50">
        <v>5</v>
      </c>
      <c r="E11" s="50">
        <v>20</v>
      </c>
      <c r="F11" s="50">
        <v>66</v>
      </c>
      <c r="G11" s="50">
        <v>2</v>
      </c>
      <c r="H11" s="50">
        <v>2</v>
      </c>
      <c r="I11" s="50">
        <v>6</v>
      </c>
      <c r="J11" s="50">
        <v>5</v>
      </c>
      <c r="K11" s="50">
        <v>0</v>
      </c>
      <c r="L11" s="50">
        <v>4</v>
      </c>
      <c r="M11" s="50">
        <v>210</v>
      </c>
      <c r="N11" s="50">
        <v>0</v>
      </c>
      <c r="O11" s="15">
        <f t="shared" si="0"/>
        <v>195</v>
      </c>
      <c r="P11" s="15">
        <f t="shared" si="1"/>
        <v>405</v>
      </c>
      <c r="R11" s="1" t="s">
        <v>7</v>
      </c>
      <c r="S11" s="17">
        <f t="shared" ref="S11:AF11" si="3">SUM(C14:C17)</f>
        <v>304</v>
      </c>
      <c r="T11" s="17">
        <f t="shared" si="3"/>
        <v>73</v>
      </c>
      <c r="U11" s="17">
        <f t="shared" si="3"/>
        <v>39</v>
      </c>
      <c r="V11" s="17">
        <f t="shared" si="3"/>
        <v>271</v>
      </c>
      <c r="W11" s="17">
        <f t="shared" si="3"/>
        <v>3</v>
      </c>
      <c r="X11" s="17">
        <f t="shared" si="3"/>
        <v>1</v>
      </c>
      <c r="Y11" s="17">
        <f t="shared" si="3"/>
        <v>30</v>
      </c>
      <c r="Z11" s="17">
        <f t="shared" si="3"/>
        <v>12</v>
      </c>
      <c r="AA11" s="17">
        <f t="shared" si="3"/>
        <v>2</v>
      </c>
      <c r="AB11" s="17">
        <f t="shared" si="3"/>
        <v>4</v>
      </c>
      <c r="AC11" s="17">
        <f t="shared" si="3"/>
        <v>710</v>
      </c>
      <c r="AD11" s="17">
        <f t="shared" si="3"/>
        <v>0</v>
      </c>
      <c r="AE11" s="31">
        <f t="shared" si="3"/>
        <v>739</v>
      </c>
      <c r="AF11" s="31">
        <f t="shared" si="3"/>
        <v>1449</v>
      </c>
    </row>
    <row r="12" spans="2:32" ht="23.1" customHeight="1" x14ac:dyDescent="0.25">
      <c r="B12" s="45" t="s">
        <v>39</v>
      </c>
      <c r="C12" s="50">
        <v>54</v>
      </c>
      <c r="D12" s="50">
        <v>6</v>
      </c>
      <c r="E12" s="50">
        <v>4</v>
      </c>
      <c r="F12" s="50">
        <v>101</v>
      </c>
      <c r="G12" s="50">
        <v>1</v>
      </c>
      <c r="H12" s="50">
        <v>2</v>
      </c>
      <c r="I12" s="50">
        <v>4</v>
      </c>
      <c r="J12" s="50">
        <v>5</v>
      </c>
      <c r="K12" s="50">
        <v>0</v>
      </c>
      <c r="L12" s="50">
        <v>3</v>
      </c>
      <c r="M12" s="50">
        <v>165</v>
      </c>
      <c r="N12" s="50">
        <v>0</v>
      </c>
      <c r="O12" s="15">
        <f t="shared" si="0"/>
        <v>180</v>
      </c>
      <c r="P12" s="15">
        <f t="shared" si="1"/>
        <v>345</v>
      </c>
      <c r="R12" s="1" t="s">
        <v>8</v>
      </c>
      <c r="S12" s="17">
        <f t="shared" ref="S12:AF12" si="4">SUM(C18:C21)</f>
        <v>336</v>
      </c>
      <c r="T12" s="17">
        <f t="shared" si="4"/>
        <v>67</v>
      </c>
      <c r="U12" s="17">
        <f t="shared" si="4"/>
        <v>56</v>
      </c>
      <c r="V12" s="17">
        <f t="shared" si="4"/>
        <v>271</v>
      </c>
      <c r="W12" s="17">
        <f t="shared" si="4"/>
        <v>6</v>
      </c>
      <c r="X12" s="17">
        <f t="shared" si="4"/>
        <v>4</v>
      </c>
      <c r="Y12" s="17">
        <f t="shared" si="4"/>
        <v>34</v>
      </c>
      <c r="Z12" s="17">
        <f t="shared" si="4"/>
        <v>20</v>
      </c>
      <c r="AA12" s="17">
        <f t="shared" si="4"/>
        <v>6</v>
      </c>
      <c r="AB12" s="17">
        <f t="shared" si="4"/>
        <v>7</v>
      </c>
      <c r="AC12" s="17">
        <f t="shared" si="4"/>
        <v>905</v>
      </c>
      <c r="AD12" s="17">
        <f t="shared" si="4"/>
        <v>0</v>
      </c>
      <c r="AE12" s="31">
        <f t="shared" si="4"/>
        <v>807</v>
      </c>
      <c r="AF12" s="31">
        <f t="shared" si="4"/>
        <v>1712</v>
      </c>
    </row>
    <row r="13" spans="2:32" ht="23.1" customHeight="1" x14ac:dyDescent="0.25">
      <c r="B13" s="45" t="s">
        <v>40</v>
      </c>
      <c r="C13" s="50">
        <v>85</v>
      </c>
      <c r="D13" s="50">
        <v>19</v>
      </c>
      <c r="E13" s="50">
        <v>15</v>
      </c>
      <c r="F13" s="50">
        <v>70</v>
      </c>
      <c r="G13" s="50">
        <v>3</v>
      </c>
      <c r="H13" s="50">
        <v>0</v>
      </c>
      <c r="I13" s="50">
        <v>4</v>
      </c>
      <c r="J13" s="50">
        <v>3</v>
      </c>
      <c r="K13" s="50">
        <v>2</v>
      </c>
      <c r="L13" s="50">
        <v>5</v>
      </c>
      <c r="M13" s="50">
        <v>140</v>
      </c>
      <c r="N13" s="50">
        <v>0</v>
      </c>
      <c r="O13" s="15">
        <f t="shared" si="0"/>
        <v>206</v>
      </c>
      <c r="P13" s="15">
        <f t="shared" si="1"/>
        <v>346</v>
      </c>
      <c r="R13" s="1" t="s">
        <v>9</v>
      </c>
      <c r="S13" s="17">
        <f t="shared" ref="S13:AF13" si="5">SUM(C22:C25)</f>
        <v>276</v>
      </c>
      <c r="T13" s="17">
        <f t="shared" si="5"/>
        <v>73</v>
      </c>
      <c r="U13" s="17">
        <f t="shared" si="5"/>
        <v>44</v>
      </c>
      <c r="V13" s="17">
        <f t="shared" si="5"/>
        <v>302</v>
      </c>
      <c r="W13" s="17">
        <f t="shared" si="5"/>
        <v>6</v>
      </c>
      <c r="X13" s="17">
        <f t="shared" si="5"/>
        <v>6</v>
      </c>
      <c r="Y13" s="17">
        <f t="shared" si="5"/>
        <v>29</v>
      </c>
      <c r="Z13" s="17">
        <f t="shared" si="5"/>
        <v>32</v>
      </c>
      <c r="AA13" s="17">
        <f t="shared" si="5"/>
        <v>8</v>
      </c>
      <c r="AB13" s="17">
        <f t="shared" si="5"/>
        <v>13</v>
      </c>
      <c r="AC13" s="17">
        <f t="shared" si="5"/>
        <v>615</v>
      </c>
      <c r="AD13" s="17">
        <f t="shared" si="5"/>
        <v>0</v>
      </c>
      <c r="AE13" s="31">
        <f t="shared" si="5"/>
        <v>789</v>
      </c>
      <c r="AF13" s="31">
        <f t="shared" si="5"/>
        <v>1404</v>
      </c>
    </row>
    <row r="14" spans="2:32" ht="23.1" customHeight="1" x14ac:dyDescent="0.25">
      <c r="B14" s="45" t="s">
        <v>41</v>
      </c>
      <c r="C14" s="50">
        <v>100</v>
      </c>
      <c r="D14" s="50">
        <v>20</v>
      </c>
      <c r="E14" s="50">
        <v>8</v>
      </c>
      <c r="F14" s="50">
        <v>63</v>
      </c>
      <c r="G14" s="50">
        <v>0</v>
      </c>
      <c r="H14" s="50">
        <v>1</v>
      </c>
      <c r="I14" s="50">
        <v>10</v>
      </c>
      <c r="J14" s="50">
        <v>3</v>
      </c>
      <c r="K14" s="50">
        <v>0</v>
      </c>
      <c r="L14" s="50">
        <v>0</v>
      </c>
      <c r="M14" s="50">
        <v>235</v>
      </c>
      <c r="N14" s="50">
        <v>0</v>
      </c>
      <c r="O14" s="15">
        <f t="shared" si="0"/>
        <v>205</v>
      </c>
      <c r="P14" s="15">
        <f t="shared" si="1"/>
        <v>440</v>
      </c>
      <c r="R14" s="1" t="s">
        <v>10</v>
      </c>
      <c r="S14" s="17">
        <f t="shared" ref="S14:AF14" si="6">SUM(C26:C29)</f>
        <v>350</v>
      </c>
      <c r="T14" s="17">
        <f t="shared" si="6"/>
        <v>107</v>
      </c>
      <c r="U14" s="17">
        <f t="shared" si="6"/>
        <v>97</v>
      </c>
      <c r="V14" s="17">
        <f t="shared" si="6"/>
        <v>337</v>
      </c>
      <c r="W14" s="17">
        <f t="shared" si="6"/>
        <v>3</v>
      </c>
      <c r="X14" s="17">
        <f t="shared" si="6"/>
        <v>5</v>
      </c>
      <c r="Y14" s="17">
        <f t="shared" si="6"/>
        <v>29</v>
      </c>
      <c r="Z14" s="17">
        <f t="shared" si="6"/>
        <v>14</v>
      </c>
      <c r="AA14" s="17">
        <f t="shared" si="6"/>
        <v>5</v>
      </c>
      <c r="AB14" s="17">
        <f t="shared" si="6"/>
        <v>5</v>
      </c>
      <c r="AC14" s="17">
        <f t="shared" si="6"/>
        <v>385</v>
      </c>
      <c r="AD14" s="17">
        <f t="shared" si="6"/>
        <v>0</v>
      </c>
      <c r="AE14" s="31">
        <f t="shared" si="6"/>
        <v>952</v>
      </c>
      <c r="AF14" s="31">
        <f t="shared" si="6"/>
        <v>1337</v>
      </c>
    </row>
    <row r="15" spans="2:32" ht="23.1" customHeight="1" x14ac:dyDescent="0.25">
      <c r="B15" s="45" t="s">
        <v>42</v>
      </c>
      <c r="C15" s="50">
        <v>74</v>
      </c>
      <c r="D15" s="50">
        <v>13</v>
      </c>
      <c r="E15" s="50">
        <v>10</v>
      </c>
      <c r="F15" s="50">
        <v>75</v>
      </c>
      <c r="G15" s="50">
        <v>1</v>
      </c>
      <c r="H15" s="50">
        <v>0</v>
      </c>
      <c r="I15" s="50">
        <v>4</v>
      </c>
      <c r="J15" s="50">
        <v>3</v>
      </c>
      <c r="K15" s="50">
        <v>1</v>
      </c>
      <c r="L15" s="50">
        <v>0</v>
      </c>
      <c r="M15" s="50">
        <v>195</v>
      </c>
      <c r="N15" s="50">
        <v>0</v>
      </c>
      <c r="O15" s="15">
        <f t="shared" si="0"/>
        <v>181</v>
      </c>
      <c r="P15" s="15">
        <f t="shared" si="1"/>
        <v>376</v>
      </c>
      <c r="R15" s="1" t="s">
        <v>11</v>
      </c>
      <c r="S15" s="17">
        <f t="shared" ref="S15:AF15" si="7">SUM(C30:C33)</f>
        <v>300</v>
      </c>
      <c r="T15" s="17">
        <f t="shared" si="7"/>
        <v>69</v>
      </c>
      <c r="U15" s="17">
        <f t="shared" si="7"/>
        <v>70</v>
      </c>
      <c r="V15" s="17">
        <f t="shared" si="7"/>
        <v>279</v>
      </c>
      <c r="W15" s="17">
        <f t="shared" si="7"/>
        <v>11</v>
      </c>
      <c r="X15" s="17">
        <f t="shared" si="7"/>
        <v>11</v>
      </c>
      <c r="Y15" s="17">
        <f t="shared" si="7"/>
        <v>97</v>
      </c>
      <c r="Z15" s="17">
        <f t="shared" si="7"/>
        <v>10</v>
      </c>
      <c r="AA15" s="17">
        <f t="shared" si="7"/>
        <v>13</v>
      </c>
      <c r="AB15" s="17">
        <f t="shared" si="7"/>
        <v>15</v>
      </c>
      <c r="AC15" s="17">
        <f t="shared" si="7"/>
        <v>630</v>
      </c>
      <c r="AD15" s="17">
        <f t="shared" si="7"/>
        <v>0</v>
      </c>
      <c r="AE15" s="31">
        <f t="shared" si="7"/>
        <v>875</v>
      </c>
      <c r="AF15" s="31">
        <f t="shared" si="7"/>
        <v>1505</v>
      </c>
    </row>
    <row r="16" spans="2:32" ht="23.1" customHeight="1" x14ac:dyDescent="0.25">
      <c r="B16" s="45" t="s">
        <v>43</v>
      </c>
      <c r="C16" s="50">
        <v>70</v>
      </c>
      <c r="D16" s="50">
        <v>15</v>
      </c>
      <c r="E16" s="50">
        <v>11</v>
      </c>
      <c r="F16" s="50">
        <v>68</v>
      </c>
      <c r="G16" s="50">
        <v>1</v>
      </c>
      <c r="H16" s="50">
        <v>0</v>
      </c>
      <c r="I16" s="50">
        <v>9</v>
      </c>
      <c r="J16" s="50">
        <v>2</v>
      </c>
      <c r="K16" s="50">
        <v>1</v>
      </c>
      <c r="L16" s="50">
        <v>3</v>
      </c>
      <c r="M16" s="50">
        <v>155</v>
      </c>
      <c r="N16" s="50">
        <v>0</v>
      </c>
      <c r="O16" s="15">
        <f t="shared" si="0"/>
        <v>180</v>
      </c>
      <c r="P16" s="15">
        <f t="shared" si="1"/>
        <v>335</v>
      </c>
      <c r="R16" s="1" t="s">
        <v>12</v>
      </c>
      <c r="S16" s="17">
        <f t="shared" ref="S16:AF16" si="8">SUM(C34:C37)</f>
        <v>253</v>
      </c>
      <c r="T16" s="17">
        <f t="shared" si="8"/>
        <v>45</v>
      </c>
      <c r="U16" s="17">
        <f t="shared" si="8"/>
        <v>40</v>
      </c>
      <c r="V16" s="17">
        <f t="shared" si="8"/>
        <v>256</v>
      </c>
      <c r="W16" s="17">
        <f t="shared" si="8"/>
        <v>7</v>
      </c>
      <c r="X16" s="17">
        <f t="shared" si="8"/>
        <v>8</v>
      </c>
      <c r="Y16" s="17">
        <f t="shared" si="8"/>
        <v>29</v>
      </c>
      <c r="Z16" s="17">
        <f t="shared" si="8"/>
        <v>29</v>
      </c>
      <c r="AA16" s="17">
        <f t="shared" si="8"/>
        <v>12</v>
      </c>
      <c r="AB16" s="17">
        <f t="shared" si="8"/>
        <v>12</v>
      </c>
      <c r="AC16" s="17">
        <f t="shared" si="8"/>
        <v>460</v>
      </c>
      <c r="AD16" s="17">
        <f t="shared" si="8"/>
        <v>0</v>
      </c>
      <c r="AE16" s="31">
        <f t="shared" si="8"/>
        <v>691</v>
      </c>
      <c r="AF16" s="31">
        <f t="shared" si="8"/>
        <v>1151</v>
      </c>
    </row>
    <row r="17" spans="2:32" ht="23.1" customHeight="1" x14ac:dyDescent="0.25">
      <c r="B17" s="45" t="s">
        <v>44</v>
      </c>
      <c r="C17" s="50">
        <v>60</v>
      </c>
      <c r="D17" s="50">
        <v>25</v>
      </c>
      <c r="E17" s="50">
        <v>10</v>
      </c>
      <c r="F17" s="50">
        <v>65</v>
      </c>
      <c r="G17" s="50">
        <v>1</v>
      </c>
      <c r="H17" s="50">
        <v>0</v>
      </c>
      <c r="I17" s="50">
        <v>7</v>
      </c>
      <c r="J17" s="50">
        <v>4</v>
      </c>
      <c r="K17" s="50">
        <v>0</v>
      </c>
      <c r="L17" s="50">
        <v>1</v>
      </c>
      <c r="M17" s="50">
        <v>125</v>
      </c>
      <c r="N17" s="50">
        <v>0</v>
      </c>
      <c r="O17" s="15">
        <f t="shared" si="0"/>
        <v>173</v>
      </c>
      <c r="P17" s="15">
        <f t="shared" si="1"/>
        <v>298</v>
      </c>
      <c r="R17" s="1" t="s">
        <v>13</v>
      </c>
      <c r="S17" s="17">
        <f t="shared" ref="S17:AF17" si="9">SUM(C38:C41)</f>
        <v>251</v>
      </c>
      <c r="T17" s="17">
        <f t="shared" si="9"/>
        <v>39</v>
      </c>
      <c r="U17" s="17">
        <f t="shared" si="9"/>
        <v>54</v>
      </c>
      <c r="V17" s="17">
        <f t="shared" si="9"/>
        <v>208</v>
      </c>
      <c r="W17" s="17">
        <f t="shared" si="9"/>
        <v>3</v>
      </c>
      <c r="X17" s="17">
        <f t="shared" si="9"/>
        <v>4</v>
      </c>
      <c r="Y17" s="17">
        <f t="shared" si="9"/>
        <v>28</v>
      </c>
      <c r="Z17" s="17">
        <f t="shared" si="9"/>
        <v>19</v>
      </c>
      <c r="AA17" s="17">
        <f t="shared" si="9"/>
        <v>1</v>
      </c>
      <c r="AB17" s="17">
        <f t="shared" si="9"/>
        <v>11</v>
      </c>
      <c r="AC17" s="17">
        <f t="shared" si="9"/>
        <v>390</v>
      </c>
      <c r="AD17" s="17">
        <f t="shared" si="9"/>
        <v>0</v>
      </c>
      <c r="AE17" s="31">
        <f t="shared" si="9"/>
        <v>618</v>
      </c>
      <c r="AF17" s="31">
        <f t="shared" si="9"/>
        <v>1008</v>
      </c>
    </row>
    <row r="18" spans="2:32" ht="23.1" customHeight="1" x14ac:dyDescent="0.25">
      <c r="B18" s="45" t="s">
        <v>45</v>
      </c>
      <c r="C18" s="50">
        <v>85</v>
      </c>
      <c r="D18" s="50">
        <v>25</v>
      </c>
      <c r="E18" s="50">
        <v>14</v>
      </c>
      <c r="F18" s="50">
        <v>91</v>
      </c>
      <c r="G18" s="50">
        <v>2</v>
      </c>
      <c r="H18" s="50">
        <v>0</v>
      </c>
      <c r="I18" s="50">
        <v>5</v>
      </c>
      <c r="J18" s="50">
        <v>4</v>
      </c>
      <c r="K18" s="50">
        <v>1</v>
      </c>
      <c r="L18" s="50">
        <v>3</v>
      </c>
      <c r="M18" s="50">
        <v>215</v>
      </c>
      <c r="N18" s="50">
        <v>0</v>
      </c>
      <c r="O18" s="15">
        <f t="shared" si="0"/>
        <v>230</v>
      </c>
      <c r="P18" s="15">
        <f t="shared" si="1"/>
        <v>445</v>
      </c>
      <c r="R18" s="1" t="s">
        <v>14</v>
      </c>
      <c r="S18" s="17">
        <f t="shared" ref="S18:AF18" si="10">SUM(C42:C45)</f>
        <v>205</v>
      </c>
      <c r="T18" s="17">
        <f t="shared" si="10"/>
        <v>30</v>
      </c>
      <c r="U18" s="17">
        <f t="shared" si="10"/>
        <v>39</v>
      </c>
      <c r="V18" s="17">
        <f t="shared" si="10"/>
        <v>208</v>
      </c>
      <c r="W18" s="17">
        <f t="shared" si="10"/>
        <v>9</v>
      </c>
      <c r="X18" s="17">
        <f t="shared" si="10"/>
        <v>4</v>
      </c>
      <c r="Y18" s="17">
        <f t="shared" si="10"/>
        <v>22</v>
      </c>
      <c r="Z18" s="17">
        <f t="shared" si="10"/>
        <v>24</v>
      </c>
      <c r="AA18" s="17">
        <f t="shared" si="10"/>
        <v>14</v>
      </c>
      <c r="AB18" s="17">
        <f t="shared" si="10"/>
        <v>30</v>
      </c>
      <c r="AC18" s="17">
        <f t="shared" si="10"/>
        <v>405</v>
      </c>
      <c r="AD18" s="17">
        <f t="shared" si="10"/>
        <v>0</v>
      </c>
      <c r="AE18" s="31">
        <f t="shared" si="10"/>
        <v>585</v>
      </c>
      <c r="AF18" s="31">
        <f t="shared" si="10"/>
        <v>990</v>
      </c>
    </row>
    <row r="19" spans="2:32" ht="23.1" customHeight="1" x14ac:dyDescent="0.25">
      <c r="B19" s="45" t="s">
        <v>46</v>
      </c>
      <c r="C19" s="50">
        <v>90</v>
      </c>
      <c r="D19" s="50">
        <v>12</v>
      </c>
      <c r="E19" s="50">
        <v>15</v>
      </c>
      <c r="F19" s="50">
        <v>55</v>
      </c>
      <c r="G19" s="50">
        <v>2</v>
      </c>
      <c r="H19" s="50">
        <v>1</v>
      </c>
      <c r="I19" s="50">
        <v>12</v>
      </c>
      <c r="J19" s="50">
        <v>5</v>
      </c>
      <c r="K19" s="50">
        <v>2</v>
      </c>
      <c r="L19" s="50">
        <v>4</v>
      </c>
      <c r="M19" s="50">
        <v>210</v>
      </c>
      <c r="N19" s="50">
        <v>0</v>
      </c>
      <c r="O19" s="15">
        <f t="shared" si="0"/>
        <v>198</v>
      </c>
      <c r="P19" s="15">
        <f t="shared" si="1"/>
        <v>408</v>
      </c>
      <c r="R19" s="1" t="s">
        <v>15</v>
      </c>
      <c r="S19" s="17">
        <f t="shared" ref="S19:AF19" si="11">SUM(C46:C49)</f>
        <v>251</v>
      </c>
      <c r="T19" s="17">
        <f t="shared" si="11"/>
        <v>35</v>
      </c>
      <c r="U19" s="17">
        <f t="shared" si="11"/>
        <v>47</v>
      </c>
      <c r="V19" s="17">
        <f t="shared" si="11"/>
        <v>237</v>
      </c>
      <c r="W19" s="17">
        <f t="shared" si="11"/>
        <v>1</v>
      </c>
      <c r="X19" s="17">
        <f t="shared" si="11"/>
        <v>16</v>
      </c>
      <c r="Y19" s="17">
        <f t="shared" si="11"/>
        <v>32</v>
      </c>
      <c r="Z19" s="17">
        <f t="shared" si="11"/>
        <v>21</v>
      </c>
      <c r="AA19" s="17">
        <f t="shared" si="11"/>
        <v>10</v>
      </c>
      <c r="AB19" s="17">
        <f t="shared" si="11"/>
        <v>12</v>
      </c>
      <c r="AC19" s="17">
        <f t="shared" si="11"/>
        <v>404</v>
      </c>
      <c r="AD19" s="17">
        <f t="shared" si="11"/>
        <v>0</v>
      </c>
      <c r="AE19" s="31">
        <f t="shared" si="11"/>
        <v>662</v>
      </c>
      <c r="AF19" s="31">
        <f t="shared" si="11"/>
        <v>1066</v>
      </c>
    </row>
    <row r="20" spans="2:32" ht="23.1" customHeight="1" x14ac:dyDescent="0.25">
      <c r="B20" s="45" t="s">
        <v>47</v>
      </c>
      <c r="C20" s="50">
        <v>93</v>
      </c>
      <c r="D20" s="50">
        <v>15</v>
      </c>
      <c r="E20" s="50">
        <v>15</v>
      </c>
      <c r="F20" s="50">
        <v>75</v>
      </c>
      <c r="G20" s="50">
        <v>2</v>
      </c>
      <c r="H20" s="50">
        <v>2</v>
      </c>
      <c r="I20" s="50">
        <v>7</v>
      </c>
      <c r="J20" s="50">
        <v>5</v>
      </c>
      <c r="K20" s="50">
        <v>3</v>
      </c>
      <c r="L20" s="50">
        <v>0</v>
      </c>
      <c r="M20" s="50">
        <v>230</v>
      </c>
      <c r="N20" s="50">
        <v>0</v>
      </c>
      <c r="O20" s="15">
        <f t="shared" si="0"/>
        <v>217</v>
      </c>
      <c r="P20" s="15">
        <f t="shared" si="1"/>
        <v>447</v>
      </c>
      <c r="R20" s="1" t="s">
        <v>16</v>
      </c>
      <c r="S20" s="17">
        <f t="shared" ref="S20:AF20" si="12">SUM(C50:C53)</f>
        <v>310</v>
      </c>
      <c r="T20" s="17">
        <f t="shared" si="12"/>
        <v>54</v>
      </c>
      <c r="U20" s="17">
        <f t="shared" si="12"/>
        <v>56</v>
      </c>
      <c r="V20" s="17">
        <f t="shared" si="12"/>
        <v>316</v>
      </c>
      <c r="W20" s="17">
        <f t="shared" si="12"/>
        <v>6</v>
      </c>
      <c r="X20" s="17">
        <f t="shared" si="12"/>
        <v>10</v>
      </c>
      <c r="Y20" s="17">
        <f t="shared" si="12"/>
        <v>22</v>
      </c>
      <c r="Z20" s="17">
        <f t="shared" si="12"/>
        <v>23</v>
      </c>
      <c r="AA20" s="17">
        <f t="shared" si="12"/>
        <v>8</v>
      </c>
      <c r="AB20" s="17">
        <f t="shared" si="12"/>
        <v>16</v>
      </c>
      <c r="AC20" s="17">
        <f t="shared" si="12"/>
        <v>345</v>
      </c>
      <c r="AD20" s="17">
        <f t="shared" si="12"/>
        <v>0</v>
      </c>
      <c r="AE20" s="31">
        <f t="shared" si="12"/>
        <v>821</v>
      </c>
      <c r="AF20" s="31">
        <f t="shared" si="12"/>
        <v>1166</v>
      </c>
    </row>
    <row r="21" spans="2:32" ht="23.1" customHeight="1" x14ac:dyDescent="0.25">
      <c r="B21" s="45" t="s">
        <v>48</v>
      </c>
      <c r="C21" s="50">
        <v>68</v>
      </c>
      <c r="D21" s="50">
        <v>15</v>
      </c>
      <c r="E21" s="50">
        <v>12</v>
      </c>
      <c r="F21" s="50">
        <v>50</v>
      </c>
      <c r="G21" s="50">
        <v>0</v>
      </c>
      <c r="H21" s="50">
        <v>1</v>
      </c>
      <c r="I21" s="50">
        <v>10</v>
      </c>
      <c r="J21" s="50">
        <v>6</v>
      </c>
      <c r="K21" s="50">
        <v>0</v>
      </c>
      <c r="L21" s="50">
        <v>0</v>
      </c>
      <c r="M21" s="50">
        <v>250</v>
      </c>
      <c r="N21" s="50">
        <v>0</v>
      </c>
      <c r="O21" s="15">
        <f t="shared" si="0"/>
        <v>162</v>
      </c>
      <c r="P21" s="15">
        <f t="shared" si="1"/>
        <v>412</v>
      </c>
      <c r="R21" s="36" t="s">
        <v>20</v>
      </c>
      <c r="S21" s="34">
        <f t="shared" ref="S21:AF21" si="13">SUM(C54:C57)</f>
        <v>320</v>
      </c>
      <c r="T21" s="17">
        <f t="shared" si="13"/>
        <v>46</v>
      </c>
      <c r="U21" s="17">
        <f t="shared" si="13"/>
        <v>52</v>
      </c>
      <c r="V21" s="17">
        <f t="shared" si="13"/>
        <v>334</v>
      </c>
      <c r="W21" s="17">
        <f t="shared" si="13"/>
        <v>16</v>
      </c>
      <c r="X21" s="17">
        <f t="shared" si="13"/>
        <v>23</v>
      </c>
      <c r="Y21" s="17">
        <f t="shared" si="13"/>
        <v>21</v>
      </c>
      <c r="Z21" s="17">
        <f t="shared" si="13"/>
        <v>13</v>
      </c>
      <c r="AA21" s="17">
        <f t="shared" si="13"/>
        <v>14</v>
      </c>
      <c r="AB21" s="17">
        <f t="shared" si="13"/>
        <v>19</v>
      </c>
      <c r="AC21" s="17">
        <f t="shared" si="13"/>
        <v>320</v>
      </c>
      <c r="AD21" s="17">
        <f t="shared" si="13"/>
        <v>0</v>
      </c>
      <c r="AE21" s="31">
        <f t="shared" si="13"/>
        <v>858</v>
      </c>
      <c r="AF21" s="31">
        <f t="shared" si="13"/>
        <v>1178</v>
      </c>
    </row>
    <row r="22" spans="2:32" ht="23.1" customHeight="1" x14ac:dyDescent="0.25">
      <c r="B22" s="45" t="s">
        <v>49</v>
      </c>
      <c r="C22" s="50">
        <v>66</v>
      </c>
      <c r="D22" s="50">
        <v>17</v>
      </c>
      <c r="E22" s="50">
        <v>9</v>
      </c>
      <c r="F22" s="50">
        <v>65</v>
      </c>
      <c r="G22" s="50">
        <v>0</v>
      </c>
      <c r="H22" s="50">
        <v>0</v>
      </c>
      <c r="I22" s="50">
        <v>8</v>
      </c>
      <c r="J22" s="50">
        <v>4</v>
      </c>
      <c r="K22" s="50">
        <v>0</v>
      </c>
      <c r="L22" s="50">
        <v>3</v>
      </c>
      <c r="M22" s="50">
        <v>240</v>
      </c>
      <c r="N22" s="50">
        <v>0</v>
      </c>
      <c r="O22" s="15">
        <f t="shared" si="0"/>
        <v>172</v>
      </c>
      <c r="P22" s="15">
        <f t="shared" si="1"/>
        <v>412</v>
      </c>
      <c r="R22" s="36" t="s">
        <v>146</v>
      </c>
      <c r="S22" s="34">
        <f>SUM(C58:C61)</f>
        <v>183</v>
      </c>
      <c r="T22" s="34">
        <f t="shared" ref="T22:AF22" si="14">SUM(D58:D61)</f>
        <v>29</v>
      </c>
      <c r="U22" s="34">
        <f t="shared" si="14"/>
        <v>28</v>
      </c>
      <c r="V22" s="34">
        <f t="shared" si="14"/>
        <v>192</v>
      </c>
      <c r="W22" s="34">
        <f t="shared" si="14"/>
        <v>8</v>
      </c>
      <c r="X22" s="34">
        <f t="shared" si="14"/>
        <v>9</v>
      </c>
      <c r="Y22" s="34">
        <f t="shared" si="14"/>
        <v>33</v>
      </c>
      <c r="Z22" s="34">
        <f t="shared" si="14"/>
        <v>13</v>
      </c>
      <c r="AA22" s="34">
        <f t="shared" si="14"/>
        <v>4</v>
      </c>
      <c r="AB22" s="34">
        <f t="shared" si="14"/>
        <v>9</v>
      </c>
      <c r="AC22" s="34">
        <f t="shared" si="14"/>
        <v>452</v>
      </c>
      <c r="AD22" s="34">
        <f t="shared" si="14"/>
        <v>0</v>
      </c>
      <c r="AE22" s="31">
        <f t="shared" si="14"/>
        <v>508</v>
      </c>
      <c r="AF22" s="31">
        <f t="shared" si="14"/>
        <v>960</v>
      </c>
    </row>
    <row r="23" spans="2:32" ht="23.1" customHeight="1" x14ac:dyDescent="0.25">
      <c r="B23" s="45" t="s">
        <v>50</v>
      </c>
      <c r="C23" s="50">
        <v>75</v>
      </c>
      <c r="D23" s="50">
        <v>21</v>
      </c>
      <c r="E23" s="50">
        <v>11</v>
      </c>
      <c r="F23" s="50">
        <v>75</v>
      </c>
      <c r="G23" s="50">
        <v>1</v>
      </c>
      <c r="H23" s="50">
        <v>1</v>
      </c>
      <c r="I23" s="50">
        <v>7</v>
      </c>
      <c r="J23" s="50">
        <v>13</v>
      </c>
      <c r="K23" s="50">
        <v>0</v>
      </c>
      <c r="L23" s="50">
        <v>3</v>
      </c>
      <c r="M23" s="50">
        <v>160</v>
      </c>
      <c r="N23" s="50">
        <v>0</v>
      </c>
      <c r="O23" s="15">
        <f t="shared" si="0"/>
        <v>207</v>
      </c>
      <c r="P23" s="15">
        <f t="shared" si="1"/>
        <v>367</v>
      </c>
      <c r="R23" s="36" t="s">
        <v>147</v>
      </c>
      <c r="S23" s="34">
        <f>SUM(C62:C65)</f>
        <v>186</v>
      </c>
      <c r="T23" s="34">
        <f t="shared" ref="T23:AF23" si="15">SUM(D62:D65)</f>
        <v>27</v>
      </c>
      <c r="U23" s="34">
        <f t="shared" si="15"/>
        <v>28</v>
      </c>
      <c r="V23" s="34">
        <f t="shared" si="15"/>
        <v>199</v>
      </c>
      <c r="W23" s="34">
        <f t="shared" si="15"/>
        <v>8</v>
      </c>
      <c r="X23" s="34">
        <f t="shared" si="15"/>
        <v>3</v>
      </c>
      <c r="Y23" s="34">
        <f t="shared" si="15"/>
        <v>28</v>
      </c>
      <c r="Z23" s="34">
        <f t="shared" si="15"/>
        <v>8</v>
      </c>
      <c r="AA23" s="34">
        <f t="shared" si="15"/>
        <v>8</v>
      </c>
      <c r="AB23" s="34">
        <f t="shared" si="15"/>
        <v>5</v>
      </c>
      <c r="AC23" s="34">
        <f t="shared" si="15"/>
        <v>567</v>
      </c>
      <c r="AD23" s="34">
        <f t="shared" si="15"/>
        <v>0</v>
      </c>
      <c r="AE23" s="31">
        <f t="shared" si="15"/>
        <v>500</v>
      </c>
      <c r="AF23" s="31">
        <f t="shared" si="15"/>
        <v>1067</v>
      </c>
    </row>
    <row r="24" spans="2:32" ht="23.1" customHeight="1" x14ac:dyDescent="0.25">
      <c r="B24" s="45" t="s">
        <v>51</v>
      </c>
      <c r="C24" s="50">
        <v>75</v>
      </c>
      <c r="D24" s="50">
        <v>15</v>
      </c>
      <c r="E24" s="50">
        <v>12</v>
      </c>
      <c r="F24" s="50">
        <v>95</v>
      </c>
      <c r="G24" s="50">
        <v>2</v>
      </c>
      <c r="H24" s="50">
        <v>3</v>
      </c>
      <c r="I24" s="50">
        <v>6</v>
      </c>
      <c r="J24" s="50">
        <v>8</v>
      </c>
      <c r="K24" s="50">
        <v>5</v>
      </c>
      <c r="L24" s="50">
        <v>1</v>
      </c>
      <c r="M24" s="50">
        <v>115</v>
      </c>
      <c r="N24" s="50">
        <v>0</v>
      </c>
      <c r="O24" s="15">
        <f t="shared" si="0"/>
        <v>222</v>
      </c>
      <c r="P24" s="15">
        <f t="shared" si="1"/>
        <v>337</v>
      </c>
      <c r="R24" s="36" t="s">
        <v>148</v>
      </c>
      <c r="S24" s="34">
        <f>SUM(C66:C69)</f>
        <v>191</v>
      </c>
      <c r="T24" s="34">
        <f t="shared" ref="T24:AF24" si="16">SUM(D66:D69)</f>
        <v>30</v>
      </c>
      <c r="U24" s="34">
        <f t="shared" si="16"/>
        <v>33</v>
      </c>
      <c r="V24" s="34">
        <f t="shared" si="16"/>
        <v>167</v>
      </c>
      <c r="W24" s="34">
        <f t="shared" si="16"/>
        <v>8</v>
      </c>
      <c r="X24" s="34">
        <f t="shared" si="16"/>
        <v>3</v>
      </c>
      <c r="Y24" s="34">
        <f t="shared" si="16"/>
        <v>28</v>
      </c>
      <c r="Z24" s="34">
        <f t="shared" si="16"/>
        <v>8</v>
      </c>
      <c r="AA24" s="34">
        <f t="shared" si="16"/>
        <v>8</v>
      </c>
      <c r="AB24" s="34">
        <f t="shared" si="16"/>
        <v>5</v>
      </c>
      <c r="AC24" s="34">
        <f t="shared" si="16"/>
        <v>567</v>
      </c>
      <c r="AD24" s="34">
        <f t="shared" si="16"/>
        <v>0</v>
      </c>
      <c r="AE24" s="31">
        <f t="shared" si="16"/>
        <v>481</v>
      </c>
      <c r="AF24" s="31">
        <f t="shared" si="16"/>
        <v>1048</v>
      </c>
    </row>
    <row r="25" spans="2:32" ht="23.1" customHeight="1" x14ac:dyDescent="0.25">
      <c r="B25" s="45" t="s">
        <v>52</v>
      </c>
      <c r="C25" s="50">
        <v>60</v>
      </c>
      <c r="D25" s="50">
        <v>20</v>
      </c>
      <c r="E25" s="50">
        <v>12</v>
      </c>
      <c r="F25" s="50">
        <v>67</v>
      </c>
      <c r="G25" s="50">
        <v>3</v>
      </c>
      <c r="H25" s="50">
        <v>2</v>
      </c>
      <c r="I25" s="50">
        <v>8</v>
      </c>
      <c r="J25" s="50">
        <v>7</v>
      </c>
      <c r="K25" s="50">
        <v>3</v>
      </c>
      <c r="L25" s="50">
        <v>6</v>
      </c>
      <c r="M25" s="50">
        <v>100</v>
      </c>
      <c r="N25" s="50">
        <v>0</v>
      </c>
      <c r="O25" s="15">
        <f t="shared" si="0"/>
        <v>188</v>
      </c>
      <c r="P25" s="15">
        <f t="shared" si="1"/>
        <v>288</v>
      </c>
      <c r="R25" s="36" t="s">
        <v>149</v>
      </c>
      <c r="S25" s="34">
        <f>SUM(C70:C73)</f>
        <v>207</v>
      </c>
      <c r="T25" s="34">
        <f t="shared" ref="T25:AF25" si="17">SUM(D70:D73)</f>
        <v>29</v>
      </c>
      <c r="U25" s="34">
        <f t="shared" si="17"/>
        <v>20</v>
      </c>
      <c r="V25" s="34">
        <f t="shared" si="17"/>
        <v>131</v>
      </c>
      <c r="W25" s="34">
        <f t="shared" si="17"/>
        <v>8</v>
      </c>
      <c r="X25" s="34">
        <f t="shared" si="17"/>
        <v>5</v>
      </c>
      <c r="Y25" s="34">
        <f t="shared" si="17"/>
        <v>30</v>
      </c>
      <c r="Z25" s="34">
        <f t="shared" si="17"/>
        <v>11</v>
      </c>
      <c r="AA25" s="34">
        <f t="shared" si="17"/>
        <v>6</v>
      </c>
      <c r="AB25" s="34">
        <f t="shared" si="17"/>
        <v>10</v>
      </c>
      <c r="AC25" s="34">
        <f t="shared" si="17"/>
        <v>493</v>
      </c>
      <c r="AD25" s="34">
        <f t="shared" si="17"/>
        <v>0</v>
      </c>
      <c r="AE25" s="31">
        <f t="shared" si="17"/>
        <v>457</v>
      </c>
      <c r="AF25" s="31">
        <f t="shared" si="17"/>
        <v>950</v>
      </c>
    </row>
    <row r="26" spans="2:32" ht="23.1" customHeight="1" x14ac:dyDescent="0.25">
      <c r="B26" s="45" t="s">
        <v>53</v>
      </c>
      <c r="C26" s="50">
        <v>75</v>
      </c>
      <c r="D26" s="50">
        <v>15</v>
      </c>
      <c r="E26" s="50">
        <v>25</v>
      </c>
      <c r="F26" s="50">
        <v>83</v>
      </c>
      <c r="G26" s="50">
        <v>0</v>
      </c>
      <c r="H26" s="50">
        <v>0</v>
      </c>
      <c r="I26" s="50">
        <v>7</v>
      </c>
      <c r="J26" s="50">
        <v>6</v>
      </c>
      <c r="K26" s="50">
        <v>0</v>
      </c>
      <c r="L26" s="50">
        <v>2</v>
      </c>
      <c r="M26" s="50">
        <v>125</v>
      </c>
      <c r="N26" s="50">
        <v>0</v>
      </c>
      <c r="O26" s="15">
        <f t="shared" si="0"/>
        <v>213</v>
      </c>
      <c r="P26" s="15">
        <f t="shared" si="1"/>
        <v>338</v>
      </c>
      <c r="R26" s="36" t="s">
        <v>150</v>
      </c>
      <c r="S26" s="34">
        <f>SUM(C74:C77)</f>
        <v>226</v>
      </c>
      <c r="T26" s="34">
        <f t="shared" ref="T26:AF26" si="18">SUM(D74:D77)</f>
        <v>30</v>
      </c>
      <c r="U26" s="34">
        <f t="shared" si="18"/>
        <v>21</v>
      </c>
      <c r="V26" s="34">
        <f t="shared" si="18"/>
        <v>114</v>
      </c>
      <c r="W26" s="34">
        <f t="shared" si="18"/>
        <v>1</v>
      </c>
      <c r="X26" s="34">
        <f t="shared" si="18"/>
        <v>2</v>
      </c>
      <c r="Y26" s="34">
        <f t="shared" si="18"/>
        <v>24</v>
      </c>
      <c r="Z26" s="34">
        <f t="shared" si="18"/>
        <v>12</v>
      </c>
      <c r="AA26" s="34">
        <f t="shared" si="18"/>
        <v>11</v>
      </c>
      <c r="AB26" s="34">
        <f t="shared" si="18"/>
        <v>4</v>
      </c>
      <c r="AC26" s="34">
        <f t="shared" si="18"/>
        <v>580</v>
      </c>
      <c r="AD26" s="34">
        <f t="shared" si="18"/>
        <v>0</v>
      </c>
      <c r="AE26" s="31">
        <f t="shared" si="18"/>
        <v>445</v>
      </c>
      <c r="AF26" s="31">
        <f t="shared" si="18"/>
        <v>1025</v>
      </c>
    </row>
    <row r="27" spans="2:32" ht="23.1" customHeight="1" x14ac:dyDescent="0.25">
      <c r="B27" s="45" t="s">
        <v>54</v>
      </c>
      <c r="C27" s="50">
        <v>95</v>
      </c>
      <c r="D27" s="50">
        <v>35</v>
      </c>
      <c r="E27" s="50">
        <v>25</v>
      </c>
      <c r="F27" s="50">
        <v>80</v>
      </c>
      <c r="G27" s="50">
        <v>0</v>
      </c>
      <c r="H27" s="50">
        <v>2</v>
      </c>
      <c r="I27" s="50">
        <v>8</v>
      </c>
      <c r="J27" s="50">
        <v>3</v>
      </c>
      <c r="K27" s="50">
        <v>1</v>
      </c>
      <c r="L27" s="50">
        <v>2</v>
      </c>
      <c r="M27" s="50">
        <v>65</v>
      </c>
      <c r="N27" s="50">
        <v>0</v>
      </c>
      <c r="O27" s="15">
        <f t="shared" si="0"/>
        <v>251</v>
      </c>
      <c r="P27" s="15">
        <f t="shared" si="1"/>
        <v>316</v>
      </c>
      <c r="R27" s="36" t="s">
        <v>151</v>
      </c>
      <c r="S27" s="34">
        <f>SUM(C78:C81)</f>
        <v>185</v>
      </c>
      <c r="T27" s="34">
        <f t="shared" ref="T27:AF27" si="19">SUM(D78:D81)</f>
        <v>28</v>
      </c>
      <c r="U27" s="34">
        <f t="shared" si="19"/>
        <v>29</v>
      </c>
      <c r="V27" s="34">
        <f t="shared" si="19"/>
        <v>95</v>
      </c>
      <c r="W27" s="34">
        <f t="shared" si="19"/>
        <v>6</v>
      </c>
      <c r="X27" s="34">
        <f t="shared" si="19"/>
        <v>14</v>
      </c>
      <c r="Y27" s="34">
        <f t="shared" si="19"/>
        <v>35</v>
      </c>
      <c r="Z27" s="34">
        <f t="shared" si="19"/>
        <v>20</v>
      </c>
      <c r="AA27" s="34">
        <f t="shared" si="19"/>
        <v>6</v>
      </c>
      <c r="AB27" s="34">
        <f t="shared" si="19"/>
        <v>10</v>
      </c>
      <c r="AC27" s="34">
        <f t="shared" si="19"/>
        <v>431</v>
      </c>
      <c r="AD27" s="34">
        <f t="shared" si="19"/>
        <v>0</v>
      </c>
      <c r="AE27" s="31">
        <f t="shared" si="19"/>
        <v>428</v>
      </c>
      <c r="AF27" s="31">
        <f t="shared" si="19"/>
        <v>859</v>
      </c>
    </row>
    <row r="28" spans="2:32" ht="23.1" customHeight="1" x14ac:dyDescent="0.25">
      <c r="B28" s="45" t="s">
        <v>55</v>
      </c>
      <c r="C28" s="50">
        <v>100</v>
      </c>
      <c r="D28" s="50">
        <v>27</v>
      </c>
      <c r="E28" s="50">
        <v>23</v>
      </c>
      <c r="F28" s="50">
        <v>80</v>
      </c>
      <c r="G28" s="50">
        <v>1</v>
      </c>
      <c r="H28" s="50">
        <v>1</v>
      </c>
      <c r="I28" s="50">
        <v>7</v>
      </c>
      <c r="J28" s="50">
        <v>1</v>
      </c>
      <c r="K28" s="50">
        <v>1</v>
      </c>
      <c r="L28" s="50">
        <v>0</v>
      </c>
      <c r="M28" s="50">
        <v>100</v>
      </c>
      <c r="N28" s="50">
        <v>0</v>
      </c>
      <c r="O28" s="15">
        <f t="shared" si="0"/>
        <v>241</v>
      </c>
      <c r="P28" s="15">
        <f t="shared" si="1"/>
        <v>341</v>
      </c>
      <c r="R28" s="36" t="s">
        <v>152</v>
      </c>
      <c r="S28" s="34">
        <f>SUM(C82:C85)</f>
        <v>100</v>
      </c>
      <c r="T28" s="34">
        <f t="shared" ref="T28:AF28" si="20">SUM(D82:D85)</f>
        <v>12</v>
      </c>
      <c r="U28" s="34">
        <f t="shared" si="20"/>
        <v>7</v>
      </c>
      <c r="V28" s="34">
        <f t="shared" si="20"/>
        <v>35</v>
      </c>
      <c r="W28" s="34">
        <f t="shared" si="20"/>
        <v>3</v>
      </c>
      <c r="X28" s="34">
        <f t="shared" si="20"/>
        <v>2</v>
      </c>
      <c r="Y28" s="34">
        <f t="shared" si="20"/>
        <v>24</v>
      </c>
      <c r="Z28" s="34">
        <f t="shared" si="20"/>
        <v>16</v>
      </c>
      <c r="AA28" s="34">
        <f t="shared" si="20"/>
        <v>14</v>
      </c>
      <c r="AB28" s="34">
        <f t="shared" si="20"/>
        <v>3</v>
      </c>
      <c r="AC28" s="34">
        <f t="shared" si="20"/>
        <v>299</v>
      </c>
      <c r="AD28" s="34">
        <f t="shared" si="20"/>
        <v>0</v>
      </c>
      <c r="AE28" s="31">
        <f t="shared" si="20"/>
        <v>216</v>
      </c>
      <c r="AF28" s="31">
        <f t="shared" si="20"/>
        <v>515</v>
      </c>
    </row>
    <row r="29" spans="2:32" ht="23.1" customHeight="1" x14ac:dyDescent="0.25">
      <c r="B29" s="45" t="s">
        <v>56</v>
      </c>
      <c r="C29" s="50">
        <v>80</v>
      </c>
      <c r="D29" s="50">
        <v>30</v>
      </c>
      <c r="E29" s="50">
        <v>24</v>
      </c>
      <c r="F29" s="50">
        <v>94</v>
      </c>
      <c r="G29" s="50">
        <v>2</v>
      </c>
      <c r="H29" s="50">
        <v>2</v>
      </c>
      <c r="I29" s="50">
        <v>7</v>
      </c>
      <c r="J29" s="50">
        <v>4</v>
      </c>
      <c r="K29" s="50">
        <v>3</v>
      </c>
      <c r="L29" s="50">
        <v>1</v>
      </c>
      <c r="M29" s="50">
        <v>95</v>
      </c>
      <c r="N29" s="50">
        <v>0</v>
      </c>
      <c r="O29" s="15">
        <f t="shared" si="0"/>
        <v>247</v>
      </c>
      <c r="P29" s="15">
        <f t="shared" si="1"/>
        <v>342</v>
      </c>
      <c r="R29" s="36" t="s">
        <v>153</v>
      </c>
      <c r="S29" s="34">
        <f>SUM(C86:C89)</f>
        <v>77</v>
      </c>
      <c r="T29" s="34">
        <f t="shared" ref="T29:AF29" si="21">SUM(D86:D89)</f>
        <v>17</v>
      </c>
      <c r="U29" s="34">
        <f t="shared" si="21"/>
        <v>10</v>
      </c>
      <c r="V29" s="34">
        <f t="shared" si="21"/>
        <v>13</v>
      </c>
      <c r="W29" s="34">
        <f t="shared" si="21"/>
        <v>1</v>
      </c>
      <c r="X29" s="34">
        <f t="shared" si="21"/>
        <v>7</v>
      </c>
      <c r="Y29" s="34">
        <f t="shared" si="21"/>
        <v>30</v>
      </c>
      <c r="Z29" s="34">
        <f t="shared" si="21"/>
        <v>31</v>
      </c>
      <c r="AA29" s="34">
        <f t="shared" si="21"/>
        <v>14</v>
      </c>
      <c r="AB29" s="34">
        <f t="shared" si="21"/>
        <v>5</v>
      </c>
      <c r="AC29" s="34">
        <f t="shared" si="21"/>
        <v>209</v>
      </c>
      <c r="AD29" s="34">
        <f t="shared" si="21"/>
        <v>0</v>
      </c>
      <c r="AE29" s="31">
        <f t="shared" si="21"/>
        <v>205</v>
      </c>
      <c r="AF29" s="31">
        <f t="shared" si="21"/>
        <v>414</v>
      </c>
    </row>
    <row r="30" spans="2:32" ht="23.1" customHeight="1" x14ac:dyDescent="0.25">
      <c r="B30" s="45" t="s">
        <v>57</v>
      </c>
      <c r="C30" s="50">
        <v>70</v>
      </c>
      <c r="D30" s="50">
        <v>25</v>
      </c>
      <c r="E30" s="50">
        <v>24</v>
      </c>
      <c r="F30" s="50">
        <v>76</v>
      </c>
      <c r="G30" s="50">
        <v>2</v>
      </c>
      <c r="H30" s="50">
        <v>4</v>
      </c>
      <c r="I30" s="50">
        <v>66</v>
      </c>
      <c r="J30" s="50">
        <v>1</v>
      </c>
      <c r="K30" s="50">
        <v>3</v>
      </c>
      <c r="L30" s="50">
        <v>4</v>
      </c>
      <c r="M30" s="50">
        <v>135</v>
      </c>
      <c r="N30" s="50">
        <v>0</v>
      </c>
      <c r="O30" s="15">
        <f t="shared" si="0"/>
        <v>275</v>
      </c>
      <c r="P30" s="15">
        <f t="shared" si="1"/>
        <v>410</v>
      </c>
      <c r="R30" s="36" t="s">
        <v>154</v>
      </c>
      <c r="S30" s="34">
        <f>SUM(C90:C93)</f>
        <v>54</v>
      </c>
      <c r="T30" s="34">
        <f t="shared" ref="T30:AF30" si="22">SUM(D90:D93)</f>
        <v>9</v>
      </c>
      <c r="U30" s="34">
        <f t="shared" si="22"/>
        <v>4</v>
      </c>
      <c r="V30" s="34">
        <f t="shared" si="22"/>
        <v>5</v>
      </c>
      <c r="W30" s="34">
        <f t="shared" si="22"/>
        <v>2</v>
      </c>
      <c r="X30" s="34">
        <f t="shared" si="22"/>
        <v>5</v>
      </c>
      <c r="Y30" s="34">
        <f t="shared" si="22"/>
        <v>22</v>
      </c>
      <c r="Z30" s="34">
        <f t="shared" si="22"/>
        <v>26</v>
      </c>
      <c r="AA30" s="34">
        <f t="shared" si="22"/>
        <v>7</v>
      </c>
      <c r="AB30" s="34">
        <f t="shared" si="22"/>
        <v>5</v>
      </c>
      <c r="AC30" s="34">
        <f t="shared" si="22"/>
        <v>183</v>
      </c>
      <c r="AD30" s="34">
        <f t="shared" si="22"/>
        <v>0</v>
      </c>
      <c r="AE30" s="31">
        <f t="shared" si="22"/>
        <v>139</v>
      </c>
      <c r="AF30" s="31">
        <f t="shared" si="22"/>
        <v>322</v>
      </c>
    </row>
    <row r="31" spans="2:32" ht="23.1" customHeight="1" x14ac:dyDescent="0.25">
      <c r="B31" s="46" t="s">
        <v>58</v>
      </c>
      <c r="C31" s="50">
        <v>77</v>
      </c>
      <c r="D31" s="50">
        <v>12</v>
      </c>
      <c r="E31" s="50">
        <v>23</v>
      </c>
      <c r="F31" s="50">
        <v>65</v>
      </c>
      <c r="G31" s="50">
        <v>5</v>
      </c>
      <c r="H31" s="50">
        <v>3</v>
      </c>
      <c r="I31" s="50">
        <v>15</v>
      </c>
      <c r="J31" s="50">
        <v>3</v>
      </c>
      <c r="K31" s="50">
        <v>4</v>
      </c>
      <c r="L31" s="50">
        <v>2</v>
      </c>
      <c r="M31" s="50">
        <v>120</v>
      </c>
      <c r="N31" s="50">
        <v>0</v>
      </c>
      <c r="O31" s="15">
        <f t="shared" si="0"/>
        <v>209</v>
      </c>
      <c r="P31" s="15">
        <f t="shared" si="1"/>
        <v>329</v>
      </c>
      <c r="R31" s="36" t="s">
        <v>155</v>
      </c>
      <c r="S31" s="34">
        <f>SUM(C94:C97)</f>
        <v>41</v>
      </c>
      <c r="T31" s="34">
        <f t="shared" ref="T31:AF31" si="23">SUM(D94:D97)</f>
        <v>7</v>
      </c>
      <c r="U31" s="34">
        <f t="shared" si="23"/>
        <v>3</v>
      </c>
      <c r="V31" s="34">
        <f t="shared" si="23"/>
        <v>11</v>
      </c>
      <c r="W31" s="34">
        <f t="shared" si="23"/>
        <v>3</v>
      </c>
      <c r="X31" s="34">
        <f t="shared" si="23"/>
        <v>15</v>
      </c>
      <c r="Y31" s="34">
        <f t="shared" si="23"/>
        <v>15</v>
      </c>
      <c r="Z31" s="34">
        <f t="shared" si="23"/>
        <v>24</v>
      </c>
      <c r="AA31" s="34">
        <f t="shared" si="23"/>
        <v>2</v>
      </c>
      <c r="AB31" s="34">
        <f t="shared" si="23"/>
        <v>0</v>
      </c>
      <c r="AC31" s="34">
        <f t="shared" si="23"/>
        <v>147</v>
      </c>
      <c r="AD31" s="34">
        <f t="shared" si="23"/>
        <v>0</v>
      </c>
      <c r="AE31" s="31">
        <f t="shared" si="23"/>
        <v>121</v>
      </c>
      <c r="AF31" s="31">
        <f t="shared" si="23"/>
        <v>268</v>
      </c>
    </row>
    <row r="32" spans="2:32" ht="23.1" customHeight="1" x14ac:dyDescent="0.25">
      <c r="B32" s="46" t="s">
        <v>59</v>
      </c>
      <c r="C32" s="50">
        <v>53</v>
      </c>
      <c r="D32" s="50">
        <v>13</v>
      </c>
      <c r="E32" s="50">
        <v>8</v>
      </c>
      <c r="F32" s="50">
        <v>58</v>
      </c>
      <c r="G32" s="50">
        <v>4</v>
      </c>
      <c r="H32" s="50">
        <v>4</v>
      </c>
      <c r="I32" s="50">
        <v>12</v>
      </c>
      <c r="J32" s="50">
        <v>5</v>
      </c>
      <c r="K32" s="50">
        <v>2</v>
      </c>
      <c r="L32" s="50">
        <v>6</v>
      </c>
      <c r="M32" s="50">
        <v>195</v>
      </c>
      <c r="N32" s="50">
        <v>0</v>
      </c>
      <c r="O32" s="15">
        <f t="shared" si="0"/>
        <v>165</v>
      </c>
      <c r="P32" s="15">
        <f t="shared" si="1"/>
        <v>360</v>
      </c>
      <c r="R32" s="33" t="s">
        <v>156</v>
      </c>
      <c r="S32" s="34">
        <f>SUM(C98:C101)</f>
        <v>56</v>
      </c>
      <c r="T32" s="34">
        <f t="shared" ref="T32:AF32" si="24">SUM(D98:D101)</f>
        <v>3</v>
      </c>
      <c r="U32" s="34">
        <f t="shared" si="24"/>
        <v>15</v>
      </c>
      <c r="V32" s="34">
        <f t="shared" si="24"/>
        <v>82</v>
      </c>
      <c r="W32" s="34">
        <f t="shared" si="24"/>
        <v>5</v>
      </c>
      <c r="X32" s="34">
        <f t="shared" si="24"/>
        <v>8</v>
      </c>
      <c r="Y32" s="34">
        <f t="shared" si="24"/>
        <v>26</v>
      </c>
      <c r="Z32" s="34">
        <f t="shared" si="24"/>
        <v>17</v>
      </c>
      <c r="AA32" s="34">
        <f t="shared" si="24"/>
        <v>8</v>
      </c>
      <c r="AB32" s="34">
        <f t="shared" si="24"/>
        <v>5</v>
      </c>
      <c r="AC32" s="34">
        <f t="shared" si="24"/>
        <v>247</v>
      </c>
      <c r="AD32" s="34">
        <f t="shared" si="24"/>
        <v>0</v>
      </c>
      <c r="AE32" s="31">
        <f t="shared" si="24"/>
        <v>225</v>
      </c>
      <c r="AF32" s="31">
        <f t="shared" si="24"/>
        <v>472</v>
      </c>
    </row>
    <row r="33" spans="2:32" ht="23.1" customHeight="1" x14ac:dyDescent="0.25">
      <c r="B33" s="45" t="s">
        <v>60</v>
      </c>
      <c r="C33" s="50">
        <v>100</v>
      </c>
      <c r="D33" s="50">
        <v>19</v>
      </c>
      <c r="E33" s="50">
        <v>15</v>
      </c>
      <c r="F33" s="50">
        <v>80</v>
      </c>
      <c r="G33" s="50">
        <v>0</v>
      </c>
      <c r="H33" s="50">
        <v>0</v>
      </c>
      <c r="I33" s="50">
        <v>4</v>
      </c>
      <c r="J33" s="50">
        <v>1</v>
      </c>
      <c r="K33" s="50">
        <v>4</v>
      </c>
      <c r="L33" s="50">
        <v>3</v>
      </c>
      <c r="M33" s="50">
        <v>180</v>
      </c>
      <c r="N33" s="50">
        <v>0</v>
      </c>
      <c r="O33" s="15">
        <f t="shared" si="0"/>
        <v>226</v>
      </c>
      <c r="P33" s="15">
        <f t="shared" si="1"/>
        <v>406</v>
      </c>
      <c r="R33" s="33" t="s">
        <v>157</v>
      </c>
      <c r="S33" s="34">
        <f>SUM(C102:C105)</f>
        <v>122</v>
      </c>
      <c r="T33" s="34">
        <f t="shared" ref="T33:AF33" si="25">SUM(D102:D105)</f>
        <v>10</v>
      </c>
      <c r="U33" s="34">
        <f t="shared" si="25"/>
        <v>29</v>
      </c>
      <c r="V33" s="34">
        <f t="shared" si="25"/>
        <v>200</v>
      </c>
      <c r="W33" s="34">
        <f t="shared" si="25"/>
        <v>3</v>
      </c>
      <c r="X33" s="34">
        <f t="shared" si="25"/>
        <v>4</v>
      </c>
      <c r="Y33" s="34">
        <f t="shared" si="25"/>
        <v>20</v>
      </c>
      <c r="Z33" s="34">
        <f t="shared" si="25"/>
        <v>30</v>
      </c>
      <c r="AA33" s="34">
        <f t="shared" si="25"/>
        <v>9</v>
      </c>
      <c r="AB33" s="34">
        <f t="shared" si="25"/>
        <v>2</v>
      </c>
      <c r="AC33" s="34">
        <f t="shared" si="25"/>
        <v>426</v>
      </c>
      <c r="AD33" s="34">
        <f t="shared" si="25"/>
        <v>0</v>
      </c>
      <c r="AE33" s="31">
        <f t="shared" si="25"/>
        <v>429</v>
      </c>
      <c r="AF33" s="31">
        <f t="shared" si="25"/>
        <v>855</v>
      </c>
    </row>
    <row r="34" spans="2:32" ht="23.1" customHeight="1" x14ac:dyDescent="0.25">
      <c r="B34" s="46" t="s">
        <v>61</v>
      </c>
      <c r="C34" s="50">
        <v>77</v>
      </c>
      <c r="D34" s="50">
        <v>9</v>
      </c>
      <c r="E34" s="50">
        <v>10</v>
      </c>
      <c r="F34" s="50">
        <v>68</v>
      </c>
      <c r="G34" s="50">
        <v>0</v>
      </c>
      <c r="H34" s="50">
        <v>1</v>
      </c>
      <c r="I34" s="50">
        <v>10</v>
      </c>
      <c r="J34" s="50">
        <v>7</v>
      </c>
      <c r="K34" s="50">
        <v>1</v>
      </c>
      <c r="L34" s="50">
        <v>2</v>
      </c>
      <c r="M34" s="50">
        <v>120</v>
      </c>
      <c r="N34" s="50">
        <v>0</v>
      </c>
      <c r="O34" s="15">
        <f t="shared" si="0"/>
        <v>185</v>
      </c>
      <c r="P34" s="15">
        <f t="shared" si="1"/>
        <v>305</v>
      </c>
      <c r="R34" s="38" t="s">
        <v>90</v>
      </c>
      <c r="S34" s="39">
        <f t="shared" ref="S34:AF34" si="26">MAX(S10:S12)</f>
        <v>336</v>
      </c>
      <c r="T34" s="39">
        <f t="shared" si="26"/>
        <v>73</v>
      </c>
      <c r="U34" s="39">
        <f t="shared" si="26"/>
        <v>56</v>
      </c>
      <c r="V34" s="39">
        <f t="shared" si="26"/>
        <v>297</v>
      </c>
      <c r="W34" s="39">
        <f t="shared" si="26"/>
        <v>6</v>
      </c>
      <c r="X34" s="39">
        <f t="shared" si="26"/>
        <v>5</v>
      </c>
      <c r="Y34" s="39">
        <f t="shared" si="26"/>
        <v>34</v>
      </c>
      <c r="Z34" s="39">
        <f t="shared" si="26"/>
        <v>20</v>
      </c>
      <c r="AA34" s="39">
        <f t="shared" si="26"/>
        <v>6</v>
      </c>
      <c r="AB34" s="39">
        <f t="shared" si="26"/>
        <v>12</v>
      </c>
      <c r="AC34" s="39">
        <f t="shared" si="26"/>
        <v>905</v>
      </c>
      <c r="AD34" s="39">
        <f t="shared" si="26"/>
        <v>0</v>
      </c>
      <c r="AE34" s="40">
        <f t="shared" si="26"/>
        <v>807</v>
      </c>
      <c r="AF34" s="40">
        <f t="shared" si="26"/>
        <v>1712</v>
      </c>
    </row>
    <row r="35" spans="2:32" ht="23.1" customHeight="1" x14ac:dyDescent="0.25">
      <c r="B35" s="46" t="s">
        <v>62</v>
      </c>
      <c r="C35" s="50">
        <v>60</v>
      </c>
      <c r="D35" s="50">
        <v>15</v>
      </c>
      <c r="E35" s="50">
        <v>8</v>
      </c>
      <c r="F35" s="50">
        <v>75</v>
      </c>
      <c r="G35" s="50">
        <v>1</v>
      </c>
      <c r="H35" s="50">
        <v>0</v>
      </c>
      <c r="I35" s="50">
        <v>4</v>
      </c>
      <c r="J35" s="50">
        <v>5</v>
      </c>
      <c r="K35" s="50">
        <v>0</v>
      </c>
      <c r="L35" s="50">
        <v>1</v>
      </c>
      <c r="M35" s="50">
        <v>145</v>
      </c>
      <c r="N35" s="50">
        <v>0</v>
      </c>
      <c r="O35" s="15">
        <f t="shared" si="0"/>
        <v>169</v>
      </c>
      <c r="P35" s="15">
        <f t="shared" si="1"/>
        <v>314</v>
      </c>
      <c r="R35" s="38" t="s">
        <v>91</v>
      </c>
      <c r="S35" s="39">
        <f t="shared" ref="S35:AF35" si="27">MAX(S13:S18)</f>
        <v>350</v>
      </c>
      <c r="T35" s="39">
        <f t="shared" si="27"/>
        <v>107</v>
      </c>
      <c r="U35" s="39">
        <f t="shared" si="27"/>
        <v>97</v>
      </c>
      <c r="V35" s="39">
        <f t="shared" si="27"/>
        <v>337</v>
      </c>
      <c r="W35" s="39">
        <f t="shared" si="27"/>
        <v>11</v>
      </c>
      <c r="X35" s="39">
        <f t="shared" si="27"/>
        <v>11</v>
      </c>
      <c r="Y35" s="39">
        <f t="shared" si="27"/>
        <v>97</v>
      </c>
      <c r="Z35" s="39">
        <f t="shared" si="27"/>
        <v>32</v>
      </c>
      <c r="AA35" s="39">
        <f t="shared" si="27"/>
        <v>14</v>
      </c>
      <c r="AB35" s="39">
        <f t="shared" si="27"/>
        <v>30</v>
      </c>
      <c r="AC35" s="39">
        <f t="shared" si="27"/>
        <v>630</v>
      </c>
      <c r="AD35" s="39">
        <f t="shared" si="27"/>
        <v>0</v>
      </c>
      <c r="AE35" s="40">
        <f t="shared" si="27"/>
        <v>952</v>
      </c>
      <c r="AF35" s="40">
        <f t="shared" si="27"/>
        <v>1505</v>
      </c>
    </row>
    <row r="36" spans="2:32" ht="23.1" customHeight="1" x14ac:dyDescent="0.25">
      <c r="B36" s="46" t="s">
        <v>63</v>
      </c>
      <c r="C36" s="50">
        <v>86</v>
      </c>
      <c r="D36" s="50">
        <v>15</v>
      </c>
      <c r="E36" s="50">
        <v>7</v>
      </c>
      <c r="F36" s="50">
        <v>68</v>
      </c>
      <c r="G36" s="50">
        <v>1</v>
      </c>
      <c r="H36" s="50">
        <v>4</v>
      </c>
      <c r="I36" s="50">
        <v>10</v>
      </c>
      <c r="J36" s="50">
        <v>13</v>
      </c>
      <c r="K36" s="50">
        <v>8</v>
      </c>
      <c r="L36" s="50">
        <v>7</v>
      </c>
      <c r="M36" s="50">
        <v>85</v>
      </c>
      <c r="N36" s="50">
        <v>0</v>
      </c>
      <c r="O36" s="15">
        <f t="shared" si="0"/>
        <v>219</v>
      </c>
      <c r="P36" s="15">
        <f t="shared" si="1"/>
        <v>304</v>
      </c>
      <c r="R36" s="38" t="s">
        <v>92</v>
      </c>
      <c r="S36" s="39">
        <f t="shared" ref="S36:AF36" si="28">MAX(S19:S21)</f>
        <v>320</v>
      </c>
      <c r="T36" s="39">
        <f t="shared" si="28"/>
        <v>54</v>
      </c>
      <c r="U36" s="39">
        <f t="shared" si="28"/>
        <v>56</v>
      </c>
      <c r="V36" s="39">
        <f t="shared" si="28"/>
        <v>334</v>
      </c>
      <c r="W36" s="39">
        <f t="shared" si="28"/>
        <v>16</v>
      </c>
      <c r="X36" s="39">
        <f t="shared" si="28"/>
        <v>23</v>
      </c>
      <c r="Y36" s="39">
        <f t="shared" si="28"/>
        <v>32</v>
      </c>
      <c r="Z36" s="39">
        <f t="shared" si="28"/>
        <v>23</v>
      </c>
      <c r="AA36" s="39">
        <f t="shared" si="28"/>
        <v>14</v>
      </c>
      <c r="AB36" s="39">
        <f t="shared" si="28"/>
        <v>19</v>
      </c>
      <c r="AC36" s="39">
        <f t="shared" si="28"/>
        <v>404</v>
      </c>
      <c r="AD36" s="39">
        <f t="shared" si="28"/>
        <v>0</v>
      </c>
      <c r="AE36" s="40">
        <f t="shared" si="28"/>
        <v>858</v>
      </c>
      <c r="AF36" s="40">
        <f t="shared" si="28"/>
        <v>1178</v>
      </c>
    </row>
    <row r="37" spans="2:32" ht="23.1" customHeight="1" x14ac:dyDescent="0.25">
      <c r="B37" s="45" t="s">
        <v>64</v>
      </c>
      <c r="C37" s="50">
        <v>30</v>
      </c>
      <c r="D37" s="50">
        <v>6</v>
      </c>
      <c r="E37" s="50">
        <v>15</v>
      </c>
      <c r="F37" s="50">
        <v>45</v>
      </c>
      <c r="G37" s="50">
        <v>5</v>
      </c>
      <c r="H37" s="50">
        <v>3</v>
      </c>
      <c r="I37" s="50">
        <v>5</v>
      </c>
      <c r="J37" s="50">
        <v>4</v>
      </c>
      <c r="K37" s="50">
        <v>3</v>
      </c>
      <c r="L37" s="50">
        <v>2</v>
      </c>
      <c r="M37" s="50">
        <v>110</v>
      </c>
      <c r="N37" s="50">
        <v>0</v>
      </c>
      <c r="O37" s="15">
        <f t="shared" si="0"/>
        <v>118</v>
      </c>
      <c r="P37" s="15">
        <f t="shared" si="1"/>
        <v>228</v>
      </c>
      <c r="R37" s="37" t="s">
        <v>85</v>
      </c>
      <c r="S37" s="35">
        <f t="shared" ref="S37:AF37" si="29">SUM(S10:S12)</f>
        <v>916</v>
      </c>
      <c r="T37" s="16">
        <f t="shared" si="29"/>
        <v>176</v>
      </c>
      <c r="U37" s="16">
        <f t="shared" si="29"/>
        <v>137</v>
      </c>
      <c r="V37" s="16">
        <f t="shared" si="29"/>
        <v>839</v>
      </c>
      <c r="W37" s="16">
        <f t="shared" si="29"/>
        <v>15</v>
      </c>
      <c r="X37" s="16">
        <f t="shared" si="29"/>
        <v>10</v>
      </c>
      <c r="Y37" s="16">
        <f t="shared" si="29"/>
        <v>80</v>
      </c>
      <c r="Z37" s="16">
        <f t="shared" si="29"/>
        <v>47</v>
      </c>
      <c r="AA37" s="16">
        <f t="shared" si="29"/>
        <v>10</v>
      </c>
      <c r="AB37" s="16">
        <f t="shared" si="29"/>
        <v>23</v>
      </c>
      <c r="AC37" s="16">
        <f t="shared" si="29"/>
        <v>2280</v>
      </c>
      <c r="AD37" s="16">
        <f t="shared" si="29"/>
        <v>0</v>
      </c>
      <c r="AE37" s="32">
        <f t="shared" si="29"/>
        <v>2253</v>
      </c>
      <c r="AF37" s="32">
        <f t="shared" si="29"/>
        <v>4533</v>
      </c>
    </row>
    <row r="38" spans="2:32" ht="23.1" customHeight="1" x14ac:dyDescent="0.25">
      <c r="B38" s="46" t="s">
        <v>65</v>
      </c>
      <c r="C38" s="50">
        <v>75</v>
      </c>
      <c r="D38" s="50">
        <v>12</v>
      </c>
      <c r="E38" s="50">
        <v>17</v>
      </c>
      <c r="F38" s="50">
        <v>59</v>
      </c>
      <c r="G38" s="50">
        <v>1</v>
      </c>
      <c r="H38" s="50">
        <v>1</v>
      </c>
      <c r="I38" s="50">
        <v>11</v>
      </c>
      <c r="J38" s="50">
        <v>6</v>
      </c>
      <c r="K38" s="50">
        <v>0</v>
      </c>
      <c r="L38" s="50">
        <v>3</v>
      </c>
      <c r="M38" s="50">
        <v>95</v>
      </c>
      <c r="N38" s="50">
        <v>0</v>
      </c>
      <c r="O38" s="15">
        <f t="shared" si="0"/>
        <v>185</v>
      </c>
      <c r="P38" s="15">
        <f t="shared" si="1"/>
        <v>280</v>
      </c>
      <c r="R38" s="28" t="s">
        <v>86</v>
      </c>
      <c r="S38" s="16">
        <f t="shared" ref="S38:AF38" si="30">SUM(S13:S18)</f>
        <v>1635</v>
      </c>
      <c r="T38" s="16">
        <f t="shared" si="30"/>
        <v>363</v>
      </c>
      <c r="U38" s="16">
        <f t="shared" si="30"/>
        <v>344</v>
      </c>
      <c r="V38" s="16">
        <f t="shared" si="30"/>
        <v>1590</v>
      </c>
      <c r="W38" s="16">
        <f t="shared" si="30"/>
        <v>39</v>
      </c>
      <c r="X38" s="16">
        <f t="shared" si="30"/>
        <v>38</v>
      </c>
      <c r="Y38" s="16">
        <f t="shared" si="30"/>
        <v>234</v>
      </c>
      <c r="Z38" s="16">
        <f t="shared" si="30"/>
        <v>128</v>
      </c>
      <c r="AA38" s="16">
        <f t="shared" si="30"/>
        <v>53</v>
      </c>
      <c r="AB38" s="16">
        <f t="shared" si="30"/>
        <v>86</v>
      </c>
      <c r="AC38" s="16">
        <f t="shared" si="30"/>
        <v>2885</v>
      </c>
      <c r="AD38" s="16">
        <f t="shared" si="30"/>
        <v>0</v>
      </c>
      <c r="AE38" s="32">
        <f t="shared" si="30"/>
        <v>4510</v>
      </c>
      <c r="AF38" s="32">
        <f t="shared" si="30"/>
        <v>7395</v>
      </c>
    </row>
    <row r="39" spans="2:32" ht="23.1" customHeight="1" x14ac:dyDescent="0.25">
      <c r="B39" s="46" t="s">
        <v>66</v>
      </c>
      <c r="C39" s="50">
        <v>48</v>
      </c>
      <c r="D39" s="50">
        <v>8</v>
      </c>
      <c r="E39" s="50">
        <v>12</v>
      </c>
      <c r="F39" s="50">
        <v>42</v>
      </c>
      <c r="G39" s="50">
        <v>2</v>
      </c>
      <c r="H39" s="50">
        <v>1</v>
      </c>
      <c r="I39" s="50">
        <v>3</v>
      </c>
      <c r="J39" s="50">
        <v>2</v>
      </c>
      <c r="K39" s="50">
        <v>1</v>
      </c>
      <c r="L39" s="50">
        <v>2</v>
      </c>
      <c r="M39" s="50">
        <v>115</v>
      </c>
      <c r="N39" s="50">
        <v>0</v>
      </c>
      <c r="O39" s="15">
        <f t="shared" si="0"/>
        <v>121</v>
      </c>
      <c r="P39" s="15">
        <f t="shared" si="1"/>
        <v>236</v>
      </c>
      <c r="R39" s="29" t="s">
        <v>87</v>
      </c>
      <c r="S39" s="16">
        <f t="shared" ref="S39:AF39" si="31">SUM(S19:S21)</f>
        <v>881</v>
      </c>
      <c r="T39" s="16">
        <f t="shared" si="31"/>
        <v>135</v>
      </c>
      <c r="U39" s="16">
        <f t="shared" si="31"/>
        <v>155</v>
      </c>
      <c r="V39" s="16">
        <f t="shared" si="31"/>
        <v>887</v>
      </c>
      <c r="W39" s="16">
        <f t="shared" si="31"/>
        <v>23</v>
      </c>
      <c r="X39" s="16">
        <f t="shared" si="31"/>
        <v>49</v>
      </c>
      <c r="Y39" s="16">
        <f t="shared" si="31"/>
        <v>75</v>
      </c>
      <c r="Z39" s="16">
        <f t="shared" si="31"/>
        <v>57</v>
      </c>
      <c r="AA39" s="16">
        <f t="shared" si="31"/>
        <v>32</v>
      </c>
      <c r="AB39" s="16">
        <f t="shared" si="31"/>
        <v>47</v>
      </c>
      <c r="AC39" s="16">
        <f t="shared" si="31"/>
        <v>1069</v>
      </c>
      <c r="AD39" s="16">
        <f t="shared" si="31"/>
        <v>0</v>
      </c>
      <c r="AE39" s="32">
        <f t="shared" si="31"/>
        <v>2341</v>
      </c>
      <c r="AF39" s="32">
        <f t="shared" si="31"/>
        <v>3410</v>
      </c>
    </row>
    <row r="40" spans="2:32" ht="23.1" customHeight="1" x14ac:dyDescent="0.25">
      <c r="B40" s="46" t="s">
        <v>67</v>
      </c>
      <c r="C40" s="50">
        <v>52</v>
      </c>
      <c r="D40" s="50">
        <v>7</v>
      </c>
      <c r="E40" s="50">
        <v>16</v>
      </c>
      <c r="F40" s="50">
        <v>50</v>
      </c>
      <c r="G40" s="50">
        <v>0</v>
      </c>
      <c r="H40" s="50">
        <v>1</v>
      </c>
      <c r="I40" s="50">
        <v>8</v>
      </c>
      <c r="J40" s="50">
        <v>6</v>
      </c>
      <c r="K40" s="50">
        <v>0</v>
      </c>
      <c r="L40" s="50">
        <v>1</v>
      </c>
      <c r="M40" s="50">
        <v>80</v>
      </c>
      <c r="N40" s="50">
        <v>0</v>
      </c>
      <c r="O40" s="15">
        <f t="shared" si="0"/>
        <v>141</v>
      </c>
      <c r="P40" s="15">
        <f t="shared" si="1"/>
        <v>221</v>
      </c>
      <c r="R40" s="5" t="s">
        <v>17</v>
      </c>
      <c r="S40" s="16">
        <f t="shared" ref="S40:AF40" si="32">SUM(S10:S21)</f>
        <v>3432</v>
      </c>
      <c r="T40" s="16">
        <f t="shared" si="32"/>
        <v>674</v>
      </c>
      <c r="U40" s="16">
        <f t="shared" si="32"/>
        <v>636</v>
      </c>
      <c r="V40" s="16">
        <f t="shared" si="32"/>
        <v>3316</v>
      </c>
      <c r="W40" s="16">
        <f t="shared" si="32"/>
        <v>77</v>
      </c>
      <c r="X40" s="16">
        <f t="shared" si="32"/>
        <v>97</v>
      </c>
      <c r="Y40" s="16">
        <f t="shared" si="32"/>
        <v>389</v>
      </c>
      <c r="Z40" s="16">
        <f t="shared" si="32"/>
        <v>232</v>
      </c>
      <c r="AA40" s="16">
        <f t="shared" si="32"/>
        <v>95</v>
      </c>
      <c r="AB40" s="16">
        <f t="shared" si="32"/>
        <v>156</v>
      </c>
      <c r="AC40" s="16">
        <f t="shared" si="32"/>
        <v>6234</v>
      </c>
      <c r="AD40" s="16">
        <f t="shared" si="32"/>
        <v>0</v>
      </c>
      <c r="AE40" s="32">
        <f t="shared" si="32"/>
        <v>9104</v>
      </c>
      <c r="AF40" s="32">
        <f t="shared" si="32"/>
        <v>15338</v>
      </c>
    </row>
    <row r="41" spans="2:32" ht="23.1" customHeight="1" x14ac:dyDescent="0.25">
      <c r="B41" s="45" t="s">
        <v>68</v>
      </c>
      <c r="C41" s="50">
        <v>76</v>
      </c>
      <c r="D41" s="50">
        <v>12</v>
      </c>
      <c r="E41" s="50">
        <v>9</v>
      </c>
      <c r="F41" s="50">
        <v>57</v>
      </c>
      <c r="G41" s="50">
        <v>0</v>
      </c>
      <c r="H41" s="50">
        <v>1</v>
      </c>
      <c r="I41" s="50">
        <v>6</v>
      </c>
      <c r="J41" s="50">
        <v>5</v>
      </c>
      <c r="K41" s="50">
        <v>0</v>
      </c>
      <c r="L41" s="50">
        <v>5</v>
      </c>
      <c r="M41" s="50">
        <v>100</v>
      </c>
      <c r="N41" s="50">
        <v>0</v>
      </c>
      <c r="O41" s="15">
        <f t="shared" si="0"/>
        <v>171</v>
      </c>
      <c r="P41" s="15">
        <f t="shared" si="1"/>
        <v>271</v>
      </c>
      <c r="R41" s="5" t="s">
        <v>159</v>
      </c>
      <c r="S41" s="16">
        <f>SUM(S10:S33)</f>
        <v>5060</v>
      </c>
      <c r="T41" s="16">
        <f t="shared" ref="T41:AF41" si="33">SUM(T10:T33)</f>
        <v>905</v>
      </c>
      <c r="U41" s="16">
        <f t="shared" si="33"/>
        <v>863</v>
      </c>
      <c r="V41" s="16">
        <f t="shared" si="33"/>
        <v>4560</v>
      </c>
      <c r="W41" s="16">
        <f t="shared" si="33"/>
        <v>133</v>
      </c>
      <c r="X41" s="16">
        <f t="shared" si="33"/>
        <v>174</v>
      </c>
      <c r="Y41" s="16">
        <f t="shared" si="33"/>
        <v>704</v>
      </c>
      <c r="Z41" s="16">
        <f t="shared" si="33"/>
        <v>448</v>
      </c>
      <c r="AA41" s="16">
        <f t="shared" si="33"/>
        <v>192</v>
      </c>
      <c r="AB41" s="16">
        <f t="shared" si="33"/>
        <v>219</v>
      </c>
      <c r="AC41" s="16">
        <f t="shared" si="33"/>
        <v>10835</v>
      </c>
      <c r="AD41" s="16">
        <f t="shared" si="33"/>
        <v>0</v>
      </c>
      <c r="AE41" s="32">
        <f t="shared" si="33"/>
        <v>13258</v>
      </c>
      <c r="AF41" s="32">
        <f t="shared" si="33"/>
        <v>24093</v>
      </c>
    </row>
    <row r="42" spans="2:32" ht="23.1" customHeight="1" x14ac:dyDescent="0.25">
      <c r="B42" s="46" t="s">
        <v>69</v>
      </c>
      <c r="C42" s="50">
        <v>35</v>
      </c>
      <c r="D42" s="50">
        <v>4</v>
      </c>
      <c r="E42" s="50">
        <v>8</v>
      </c>
      <c r="F42" s="50">
        <v>45</v>
      </c>
      <c r="G42" s="50">
        <v>2</v>
      </c>
      <c r="H42" s="50">
        <v>2</v>
      </c>
      <c r="I42" s="50">
        <v>6</v>
      </c>
      <c r="J42" s="50">
        <v>11</v>
      </c>
      <c r="K42" s="50">
        <v>4</v>
      </c>
      <c r="L42" s="50">
        <v>1</v>
      </c>
      <c r="M42" s="50">
        <v>100</v>
      </c>
      <c r="N42" s="50">
        <v>0</v>
      </c>
      <c r="O42" s="15">
        <f t="shared" si="0"/>
        <v>118</v>
      </c>
      <c r="P42" s="15">
        <f t="shared" si="1"/>
        <v>218</v>
      </c>
      <c r="R42" s="5" t="s">
        <v>160</v>
      </c>
      <c r="S42" s="48">
        <f>S41/S40</f>
        <v>1.4743589743589745</v>
      </c>
      <c r="T42" s="48">
        <f t="shared" ref="T42:AF42" si="34">T41/T40</f>
        <v>1.3427299703264095</v>
      </c>
      <c r="U42" s="48">
        <f t="shared" si="34"/>
        <v>1.3569182389937107</v>
      </c>
      <c r="V42" s="48">
        <f t="shared" si="34"/>
        <v>1.3751507840772015</v>
      </c>
      <c r="W42" s="48">
        <f t="shared" si="34"/>
        <v>1.7272727272727273</v>
      </c>
      <c r="X42" s="48">
        <f t="shared" si="34"/>
        <v>1.7938144329896908</v>
      </c>
      <c r="Y42" s="48">
        <f t="shared" si="34"/>
        <v>1.8097686375321336</v>
      </c>
      <c r="Z42" s="48">
        <f t="shared" si="34"/>
        <v>1.9310344827586208</v>
      </c>
      <c r="AA42" s="48">
        <f t="shared" si="34"/>
        <v>2.0210526315789474</v>
      </c>
      <c r="AB42" s="48">
        <f t="shared" si="34"/>
        <v>1.4038461538461537</v>
      </c>
      <c r="AC42" s="48">
        <f t="shared" si="34"/>
        <v>1.7380494064805903</v>
      </c>
      <c r="AD42" s="48" t="e">
        <f t="shared" si="34"/>
        <v>#DIV/0!</v>
      </c>
      <c r="AE42" s="48">
        <f t="shared" si="34"/>
        <v>1.4562829525483305</v>
      </c>
      <c r="AF42" s="48">
        <f t="shared" si="34"/>
        <v>1.5708045377493807</v>
      </c>
    </row>
    <row r="43" spans="2:32" ht="23.1" customHeight="1" x14ac:dyDescent="0.25">
      <c r="B43" s="45" t="s">
        <v>70</v>
      </c>
      <c r="C43" s="50">
        <v>62</v>
      </c>
      <c r="D43" s="50">
        <v>7</v>
      </c>
      <c r="E43" s="50">
        <v>13</v>
      </c>
      <c r="F43" s="50">
        <v>58</v>
      </c>
      <c r="G43" s="50">
        <v>1</v>
      </c>
      <c r="H43" s="50">
        <v>0</v>
      </c>
      <c r="I43" s="50">
        <v>5</v>
      </c>
      <c r="J43" s="50">
        <v>4</v>
      </c>
      <c r="K43" s="50">
        <v>3</v>
      </c>
      <c r="L43" s="50">
        <v>8</v>
      </c>
      <c r="M43" s="50">
        <v>110</v>
      </c>
      <c r="N43" s="50">
        <v>0</v>
      </c>
      <c r="O43" s="15">
        <f t="shared" si="0"/>
        <v>161</v>
      </c>
      <c r="P43" s="15">
        <f t="shared" si="1"/>
        <v>271</v>
      </c>
    </row>
    <row r="44" spans="2:32" ht="23.1" customHeight="1" x14ac:dyDescent="0.25">
      <c r="B44" s="47" t="s">
        <v>71</v>
      </c>
      <c r="C44" s="50">
        <v>60</v>
      </c>
      <c r="D44" s="50">
        <v>9</v>
      </c>
      <c r="E44" s="50">
        <v>8</v>
      </c>
      <c r="F44" s="50">
        <v>45</v>
      </c>
      <c r="G44" s="50">
        <v>2</v>
      </c>
      <c r="H44" s="50">
        <v>1</v>
      </c>
      <c r="I44" s="50">
        <v>3</v>
      </c>
      <c r="J44" s="50">
        <v>2</v>
      </c>
      <c r="K44" s="50">
        <v>5</v>
      </c>
      <c r="L44" s="50">
        <v>6</v>
      </c>
      <c r="M44" s="50">
        <v>95</v>
      </c>
      <c r="N44" s="50">
        <v>0</v>
      </c>
      <c r="O44" s="15">
        <f t="shared" si="0"/>
        <v>141</v>
      </c>
      <c r="P44" s="15">
        <f t="shared" si="1"/>
        <v>236</v>
      </c>
    </row>
    <row r="45" spans="2:32" ht="23.1" customHeight="1" x14ac:dyDescent="0.25">
      <c r="B45" s="45" t="s">
        <v>72</v>
      </c>
      <c r="C45" s="50">
        <v>48</v>
      </c>
      <c r="D45" s="50">
        <v>10</v>
      </c>
      <c r="E45" s="50">
        <v>10</v>
      </c>
      <c r="F45" s="50">
        <v>60</v>
      </c>
      <c r="G45" s="50">
        <v>4</v>
      </c>
      <c r="H45" s="50">
        <v>1</v>
      </c>
      <c r="I45" s="50">
        <v>8</v>
      </c>
      <c r="J45" s="50">
        <v>7</v>
      </c>
      <c r="K45" s="50">
        <v>2</v>
      </c>
      <c r="L45" s="50">
        <v>15</v>
      </c>
      <c r="M45" s="50">
        <v>100</v>
      </c>
      <c r="N45" s="50">
        <v>0</v>
      </c>
      <c r="O45" s="15">
        <f t="shared" si="0"/>
        <v>165</v>
      </c>
      <c r="P45" s="15">
        <f t="shared" si="1"/>
        <v>265</v>
      </c>
    </row>
    <row r="46" spans="2:32" ht="23.1" customHeight="1" x14ac:dyDescent="0.25">
      <c r="B46" s="46" t="s">
        <v>73</v>
      </c>
      <c r="C46" s="50">
        <v>52</v>
      </c>
      <c r="D46" s="50">
        <v>9</v>
      </c>
      <c r="E46" s="50">
        <v>12</v>
      </c>
      <c r="F46" s="50">
        <v>52</v>
      </c>
      <c r="G46" s="50">
        <v>1</v>
      </c>
      <c r="H46" s="50">
        <v>2</v>
      </c>
      <c r="I46" s="50">
        <v>12</v>
      </c>
      <c r="J46" s="50">
        <v>9</v>
      </c>
      <c r="K46" s="50">
        <v>5</v>
      </c>
      <c r="L46" s="50">
        <v>7</v>
      </c>
      <c r="M46" s="50">
        <v>100</v>
      </c>
      <c r="N46" s="50">
        <v>0</v>
      </c>
      <c r="O46" s="15">
        <f t="shared" si="0"/>
        <v>161</v>
      </c>
      <c r="P46" s="15">
        <f t="shared" si="1"/>
        <v>261</v>
      </c>
      <c r="R46" s="8"/>
      <c r="T46"/>
    </row>
    <row r="47" spans="2:32" ht="23.1" customHeight="1" x14ac:dyDescent="0.25">
      <c r="B47" s="46" t="s">
        <v>74</v>
      </c>
      <c r="C47" s="50">
        <v>63</v>
      </c>
      <c r="D47" s="50">
        <v>8</v>
      </c>
      <c r="E47" s="50">
        <v>11</v>
      </c>
      <c r="F47" s="50">
        <v>60</v>
      </c>
      <c r="G47" s="50">
        <v>0</v>
      </c>
      <c r="H47" s="50">
        <v>8</v>
      </c>
      <c r="I47" s="50">
        <v>10</v>
      </c>
      <c r="J47" s="50">
        <v>7</v>
      </c>
      <c r="K47" s="50">
        <v>1</v>
      </c>
      <c r="L47" s="50">
        <v>3</v>
      </c>
      <c r="M47" s="50">
        <v>101</v>
      </c>
      <c r="N47" s="50">
        <v>0</v>
      </c>
      <c r="O47" s="15">
        <f t="shared" si="0"/>
        <v>171</v>
      </c>
      <c r="P47" s="15">
        <f t="shared" si="1"/>
        <v>272</v>
      </c>
      <c r="R47" s="8"/>
      <c r="T47"/>
    </row>
    <row r="48" spans="2:32" ht="23.1" customHeight="1" x14ac:dyDescent="0.25">
      <c r="B48" s="46" t="s">
        <v>75</v>
      </c>
      <c r="C48" s="50">
        <v>52</v>
      </c>
      <c r="D48" s="50">
        <v>9</v>
      </c>
      <c r="E48" s="50">
        <v>7</v>
      </c>
      <c r="F48" s="50">
        <v>60</v>
      </c>
      <c r="G48" s="50">
        <v>0</v>
      </c>
      <c r="H48" s="50">
        <v>5</v>
      </c>
      <c r="I48" s="50">
        <v>8</v>
      </c>
      <c r="J48" s="50">
        <v>2</v>
      </c>
      <c r="K48" s="50">
        <v>2</v>
      </c>
      <c r="L48" s="50">
        <v>2</v>
      </c>
      <c r="M48" s="50">
        <v>100</v>
      </c>
      <c r="N48" s="50">
        <v>0</v>
      </c>
      <c r="O48" s="15">
        <f t="shared" si="0"/>
        <v>147</v>
      </c>
      <c r="P48" s="15">
        <f t="shared" si="1"/>
        <v>247</v>
      </c>
      <c r="R48" s="8"/>
      <c r="T48"/>
    </row>
    <row r="49" spans="2:20" ht="23.1" customHeight="1" x14ac:dyDescent="0.25">
      <c r="B49" s="45" t="s">
        <v>76</v>
      </c>
      <c r="C49" s="50">
        <v>84</v>
      </c>
      <c r="D49" s="50">
        <v>9</v>
      </c>
      <c r="E49" s="50">
        <v>17</v>
      </c>
      <c r="F49" s="50">
        <v>65</v>
      </c>
      <c r="G49" s="50">
        <v>0</v>
      </c>
      <c r="H49" s="50">
        <v>1</v>
      </c>
      <c r="I49" s="50">
        <v>2</v>
      </c>
      <c r="J49" s="50">
        <v>3</v>
      </c>
      <c r="K49" s="50">
        <v>2</v>
      </c>
      <c r="L49" s="50">
        <v>0</v>
      </c>
      <c r="M49" s="50">
        <v>103</v>
      </c>
      <c r="N49" s="50">
        <v>0</v>
      </c>
      <c r="O49" s="15">
        <f t="shared" si="0"/>
        <v>183</v>
      </c>
      <c r="P49" s="15">
        <f t="shared" si="1"/>
        <v>286</v>
      </c>
      <c r="R49" s="8"/>
      <c r="T49"/>
    </row>
    <row r="50" spans="2:20" ht="23.1" customHeight="1" x14ac:dyDescent="0.25">
      <c r="B50" s="46" t="s">
        <v>77</v>
      </c>
      <c r="C50" s="50">
        <v>65</v>
      </c>
      <c r="D50" s="50">
        <v>13</v>
      </c>
      <c r="E50" s="50">
        <v>14</v>
      </c>
      <c r="F50" s="50">
        <v>88</v>
      </c>
      <c r="G50" s="50">
        <v>2</v>
      </c>
      <c r="H50" s="50">
        <v>4</v>
      </c>
      <c r="I50" s="50">
        <v>14</v>
      </c>
      <c r="J50" s="50">
        <v>13</v>
      </c>
      <c r="K50" s="50">
        <v>2</v>
      </c>
      <c r="L50" s="50">
        <v>0</v>
      </c>
      <c r="M50" s="50">
        <v>100</v>
      </c>
      <c r="N50" s="50">
        <v>0</v>
      </c>
      <c r="O50" s="15">
        <f t="shared" si="0"/>
        <v>215</v>
      </c>
      <c r="P50" s="15">
        <f t="shared" si="1"/>
        <v>315</v>
      </c>
      <c r="R50" s="8"/>
      <c r="T50"/>
    </row>
    <row r="51" spans="2:20" ht="23.1" customHeight="1" x14ac:dyDescent="0.25">
      <c r="B51" s="46" t="s">
        <v>78</v>
      </c>
      <c r="C51" s="50">
        <v>57</v>
      </c>
      <c r="D51" s="50">
        <v>7</v>
      </c>
      <c r="E51" s="50">
        <v>14</v>
      </c>
      <c r="F51" s="50">
        <v>50</v>
      </c>
      <c r="G51" s="50">
        <v>2</v>
      </c>
      <c r="H51" s="50">
        <v>1</v>
      </c>
      <c r="I51" s="50">
        <v>0</v>
      </c>
      <c r="J51" s="50">
        <v>4</v>
      </c>
      <c r="K51" s="50">
        <v>2</v>
      </c>
      <c r="L51" s="50">
        <v>5</v>
      </c>
      <c r="M51" s="50">
        <v>60</v>
      </c>
      <c r="N51" s="50">
        <v>0</v>
      </c>
      <c r="O51" s="15">
        <f t="shared" si="0"/>
        <v>142</v>
      </c>
      <c r="P51" s="15">
        <f t="shared" si="1"/>
        <v>202</v>
      </c>
      <c r="R51" s="8"/>
      <c r="T51"/>
    </row>
    <row r="52" spans="2:20" ht="23.1" customHeight="1" x14ac:dyDescent="0.25">
      <c r="B52" s="46" t="s">
        <v>79</v>
      </c>
      <c r="C52" s="50">
        <v>103</v>
      </c>
      <c r="D52" s="50">
        <v>19</v>
      </c>
      <c r="E52" s="50">
        <v>15</v>
      </c>
      <c r="F52" s="50">
        <v>83</v>
      </c>
      <c r="G52" s="50">
        <v>2</v>
      </c>
      <c r="H52" s="50">
        <v>3</v>
      </c>
      <c r="I52" s="50">
        <v>4</v>
      </c>
      <c r="J52" s="50">
        <v>2</v>
      </c>
      <c r="K52" s="50">
        <v>2</v>
      </c>
      <c r="L52" s="50">
        <v>4</v>
      </c>
      <c r="M52" s="50">
        <v>100</v>
      </c>
      <c r="N52" s="50">
        <v>0</v>
      </c>
      <c r="O52" s="15">
        <f t="shared" si="0"/>
        <v>237</v>
      </c>
      <c r="P52" s="15">
        <f t="shared" si="1"/>
        <v>337</v>
      </c>
      <c r="R52" s="8"/>
      <c r="T52"/>
    </row>
    <row r="53" spans="2:20" ht="23.1" customHeight="1" x14ac:dyDescent="0.25">
      <c r="B53" s="45" t="s">
        <v>80</v>
      </c>
      <c r="C53" s="50">
        <v>85</v>
      </c>
      <c r="D53" s="50">
        <v>15</v>
      </c>
      <c r="E53" s="50">
        <v>13</v>
      </c>
      <c r="F53" s="50">
        <v>95</v>
      </c>
      <c r="G53" s="50">
        <v>0</v>
      </c>
      <c r="H53" s="50">
        <v>2</v>
      </c>
      <c r="I53" s="50">
        <v>4</v>
      </c>
      <c r="J53" s="50">
        <v>4</v>
      </c>
      <c r="K53" s="50">
        <v>2</v>
      </c>
      <c r="L53" s="50">
        <v>7</v>
      </c>
      <c r="M53" s="50">
        <v>85</v>
      </c>
      <c r="N53" s="50">
        <v>0</v>
      </c>
      <c r="O53" s="15">
        <f t="shared" si="0"/>
        <v>227</v>
      </c>
      <c r="P53" s="15">
        <f t="shared" si="1"/>
        <v>312</v>
      </c>
      <c r="R53" s="8"/>
      <c r="T53"/>
    </row>
    <row r="54" spans="2:20" ht="23.1" customHeight="1" x14ac:dyDescent="0.25">
      <c r="B54" s="45" t="s">
        <v>81</v>
      </c>
      <c r="C54" s="50">
        <v>85</v>
      </c>
      <c r="D54" s="50">
        <v>13</v>
      </c>
      <c r="E54" s="50">
        <v>15</v>
      </c>
      <c r="F54" s="50">
        <v>95</v>
      </c>
      <c r="G54" s="50">
        <v>2</v>
      </c>
      <c r="H54" s="50">
        <v>1</v>
      </c>
      <c r="I54" s="50">
        <v>6</v>
      </c>
      <c r="J54" s="50">
        <v>5</v>
      </c>
      <c r="K54" s="50">
        <v>3</v>
      </c>
      <c r="L54" s="50">
        <v>4</v>
      </c>
      <c r="M54" s="50">
        <v>100</v>
      </c>
      <c r="N54" s="50">
        <v>0</v>
      </c>
      <c r="O54" s="15">
        <f t="shared" si="0"/>
        <v>229</v>
      </c>
      <c r="P54" s="15">
        <f t="shared" si="1"/>
        <v>329</v>
      </c>
      <c r="R54" s="8"/>
      <c r="T54"/>
    </row>
    <row r="55" spans="2:20" ht="23.1" customHeight="1" x14ac:dyDescent="0.25">
      <c r="B55" s="45" t="s">
        <v>82</v>
      </c>
      <c r="C55" s="50">
        <v>70</v>
      </c>
      <c r="D55" s="50">
        <v>9</v>
      </c>
      <c r="E55" s="50">
        <v>17</v>
      </c>
      <c r="F55" s="50">
        <v>75</v>
      </c>
      <c r="G55" s="50">
        <v>5</v>
      </c>
      <c r="H55" s="50">
        <v>14</v>
      </c>
      <c r="I55" s="50">
        <v>2</v>
      </c>
      <c r="J55" s="50">
        <v>3</v>
      </c>
      <c r="K55" s="50">
        <v>5</v>
      </c>
      <c r="L55" s="50">
        <v>5</v>
      </c>
      <c r="M55" s="50">
        <v>60</v>
      </c>
      <c r="N55" s="50">
        <v>0</v>
      </c>
      <c r="O55" s="15">
        <f t="shared" si="0"/>
        <v>205</v>
      </c>
      <c r="P55" s="15">
        <f t="shared" si="1"/>
        <v>265</v>
      </c>
      <c r="R55" s="8"/>
      <c r="T55"/>
    </row>
    <row r="56" spans="2:20" ht="23.1" customHeight="1" x14ac:dyDescent="0.25">
      <c r="B56" s="45" t="s">
        <v>83</v>
      </c>
      <c r="C56" s="50">
        <v>85</v>
      </c>
      <c r="D56" s="50">
        <v>20</v>
      </c>
      <c r="E56" s="50">
        <v>14</v>
      </c>
      <c r="F56" s="50">
        <v>99</v>
      </c>
      <c r="G56" s="50">
        <v>4</v>
      </c>
      <c r="H56" s="50">
        <v>5</v>
      </c>
      <c r="I56" s="50">
        <v>8</v>
      </c>
      <c r="J56" s="50">
        <v>4</v>
      </c>
      <c r="K56" s="50">
        <v>2</v>
      </c>
      <c r="L56" s="50">
        <v>7</v>
      </c>
      <c r="M56" s="50">
        <v>60</v>
      </c>
      <c r="N56" s="50">
        <v>0</v>
      </c>
      <c r="O56" s="15">
        <f t="shared" si="0"/>
        <v>248</v>
      </c>
      <c r="P56" s="15">
        <f t="shared" si="1"/>
        <v>308</v>
      </c>
      <c r="R56" s="8"/>
      <c r="T56"/>
    </row>
    <row r="57" spans="2:20" ht="23.1" customHeight="1" x14ac:dyDescent="0.25">
      <c r="B57" s="45" t="s">
        <v>84</v>
      </c>
      <c r="C57" s="50">
        <v>80</v>
      </c>
      <c r="D57" s="50">
        <v>4</v>
      </c>
      <c r="E57" s="50">
        <v>6</v>
      </c>
      <c r="F57" s="50">
        <v>65</v>
      </c>
      <c r="G57" s="50">
        <v>5</v>
      </c>
      <c r="H57" s="50">
        <v>3</v>
      </c>
      <c r="I57" s="50">
        <v>5</v>
      </c>
      <c r="J57" s="50">
        <v>1</v>
      </c>
      <c r="K57" s="50">
        <v>4</v>
      </c>
      <c r="L57" s="50">
        <v>3</v>
      </c>
      <c r="M57" s="50">
        <v>100</v>
      </c>
      <c r="N57" s="50">
        <v>0</v>
      </c>
      <c r="O57" s="15">
        <f t="shared" si="0"/>
        <v>176</v>
      </c>
      <c r="P57" s="15">
        <f t="shared" si="1"/>
        <v>276</v>
      </c>
      <c r="R57" s="8"/>
      <c r="T57"/>
    </row>
    <row r="58" spans="2:20" ht="23.1" customHeight="1" x14ac:dyDescent="0.25">
      <c r="B58" s="45" t="s">
        <v>99</v>
      </c>
      <c r="C58" s="50">
        <v>34</v>
      </c>
      <c r="D58" s="50">
        <v>7</v>
      </c>
      <c r="E58" s="50">
        <v>8</v>
      </c>
      <c r="F58" s="50">
        <v>26</v>
      </c>
      <c r="G58" s="50">
        <v>1</v>
      </c>
      <c r="H58" s="50">
        <v>1</v>
      </c>
      <c r="I58" s="50">
        <v>8</v>
      </c>
      <c r="J58" s="50">
        <v>2</v>
      </c>
      <c r="K58" s="50">
        <v>3</v>
      </c>
      <c r="L58" s="50">
        <v>4</v>
      </c>
      <c r="M58" s="50">
        <v>100</v>
      </c>
      <c r="N58" s="50">
        <v>0</v>
      </c>
      <c r="O58" s="15">
        <f t="shared" si="0"/>
        <v>94</v>
      </c>
      <c r="P58" s="15">
        <f t="shared" si="1"/>
        <v>194</v>
      </c>
      <c r="R58" s="8"/>
      <c r="T58"/>
    </row>
    <row r="59" spans="2:20" ht="23.1" customHeight="1" x14ac:dyDescent="0.25">
      <c r="B59" s="45" t="s">
        <v>100</v>
      </c>
      <c r="C59" s="50">
        <v>38</v>
      </c>
      <c r="D59" s="50">
        <v>8</v>
      </c>
      <c r="E59" s="50">
        <v>1</v>
      </c>
      <c r="F59" s="50">
        <v>51</v>
      </c>
      <c r="G59" s="50">
        <v>1</v>
      </c>
      <c r="H59" s="50">
        <v>2</v>
      </c>
      <c r="I59" s="50">
        <v>11</v>
      </c>
      <c r="J59" s="50">
        <v>5</v>
      </c>
      <c r="K59" s="50">
        <v>0</v>
      </c>
      <c r="L59" s="50">
        <v>0</v>
      </c>
      <c r="M59" s="50">
        <v>125</v>
      </c>
      <c r="N59" s="50">
        <v>0</v>
      </c>
      <c r="O59" s="15">
        <f t="shared" si="0"/>
        <v>117</v>
      </c>
      <c r="P59" s="15">
        <f t="shared" si="1"/>
        <v>242</v>
      </c>
      <c r="R59" s="8"/>
      <c r="T59"/>
    </row>
    <row r="60" spans="2:20" ht="23.1" customHeight="1" x14ac:dyDescent="0.25">
      <c r="B60" s="45" t="s">
        <v>101</v>
      </c>
      <c r="C60" s="50">
        <v>60</v>
      </c>
      <c r="D60" s="50">
        <v>5</v>
      </c>
      <c r="E60" s="50">
        <v>9</v>
      </c>
      <c r="F60" s="50">
        <v>59</v>
      </c>
      <c r="G60" s="50">
        <v>2</v>
      </c>
      <c r="H60" s="50">
        <v>3</v>
      </c>
      <c r="I60" s="50">
        <v>7</v>
      </c>
      <c r="J60" s="50">
        <v>2</v>
      </c>
      <c r="K60" s="50">
        <v>1</v>
      </c>
      <c r="L60" s="50">
        <v>3</v>
      </c>
      <c r="M60" s="50">
        <v>105</v>
      </c>
      <c r="N60" s="50">
        <v>0</v>
      </c>
      <c r="O60" s="15">
        <f t="shared" si="0"/>
        <v>151</v>
      </c>
      <c r="P60" s="15">
        <f t="shared" si="1"/>
        <v>256</v>
      </c>
      <c r="R60" s="8"/>
      <c r="T60"/>
    </row>
    <row r="61" spans="2:20" ht="23.1" customHeight="1" x14ac:dyDescent="0.25">
      <c r="B61" s="45" t="s">
        <v>102</v>
      </c>
      <c r="C61" s="50">
        <v>51</v>
      </c>
      <c r="D61" s="50">
        <v>9</v>
      </c>
      <c r="E61" s="50">
        <v>10</v>
      </c>
      <c r="F61" s="50">
        <v>56</v>
      </c>
      <c r="G61" s="50">
        <v>4</v>
      </c>
      <c r="H61" s="50">
        <v>3</v>
      </c>
      <c r="I61" s="50">
        <v>7</v>
      </c>
      <c r="J61" s="50">
        <v>4</v>
      </c>
      <c r="K61" s="50">
        <v>0</v>
      </c>
      <c r="L61" s="50">
        <v>2</v>
      </c>
      <c r="M61" s="50">
        <v>122</v>
      </c>
      <c r="N61" s="50">
        <v>0</v>
      </c>
      <c r="O61" s="15">
        <f t="shared" si="0"/>
        <v>146</v>
      </c>
      <c r="P61" s="15">
        <f t="shared" si="1"/>
        <v>268</v>
      </c>
      <c r="R61" s="8"/>
      <c r="T61"/>
    </row>
    <row r="62" spans="2:20" ht="23.1" customHeight="1" x14ac:dyDescent="0.25">
      <c r="B62" s="45" t="s">
        <v>107</v>
      </c>
      <c r="C62" s="50">
        <v>43</v>
      </c>
      <c r="D62" s="50">
        <v>4</v>
      </c>
      <c r="E62" s="50">
        <v>7</v>
      </c>
      <c r="F62" s="50">
        <v>47</v>
      </c>
      <c r="G62" s="50">
        <v>1</v>
      </c>
      <c r="H62" s="50">
        <v>1</v>
      </c>
      <c r="I62" s="50">
        <v>10</v>
      </c>
      <c r="J62" s="50">
        <v>2</v>
      </c>
      <c r="K62" s="50">
        <v>4</v>
      </c>
      <c r="L62" s="50">
        <v>3</v>
      </c>
      <c r="M62" s="50">
        <v>162</v>
      </c>
      <c r="N62" s="50">
        <v>0</v>
      </c>
      <c r="O62" s="15">
        <f t="shared" si="0"/>
        <v>122</v>
      </c>
      <c r="P62" s="15">
        <f t="shared" si="1"/>
        <v>284</v>
      </c>
      <c r="R62" s="8"/>
      <c r="T62"/>
    </row>
    <row r="63" spans="2:20" ht="23.1" customHeight="1" x14ac:dyDescent="0.25">
      <c r="B63" s="45" t="s">
        <v>108</v>
      </c>
      <c r="C63" s="50">
        <v>38</v>
      </c>
      <c r="D63" s="50">
        <v>7</v>
      </c>
      <c r="E63" s="50">
        <v>7</v>
      </c>
      <c r="F63" s="50">
        <v>50</v>
      </c>
      <c r="G63" s="50">
        <v>3</v>
      </c>
      <c r="H63" s="50">
        <v>0</v>
      </c>
      <c r="I63" s="50">
        <v>5</v>
      </c>
      <c r="J63" s="50">
        <v>1</v>
      </c>
      <c r="K63" s="50">
        <v>3</v>
      </c>
      <c r="L63" s="50">
        <v>1</v>
      </c>
      <c r="M63" s="50">
        <v>140</v>
      </c>
      <c r="N63" s="50">
        <v>0</v>
      </c>
      <c r="O63" s="15">
        <f t="shared" si="0"/>
        <v>115</v>
      </c>
      <c r="P63" s="15">
        <f t="shared" si="1"/>
        <v>255</v>
      </c>
      <c r="R63" s="8"/>
      <c r="T63"/>
    </row>
    <row r="64" spans="2:20" ht="23.1" customHeight="1" x14ac:dyDescent="0.25">
      <c r="B64" s="45" t="s">
        <v>109</v>
      </c>
      <c r="C64" s="50">
        <v>53</v>
      </c>
      <c r="D64" s="50">
        <v>8</v>
      </c>
      <c r="E64" s="50">
        <v>6</v>
      </c>
      <c r="F64" s="50">
        <v>54</v>
      </c>
      <c r="G64" s="50">
        <v>2</v>
      </c>
      <c r="H64" s="50">
        <v>0</v>
      </c>
      <c r="I64" s="50">
        <v>7</v>
      </c>
      <c r="J64" s="50">
        <v>2</v>
      </c>
      <c r="K64" s="50">
        <v>0</v>
      </c>
      <c r="L64" s="50">
        <v>0</v>
      </c>
      <c r="M64" s="50">
        <v>135</v>
      </c>
      <c r="N64" s="50">
        <v>0</v>
      </c>
      <c r="O64" s="15">
        <f t="shared" si="0"/>
        <v>132</v>
      </c>
      <c r="P64" s="15">
        <f t="shared" si="1"/>
        <v>267</v>
      </c>
      <c r="R64" s="8"/>
      <c r="T64"/>
    </row>
    <row r="65" spans="2:20" ht="23.1" customHeight="1" x14ac:dyDescent="0.25">
      <c r="B65" s="45" t="s">
        <v>158</v>
      </c>
      <c r="C65" s="50">
        <v>52</v>
      </c>
      <c r="D65" s="50">
        <v>8</v>
      </c>
      <c r="E65" s="50">
        <v>8</v>
      </c>
      <c r="F65" s="50">
        <v>48</v>
      </c>
      <c r="G65" s="50">
        <v>2</v>
      </c>
      <c r="H65" s="50">
        <v>2</v>
      </c>
      <c r="I65" s="50">
        <v>6</v>
      </c>
      <c r="J65" s="50">
        <v>3</v>
      </c>
      <c r="K65" s="50">
        <v>1</v>
      </c>
      <c r="L65" s="50">
        <v>1</v>
      </c>
      <c r="M65" s="50">
        <v>130</v>
      </c>
      <c r="N65" s="50">
        <v>0</v>
      </c>
      <c r="O65" s="15">
        <f t="shared" si="0"/>
        <v>131</v>
      </c>
      <c r="P65" s="15">
        <f t="shared" si="1"/>
        <v>261</v>
      </c>
      <c r="R65" s="8"/>
      <c r="T65"/>
    </row>
    <row r="66" spans="2:20" ht="23.1" customHeight="1" x14ac:dyDescent="0.25">
      <c r="B66" s="45" t="s">
        <v>103</v>
      </c>
      <c r="C66" s="50">
        <v>46</v>
      </c>
      <c r="D66" s="50">
        <v>12</v>
      </c>
      <c r="E66" s="50">
        <v>7</v>
      </c>
      <c r="F66" s="50">
        <v>57</v>
      </c>
      <c r="G66" s="50">
        <v>1</v>
      </c>
      <c r="H66" s="50">
        <v>1</v>
      </c>
      <c r="I66" s="50">
        <v>10</v>
      </c>
      <c r="J66" s="50">
        <v>2</v>
      </c>
      <c r="K66" s="50">
        <v>4</v>
      </c>
      <c r="L66" s="50">
        <v>3</v>
      </c>
      <c r="M66" s="50">
        <v>162</v>
      </c>
      <c r="N66" s="50">
        <v>0</v>
      </c>
      <c r="O66" s="15">
        <f t="shared" si="0"/>
        <v>143</v>
      </c>
      <c r="P66" s="15">
        <f t="shared" si="1"/>
        <v>305</v>
      </c>
      <c r="R66" s="8"/>
      <c r="T66"/>
    </row>
    <row r="67" spans="2:20" ht="23.1" customHeight="1" x14ac:dyDescent="0.25">
      <c r="B67" s="45" t="s">
        <v>104</v>
      </c>
      <c r="C67" s="50">
        <v>51</v>
      </c>
      <c r="D67" s="50">
        <v>4</v>
      </c>
      <c r="E67" s="50">
        <v>8</v>
      </c>
      <c r="F67" s="50">
        <v>45</v>
      </c>
      <c r="G67" s="50">
        <v>3</v>
      </c>
      <c r="H67" s="50">
        <v>0</v>
      </c>
      <c r="I67" s="50">
        <v>5</v>
      </c>
      <c r="J67" s="50">
        <v>1</v>
      </c>
      <c r="K67" s="50">
        <v>3</v>
      </c>
      <c r="L67" s="50">
        <v>1</v>
      </c>
      <c r="M67" s="50">
        <v>140</v>
      </c>
      <c r="N67" s="50">
        <v>0</v>
      </c>
      <c r="O67" s="15">
        <f t="shared" si="0"/>
        <v>121</v>
      </c>
      <c r="P67" s="15">
        <f t="shared" si="1"/>
        <v>261</v>
      </c>
      <c r="R67" s="8"/>
      <c r="T67"/>
    </row>
    <row r="68" spans="2:20" ht="23.1" customHeight="1" x14ac:dyDescent="0.25">
      <c r="B68" s="45" t="s">
        <v>105</v>
      </c>
      <c r="C68" s="50">
        <v>40</v>
      </c>
      <c r="D68" s="50">
        <v>6</v>
      </c>
      <c r="E68" s="50">
        <v>12</v>
      </c>
      <c r="F68" s="50">
        <v>28</v>
      </c>
      <c r="G68" s="50">
        <v>2</v>
      </c>
      <c r="H68" s="50">
        <v>0</v>
      </c>
      <c r="I68" s="50">
        <v>7</v>
      </c>
      <c r="J68" s="50">
        <v>2</v>
      </c>
      <c r="K68" s="50">
        <v>0</v>
      </c>
      <c r="L68" s="50">
        <v>0</v>
      </c>
      <c r="M68" s="50">
        <v>135</v>
      </c>
      <c r="N68" s="50">
        <v>0</v>
      </c>
      <c r="O68" s="15">
        <f t="shared" si="0"/>
        <v>97</v>
      </c>
      <c r="P68" s="15">
        <f t="shared" si="1"/>
        <v>232</v>
      </c>
      <c r="R68" s="8"/>
      <c r="T68"/>
    </row>
    <row r="69" spans="2:20" ht="23.1" customHeight="1" x14ac:dyDescent="0.25">
      <c r="B69" s="45" t="s">
        <v>106</v>
      </c>
      <c r="C69" s="50">
        <v>54</v>
      </c>
      <c r="D69" s="50">
        <v>8</v>
      </c>
      <c r="E69" s="50">
        <v>6</v>
      </c>
      <c r="F69" s="50">
        <v>37</v>
      </c>
      <c r="G69" s="50">
        <v>2</v>
      </c>
      <c r="H69" s="50">
        <v>2</v>
      </c>
      <c r="I69" s="50">
        <v>6</v>
      </c>
      <c r="J69" s="50">
        <v>3</v>
      </c>
      <c r="K69" s="50">
        <v>1</v>
      </c>
      <c r="L69" s="50">
        <v>1</v>
      </c>
      <c r="M69" s="50">
        <v>130</v>
      </c>
      <c r="N69" s="50">
        <v>0</v>
      </c>
      <c r="O69" s="15">
        <f t="shared" si="0"/>
        <v>120</v>
      </c>
      <c r="P69" s="15">
        <f t="shared" si="1"/>
        <v>250</v>
      </c>
      <c r="R69" s="8"/>
      <c r="T69"/>
    </row>
    <row r="70" spans="2:20" ht="23.1" customHeight="1" x14ac:dyDescent="0.25">
      <c r="B70" s="45" t="s">
        <v>110</v>
      </c>
      <c r="C70" s="50">
        <v>51</v>
      </c>
      <c r="D70" s="50">
        <v>5</v>
      </c>
      <c r="E70" s="50">
        <v>3</v>
      </c>
      <c r="F70" s="50">
        <v>49</v>
      </c>
      <c r="G70" s="50">
        <v>2</v>
      </c>
      <c r="H70" s="50">
        <v>2</v>
      </c>
      <c r="I70" s="50">
        <v>9</v>
      </c>
      <c r="J70" s="50">
        <v>2</v>
      </c>
      <c r="K70" s="50">
        <v>0</v>
      </c>
      <c r="L70" s="50">
        <v>1</v>
      </c>
      <c r="M70" s="50">
        <v>117</v>
      </c>
      <c r="N70" s="50">
        <v>0</v>
      </c>
      <c r="O70" s="15">
        <f t="shared" si="0"/>
        <v>124</v>
      </c>
      <c r="P70" s="15">
        <f t="shared" si="1"/>
        <v>241</v>
      </c>
      <c r="R70" s="8"/>
      <c r="T70"/>
    </row>
    <row r="71" spans="2:20" ht="23.1" customHeight="1" x14ac:dyDescent="0.25">
      <c r="B71" s="45" t="s">
        <v>111</v>
      </c>
      <c r="C71" s="50">
        <v>58</v>
      </c>
      <c r="D71" s="50">
        <v>5</v>
      </c>
      <c r="E71" s="50">
        <v>7</v>
      </c>
      <c r="F71" s="50">
        <v>31</v>
      </c>
      <c r="G71" s="50">
        <v>3</v>
      </c>
      <c r="H71" s="50">
        <v>2</v>
      </c>
      <c r="I71" s="50">
        <v>5</v>
      </c>
      <c r="J71" s="50">
        <v>3</v>
      </c>
      <c r="K71" s="50">
        <v>2</v>
      </c>
      <c r="L71" s="50">
        <v>2</v>
      </c>
      <c r="M71" s="50">
        <v>120</v>
      </c>
      <c r="N71" s="50">
        <v>0</v>
      </c>
      <c r="O71" s="15">
        <f t="shared" si="0"/>
        <v>118</v>
      </c>
      <c r="P71" s="15">
        <f t="shared" si="1"/>
        <v>238</v>
      </c>
      <c r="R71" s="8"/>
      <c r="T71"/>
    </row>
    <row r="72" spans="2:20" ht="23.1" customHeight="1" x14ac:dyDescent="0.25">
      <c r="B72" s="45" t="s">
        <v>112</v>
      </c>
      <c r="C72" s="50">
        <v>53</v>
      </c>
      <c r="D72" s="50">
        <v>9</v>
      </c>
      <c r="E72" s="50">
        <v>6</v>
      </c>
      <c r="F72" s="50">
        <v>17</v>
      </c>
      <c r="G72" s="50">
        <v>3</v>
      </c>
      <c r="H72" s="50">
        <v>1</v>
      </c>
      <c r="I72" s="50">
        <v>9</v>
      </c>
      <c r="J72" s="50">
        <v>4</v>
      </c>
      <c r="K72" s="50">
        <v>3</v>
      </c>
      <c r="L72" s="50">
        <v>4</v>
      </c>
      <c r="M72" s="50">
        <v>123</v>
      </c>
      <c r="N72" s="50">
        <v>0</v>
      </c>
      <c r="O72" s="15">
        <f t="shared" si="0"/>
        <v>109</v>
      </c>
      <c r="P72" s="15">
        <f t="shared" si="1"/>
        <v>232</v>
      </c>
      <c r="R72" s="8"/>
      <c r="T72"/>
    </row>
    <row r="73" spans="2:20" ht="23.1" customHeight="1" x14ac:dyDescent="0.25">
      <c r="B73" s="45" t="s">
        <v>113</v>
      </c>
      <c r="C73" s="50">
        <v>45</v>
      </c>
      <c r="D73" s="50">
        <v>10</v>
      </c>
      <c r="E73" s="50">
        <v>4</v>
      </c>
      <c r="F73" s="50">
        <v>34</v>
      </c>
      <c r="G73" s="50">
        <v>0</v>
      </c>
      <c r="H73" s="50">
        <v>0</v>
      </c>
      <c r="I73" s="50">
        <v>7</v>
      </c>
      <c r="J73" s="50">
        <v>2</v>
      </c>
      <c r="K73" s="50">
        <v>1</v>
      </c>
      <c r="L73" s="50">
        <v>3</v>
      </c>
      <c r="M73" s="50">
        <v>133</v>
      </c>
      <c r="N73" s="50">
        <v>0</v>
      </c>
      <c r="O73" s="15">
        <f t="shared" si="0"/>
        <v>106</v>
      </c>
      <c r="P73" s="15">
        <f t="shared" si="1"/>
        <v>239</v>
      </c>
      <c r="R73" s="8"/>
      <c r="T73"/>
    </row>
    <row r="74" spans="2:20" ht="23.1" customHeight="1" x14ac:dyDescent="0.25">
      <c r="B74" s="45" t="s">
        <v>114</v>
      </c>
      <c r="C74" s="50">
        <v>54</v>
      </c>
      <c r="D74" s="50">
        <v>8</v>
      </c>
      <c r="E74" s="50">
        <v>5</v>
      </c>
      <c r="F74" s="50">
        <v>23</v>
      </c>
      <c r="G74" s="50">
        <v>0</v>
      </c>
      <c r="H74" s="50">
        <v>0</v>
      </c>
      <c r="I74" s="50">
        <v>4</v>
      </c>
      <c r="J74" s="50">
        <v>3</v>
      </c>
      <c r="K74" s="50">
        <v>2</v>
      </c>
      <c r="L74" s="50">
        <v>2</v>
      </c>
      <c r="M74" s="50">
        <v>160</v>
      </c>
      <c r="N74" s="50">
        <v>0</v>
      </c>
      <c r="O74" s="15">
        <f t="shared" ref="O74:O105" si="35">SUM(C74:L74,N74)</f>
        <v>101</v>
      </c>
      <c r="P74" s="15">
        <f t="shared" ref="P74:P105" si="36">SUM(C74:N74)</f>
        <v>261</v>
      </c>
      <c r="R74" s="8"/>
      <c r="T74"/>
    </row>
    <row r="75" spans="2:20" ht="23.1" customHeight="1" x14ac:dyDescent="0.25">
      <c r="B75" s="45" t="s">
        <v>115</v>
      </c>
      <c r="C75" s="50">
        <v>68</v>
      </c>
      <c r="D75" s="50">
        <v>7</v>
      </c>
      <c r="E75" s="50">
        <v>4</v>
      </c>
      <c r="F75" s="50">
        <v>43</v>
      </c>
      <c r="G75" s="50">
        <v>0</v>
      </c>
      <c r="H75" s="50">
        <v>2</v>
      </c>
      <c r="I75" s="50">
        <v>8</v>
      </c>
      <c r="J75" s="50">
        <v>5</v>
      </c>
      <c r="K75" s="50">
        <v>1</v>
      </c>
      <c r="L75" s="50">
        <v>0</v>
      </c>
      <c r="M75" s="50">
        <v>140</v>
      </c>
      <c r="N75" s="50">
        <v>0</v>
      </c>
      <c r="O75" s="15">
        <f t="shared" si="35"/>
        <v>138</v>
      </c>
      <c r="P75" s="15">
        <f t="shared" si="36"/>
        <v>278</v>
      </c>
      <c r="R75" s="8"/>
      <c r="T75"/>
    </row>
    <row r="76" spans="2:20" ht="23.1" customHeight="1" x14ac:dyDescent="0.25">
      <c r="B76" s="45" t="s">
        <v>116</v>
      </c>
      <c r="C76" s="50">
        <v>61</v>
      </c>
      <c r="D76" s="50">
        <v>10</v>
      </c>
      <c r="E76" s="50">
        <v>7</v>
      </c>
      <c r="F76" s="50">
        <v>21</v>
      </c>
      <c r="G76" s="50">
        <v>0</v>
      </c>
      <c r="H76" s="50">
        <v>0</v>
      </c>
      <c r="I76" s="50">
        <v>2</v>
      </c>
      <c r="J76" s="50">
        <v>3</v>
      </c>
      <c r="K76" s="50">
        <v>4</v>
      </c>
      <c r="L76" s="50">
        <v>1</v>
      </c>
      <c r="M76" s="50">
        <v>150</v>
      </c>
      <c r="N76" s="50">
        <v>0</v>
      </c>
      <c r="O76" s="15">
        <f t="shared" si="35"/>
        <v>109</v>
      </c>
      <c r="P76" s="15">
        <f t="shared" si="36"/>
        <v>259</v>
      </c>
      <c r="R76" s="8"/>
      <c r="T76"/>
    </row>
    <row r="77" spans="2:20" ht="23.1" customHeight="1" x14ac:dyDescent="0.25">
      <c r="B77" s="45" t="s">
        <v>117</v>
      </c>
      <c r="C77" s="50">
        <v>43</v>
      </c>
      <c r="D77" s="50">
        <v>5</v>
      </c>
      <c r="E77" s="50">
        <v>5</v>
      </c>
      <c r="F77" s="50">
        <v>27</v>
      </c>
      <c r="G77" s="50">
        <v>1</v>
      </c>
      <c r="H77" s="50">
        <v>0</v>
      </c>
      <c r="I77" s="50">
        <v>10</v>
      </c>
      <c r="J77" s="50">
        <v>1</v>
      </c>
      <c r="K77" s="50">
        <v>4</v>
      </c>
      <c r="L77" s="50">
        <v>1</v>
      </c>
      <c r="M77" s="50">
        <v>130</v>
      </c>
      <c r="N77" s="50">
        <v>0</v>
      </c>
      <c r="O77" s="15">
        <f t="shared" si="35"/>
        <v>97</v>
      </c>
      <c r="P77" s="15">
        <f t="shared" si="36"/>
        <v>227</v>
      </c>
      <c r="R77" s="8"/>
      <c r="T77"/>
    </row>
    <row r="78" spans="2:20" ht="23.1" customHeight="1" x14ac:dyDescent="0.25">
      <c r="B78" s="46" t="s">
        <v>118</v>
      </c>
      <c r="C78" s="50">
        <v>51</v>
      </c>
      <c r="D78" s="50">
        <v>8</v>
      </c>
      <c r="E78" s="50">
        <v>9</v>
      </c>
      <c r="F78" s="50">
        <v>32</v>
      </c>
      <c r="G78" s="50">
        <v>1</v>
      </c>
      <c r="H78" s="50">
        <v>3</v>
      </c>
      <c r="I78" s="50">
        <v>9</v>
      </c>
      <c r="J78" s="50">
        <v>3</v>
      </c>
      <c r="K78" s="50">
        <v>1</v>
      </c>
      <c r="L78" s="50">
        <v>1</v>
      </c>
      <c r="M78" s="50">
        <v>140</v>
      </c>
      <c r="N78" s="50">
        <v>0</v>
      </c>
      <c r="O78" s="15">
        <f t="shared" si="35"/>
        <v>118</v>
      </c>
      <c r="P78" s="15">
        <f t="shared" si="36"/>
        <v>258</v>
      </c>
      <c r="R78" s="8"/>
      <c r="T78"/>
    </row>
    <row r="79" spans="2:20" ht="23.1" customHeight="1" x14ac:dyDescent="0.25">
      <c r="B79" s="45" t="s">
        <v>119</v>
      </c>
      <c r="C79" s="50">
        <v>43</v>
      </c>
      <c r="D79" s="50">
        <v>6</v>
      </c>
      <c r="E79" s="50">
        <v>9</v>
      </c>
      <c r="F79" s="50">
        <v>19</v>
      </c>
      <c r="G79" s="50">
        <v>4</v>
      </c>
      <c r="H79" s="50">
        <v>3</v>
      </c>
      <c r="I79" s="50">
        <v>11</v>
      </c>
      <c r="J79" s="50">
        <v>4</v>
      </c>
      <c r="K79" s="50">
        <v>1</v>
      </c>
      <c r="L79" s="50">
        <v>3</v>
      </c>
      <c r="M79" s="50">
        <v>86</v>
      </c>
      <c r="N79" s="50">
        <v>0</v>
      </c>
      <c r="O79" s="15">
        <f t="shared" si="35"/>
        <v>103</v>
      </c>
      <c r="P79" s="15">
        <f t="shared" si="36"/>
        <v>189</v>
      </c>
      <c r="R79" s="8"/>
      <c r="T79"/>
    </row>
    <row r="80" spans="2:20" ht="23.1" customHeight="1" x14ac:dyDescent="0.25">
      <c r="B80" s="47" t="s">
        <v>120</v>
      </c>
      <c r="C80" s="50">
        <v>54</v>
      </c>
      <c r="D80" s="50">
        <v>9</v>
      </c>
      <c r="E80" s="50">
        <v>7</v>
      </c>
      <c r="F80" s="50">
        <v>29</v>
      </c>
      <c r="G80" s="50">
        <v>0</v>
      </c>
      <c r="H80" s="50">
        <v>3</v>
      </c>
      <c r="I80" s="50">
        <v>11</v>
      </c>
      <c r="J80" s="50">
        <v>5</v>
      </c>
      <c r="K80" s="50">
        <v>3</v>
      </c>
      <c r="L80" s="50">
        <v>1</v>
      </c>
      <c r="M80" s="50">
        <v>110</v>
      </c>
      <c r="N80" s="50">
        <v>0</v>
      </c>
      <c r="O80" s="15">
        <f t="shared" si="35"/>
        <v>122</v>
      </c>
      <c r="P80" s="15">
        <f t="shared" si="36"/>
        <v>232</v>
      </c>
      <c r="R80" s="8"/>
      <c r="T80"/>
    </row>
    <row r="81" spans="2:20" ht="23.1" customHeight="1" x14ac:dyDescent="0.25">
      <c r="B81" s="45" t="s">
        <v>121</v>
      </c>
      <c r="C81" s="50">
        <v>37</v>
      </c>
      <c r="D81" s="50">
        <v>5</v>
      </c>
      <c r="E81" s="50">
        <v>4</v>
      </c>
      <c r="F81" s="50">
        <v>15</v>
      </c>
      <c r="G81" s="50">
        <v>1</v>
      </c>
      <c r="H81" s="50">
        <v>5</v>
      </c>
      <c r="I81" s="50">
        <v>4</v>
      </c>
      <c r="J81" s="50">
        <v>8</v>
      </c>
      <c r="K81" s="50">
        <v>1</v>
      </c>
      <c r="L81" s="50">
        <v>5</v>
      </c>
      <c r="M81" s="50">
        <v>95</v>
      </c>
      <c r="N81" s="50">
        <v>0</v>
      </c>
      <c r="O81" s="15">
        <f t="shared" si="35"/>
        <v>85</v>
      </c>
      <c r="P81" s="15">
        <f t="shared" si="36"/>
        <v>180</v>
      </c>
      <c r="R81" s="8"/>
      <c r="T81"/>
    </row>
    <row r="82" spans="2:20" ht="23.1" customHeight="1" x14ac:dyDescent="0.25">
      <c r="B82" s="46" t="s">
        <v>122</v>
      </c>
      <c r="C82" s="50">
        <v>27</v>
      </c>
      <c r="D82" s="50">
        <v>7</v>
      </c>
      <c r="E82" s="50">
        <v>0</v>
      </c>
      <c r="F82" s="50">
        <v>7</v>
      </c>
      <c r="G82" s="50">
        <v>0</v>
      </c>
      <c r="H82" s="50">
        <v>1</v>
      </c>
      <c r="I82" s="50">
        <v>6</v>
      </c>
      <c r="J82" s="50">
        <v>3</v>
      </c>
      <c r="K82" s="50">
        <v>4</v>
      </c>
      <c r="L82" s="50">
        <v>2</v>
      </c>
      <c r="M82" s="50">
        <v>72</v>
      </c>
      <c r="N82" s="50">
        <v>0</v>
      </c>
      <c r="O82" s="15">
        <f t="shared" si="35"/>
        <v>57</v>
      </c>
      <c r="P82" s="15">
        <f t="shared" si="36"/>
        <v>129</v>
      </c>
      <c r="R82" s="8"/>
      <c r="T82"/>
    </row>
    <row r="83" spans="2:20" ht="23.1" customHeight="1" x14ac:dyDescent="0.25">
      <c r="B83" s="45" t="s">
        <v>123</v>
      </c>
      <c r="C83" s="50">
        <v>29</v>
      </c>
      <c r="D83" s="50">
        <v>1</v>
      </c>
      <c r="E83" s="50">
        <v>4</v>
      </c>
      <c r="F83" s="50">
        <v>11</v>
      </c>
      <c r="G83" s="50">
        <v>0</v>
      </c>
      <c r="H83" s="50">
        <v>0</v>
      </c>
      <c r="I83" s="50">
        <v>6</v>
      </c>
      <c r="J83" s="50">
        <v>6</v>
      </c>
      <c r="K83" s="50">
        <v>3</v>
      </c>
      <c r="L83" s="50">
        <v>0</v>
      </c>
      <c r="M83" s="50">
        <v>84</v>
      </c>
      <c r="N83" s="50">
        <v>0</v>
      </c>
      <c r="O83" s="15">
        <f t="shared" si="35"/>
        <v>60</v>
      </c>
      <c r="P83" s="15">
        <f t="shared" si="36"/>
        <v>144</v>
      </c>
      <c r="R83" s="8"/>
      <c r="T83"/>
    </row>
    <row r="84" spans="2:20" ht="23.1" customHeight="1" x14ac:dyDescent="0.25">
      <c r="B84" s="47" t="s">
        <v>124</v>
      </c>
      <c r="C84" s="50">
        <v>29</v>
      </c>
      <c r="D84" s="50">
        <v>1</v>
      </c>
      <c r="E84" s="50">
        <v>1</v>
      </c>
      <c r="F84" s="50">
        <v>8</v>
      </c>
      <c r="G84" s="50">
        <v>2</v>
      </c>
      <c r="H84" s="50">
        <v>0</v>
      </c>
      <c r="I84" s="50">
        <v>6</v>
      </c>
      <c r="J84" s="50">
        <v>5</v>
      </c>
      <c r="K84" s="50">
        <v>2</v>
      </c>
      <c r="L84" s="50">
        <v>0</v>
      </c>
      <c r="M84" s="50">
        <v>78</v>
      </c>
      <c r="N84" s="50">
        <v>0</v>
      </c>
      <c r="O84" s="15">
        <f t="shared" si="35"/>
        <v>54</v>
      </c>
      <c r="P84" s="15">
        <f t="shared" si="36"/>
        <v>132</v>
      </c>
      <c r="R84" s="8"/>
      <c r="T84"/>
    </row>
    <row r="85" spans="2:20" ht="23.1" customHeight="1" x14ac:dyDescent="0.25">
      <c r="B85" s="45" t="s">
        <v>125</v>
      </c>
      <c r="C85" s="50">
        <v>15</v>
      </c>
      <c r="D85" s="50">
        <v>3</v>
      </c>
      <c r="E85" s="50">
        <v>2</v>
      </c>
      <c r="F85" s="50">
        <v>9</v>
      </c>
      <c r="G85" s="50">
        <v>1</v>
      </c>
      <c r="H85" s="50">
        <v>1</v>
      </c>
      <c r="I85" s="50">
        <v>6</v>
      </c>
      <c r="J85" s="50">
        <v>2</v>
      </c>
      <c r="K85" s="50">
        <v>5</v>
      </c>
      <c r="L85" s="50">
        <v>1</v>
      </c>
      <c r="M85" s="50">
        <v>65</v>
      </c>
      <c r="N85" s="50">
        <v>0</v>
      </c>
      <c r="O85" s="15">
        <f t="shared" si="35"/>
        <v>45</v>
      </c>
      <c r="P85" s="15">
        <f t="shared" si="36"/>
        <v>110</v>
      </c>
      <c r="R85" s="8"/>
      <c r="T85"/>
    </row>
    <row r="86" spans="2:20" ht="23.1" customHeight="1" x14ac:dyDescent="0.25">
      <c r="B86" s="46" t="s">
        <v>126</v>
      </c>
      <c r="C86" s="50">
        <v>26</v>
      </c>
      <c r="D86" s="50">
        <v>2</v>
      </c>
      <c r="E86" s="50">
        <v>4</v>
      </c>
      <c r="F86" s="50">
        <v>3</v>
      </c>
      <c r="G86" s="50">
        <v>0</v>
      </c>
      <c r="H86" s="50">
        <v>3</v>
      </c>
      <c r="I86" s="50">
        <v>6</v>
      </c>
      <c r="J86" s="50">
        <v>5</v>
      </c>
      <c r="K86" s="50">
        <v>4</v>
      </c>
      <c r="L86" s="50">
        <v>5</v>
      </c>
      <c r="M86" s="50">
        <v>42</v>
      </c>
      <c r="N86" s="50">
        <v>0</v>
      </c>
      <c r="O86" s="15">
        <f t="shared" si="35"/>
        <v>58</v>
      </c>
      <c r="P86" s="15">
        <f t="shared" si="36"/>
        <v>100</v>
      </c>
      <c r="R86" s="8"/>
      <c r="T86"/>
    </row>
    <row r="87" spans="2:20" ht="23.1" customHeight="1" x14ac:dyDescent="0.25">
      <c r="B87" s="45" t="s">
        <v>127</v>
      </c>
      <c r="C87" s="50">
        <v>14</v>
      </c>
      <c r="D87" s="50">
        <v>2</v>
      </c>
      <c r="E87" s="50">
        <v>0</v>
      </c>
      <c r="F87" s="50">
        <v>3</v>
      </c>
      <c r="G87" s="50">
        <v>0</v>
      </c>
      <c r="H87" s="50">
        <v>1</v>
      </c>
      <c r="I87" s="50">
        <v>5</v>
      </c>
      <c r="J87" s="50">
        <v>4</v>
      </c>
      <c r="K87" s="50">
        <v>4</v>
      </c>
      <c r="L87" s="50">
        <v>0</v>
      </c>
      <c r="M87" s="50">
        <v>60</v>
      </c>
      <c r="N87" s="50">
        <v>0</v>
      </c>
      <c r="O87" s="15">
        <f t="shared" si="35"/>
        <v>33</v>
      </c>
      <c r="P87" s="15">
        <f t="shared" si="36"/>
        <v>93</v>
      </c>
      <c r="R87" s="8"/>
      <c r="T87"/>
    </row>
    <row r="88" spans="2:20" ht="23.1" customHeight="1" x14ac:dyDescent="0.25">
      <c r="B88" s="47" t="s">
        <v>128</v>
      </c>
      <c r="C88" s="50">
        <v>20</v>
      </c>
      <c r="D88" s="50">
        <v>7</v>
      </c>
      <c r="E88" s="50">
        <v>2</v>
      </c>
      <c r="F88" s="50">
        <v>5</v>
      </c>
      <c r="G88" s="50">
        <v>0</v>
      </c>
      <c r="H88" s="50">
        <v>2</v>
      </c>
      <c r="I88" s="50">
        <v>8</v>
      </c>
      <c r="J88" s="50">
        <v>11</v>
      </c>
      <c r="K88" s="50">
        <v>4</v>
      </c>
      <c r="L88" s="50">
        <v>0</v>
      </c>
      <c r="M88" s="50">
        <v>51</v>
      </c>
      <c r="N88" s="50">
        <v>0</v>
      </c>
      <c r="O88" s="15">
        <f t="shared" si="35"/>
        <v>59</v>
      </c>
      <c r="P88" s="15">
        <f t="shared" si="36"/>
        <v>110</v>
      </c>
      <c r="R88" s="8"/>
      <c r="T88"/>
    </row>
    <row r="89" spans="2:20" ht="23.1" customHeight="1" x14ac:dyDescent="0.25">
      <c r="B89" s="45" t="s">
        <v>129</v>
      </c>
      <c r="C89" s="50">
        <v>17</v>
      </c>
      <c r="D89" s="50">
        <v>6</v>
      </c>
      <c r="E89" s="50">
        <v>4</v>
      </c>
      <c r="F89" s="50">
        <v>2</v>
      </c>
      <c r="G89" s="50">
        <v>1</v>
      </c>
      <c r="H89" s="50">
        <v>1</v>
      </c>
      <c r="I89" s="50">
        <v>11</v>
      </c>
      <c r="J89" s="50">
        <v>11</v>
      </c>
      <c r="K89" s="50">
        <v>2</v>
      </c>
      <c r="L89" s="50">
        <v>0</v>
      </c>
      <c r="M89" s="50">
        <v>56</v>
      </c>
      <c r="N89" s="50">
        <v>0</v>
      </c>
      <c r="O89" s="15">
        <f t="shared" si="35"/>
        <v>55</v>
      </c>
      <c r="P89" s="15">
        <f t="shared" si="36"/>
        <v>111</v>
      </c>
      <c r="R89" s="8"/>
      <c r="T89"/>
    </row>
    <row r="90" spans="2:20" ht="23.1" customHeight="1" x14ac:dyDescent="0.25">
      <c r="B90" s="46" t="s">
        <v>130</v>
      </c>
      <c r="C90" s="50">
        <v>15</v>
      </c>
      <c r="D90" s="50">
        <v>0</v>
      </c>
      <c r="E90" s="50">
        <v>2</v>
      </c>
      <c r="F90" s="50">
        <v>3</v>
      </c>
      <c r="G90" s="50">
        <v>2</v>
      </c>
      <c r="H90" s="50">
        <v>1</v>
      </c>
      <c r="I90" s="50">
        <v>6</v>
      </c>
      <c r="J90" s="50">
        <v>6</v>
      </c>
      <c r="K90" s="50">
        <v>1</v>
      </c>
      <c r="L90" s="50">
        <v>2</v>
      </c>
      <c r="M90" s="50">
        <v>60</v>
      </c>
      <c r="N90" s="50">
        <v>0</v>
      </c>
      <c r="O90" s="15">
        <f t="shared" si="35"/>
        <v>38</v>
      </c>
      <c r="P90" s="15">
        <f t="shared" si="36"/>
        <v>98</v>
      </c>
      <c r="R90" s="8"/>
      <c r="T90"/>
    </row>
    <row r="91" spans="2:20" ht="23.1" customHeight="1" x14ac:dyDescent="0.25">
      <c r="B91" s="45" t="s">
        <v>131</v>
      </c>
      <c r="C91" s="50">
        <v>17</v>
      </c>
      <c r="D91" s="50">
        <v>7</v>
      </c>
      <c r="E91" s="50">
        <v>1</v>
      </c>
      <c r="F91" s="50">
        <v>0</v>
      </c>
      <c r="G91" s="50">
        <v>0</v>
      </c>
      <c r="H91" s="50">
        <v>3</v>
      </c>
      <c r="I91" s="50">
        <v>5</v>
      </c>
      <c r="J91" s="50">
        <v>10</v>
      </c>
      <c r="K91" s="50">
        <v>0</v>
      </c>
      <c r="L91" s="50">
        <v>2</v>
      </c>
      <c r="M91" s="50">
        <v>35</v>
      </c>
      <c r="N91" s="50">
        <v>0</v>
      </c>
      <c r="O91" s="15">
        <f t="shared" si="35"/>
        <v>45</v>
      </c>
      <c r="P91" s="15">
        <f t="shared" si="36"/>
        <v>80</v>
      </c>
      <c r="R91" s="8"/>
      <c r="T91"/>
    </row>
    <row r="92" spans="2:20" ht="23.1" customHeight="1" x14ac:dyDescent="0.25">
      <c r="B92" s="47" t="s">
        <v>132</v>
      </c>
      <c r="C92" s="50">
        <v>17</v>
      </c>
      <c r="D92" s="50">
        <v>1</v>
      </c>
      <c r="E92" s="50">
        <v>1</v>
      </c>
      <c r="F92" s="50">
        <v>2</v>
      </c>
      <c r="G92" s="50">
        <v>0</v>
      </c>
      <c r="H92" s="50">
        <v>1</v>
      </c>
      <c r="I92" s="50">
        <v>9</v>
      </c>
      <c r="J92" s="50">
        <v>2</v>
      </c>
      <c r="K92" s="50">
        <v>3</v>
      </c>
      <c r="L92" s="50">
        <v>1</v>
      </c>
      <c r="M92" s="50">
        <v>41</v>
      </c>
      <c r="N92" s="50">
        <v>0</v>
      </c>
      <c r="O92" s="15">
        <f t="shared" si="35"/>
        <v>37</v>
      </c>
      <c r="P92" s="15">
        <f t="shared" si="36"/>
        <v>78</v>
      </c>
      <c r="R92" s="8"/>
      <c r="T92"/>
    </row>
    <row r="93" spans="2:20" ht="23.1" customHeight="1" x14ac:dyDescent="0.25">
      <c r="B93" s="45" t="s">
        <v>133</v>
      </c>
      <c r="C93" s="50">
        <v>5</v>
      </c>
      <c r="D93" s="50">
        <v>1</v>
      </c>
      <c r="E93" s="50">
        <v>0</v>
      </c>
      <c r="F93" s="50">
        <v>0</v>
      </c>
      <c r="G93" s="50">
        <v>0</v>
      </c>
      <c r="H93" s="50">
        <v>0</v>
      </c>
      <c r="I93" s="50">
        <v>2</v>
      </c>
      <c r="J93" s="50">
        <v>8</v>
      </c>
      <c r="K93" s="50">
        <v>3</v>
      </c>
      <c r="L93" s="50">
        <v>0</v>
      </c>
      <c r="M93" s="50">
        <v>47</v>
      </c>
      <c r="N93" s="50">
        <v>0</v>
      </c>
      <c r="O93" s="15">
        <f t="shared" si="35"/>
        <v>19</v>
      </c>
      <c r="P93" s="15">
        <f t="shared" si="36"/>
        <v>66</v>
      </c>
      <c r="R93" s="8"/>
      <c r="T93"/>
    </row>
    <row r="94" spans="2:20" ht="23.1" customHeight="1" x14ac:dyDescent="0.25">
      <c r="B94" s="46" t="s">
        <v>134</v>
      </c>
      <c r="C94" s="50">
        <v>16</v>
      </c>
      <c r="D94" s="50">
        <v>1</v>
      </c>
      <c r="E94" s="50">
        <v>1</v>
      </c>
      <c r="F94" s="50">
        <v>2</v>
      </c>
      <c r="G94" s="50">
        <v>1</v>
      </c>
      <c r="H94" s="50">
        <v>4</v>
      </c>
      <c r="I94" s="50">
        <v>6</v>
      </c>
      <c r="J94" s="50">
        <v>6</v>
      </c>
      <c r="K94" s="50">
        <v>0</v>
      </c>
      <c r="L94" s="50">
        <v>0</v>
      </c>
      <c r="M94" s="50">
        <v>52</v>
      </c>
      <c r="N94" s="50">
        <v>0</v>
      </c>
      <c r="O94" s="15">
        <f t="shared" si="35"/>
        <v>37</v>
      </c>
      <c r="P94" s="15">
        <f t="shared" si="36"/>
        <v>89</v>
      </c>
      <c r="R94" s="8"/>
      <c r="T94"/>
    </row>
    <row r="95" spans="2:20" ht="23.1" customHeight="1" x14ac:dyDescent="0.25">
      <c r="B95" s="45" t="s">
        <v>135</v>
      </c>
      <c r="C95" s="50">
        <v>11</v>
      </c>
      <c r="D95" s="50">
        <v>3</v>
      </c>
      <c r="E95" s="50">
        <v>1</v>
      </c>
      <c r="F95" s="50">
        <v>4</v>
      </c>
      <c r="G95" s="50">
        <v>1</v>
      </c>
      <c r="H95" s="50">
        <v>8</v>
      </c>
      <c r="I95" s="50">
        <v>3</v>
      </c>
      <c r="J95" s="50">
        <v>10</v>
      </c>
      <c r="K95" s="50">
        <v>0</v>
      </c>
      <c r="L95" s="50">
        <v>0</v>
      </c>
      <c r="M95" s="50">
        <v>37</v>
      </c>
      <c r="N95" s="50">
        <v>0</v>
      </c>
      <c r="O95" s="15">
        <f t="shared" si="35"/>
        <v>41</v>
      </c>
      <c r="P95" s="15">
        <f t="shared" si="36"/>
        <v>78</v>
      </c>
      <c r="R95" s="8"/>
      <c r="T95"/>
    </row>
    <row r="96" spans="2:20" ht="23.1" customHeight="1" x14ac:dyDescent="0.25">
      <c r="B96" s="47" t="s">
        <v>136</v>
      </c>
      <c r="C96" s="50">
        <v>8</v>
      </c>
      <c r="D96" s="50">
        <v>0</v>
      </c>
      <c r="E96" s="50">
        <v>1</v>
      </c>
      <c r="F96" s="50">
        <v>2</v>
      </c>
      <c r="G96" s="50">
        <v>0</v>
      </c>
      <c r="H96" s="50">
        <v>1</v>
      </c>
      <c r="I96" s="50">
        <v>3</v>
      </c>
      <c r="J96" s="50">
        <v>6</v>
      </c>
      <c r="K96" s="50">
        <v>2</v>
      </c>
      <c r="L96" s="50">
        <v>0</v>
      </c>
      <c r="M96" s="50">
        <v>22</v>
      </c>
      <c r="N96" s="50">
        <v>0</v>
      </c>
      <c r="O96" s="15">
        <f t="shared" si="35"/>
        <v>23</v>
      </c>
      <c r="P96" s="15">
        <f t="shared" si="36"/>
        <v>45</v>
      </c>
      <c r="R96" s="8"/>
      <c r="T96"/>
    </row>
    <row r="97" spans="2:20" ht="23.1" customHeight="1" x14ac:dyDescent="0.25">
      <c r="B97" s="45" t="s">
        <v>137</v>
      </c>
      <c r="C97" s="50">
        <v>6</v>
      </c>
      <c r="D97" s="50">
        <v>3</v>
      </c>
      <c r="E97" s="50">
        <v>0</v>
      </c>
      <c r="F97" s="50">
        <v>3</v>
      </c>
      <c r="G97" s="50">
        <v>1</v>
      </c>
      <c r="H97" s="50">
        <v>2</v>
      </c>
      <c r="I97" s="50">
        <v>3</v>
      </c>
      <c r="J97" s="50">
        <v>2</v>
      </c>
      <c r="K97" s="50">
        <v>0</v>
      </c>
      <c r="L97" s="50">
        <v>0</v>
      </c>
      <c r="M97" s="50">
        <v>36</v>
      </c>
      <c r="N97" s="50">
        <v>0</v>
      </c>
      <c r="O97" s="15">
        <f t="shared" si="35"/>
        <v>20</v>
      </c>
      <c r="P97" s="15">
        <f t="shared" si="36"/>
        <v>56</v>
      </c>
      <c r="R97" s="8"/>
      <c r="T97"/>
    </row>
    <row r="98" spans="2:20" ht="23.1" customHeight="1" x14ac:dyDescent="0.25">
      <c r="B98" s="46" t="s">
        <v>138</v>
      </c>
      <c r="C98" s="50">
        <v>7</v>
      </c>
      <c r="D98" s="50">
        <v>2</v>
      </c>
      <c r="E98" s="50">
        <v>6</v>
      </c>
      <c r="F98" s="50">
        <v>4</v>
      </c>
      <c r="G98" s="50">
        <v>3</v>
      </c>
      <c r="H98" s="50">
        <v>2</v>
      </c>
      <c r="I98" s="50">
        <v>3</v>
      </c>
      <c r="J98" s="50">
        <v>0</v>
      </c>
      <c r="K98" s="50">
        <v>4</v>
      </c>
      <c r="L98" s="50">
        <v>1</v>
      </c>
      <c r="M98" s="50">
        <v>35</v>
      </c>
      <c r="N98" s="50">
        <v>0</v>
      </c>
      <c r="O98" s="15">
        <f t="shared" si="35"/>
        <v>32</v>
      </c>
      <c r="P98" s="15">
        <f t="shared" si="36"/>
        <v>67</v>
      </c>
      <c r="R98" s="8"/>
      <c r="T98"/>
    </row>
    <row r="99" spans="2:20" ht="23.1" customHeight="1" x14ac:dyDescent="0.25">
      <c r="B99" s="45" t="s">
        <v>139</v>
      </c>
      <c r="C99" s="50">
        <v>17</v>
      </c>
      <c r="D99" s="50">
        <v>0</v>
      </c>
      <c r="E99" s="50">
        <v>2</v>
      </c>
      <c r="F99" s="50">
        <v>24</v>
      </c>
      <c r="G99" s="50">
        <v>0</v>
      </c>
      <c r="H99" s="50">
        <v>1</v>
      </c>
      <c r="I99" s="50">
        <v>7</v>
      </c>
      <c r="J99" s="50">
        <v>4</v>
      </c>
      <c r="K99" s="50">
        <v>1</v>
      </c>
      <c r="L99" s="50">
        <v>1</v>
      </c>
      <c r="M99" s="50">
        <v>47</v>
      </c>
      <c r="N99" s="50">
        <v>0</v>
      </c>
      <c r="O99" s="15">
        <f t="shared" si="35"/>
        <v>57</v>
      </c>
      <c r="P99" s="15">
        <f t="shared" si="36"/>
        <v>104</v>
      </c>
      <c r="R99" s="8"/>
      <c r="T99"/>
    </row>
    <row r="100" spans="2:20" ht="23.1" customHeight="1" x14ac:dyDescent="0.25">
      <c r="B100" s="47" t="s">
        <v>140</v>
      </c>
      <c r="C100" s="50">
        <v>12</v>
      </c>
      <c r="D100" s="50">
        <v>1</v>
      </c>
      <c r="E100" s="50">
        <v>4</v>
      </c>
      <c r="F100" s="50">
        <v>25</v>
      </c>
      <c r="G100" s="50">
        <v>0</v>
      </c>
      <c r="H100" s="50">
        <v>4</v>
      </c>
      <c r="I100" s="50">
        <v>11</v>
      </c>
      <c r="J100" s="50">
        <v>8</v>
      </c>
      <c r="K100" s="50">
        <v>2</v>
      </c>
      <c r="L100" s="50">
        <v>3</v>
      </c>
      <c r="M100" s="50">
        <v>78</v>
      </c>
      <c r="N100" s="50">
        <v>0</v>
      </c>
      <c r="O100" s="15">
        <f t="shared" si="35"/>
        <v>70</v>
      </c>
      <c r="P100" s="15">
        <f t="shared" si="36"/>
        <v>148</v>
      </c>
      <c r="R100" s="8"/>
      <c r="T100"/>
    </row>
    <row r="101" spans="2:20" ht="23.1" customHeight="1" x14ac:dyDescent="0.25">
      <c r="B101" s="45" t="s">
        <v>141</v>
      </c>
      <c r="C101" s="50">
        <v>20</v>
      </c>
      <c r="D101" s="50">
        <v>0</v>
      </c>
      <c r="E101" s="50">
        <v>3</v>
      </c>
      <c r="F101" s="50">
        <v>29</v>
      </c>
      <c r="G101" s="50">
        <v>2</v>
      </c>
      <c r="H101" s="50">
        <v>1</v>
      </c>
      <c r="I101" s="50">
        <v>5</v>
      </c>
      <c r="J101" s="50">
        <v>5</v>
      </c>
      <c r="K101" s="50">
        <v>1</v>
      </c>
      <c r="L101" s="50">
        <v>0</v>
      </c>
      <c r="M101" s="50">
        <v>87</v>
      </c>
      <c r="N101" s="50">
        <v>0</v>
      </c>
      <c r="O101" s="15">
        <f t="shared" si="35"/>
        <v>66</v>
      </c>
      <c r="P101" s="15">
        <f t="shared" si="36"/>
        <v>153</v>
      </c>
      <c r="R101" s="8"/>
      <c r="T101"/>
    </row>
    <row r="102" spans="2:20" ht="23.1" customHeight="1" x14ac:dyDescent="0.25">
      <c r="B102" s="46" t="s">
        <v>142</v>
      </c>
      <c r="C102" s="50">
        <v>22</v>
      </c>
      <c r="D102" s="50">
        <v>3</v>
      </c>
      <c r="E102" s="50">
        <v>4</v>
      </c>
      <c r="F102" s="50">
        <v>45</v>
      </c>
      <c r="G102" s="50">
        <v>1</v>
      </c>
      <c r="H102" s="50">
        <v>2</v>
      </c>
      <c r="I102" s="50">
        <v>2</v>
      </c>
      <c r="J102" s="50">
        <v>9</v>
      </c>
      <c r="K102" s="50">
        <v>2</v>
      </c>
      <c r="L102" s="50">
        <v>0</v>
      </c>
      <c r="M102" s="50">
        <v>119</v>
      </c>
      <c r="N102" s="50">
        <v>0</v>
      </c>
      <c r="O102" s="15">
        <f t="shared" si="35"/>
        <v>90</v>
      </c>
      <c r="P102" s="15">
        <f t="shared" si="36"/>
        <v>209</v>
      </c>
      <c r="R102" s="8"/>
      <c r="T102"/>
    </row>
    <row r="103" spans="2:20" ht="23.1" customHeight="1" x14ac:dyDescent="0.25">
      <c r="B103" s="45" t="s">
        <v>143</v>
      </c>
      <c r="C103" s="50">
        <v>26</v>
      </c>
      <c r="D103" s="50">
        <v>0</v>
      </c>
      <c r="E103" s="50">
        <v>8</v>
      </c>
      <c r="F103" s="50">
        <v>50</v>
      </c>
      <c r="G103" s="50">
        <v>0</v>
      </c>
      <c r="H103" s="50">
        <v>1</v>
      </c>
      <c r="I103" s="50">
        <v>4</v>
      </c>
      <c r="J103" s="50">
        <v>12</v>
      </c>
      <c r="K103" s="50">
        <v>1</v>
      </c>
      <c r="L103" s="50">
        <v>1</v>
      </c>
      <c r="M103" s="50">
        <v>105</v>
      </c>
      <c r="N103" s="50">
        <v>0</v>
      </c>
      <c r="O103" s="15">
        <f t="shared" si="35"/>
        <v>103</v>
      </c>
      <c r="P103" s="15">
        <f t="shared" si="36"/>
        <v>208</v>
      </c>
      <c r="R103" s="8"/>
      <c r="T103"/>
    </row>
    <row r="104" spans="2:20" ht="23.1" customHeight="1" x14ac:dyDescent="0.25">
      <c r="B104" s="47" t="s">
        <v>144</v>
      </c>
      <c r="C104" s="50">
        <v>31</v>
      </c>
      <c r="D104" s="50">
        <v>2</v>
      </c>
      <c r="E104" s="50">
        <v>13</v>
      </c>
      <c r="F104" s="50">
        <v>42</v>
      </c>
      <c r="G104" s="50">
        <v>2</v>
      </c>
      <c r="H104" s="50">
        <v>1</v>
      </c>
      <c r="I104" s="50">
        <v>9</v>
      </c>
      <c r="J104" s="50">
        <v>6</v>
      </c>
      <c r="K104" s="50">
        <v>5</v>
      </c>
      <c r="L104" s="50">
        <v>0</v>
      </c>
      <c r="M104" s="50">
        <v>97</v>
      </c>
      <c r="N104" s="50">
        <v>0</v>
      </c>
      <c r="O104" s="15">
        <f t="shared" si="35"/>
        <v>111</v>
      </c>
      <c r="P104" s="15">
        <f t="shared" si="36"/>
        <v>208</v>
      </c>
      <c r="R104" s="8"/>
      <c r="T104"/>
    </row>
    <row r="105" spans="2:20" ht="23.1" customHeight="1" x14ac:dyDescent="0.25">
      <c r="B105" s="45" t="s">
        <v>145</v>
      </c>
      <c r="C105" s="50">
        <v>43</v>
      </c>
      <c r="D105" s="50">
        <v>5</v>
      </c>
      <c r="E105" s="50">
        <v>4</v>
      </c>
      <c r="F105" s="50">
        <v>63</v>
      </c>
      <c r="G105" s="50">
        <v>0</v>
      </c>
      <c r="H105" s="50">
        <v>0</v>
      </c>
      <c r="I105" s="50">
        <v>5</v>
      </c>
      <c r="J105" s="50">
        <v>3</v>
      </c>
      <c r="K105" s="50">
        <v>1</v>
      </c>
      <c r="L105" s="50">
        <v>1</v>
      </c>
      <c r="M105" s="50">
        <v>105</v>
      </c>
      <c r="N105" s="50">
        <v>0</v>
      </c>
      <c r="O105" s="15">
        <f t="shared" si="35"/>
        <v>125</v>
      </c>
      <c r="P105" s="15">
        <f t="shared" si="36"/>
        <v>230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5060</v>
      </c>
      <c r="D106" s="16">
        <f t="shared" ref="D106:P106" si="37">SUM(D10:D105)</f>
        <v>905</v>
      </c>
      <c r="E106" s="16">
        <f t="shared" si="37"/>
        <v>863</v>
      </c>
      <c r="F106" s="16">
        <f t="shared" si="37"/>
        <v>4560</v>
      </c>
      <c r="G106" s="16">
        <f t="shared" si="37"/>
        <v>133</v>
      </c>
      <c r="H106" s="16">
        <f t="shared" si="37"/>
        <v>174</v>
      </c>
      <c r="I106" s="16">
        <f t="shared" si="37"/>
        <v>704</v>
      </c>
      <c r="J106" s="16">
        <f t="shared" si="37"/>
        <v>448</v>
      </c>
      <c r="K106" s="16">
        <f t="shared" si="37"/>
        <v>192</v>
      </c>
      <c r="L106" s="16">
        <f t="shared" si="37"/>
        <v>219</v>
      </c>
      <c r="M106" s="16">
        <f t="shared" si="37"/>
        <v>10835</v>
      </c>
      <c r="N106" s="16">
        <f t="shared" si="37"/>
        <v>0</v>
      </c>
      <c r="O106" s="16">
        <f t="shared" si="37"/>
        <v>13258</v>
      </c>
      <c r="P106" s="16">
        <f t="shared" si="37"/>
        <v>24093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0.21001950774083758</v>
      </c>
      <c r="D107" s="43">
        <f t="shared" si="38"/>
        <v>3.7562777570248618E-2</v>
      </c>
      <c r="E107" s="43">
        <f t="shared" si="38"/>
        <v>3.581953264433653E-2</v>
      </c>
      <c r="F107" s="43">
        <f t="shared" si="38"/>
        <v>0.18926659195616985</v>
      </c>
      <c r="G107" s="43">
        <f t="shared" si="38"/>
        <v>5.5202755987216207E-3</v>
      </c>
      <c r="H107" s="43">
        <f t="shared" si="38"/>
        <v>7.2220146930643755E-3</v>
      </c>
      <c r="I107" s="43">
        <f t="shared" si="38"/>
        <v>2.9220105424812185E-2</v>
      </c>
      <c r="J107" s="43">
        <f t="shared" si="38"/>
        <v>1.85946125430623E-2</v>
      </c>
      <c r="K107" s="43">
        <f t="shared" si="38"/>
        <v>7.9691196613124148E-3</v>
      </c>
      <c r="L107" s="43">
        <f t="shared" si="38"/>
        <v>9.0897771136844718E-3</v>
      </c>
      <c r="M107" s="43">
        <f t="shared" si="38"/>
        <v>0.44971568505375004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0.38165635842510182</v>
      </c>
      <c r="D108" s="44">
        <f t="shared" ref="D108:N108" si="39">D106/$O$106</f>
        <v>6.8260672801327499E-2</v>
      </c>
      <c r="E108" s="44">
        <f t="shared" si="39"/>
        <v>6.5092774174083573E-2</v>
      </c>
      <c r="F108" s="44">
        <f t="shared" si="39"/>
        <v>0.34394327952934078</v>
      </c>
      <c r="G108" s="44">
        <f t="shared" si="39"/>
        <v>1.0031678986272439E-2</v>
      </c>
      <c r="H108" s="44">
        <f t="shared" si="39"/>
        <v>1.3124151455724846E-2</v>
      </c>
      <c r="I108" s="44">
        <f t="shared" si="39"/>
        <v>5.3100015085231558E-2</v>
      </c>
      <c r="J108" s="44">
        <f t="shared" si="39"/>
        <v>3.3790918690601898E-2</v>
      </c>
      <c r="K108" s="44">
        <f t="shared" si="39"/>
        <v>1.4481822295972243E-2</v>
      </c>
      <c r="L108" s="44">
        <f t="shared" si="39"/>
        <v>1.6518328556343338E-2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F126"/>
  <sheetViews>
    <sheetView view="pageBreakPreview" topLeftCell="A19" zoomScale="60" workbookViewId="0">
      <selection activeCell="N57" sqref="N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4" t="str">
        <f>'22.07 NATEETE-BUSEGA'!C3:G3</f>
        <v>MCC - C1 - STN10- MASAKA ROAD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168</v>
      </c>
      <c r="E5" s="3"/>
      <c r="F5" s="41" t="s">
        <v>1</v>
      </c>
      <c r="G5" s="62" t="str">
        <f>'27.07 52BUSEGA-NATEETEh'!G5:H5</f>
        <v>GOD'S MERCY SUPERMARKET</v>
      </c>
      <c r="H5" s="63"/>
      <c r="I5" s="14"/>
      <c r="J5" s="2" t="s">
        <v>5</v>
      </c>
      <c r="K5" s="62" t="str">
        <f>'27.07 52BUSEGA-NATEETEh'!K5:L5</f>
        <v>BONIFACE/IVAN</v>
      </c>
      <c r="L5" s="63"/>
      <c r="M5" s="10"/>
      <c r="N5" s="10"/>
      <c r="O5" s="3"/>
      <c r="P5" s="3"/>
    </row>
    <row r="6" spans="2:32" ht="23.25" customHeight="1" x14ac:dyDescent="0.25">
      <c r="C6" s="2" t="s">
        <v>4</v>
      </c>
      <c r="D6" s="62" t="str">
        <f>'22.07 NATEETE-BUSEGA'!D6:E6</f>
        <v>NATEETE</v>
      </c>
      <c r="E6" s="63"/>
      <c r="F6" s="2" t="s">
        <v>2</v>
      </c>
      <c r="G6" s="62" t="str">
        <f>'22.07 NATEETE-BUSEGA'!G6:H6</f>
        <v>BUSEGA</v>
      </c>
      <c r="H6" s="63"/>
      <c r="J6" s="2" t="s">
        <v>21</v>
      </c>
      <c r="K6" s="62" t="str">
        <f>'27.07 52BUSEGA-NATEETEh'!K6:L6</f>
        <v>BEATRACE</v>
      </c>
      <c r="L6" s="6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30</v>
      </c>
      <c r="D10" s="50">
        <v>2</v>
      </c>
      <c r="E10" s="50">
        <v>1</v>
      </c>
      <c r="F10" s="50">
        <v>67</v>
      </c>
      <c r="G10" s="50">
        <v>2</v>
      </c>
      <c r="H10" s="50">
        <v>5</v>
      </c>
      <c r="I10" s="50">
        <v>11</v>
      </c>
      <c r="J10" s="50">
        <v>8</v>
      </c>
      <c r="K10" s="50">
        <v>0</v>
      </c>
      <c r="L10" s="50">
        <v>2</v>
      </c>
      <c r="M10" s="50">
        <v>150</v>
      </c>
      <c r="N10" s="50">
        <v>0</v>
      </c>
      <c r="O10" s="15">
        <f t="shared" ref="O10:O57" si="0">SUM(C10:L10,N10)</f>
        <v>128</v>
      </c>
      <c r="P10" s="15">
        <f t="shared" ref="P10:P57" si="1">SUM(C10:N10)</f>
        <v>278</v>
      </c>
      <c r="R10" s="1" t="s">
        <v>6</v>
      </c>
      <c r="S10" s="17">
        <f t="shared" ref="S10:AF10" si="2">SUM(C10:C13)</f>
        <v>151</v>
      </c>
      <c r="T10" s="17">
        <f t="shared" si="2"/>
        <v>24</v>
      </c>
      <c r="U10" s="17">
        <f t="shared" si="2"/>
        <v>14</v>
      </c>
      <c r="V10" s="17">
        <f t="shared" si="2"/>
        <v>196</v>
      </c>
      <c r="W10" s="17">
        <f t="shared" si="2"/>
        <v>19</v>
      </c>
      <c r="X10" s="17">
        <f t="shared" si="2"/>
        <v>14</v>
      </c>
      <c r="Y10" s="17">
        <f t="shared" si="2"/>
        <v>50</v>
      </c>
      <c r="Z10" s="17">
        <f t="shared" si="2"/>
        <v>28</v>
      </c>
      <c r="AA10" s="17">
        <f t="shared" si="2"/>
        <v>12</v>
      </c>
      <c r="AB10" s="17">
        <f t="shared" si="2"/>
        <v>12</v>
      </c>
      <c r="AC10" s="17">
        <f t="shared" si="2"/>
        <v>478</v>
      </c>
      <c r="AD10" s="17">
        <f t="shared" si="2"/>
        <v>0</v>
      </c>
      <c r="AE10" s="31">
        <f t="shared" si="2"/>
        <v>520</v>
      </c>
      <c r="AF10" s="31">
        <f t="shared" si="2"/>
        <v>998</v>
      </c>
    </row>
    <row r="11" spans="2:32" s="6" customFormat="1" ht="23.1" customHeight="1" x14ac:dyDescent="0.25">
      <c r="B11" s="23" t="s">
        <v>38</v>
      </c>
      <c r="C11" s="50">
        <v>49</v>
      </c>
      <c r="D11" s="50">
        <v>3</v>
      </c>
      <c r="E11" s="50">
        <v>2</v>
      </c>
      <c r="F11" s="50">
        <v>62</v>
      </c>
      <c r="G11" s="50">
        <v>5</v>
      </c>
      <c r="H11" s="50">
        <v>4</v>
      </c>
      <c r="I11" s="50">
        <v>22</v>
      </c>
      <c r="J11" s="50">
        <v>9</v>
      </c>
      <c r="K11" s="50">
        <v>7</v>
      </c>
      <c r="L11" s="50">
        <v>4</v>
      </c>
      <c r="M11" s="50">
        <v>125</v>
      </c>
      <c r="N11" s="50">
        <v>0</v>
      </c>
      <c r="O11" s="15">
        <f t="shared" si="0"/>
        <v>167</v>
      </c>
      <c r="P11" s="15">
        <f t="shared" si="1"/>
        <v>292</v>
      </c>
      <c r="R11" s="1" t="s">
        <v>7</v>
      </c>
      <c r="S11" s="17">
        <f t="shared" ref="S11:AF11" si="3">SUM(C14:C17)</f>
        <v>189</v>
      </c>
      <c r="T11" s="17">
        <f t="shared" si="3"/>
        <v>75</v>
      </c>
      <c r="U11" s="17">
        <f t="shared" si="3"/>
        <v>33</v>
      </c>
      <c r="V11" s="17">
        <f t="shared" si="3"/>
        <v>240</v>
      </c>
      <c r="W11" s="17">
        <f t="shared" si="3"/>
        <v>3</v>
      </c>
      <c r="X11" s="17">
        <f t="shared" si="3"/>
        <v>14</v>
      </c>
      <c r="Y11" s="17">
        <f t="shared" si="3"/>
        <v>28</v>
      </c>
      <c r="Z11" s="17">
        <f t="shared" si="3"/>
        <v>21</v>
      </c>
      <c r="AA11" s="17">
        <f t="shared" si="3"/>
        <v>14</v>
      </c>
      <c r="AB11" s="17">
        <f t="shared" si="3"/>
        <v>11</v>
      </c>
      <c r="AC11" s="17">
        <f t="shared" si="3"/>
        <v>510</v>
      </c>
      <c r="AD11" s="17">
        <f t="shared" si="3"/>
        <v>1</v>
      </c>
      <c r="AE11" s="31">
        <f t="shared" si="3"/>
        <v>629</v>
      </c>
      <c r="AF11" s="31">
        <f t="shared" si="3"/>
        <v>1139</v>
      </c>
    </row>
    <row r="12" spans="2:32" ht="23.1" customHeight="1" x14ac:dyDescent="0.25">
      <c r="B12" s="23" t="s">
        <v>39</v>
      </c>
      <c r="C12" s="50">
        <v>36</v>
      </c>
      <c r="D12" s="50">
        <v>7</v>
      </c>
      <c r="E12" s="50">
        <v>6</v>
      </c>
      <c r="F12" s="50">
        <v>63</v>
      </c>
      <c r="G12" s="50">
        <v>2</v>
      </c>
      <c r="H12" s="50">
        <v>3</v>
      </c>
      <c r="I12" s="50">
        <v>11</v>
      </c>
      <c r="J12" s="50">
        <v>7</v>
      </c>
      <c r="K12" s="50">
        <v>2</v>
      </c>
      <c r="L12" s="50">
        <v>0</v>
      </c>
      <c r="M12" s="50">
        <v>100</v>
      </c>
      <c r="N12" s="50">
        <v>0</v>
      </c>
      <c r="O12" s="15">
        <f t="shared" si="0"/>
        <v>137</v>
      </c>
      <c r="P12" s="15">
        <f t="shared" si="1"/>
        <v>237</v>
      </c>
      <c r="R12" s="1" t="s">
        <v>8</v>
      </c>
      <c r="S12" s="17">
        <f t="shared" ref="S12:AF12" si="4">SUM(C18:C21)</f>
        <v>208</v>
      </c>
      <c r="T12" s="17">
        <f t="shared" si="4"/>
        <v>104</v>
      </c>
      <c r="U12" s="17">
        <f t="shared" si="4"/>
        <v>37</v>
      </c>
      <c r="V12" s="17">
        <f t="shared" si="4"/>
        <v>235</v>
      </c>
      <c r="W12" s="17">
        <f t="shared" si="4"/>
        <v>3</v>
      </c>
      <c r="X12" s="17">
        <f t="shared" si="4"/>
        <v>1</v>
      </c>
      <c r="Y12" s="17">
        <f t="shared" si="4"/>
        <v>35</v>
      </c>
      <c r="Z12" s="17">
        <f t="shared" si="4"/>
        <v>17</v>
      </c>
      <c r="AA12" s="17">
        <f t="shared" si="4"/>
        <v>2</v>
      </c>
      <c r="AB12" s="17">
        <f t="shared" si="4"/>
        <v>9</v>
      </c>
      <c r="AC12" s="17">
        <f t="shared" si="4"/>
        <v>575</v>
      </c>
      <c r="AD12" s="17">
        <f t="shared" si="4"/>
        <v>0</v>
      </c>
      <c r="AE12" s="31">
        <f t="shared" si="4"/>
        <v>651</v>
      </c>
      <c r="AF12" s="31">
        <f t="shared" si="4"/>
        <v>1226</v>
      </c>
    </row>
    <row r="13" spans="2:32" ht="23.1" customHeight="1" x14ac:dyDescent="0.25">
      <c r="B13" s="23" t="s">
        <v>40</v>
      </c>
      <c r="C13" s="50">
        <v>36</v>
      </c>
      <c r="D13" s="50">
        <v>12</v>
      </c>
      <c r="E13" s="50">
        <v>5</v>
      </c>
      <c r="F13" s="50">
        <v>4</v>
      </c>
      <c r="G13" s="50">
        <v>10</v>
      </c>
      <c r="H13" s="50">
        <v>2</v>
      </c>
      <c r="I13" s="50">
        <v>6</v>
      </c>
      <c r="J13" s="50">
        <v>4</v>
      </c>
      <c r="K13" s="50">
        <v>3</v>
      </c>
      <c r="L13" s="50">
        <v>6</v>
      </c>
      <c r="M13" s="50">
        <v>103</v>
      </c>
      <c r="N13" s="50">
        <v>0</v>
      </c>
      <c r="O13" s="15">
        <f t="shared" si="0"/>
        <v>88</v>
      </c>
      <c r="P13" s="15">
        <f t="shared" si="1"/>
        <v>191</v>
      </c>
      <c r="R13" s="1" t="s">
        <v>9</v>
      </c>
      <c r="S13" s="17">
        <f t="shared" ref="S13:AF13" si="5">SUM(C22:C25)</f>
        <v>206</v>
      </c>
      <c r="T13" s="17">
        <f t="shared" si="5"/>
        <v>127</v>
      </c>
      <c r="U13" s="17">
        <f t="shared" si="5"/>
        <v>49</v>
      </c>
      <c r="V13" s="17">
        <f t="shared" si="5"/>
        <v>248</v>
      </c>
      <c r="W13" s="17">
        <f t="shared" si="5"/>
        <v>9</v>
      </c>
      <c r="X13" s="17">
        <f t="shared" si="5"/>
        <v>5</v>
      </c>
      <c r="Y13" s="17">
        <f t="shared" si="5"/>
        <v>25</v>
      </c>
      <c r="Z13" s="17">
        <f t="shared" si="5"/>
        <v>21</v>
      </c>
      <c r="AA13" s="17">
        <f t="shared" si="5"/>
        <v>7</v>
      </c>
      <c r="AB13" s="17">
        <f t="shared" si="5"/>
        <v>10</v>
      </c>
      <c r="AC13" s="17">
        <f t="shared" si="5"/>
        <v>595</v>
      </c>
      <c r="AD13" s="17">
        <f t="shared" si="5"/>
        <v>0</v>
      </c>
      <c r="AE13" s="31">
        <f t="shared" si="5"/>
        <v>707</v>
      </c>
      <c r="AF13" s="31">
        <f t="shared" si="5"/>
        <v>1302</v>
      </c>
    </row>
    <row r="14" spans="2:32" ht="23.1" customHeight="1" x14ac:dyDescent="0.25">
      <c r="B14" s="23" t="s">
        <v>41</v>
      </c>
      <c r="C14" s="50">
        <v>33</v>
      </c>
      <c r="D14" s="50">
        <v>14</v>
      </c>
      <c r="E14" s="50">
        <v>9</v>
      </c>
      <c r="F14" s="50">
        <v>60</v>
      </c>
      <c r="G14" s="50">
        <v>2</v>
      </c>
      <c r="H14" s="50">
        <v>6</v>
      </c>
      <c r="I14" s="50">
        <v>12</v>
      </c>
      <c r="J14" s="50">
        <v>10</v>
      </c>
      <c r="K14" s="50">
        <v>6</v>
      </c>
      <c r="L14" s="50">
        <v>4</v>
      </c>
      <c r="M14" s="50">
        <v>135</v>
      </c>
      <c r="N14" s="50">
        <v>1</v>
      </c>
      <c r="O14" s="15">
        <f t="shared" si="0"/>
        <v>157</v>
      </c>
      <c r="P14" s="15">
        <f t="shared" si="1"/>
        <v>292</v>
      </c>
      <c r="R14" s="1" t="s">
        <v>10</v>
      </c>
      <c r="S14" s="17">
        <f t="shared" ref="S14:AF14" si="6">SUM(C26:C29)</f>
        <v>113</v>
      </c>
      <c r="T14" s="17">
        <f t="shared" si="6"/>
        <v>74</v>
      </c>
      <c r="U14" s="17">
        <f t="shared" si="6"/>
        <v>50</v>
      </c>
      <c r="V14" s="17">
        <f t="shared" si="6"/>
        <v>217</v>
      </c>
      <c r="W14" s="17">
        <f t="shared" si="6"/>
        <v>0</v>
      </c>
      <c r="X14" s="17">
        <f t="shared" si="6"/>
        <v>5</v>
      </c>
      <c r="Y14" s="17">
        <f t="shared" si="6"/>
        <v>9</v>
      </c>
      <c r="Z14" s="17">
        <f t="shared" si="6"/>
        <v>9</v>
      </c>
      <c r="AA14" s="17">
        <f t="shared" si="6"/>
        <v>7</v>
      </c>
      <c r="AB14" s="17">
        <f t="shared" si="6"/>
        <v>4</v>
      </c>
      <c r="AC14" s="17">
        <f t="shared" si="6"/>
        <v>662</v>
      </c>
      <c r="AD14" s="17">
        <f t="shared" si="6"/>
        <v>0</v>
      </c>
      <c r="AE14" s="31">
        <f t="shared" si="6"/>
        <v>488</v>
      </c>
      <c r="AF14" s="31">
        <f t="shared" si="6"/>
        <v>1150</v>
      </c>
    </row>
    <row r="15" spans="2:32" ht="23.1" customHeight="1" x14ac:dyDescent="0.25">
      <c r="B15" s="23" t="s">
        <v>42</v>
      </c>
      <c r="C15" s="50">
        <v>59</v>
      </c>
      <c r="D15" s="50">
        <v>22</v>
      </c>
      <c r="E15" s="50">
        <v>7</v>
      </c>
      <c r="F15" s="50">
        <v>62</v>
      </c>
      <c r="G15" s="50">
        <v>1</v>
      </c>
      <c r="H15" s="50">
        <v>0</v>
      </c>
      <c r="I15" s="50">
        <v>7</v>
      </c>
      <c r="J15" s="50">
        <v>5</v>
      </c>
      <c r="K15" s="50">
        <v>4</v>
      </c>
      <c r="L15" s="50">
        <v>2</v>
      </c>
      <c r="M15" s="50">
        <v>125</v>
      </c>
      <c r="N15" s="50">
        <v>0</v>
      </c>
      <c r="O15" s="15">
        <f t="shared" si="0"/>
        <v>169</v>
      </c>
      <c r="P15" s="15">
        <f t="shared" si="1"/>
        <v>294</v>
      </c>
      <c r="R15" s="1" t="s">
        <v>11</v>
      </c>
      <c r="S15" s="17">
        <f t="shared" ref="S15:AF15" si="7">SUM(C30:C33)</f>
        <v>127</v>
      </c>
      <c r="T15" s="17">
        <f t="shared" si="7"/>
        <v>91</v>
      </c>
      <c r="U15" s="17">
        <f t="shared" si="7"/>
        <v>36</v>
      </c>
      <c r="V15" s="17">
        <f t="shared" si="7"/>
        <v>164</v>
      </c>
      <c r="W15" s="17">
        <f t="shared" si="7"/>
        <v>1</v>
      </c>
      <c r="X15" s="17">
        <f t="shared" si="7"/>
        <v>2</v>
      </c>
      <c r="Y15" s="17">
        <f t="shared" si="7"/>
        <v>9</v>
      </c>
      <c r="Z15" s="17">
        <f t="shared" si="7"/>
        <v>8</v>
      </c>
      <c r="AA15" s="17">
        <f t="shared" si="7"/>
        <v>2</v>
      </c>
      <c r="AB15" s="17">
        <f t="shared" si="7"/>
        <v>5</v>
      </c>
      <c r="AC15" s="17">
        <f t="shared" si="7"/>
        <v>725</v>
      </c>
      <c r="AD15" s="17">
        <f t="shared" si="7"/>
        <v>0</v>
      </c>
      <c r="AE15" s="31">
        <f t="shared" si="7"/>
        <v>445</v>
      </c>
      <c r="AF15" s="31">
        <f t="shared" si="7"/>
        <v>1170</v>
      </c>
    </row>
    <row r="16" spans="2:32" ht="23.1" customHeight="1" x14ac:dyDescent="0.25">
      <c r="B16" s="23" t="s">
        <v>43</v>
      </c>
      <c r="C16" s="50">
        <v>48</v>
      </c>
      <c r="D16" s="50">
        <v>18</v>
      </c>
      <c r="E16" s="50">
        <v>6</v>
      </c>
      <c r="F16" s="50">
        <v>53</v>
      </c>
      <c r="G16" s="50">
        <v>0</v>
      </c>
      <c r="H16" s="50">
        <v>6</v>
      </c>
      <c r="I16" s="50">
        <v>4</v>
      </c>
      <c r="J16" s="50">
        <v>3</v>
      </c>
      <c r="K16" s="50">
        <v>4</v>
      </c>
      <c r="L16" s="50">
        <v>2</v>
      </c>
      <c r="M16" s="50">
        <v>100</v>
      </c>
      <c r="N16" s="50">
        <v>0</v>
      </c>
      <c r="O16" s="15">
        <f t="shared" si="0"/>
        <v>144</v>
      </c>
      <c r="P16" s="15">
        <f t="shared" si="1"/>
        <v>244</v>
      </c>
      <c r="R16" s="1" t="s">
        <v>12</v>
      </c>
      <c r="S16" s="17">
        <f t="shared" ref="S16:AF16" si="8">SUM(C34:C37)</f>
        <v>159</v>
      </c>
      <c r="T16" s="17">
        <f t="shared" si="8"/>
        <v>109</v>
      </c>
      <c r="U16" s="17">
        <f t="shared" si="8"/>
        <v>41</v>
      </c>
      <c r="V16" s="17">
        <f t="shared" si="8"/>
        <v>185</v>
      </c>
      <c r="W16" s="17">
        <f t="shared" si="8"/>
        <v>3</v>
      </c>
      <c r="X16" s="17">
        <f t="shared" si="8"/>
        <v>5</v>
      </c>
      <c r="Y16" s="17">
        <f t="shared" si="8"/>
        <v>14</v>
      </c>
      <c r="Z16" s="17">
        <f t="shared" si="8"/>
        <v>11</v>
      </c>
      <c r="AA16" s="17">
        <f t="shared" si="8"/>
        <v>6</v>
      </c>
      <c r="AB16" s="17">
        <f t="shared" si="8"/>
        <v>8</v>
      </c>
      <c r="AC16" s="17">
        <f t="shared" si="8"/>
        <v>595</v>
      </c>
      <c r="AD16" s="17">
        <f t="shared" si="8"/>
        <v>48</v>
      </c>
      <c r="AE16" s="31">
        <f t="shared" si="8"/>
        <v>589</v>
      </c>
      <c r="AF16" s="31">
        <f t="shared" si="8"/>
        <v>1184</v>
      </c>
    </row>
    <row r="17" spans="2:32" ht="23.1" customHeight="1" x14ac:dyDescent="0.25">
      <c r="B17" s="23" t="s">
        <v>44</v>
      </c>
      <c r="C17" s="50">
        <v>49</v>
      </c>
      <c r="D17" s="50">
        <v>21</v>
      </c>
      <c r="E17" s="50">
        <v>11</v>
      </c>
      <c r="F17" s="50">
        <v>65</v>
      </c>
      <c r="G17" s="50">
        <v>0</v>
      </c>
      <c r="H17" s="50">
        <v>2</v>
      </c>
      <c r="I17" s="50">
        <v>5</v>
      </c>
      <c r="J17" s="50">
        <v>3</v>
      </c>
      <c r="K17" s="50">
        <v>0</v>
      </c>
      <c r="L17" s="50">
        <v>3</v>
      </c>
      <c r="M17" s="50">
        <v>150</v>
      </c>
      <c r="N17" s="50">
        <v>0</v>
      </c>
      <c r="O17" s="15">
        <f t="shared" si="0"/>
        <v>159</v>
      </c>
      <c r="P17" s="15">
        <f t="shared" si="1"/>
        <v>309</v>
      </c>
      <c r="R17" s="1" t="s">
        <v>13</v>
      </c>
      <c r="S17" s="17">
        <f t="shared" ref="S17:AF17" si="9">SUM(C38:C41)</f>
        <v>214</v>
      </c>
      <c r="T17" s="17">
        <f t="shared" si="9"/>
        <v>31</v>
      </c>
      <c r="U17" s="17">
        <f t="shared" si="9"/>
        <v>32</v>
      </c>
      <c r="V17" s="17">
        <f t="shared" si="9"/>
        <v>197</v>
      </c>
      <c r="W17" s="17">
        <f t="shared" si="9"/>
        <v>1</v>
      </c>
      <c r="X17" s="17">
        <f t="shared" si="9"/>
        <v>3</v>
      </c>
      <c r="Y17" s="17">
        <f t="shared" si="9"/>
        <v>23</v>
      </c>
      <c r="Z17" s="17">
        <f t="shared" si="9"/>
        <v>17</v>
      </c>
      <c r="AA17" s="17">
        <f t="shared" si="9"/>
        <v>4</v>
      </c>
      <c r="AB17" s="17">
        <f t="shared" si="9"/>
        <v>9</v>
      </c>
      <c r="AC17" s="17">
        <f t="shared" si="9"/>
        <v>590</v>
      </c>
      <c r="AD17" s="17">
        <f t="shared" si="9"/>
        <v>0</v>
      </c>
      <c r="AE17" s="31">
        <f t="shared" si="9"/>
        <v>531</v>
      </c>
      <c r="AF17" s="31">
        <f t="shared" si="9"/>
        <v>1121</v>
      </c>
    </row>
    <row r="18" spans="2:32" ht="23.1" customHeight="1" x14ac:dyDescent="0.25">
      <c r="B18" s="23" t="s">
        <v>45</v>
      </c>
      <c r="C18" s="50">
        <v>60</v>
      </c>
      <c r="D18" s="50">
        <v>27</v>
      </c>
      <c r="E18" s="50">
        <v>9</v>
      </c>
      <c r="F18" s="50">
        <v>64</v>
      </c>
      <c r="G18" s="50">
        <v>2</v>
      </c>
      <c r="H18" s="50">
        <v>1</v>
      </c>
      <c r="I18" s="50">
        <v>8</v>
      </c>
      <c r="J18" s="50">
        <v>9</v>
      </c>
      <c r="K18" s="50">
        <v>1</v>
      </c>
      <c r="L18" s="50">
        <v>3</v>
      </c>
      <c r="M18" s="50">
        <v>160</v>
      </c>
      <c r="N18" s="50">
        <v>0</v>
      </c>
      <c r="O18" s="15">
        <f t="shared" si="0"/>
        <v>184</v>
      </c>
      <c r="P18" s="15">
        <f t="shared" si="1"/>
        <v>344</v>
      </c>
      <c r="R18" s="1" t="s">
        <v>14</v>
      </c>
      <c r="S18" s="17">
        <f t="shared" ref="S18:AF18" si="10">SUM(C42:C45)</f>
        <v>231</v>
      </c>
      <c r="T18" s="17">
        <f t="shared" si="10"/>
        <v>31</v>
      </c>
      <c r="U18" s="17">
        <f t="shared" si="10"/>
        <v>35</v>
      </c>
      <c r="V18" s="17">
        <f t="shared" si="10"/>
        <v>196</v>
      </c>
      <c r="W18" s="17">
        <f t="shared" si="10"/>
        <v>6</v>
      </c>
      <c r="X18" s="17">
        <f t="shared" si="10"/>
        <v>7</v>
      </c>
      <c r="Y18" s="17">
        <f t="shared" si="10"/>
        <v>26</v>
      </c>
      <c r="Z18" s="17">
        <f t="shared" si="10"/>
        <v>9</v>
      </c>
      <c r="AA18" s="17">
        <f t="shared" si="10"/>
        <v>4</v>
      </c>
      <c r="AB18" s="17">
        <f t="shared" si="10"/>
        <v>10</v>
      </c>
      <c r="AC18" s="17">
        <f t="shared" si="10"/>
        <v>585</v>
      </c>
      <c r="AD18" s="17">
        <f t="shared" si="10"/>
        <v>0</v>
      </c>
      <c r="AE18" s="31">
        <f t="shared" si="10"/>
        <v>428</v>
      </c>
      <c r="AF18" s="31">
        <f t="shared" si="10"/>
        <v>890</v>
      </c>
    </row>
    <row r="19" spans="2:32" ht="23.1" customHeight="1" x14ac:dyDescent="0.25">
      <c r="B19" s="23" t="s">
        <v>46</v>
      </c>
      <c r="C19" s="50">
        <v>65</v>
      </c>
      <c r="D19" s="50">
        <v>26</v>
      </c>
      <c r="E19" s="50">
        <v>16</v>
      </c>
      <c r="F19" s="50">
        <v>82</v>
      </c>
      <c r="G19" s="50">
        <v>1</v>
      </c>
      <c r="H19" s="50">
        <v>0</v>
      </c>
      <c r="I19" s="50">
        <v>2</v>
      </c>
      <c r="J19" s="50">
        <v>2</v>
      </c>
      <c r="K19" s="50">
        <v>0</v>
      </c>
      <c r="L19" s="50">
        <v>1</v>
      </c>
      <c r="M19" s="50">
        <v>155</v>
      </c>
      <c r="N19" s="50">
        <v>0</v>
      </c>
      <c r="O19" s="15">
        <f t="shared" si="0"/>
        <v>195</v>
      </c>
      <c r="P19" s="15">
        <f t="shared" si="1"/>
        <v>350</v>
      </c>
      <c r="R19" s="1" t="s">
        <v>15</v>
      </c>
      <c r="S19" s="17">
        <f t="shared" ref="S19:AF19" si="11">SUM(C46:C49)</f>
        <v>196</v>
      </c>
      <c r="T19" s="17">
        <f t="shared" si="11"/>
        <v>24</v>
      </c>
      <c r="U19" s="17">
        <f t="shared" si="11"/>
        <v>28</v>
      </c>
      <c r="V19" s="17">
        <f t="shared" si="11"/>
        <v>225</v>
      </c>
      <c r="W19" s="17">
        <f t="shared" si="11"/>
        <v>8</v>
      </c>
      <c r="X19" s="17">
        <f t="shared" si="11"/>
        <v>17</v>
      </c>
      <c r="Y19" s="17">
        <f t="shared" si="11"/>
        <v>26</v>
      </c>
      <c r="Z19" s="17">
        <f t="shared" si="11"/>
        <v>5</v>
      </c>
      <c r="AA19" s="17">
        <f t="shared" si="11"/>
        <v>5</v>
      </c>
      <c r="AB19" s="17">
        <f t="shared" si="11"/>
        <v>10</v>
      </c>
      <c r="AC19" s="17">
        <f t="shared" si="11"/>
        <v>495</v>
      </c>
      <c r="AD19" s="17">
        <f t="shared" si="11"/>
        <v>0</v>
      </c>
      <c r="AE19" s="31">
        <f t="shared" si="11"/>
        <v>544</v>
      </c>
      <c r="AF19" s="31">
        <f t="shared" si="11"/>
        <v>1039</v>
      </c>
    </row>
    <row r="20" spans="2:32" ht="23.1" customHeight="1" x14ac:dyDescent="0.25">
      <c r="B20" s="23" t="s">
        <v>47</v>
      </c>
      <c r="C20" s="50">
        <v>27</v>
      </c>
      <c r="D20" s="50">
        <v>27</v>
      </c>
      <c r="E20" s="50">
        <v>4</v>
      </c>
      <c r="F20" s="50">
        <v>43</v>
      </c>
      <c r="G20" s="50">
        <v>0</v>
      </c>
      <c r="H20" s="50">
        <v>0</v>
      </c>
      <c r="I20" s="50">
        <v>20</v>
      </c>
      <c r="J20" s="50">
        <v>3</v>
      </c>
      <c r="K20" s="50">
        <v>0</v>
      </c>
      <c r="L20" s="50">
        <v>4</v>
      </c>
      <c r="M20" s="50">
        <v>135</v>
      </c>
      <c r="N20" s="50">
        <v>0</v>
      </c>
      <c r="O20" s="15">
        <f t="shared" si="0"/>
        <v>128</v>
      </c>
      <c r="P20" s="15">
        <f t="shared" si="1"/>
        <v>263</v>
      </c>
      <c r="R20" s="1" t="s">
        <v>16</v>
      </c>
      <c r="S20" s="17">
        <f t="shared" ref="S20:AF20" si="12">SUM(C50:C53)</f>
        <v>202</v>
      </c>
      <c r="T20" s="17">
        <f t="shared" si="12"/>
        <v>45</v>
      </c>
      <c r="U20" s="17">
        <f t="shared" si="12"/>
        <v>29</v>
      </c>
      <c r="V20" s="17">
        <f t="shared" si="12"/>
        <v>200</v>
      </c>
      <c r="W20" s="17">
        <f t="shared" si="12"/>
        <v>5</v>
      </c>
      <c r="X20" s="17">
        <f t="shared" si="12"/>
        <v>7</v>
      </c>
      <c r="Y20" s="17">
        <f t="shared" si="12"/>
        <v>7</v>
      </c>
      <c r="Z20" s="17">
        <f t="shared" si="12"/>
        <v>10</v>
      </c>
      <c r="AA20" s="17">
        <f t="shared" si="12"/>
        <v>1</v>
      </c>
      <c r="AB20" s="17">
        <f t="shared" si="12"/>
        <v>10</v>
      </c>
      <c r="AC20" s="17">
        <f t="shared" si="12"/>
        <v>515</v>
      </c>
      <c r="AD20" s="17">
        <f t="shared" si="12"/>
        <v>1</v>
      </c>
      <c r="AE20" s="31">
        <f t="shared" si="12"/>
        <v>517</v>
      </c>
      <c r="AF20" s="31">
        <f t="shared" si="12"/>
        <v>1032</v>
      </c>
    </row>
    <row r="21" spans="2:32" ht="23.1" customHeight="1" x14ac:dyDescent="0.25">
      <c r="B21" s="23" t="s">
        <v>48</v>
      </c>
      <c r="C21" s="50">
        <v>56</v>
      </c>
      <c r="D21" s="50">
        <v>24</v>
      </c>
      <c r="E21" s="50">
        <v>8</v>
      </c>
      <c r="F21" s="50">
        <v>46</v>
      </c>
      <c r="G21" s="50">
        <v>0</v>
      </c>
      <c r="H21" s="50">
        <v>0</v>
      </c>
      <c r="I21" s="50">
        <v>5</v>
      </c>
      <c r="J21" s="50">
        <v>3</v>
      </c>
      <c r="K21" s="50">
        <v>1</v>
      </c>
      <c r="L21" s="50">
        <v>1</v>
      </c>
      <c r="M21" s="50">
        <v>125</v>
      </c>
      <c r="N21" s="50">
        <v>0</v>
      </c>
      <c r="O21" s="15">
        <f t="shared" si="0"/>
        <v>144</v>
      </c>
      <c r="P21" s="15">
        <f t="shared" si="1"/>
        <v>269</v>
      </c>
      <c r="R21" s="36" t="s">
        <v>20</v>
      </c>
      <c r="S21" s="34">
        <f t="shared" ref="S21:AF21" si="13">SUM(C54:C57)</f>
        <v>268</v>
      </c>
      <c r="T21" s="17">
        <f t="shared" si="13"/>
        <v>25</v>
      </c>
      <c r="U21" s="17">
        <f t="shared" si="13"/>
        <v>37</v>
      </c>
      <c r="V21" s="17">
        <f t="shared" si="13"/>
        <v>261</v>
      </c>
      <c r="W21" s="17">
        <f t="shared" si="13"/>
        <v>6</v>
      </c>
      <c r="X21" s="17">
        <f t="shared" si="13"/>
        <v>10</v>
      </c>
      <c r="Y21" s="17">
        <f t="shared" si="13"/>
        <v>36</v>
      </c>
      <c r="Z21" s="17">
        <f t="shared" si="13"/>
        <v>22</v>
      </c>
      <c r="AA21" s="17">
        <f t="shared" si="13"/>
        <v>9</v>
      </c>
      <c r="AB21" s="17">
        <f t="shared" si="13"/>
        <v>16</v>
      </c>
      <c r="AC21" s="17">
        <f t="shared" si="13"/>
        <v>346</v>
      </c>
      <c r="AD21" s="17">
        <f t="shared" si="13"/>
        <v>0</v>
      </c>
      <c r="AE21" s="31">
        <f t="shared" si="13"/>
        <v>690</v>
      </c>
      <c r="AF21" s="31">
        <f t="shared" si="13"/>
        <v>1036</v>
      </c>
    </row>
    <row r="22" spans="2:32" ht="23.1" customHeight="1" x14ac:dyDescent="0.25">
      <c r="B22" s="23" t="s">
        <v>49</v>
      </c>
      <c r="C22" s="50">
        <v>45</v>
      </c>
      <c r="D22" s="50">
        <v>29</v>
      </c>
      <c r="E22" s="50">
        <v>7</v>
      </c>
      <c r="F22" s="50">
        <v>70</v>
      </c>
      <c r="G22" s="50">
        <v>5</v>
      </c>
      <c r="H22" s="50">
        <v>2</v>
      </c>
      <c r="I22" s="50">
        <v>8</v>
      </c>
      <c r="J22" s="50">
        <v>15</v>
      </c>
      <c r="K22" s="50">
        <v>0</v>
      </c>
      <c r="L22" s="50">
        <v>4</v>
      </c>
      <c r="M22" s="50">
        <v>190</v>
      </c>
      <c r="N22" s="50">
        <v>0</v>
      </c>
      <c r="O22" s="15">
        <f t="shared" si="0"/>
        <v>185</v>
      </c>
      <c r="P22" s="15">
        <f t="shared" si="1"/>
        <v>375</v>
      </c>
      <c r="R22" s="38" t="s">
        <v>90</v>
      </c>
      <c r="S22" s="39">
        <f>MAX(S10:S12)</f>
        <v>208</v>
      </c>
      <c r="T22" s="39">
        <f t="shared" ref="T22:AF22" si="14">MAX(T10:T12)</f>
        <v>104</v>
      </c>
      <c r="U22" s="39">
        <f t="shared" si="14"/>
        <v>37</v>
      </c>
      <c r="V22" s="39">
        <f t="shared" si="14"/>
        <v>240</v>
      </c>
      <c r="W22" s="39">
        <f t="shared" si="14"/>
        <v>19</v>
      </c>
      <c r="X22" s="39">
        <f t="shared" si="14"/>
        <v>14</v>
      </c>
      <c r="Y22" s="39">
        <f t="shared" si="14"/>
        <v>50</v>
      </c>
      <c r="Z22" s="39">
        <f t="shared" si="14"/>
        <v>28</v>
      </c>
      <c r="AA22" s="39">
        <f t="shared" si="14"/>
        <v>14</v>
      </c>
      <c r="AB22" s="39">
        <f t="shared" si="14"/>
        <v>12</v>
      </c>
      <c r="AC22" s="39">
        <f t="shared" si="14"/>
        <v>575</v>
      </c>
      <c r="AD22" s="39">
        <f t="shared" si="14"/>
        <v>1</v>
      </c>
      <c r="AE22" s="40">
        <f t="shared" si="14"/>
        <v>651</v>
      </c>
      <c r="AF22" s="40">
        <f t="shared" si="14"/>
        <v>1226</v>
      </c>
    </row>
    <row r="23" spans="2:32" ht="23.1" customHeight="1" x14ac:dyDescent="0.25">
      <c r="B23" s="23" t="s">
        <v>50</v>
      </c>
      <c r="C23" s="50">
        <v>44</v>
      </c>
      <c r="D23" s="50">
        <v>38</v>
      </c>
      <c r="E23" s="50">
        <v>14</v>
      </c>
      <c r="F23" s="50">
        <v>64</v>
      </c>
      <c r="G23" s="50">
        <v>3</v>
      </c>
      <c r="H23" s="50">
        <v>1</v>
      </c>
      <c r="I23" s="50">
        <v>5</v>
      </c>
      <c r="J23" s="50">
        <v>1</v>
      </c>
      <c r="K23" s="50">
        <v>1</v>
      </c>
      <c r="L23" s="50">
        <v>2</v>
      </c>
      <c r="M23" s="50">
        <v>130</v>
      </c>
      <c r="N23" s="50">
        <v>0</v>
      </c>
      <c r="O23" s="15">
        <f t="shared" si="0"/>
        <v>173</v>
      </c>
      <c r="P23" s="15">
        <f t="shared" si="1"/>
        <v>303</v>
      </c>
      <c r="R23" s="38" t="s">
        <v>91</v>
      </c>
      <c r="S23" s="39">
        <f>MAX(S13:S18)</f>
        <v>231</v>
      </c>
      <c r="T23" s="39">
        <f t="shared" ref="T23:AF23" si="15">MAX(T13:T18)</f>
        <v>127</v>
      </c>
      <c r="U23" s="39">
        <f t="shared" si="15"/>
        <v>50</v>
      </c>
      <c r="V23" s="39">
        <f t="shared" si="15"/>
        <v>248</v>
      </c>
      <c r="W23" s="39">
        <f t="shared" si="15"/>
        <v>9</v>
      </c>
      <c r="X23" s="39">
        <f t="shared" si="15"/>
        <v>7</v>
      </c>
      <c r="Y23" s="39">
        <f t="shared" si="15"/>
        <v>26</v>
      </c>
      <c r="Z23" s="39">
        <f t="shared" si="15"/>
        <v>21</v>
      </c>
      <c r="AA23" s="39">
        <f t="shared" si="15"/>
        <v>7</v>
      </c>
      <c r="AB23" s="39">
        <f t="shared" si="15"/>
        <v>10</v>
      </c>
      <c r="AC23" s="39">
        <f t="shared" si="15"/>
        <v>725</v>
      </c>
      <c r="AD23" s="39">
        <f t="shared" si="15"/>
        <v>48</v>
      </c>
      <c r="AE23" s="40">
        <f t="shared" si="15"/>
        <v>707</v>
      </c>
      <c r="AF23" s="40">
        <f t="shared" si="15"/>
        <v>1302</v>
      </c>
    </row>
    <row r="24" spans="2:32" ht="23.1" customHeight="1" x14ac:dyDescent="0.25">
      <c r="B24" s="23" t="s">
        <v>51</v>
      </c>
      <c r="C24" s="50">
        <v>54</v>
      </c>
      <c r="D24" s="50">
        <v>32</v>
      </c>
      <c r="E24" s="50">
        <v>10</v>
      </c>
      <c r="F24" s="50">
        <v>52</v>
      </c>
      <c r="G24" s="50">
        <v>0</v>
      </c>
      <c r="H24" s="50">
        <v>1</v>
      </c>
      <c r="I24" s="50">
        <v>7</v>
      </c>
      <c r="J24" s="50">
        <v>5</v>
      </c>
      <c r="K24" s="50">
        <v>4</v>
      </c>
      <c r="L24" s="50">
        <v>2</v>
      </c>
      <c r="M24" s="50">
        <v>175</v>
      </c>
      <c r="N24" s="50">
        <v>0</v>
      </c>
      <c r="O24" s="15">
        <f t="shared" si="0"/>
        <v>167</v>
      </c>
      <c r="P24" s="15">
        <f t="shared" si="1"/>
        <v>342</v>
      </c>
      <c r="R24" s="38" t="s">
        <v>92</v>
      </c>
      <c r="S24" s="39">
        <f>MAX(S19:S21)</f>
        <v>268</v>
      </c>
      <c r="T24" s="39">
        <f t="shared" ref="T24:AF24" si="16">MAX(T19:T21)</f>
        <v>45</v>
      </c>
      <c r="U24" s="39">
        <f t="shared" si="16"/>
        <v>37</v>
      </c>
      <c r="V24" s="39">
        <f t="shared" si="16"/>
        <v>261</v>
      </c>
      <c r="W24" s="39">
        <f t="shared" si="16"/>
        <v>8</v>
      </c>
      <c r="X24" s="39">
        <f t="shared" si="16"/>
        <v>17</v>
      </c>
      <c r="Y24" s="39">
        <f t="shared" si="16"/>
        <v>36</v>
      </c>
      <c r="Z24" s="39">
        <f t="shared" si="16"/>
        <v>22</v>
      </c>
      <c r="AA24" s="39">
        <f t="shared" si="16"/>
        <v>9</v>
      </c>
      <c r="AB24" s="39">
        <f t="shared" si="16"/>
        <v>16</v>
      </c>
      <c r="AC24" s="39">
        <f t="shared" si="16"/>
        <v>515</v>
      </c>
      <c r="AD24" s="39">
        <f t="shared" si="16"/>
        <v>1</v>
      </c>
      <c r="AE24" s="40">
        <f t="shared" si="16"/>
        <v>690</v>
      </c>
      <c r="AF24" s="40">
        <f t="shared" si="16"/>
        <v>1039</v>
      </c>
    </row>
    <row r="25" spans="2:32" ht="23.1" customHeight="1" x14ac:dyDescent="0.25">
      <c r="B25" s="23" t="s">
        <v>52</v>
      </c>
      <c r="C25" s="50">
        <v>63</v>
      </c>
      <c r="D25" s="50">
        <v>28</v>
      </c>
      <c r="E25" s="50">
        <v>18</v>
      </c>
      <c r="F25" s="50">
        <v>62</v>
      </c>
      <c r="G25" s="50">
        <v>1</v>
      </c>
      <c r="H25" s="50">
        <v>1</v>
      </c>
      <c r="I25" s="50">
        <v>5</v>
      </c>
      <c r="J25" s="50">
        <v>0</v>
      </c>
      <c r="K25" s="50">
        <v>2</v>
      </c>
      <c r="L25" s="50">
        <v>2</v>
      </c>
      <c r="M25" s="50">
        <v>100</v>
      </c>
      <c r="N25" s="50">
        <v>0</v>
      </c>
      <c r="O25" s="15">
        <f t="shared" si="0"/>
        <v>182</v>
      </c>
      <c r="P25" s="15">
        <f t="shared" si="1"/>
        <v>282</v>
      </c>
      <c r="R25" s="37" t="s">
        <v>85</v>
      </c>
      <c r="S25" s="35">
        <f t="shared" ref="S25:AF25" si="17">SUM(S10:S12)</f>
        <v>548</v>
      </c>
      <c r="T25" s="16">
        <f t="shared" si="17"/>
        <v>203</v>
      </c>
      <c r="U25" s="16">
        <f t="shared" si="17"/>
        <v>84</v>
      </c>
      <c r="V25" s="16">
        <f t="shared" si="17"/>
        <v>671</v>
      </c>
      <c r="W25" s="16">
        <f t="shared" si="17"/>
        <v>25</v>
      </c>
      <c r="X25" s="16">
        <f t="shared" si="17"/>
        <v>29</v>
      </c>
      <c r="Y25" s="16">
        <f t="shared" si="17"/>
        <v>113</v>
      </c>
      <c r="Z25" s="16">
        <f t="shared" si="17"/>
        <v>66</v>
      </c>
      <c r="AA25" s="16">
        <f t="shared" si="17"/>
        <v>28</v>
      </c>
      <c r="AB25" s="16">
        <f t="shared" si="17"/>
        <v>32</v>
      </c>
      <c r="AC25" s="16">
        <f t="shared" si="17"/>
        <v>1563</v>
      </c>
      <c r="AD25" s="16">
        <f t="shared" si="17"/>
        <v>1</v>
      </c>
      <c r="AE25" s="32">
        <f t="shared" si="17"/>
        <v>1800</v>
      </c>
      <c r="AF25" s="32">
        <f t="shared" si="17"/>
        <v>3363</v>
      </c>
    </row>
    <row r="26" spans="2:32" ht="23.1" customHeight="1" x14ac:dyDescent="0.25">
      <c r="B26" s="23" t="s">
        <v>53</v>
      </c>
      <c r="C26" s="50">
        <v>44</v>
      </c>
      <c r="D26" s="50">
        <v>23</v>
      </c>
      <c r="E26" s="50">
        <v>20</v>
      </c>
      <c r="F26" s="50">
        <v>55</v>
      </c>
      <c r="G26" s="50">
        <v>0</v>
      </c>
      <c r="H26" s="50">
        <v>0</v>
      </c>
      <c r="I26" s="50">
        <v>3</v>
      </c>
      <c r="J26" s="50">
        <v>2</v>
      </c>
      <c r="K26" s="50">
        <v>0</v>
      </c>
      <c r="L26" s="50">
        <v>1</v>
      </c>
      <c r="M26" s="50">
        <v>105</v>
      </c>
      <c r="N26" s="50">
        <v>0</v>
      </c>
      <c r="O26" s="15">
        <f t="shared" si="0"/>
        <v>148</v>
      </c>
      <c r="P26" s="15">
        <f t="shared" si="1"/>
        <v>253</v>
      </c>
      <c r="R26" s="28" t="s">
        <v>86</v>
      </c>
      <c r="S26" s="16">
        <f t="shared" ref="S26:AF26" si="18">SUM(S13:S18)</f>
        <v>1050</v>
      </c>
      <c r="T26" s="16">
        <f t="shared" si="18"/>
        <v>463</v>
      </c>
      <c r="U26" s="16">
        <f t="shared" si="18"/>
        <v>243</v>
      </c>
      <c r="V26" s="16">
        <f t="shared" si="18"/>
        <v>1207</v>
      </c>
      <c r="W26" s="16">
        <f t="shared" si="18"/>
        <v>20</v>
      </c>
      <c r="X26" s="16">
        <f t="shared" si="18"/>
        <v>27</v>
      </c>
      <c r="Y26" s="16">
        <f t="shared" si="18"/>
        <v>106</v>
      </c>
      <c r="Z26" s="16">
        <f t="shared" si="18"/>
        <v>75</v>
      </c>
      <c r="AA26" s="16">
        <f t="shared" si="18"/>
        <v>30</v>
      </c>
      <c r="AB26" s="16">
        <f t="shared" si="18"/>
        <v>46</v>
      </c>
      <c r="AC26" s="16">
        <f t="shared" si="18"/>
        <v>3752</v>
      </c>
      <c r="AD26" s="16">
        <f t="shared" si="18"/>
        <v>48</v>
      </c>
      <c r="AE26" s="32">
        <f t="shared" si="18"/>
        <v>3188</v>
      </c>
      <c r="AF26" s="32">
        <f t="shared" si="18"/>
        <v>6817</v>
      </c>
    </row>
    <row r="27" spans="2:32" ht="23.1" customHeight="1" x14ac:dyDescent="0.25">
      <c r="B27" s="23" t="s">
        <v>54</v>
      </c>
      <c r="C27" s="50">
        <v>42</v>
      </c>
      <c r="D27" s="50">
        <v>28</v>
      </c>
      <c r="E27" s="50">
        <v>12</v>
      </c>
      <c r="F27" s="50">
        <v>60</v>
      </c>
      <c r="G27" s="50">
        <v>0</v>
      </c>
      <c r="H27" s="50">
        <v>2</v>
      </c>
      <c r="I27" s="50">
        <v>5</v>
      </c>
      <c r="J27" s="50">
        <v>3</v>
      </c>
      <c r="K27" s="50">
        <v>3</v>
      </c>
      <c r="L27" s="50">
        <v>0</v>
      </c>
      <c r="M27" s="50">
        <v>175</v>
      </c>
      <c r="N27" s="50">
        <v>0</v>
      </c>
      <c r="O27" s="15">
        <f t="shared" si="0"/>
        <v>155</v>
      </c>
      <c r="P27" s="15">
        <f t="shared" si="1"/>
        <v>330</v>
      </c>
      <c r="R27" s="29" t="s">
        <v>87</v>
      </c>
      <c r="S27" s="16">
        <f t="shared" ref="S27:AF27" si="19">SUM(S19:S21)</f>
        <v>666</v>
      </c>
      <c r="T27" s="16">
        <f t="shared" si="19"/>
        <v>94</v>
      </c>
      <c r="U27" s="16">
        <f t="shared" si="19"/>
        <v>94</v>
      </c>
      <c r="V27" s="16">
        <f t="shared" si="19"/>
        <v>686</v>
      </c>
      <c r="W27" s="16">
        <f t="shared" si="19"/>
        <v>19</v>
      </c>
      <c r="X27" s="16">
        <f t="shared" si="19"/>
        <v>34</v>
      </c>
      <c r="Y27" s="16">
        <f t="shared" si="19"/>
        <v>69</v>
      </c>
      <c r="Z27" s="16">
        <f t="shared" si="19"/>
        <v>37</v>
      </c>
      <c r="AA27" s="16">
        <f t="shared" si="19"/>
        <v>15</v>
      </c>
      <c r="AB27" s="16">
        <f t="shared" si="19"/>
        <v>36</v>
      </c>
      <c r="AC27" s="16">
        <f t="shared" si="19"/>
        <v>1356</v>
      </c>
      <c r="AD27" s="16">
        <f t="shared" si="19"/>
        <v>1</v>
      </c>
      <c r="AE27" s="32">
        <f t="shared" si="19"/>
        <v>1751</v>
      </c>
      <c r="AF27" s="32">
        <f t="shared" si="19"/>
        <v>3107</v>
      </c>
    </row>
    <row r="28" spans="2:32" ht="23.1" customHeight="1" x14ac:dyDescent="0.25">
      <c r="B28" s="23" t="s">
        <v>55</v>
      </c>
      <c r="C28" s="50">
        <v>17</v>
      </c>
      <c r="D28" s="50">
        <v>15</v>
      </c>
      <c r="E28" s="50">
        <v>8</v>
      </c>
      <c r="F28" s="50">
        <v>55</v>
      </c>
      <c r="G28" s="50">
        <v>0</v>
      </c>
      <c r="H28" s="50">
        <v>0</v>
      </c>
      <c r="I28" s="50">
        <v>1</v>
      </c>
      <c r="J28" s="50">
        <v>2</v>
      </c>
      <c r="K28" s="50">
        <v>2</v>
      </c>
      <c r="L28" s="50">
        <v>1</v>
      </c>
      <c r="M28" s="50">
        <v>185</v>
      </c>
      <c r="N28" s="50">
        <v>0</v>
      </c>
      <c r="O28" s="15">
        <f t="shared" si="0"/>
        <v>101</v>
      </c>
      <c r="P28" s="15">
        <f t="shared" si="1"/>
        <v>286</v>
      </c>
      <c r="R28" s="5" t="s">
        <v>17</v>
      </c>
      <c r="S28" s="16">
        <f t="shared" ref="S28:AF28" si="20">SUM(S10:S21)</f>
        <v>2264</v>
      </c>
      <c r="T28" s="16">
        <f t="shared" si="20"/>
        <v>760</v>
      </c>
      <c r="U28" s="16">
        <f t="shared" si="20"/>
        <v>421</v>
      </c>
      <c r="V28" s="16">
        <f t="shared" si="20"/>
        <v>2564</v>
      </c>
      <c r="W28" s="16">
        <f t="shared" si="20"/>
        <v>64</v>
      </c>
      <c r="X28" s="16">
        <f t="shared" si="20"/>
        <v>90</v>
      </c>
      <c r="Y28" s="16">
        <f t="shared" si="20"/>
        <v>288</v>
      </c>
      <c r="Z28" s="16">
        <f t="shared" si="20"/>
        <v>178</v>
      </c>
      <c r="AA28" s="16">
        <f t="shared" si="20"/>
        <v>73</v>
      </c>
      <c r="AB28" s="16">
        <f t="shared" si="20"/>
        <v>114</v>
      </c>
      <c r="AC28" s="16">
        <f t="shared" si="20"/>
        <v>6671</v>
      </c>
      <c r="AD28" s="16">
        <f t="shared" si="20"/>
        <v>50</v>
      </c>
      <c r="AE28" s="32">
        <f t="shared" si="20"/>
        <v>6739</v>
      </c>
      <c r="AF28" s="32">
        <f t="shared" si="20"/>
        <v>13287</v>
      </c>
    </row>
    <row r="29" spans="2:32" ht="23.1" customHeight="1" x14ac:dyDescent="0.25">
      <c r="B29" s="23" t="s">
        <v>56</v>
      </c>
      <c r="C29" s="50">
        <v>10</v>
      </c>
      <c r="D29" s="50">
        <v>8</v>
      </c>
      <c r="E29" s="50">
        <v>10</v>
      </c>
      <c r="F29" s="50">
        <v>47</v>
      </c>
      <c r="G29" s="50">
        <v>0</v>
      </c>
      <c r="H29" s="50">
        <v>3</v>
      </c>
      <c r="I29" s="50">
        <v>0</v>
      </c>
      <c r="J29" s="50">
        <v>2</v>
      </c>
      <c r="K29" s="50">
        <v>2</v>
      </c>
      <c r="L29" s="50">
        <v>2</v>
      </c>
      <c r="M29" s="50">
        <v>197</v>
      </c>
      <c r="N29" s="50">
        <v>0</v>
      </c>
      <c r="O29" s="15">
        <f t="shared" si="0"/>
        <v>84</v>
      </c>
      <c r="P29" s="15">
        <f t="shared" si="1"/>
        <v>281</v>
      </c>
      <c r="R29"/>
      <c r="S29" s="20"/>
      <c r="T29" s="19"/>
    </row>
    <row r="30" spans="2:32" ht="23.1" customHeight="1" x14ac:dyDescent="0.25">
      <c r="B30" s="23" t="s">
        <v>57</v>
      </c>
      <c r="C30" s="50">
        <v>28</v>
      </c>
      <c r="D30" s="50">
        <v>32</v>
      </c>
      <c r="E30" s="50">
        <v>8</v>
      </c>
      <c r="F30" s="50">
        <v>52</v>
      </c>
      <c r="G30" s="50">
        <v>0</v>
      </c>
      <c r="H30" s="50">
        <v>0</v>
      </c>
      <c r="I30" s="50">
        <v>5</v>
      </c>
      <c r="J30" s="50">
        <v>0</v>
      </c>
      <c r="K30" s="50">
        <v>1</v>
      </c>
      <c r="L30" s="50">
        <v>1</v>
      </c>
      <c r="M30" s="50">
        <v>145</v>
      </c>
      <c r="N30" s="50">
        <v>0</v>
      </c>
      <c r="O30" s="15">
        <f t="shared" si="0"/>
        <v>127</v>
      </c>
      <c r="P30" s="15">
        <f t="shared" si="1"/>
        <v>272</v>
      </c>
    </row>
    <row r="31" spans="2:32" ht="23.1" customHeight="1" x14ac:dyDescent="0.25">
      <c r="B31" s="24" t="s">
        <v>58</v>
      </c>
      <c r="C31" s="50">
        <v>30</v>
      </c>
      <c r="D31" s="50">
        <v>14</v>
      </c>
      <c r="E31" s="50">
        <v>13</v>
      </c>
      <c r="F31" s="50">
        <v>25</v>
      </c>
      <c r="G31" s="50">
        <v>0</v>
      </c>
      <c r="H31" s="50">
        <v>1</v>
      </c>
      <c r="I31" s="50">
        <v>0</v>
      </c>
      <c r="J31" s="50">
        <v>2</v>
      </c>
      <c r="K31" s="50">
        <v>0</v>
      </c>
      <c r="L31" s="50">
        <v>2</v>
      </c>
      <c r="M31" s="50">
        <v>235</v>
      </c>
      <c r="N31" s="50">
        <v>0</v>
      </c>
      <c r="O31" s="15">
        <f t="shared" si="0"/>
        <v>87</v>
      </c>
      <c r="P31" s="15">
        <f t="shared" si="1"/>
        <v>322</v>
      </c>
    </row>
    <row r="32" spans="2:32" ht="23.1" customHeight="1" x14ac:dyDescent="0.25">
      <c r="B32" s="24" t="s">
        <v>59</v>
      </c>
      <c r="C32" s="50">
        <v>25</v>
      </c>
      <c r="D32" s="50">
        <v>10</v>
      </c>
      <c r="E32" s="50">
        <v>7</v>
      </c>
      <c r="F32" s="50">
        <v>36</v>
      </c>
      <c r="G32" s="50">
        <v>0</v>
      </c>
      <c r="H32" s="50">
        <v>1</v>
      </c>
      <c r="I32" s="50">
        <v>3</v>
      </c>
      <c r="J32" s="50">
        <v>6</v>
      </c>
      <c r="K32" s="50">
        <v>1</v>
      </c>
      <c r="L32" s="50">
        <v>1</v>
      </c>
      <c r="M32" s="50">
        <v>205</v>
      </c>
      <c r="N32" s="50">
        <v>0</v>
      </c>
      <c r="O32" s="15">
        <f t="shared" si="0"/>
        <v>90</v>
      </c>
      <c r="P32" s="15">
        <f t="shared" si="1"/>
        <v>295</v>
      </c>
    </row>
    <row r="33" spans="2:24" ht="23.1" customHeight="1" x14ac:dyDescent="0.25">
      <c r="B33" s="23" t="s">
        <v>60</v>
      </c>
      <c r="C33" s="50">
        <v>44</v>
      </c>
      <c r="D33" s="50">
        <v>35</v>
      </c>
      <c r="E33" s="50">
        <v>8</v>
      </c>
      <c r="F33" s="50">
        <v>51</v>
      </c>
      <c r="G33" s="50">
        <v>1</v>
      </c>
      <c r="H33" s="50">
        <v>0</v>
      </c>
      <c r="I33" s="50">
        <v>1</v>
      </c>
      <c r="J33" s="50">
        <v>0</v>
      </c>
      <c r="K33" s="50">
        <v>0</v>
      </c>
      <c r="L33" s="50">
        <v>1</v>
      </c>
      <c r="M33" s="50">
        <v>140</v>
      </c>
      <c r="N33" s="50">
        <v>0</v>
      </c>
      <c r="O33" s="15">
        <f t="shared" si="0"/>
        <v>141</v>
      </c>
      <c r="P33" s="15">
        <f t="shared" si="1"/>
        <v>281</v>
      </c>
    </row>
    <row r="34" spans="2:24" ht="23.1" customHeight="1" x14ac:dyDescent="0.25">
      <c r="B34" s="24" t="s">
        <v>61</v>
      </c>
      <c r="C34" s="50">
        <v>27</v>
      </c>
      <c r="D34" s="50">
        <v>32</v>
      </c>
      <c r="E34" s="50">
        <v>19</v>
      </c>
      <c r="F34" s="50">
        <v>46</v>
      </c>
      <c r="G34" s="50">
        <v>1</v>
      </c>
      <c r="H34" s="50">
        <v>1</v>
      </c>
      <c r="I34" s="50">
        <v>5</v>
      </c>
      <c r="J34" s="50">
        <v>1</v>
      </c>
      <c r="K34" s="50">
        <v>1</v>
      </c>
      <c r="L34" s="50">
        <v>4</v>
      </c>
      <c r="M34" s="50">
        <v>120</v>
      </c>
      <c r="N34" s="50">
        <v>0</v>
      </c>
      <c r="O34" s="15">
        <f t="shared" si="0"/>
        <v>137</v>
      </c>
      <c r="P34" s="15">
        <f t="shared" si="1"/>
        <v>257</v>
      </c>
    </row>
    <row r="35" spans="2:24" ht="23.1" customHeight="1" x14ac:dyDescent="0.25">
      <c r="B35" s="24" t="s">
        <v>62</v>
      </c>
      <c r="C35" s="50">
        <v>40</v>
      </c>
      <c r="D35" s="50">
        <v>30</v>
      </c>
      <c r="E35" s="50">
        <v>8</v>
      </c>
      <c r="F35" s="50">
        <v>56</v>
      </c>
      <c r="G35" s="50">
        <v>2</v>
      </c>
      <c r="H35" s="50">
        <v>1</v>
      </c>
      <c r="I35" s="50">
        <v>3</v>
      </c>
      <c r="J35" s="50">
        <v>3</v>
      </c>
      <c r="K35" s="50">
        <v>2</v>
      </c>
      <c r="L35" s="50">
        <v>1</v>
      </c>
      <c r="M35" s="50">
        <v>155</v>
      </c>
      <c r="N35" s="50">
        <v>0</v>
      </c>
      <c r="O35" s="15">
        <f t="shared" si="0"/>
        <v>146</v>
      </c>
      <c r="P35" s="15">
        <f t="shared" si="1"/>
        <v>301</v>
      </c>
    </row>
    <row r="36" spans="2:24" ht="23.1" customHeight="1" x14ac:dyDescent="0.25">
      <c r="B36" s="24" t="s">
        <v>63</v>
      </c>
      <c r="C36" s="50">
        <v>40</v>
      </c>
      <c r="D36" s="50">
        <v>40</v>
      </c>
      <c r="E36" s="50">
        <v>10</v>
      </c>
      <c r="F36" s="50">
        <v>42</v>
      </c>
      <c r="G36" s="50">
        <v>0</v>
      </c>
      <c r="H36" s="50">
        <v>1</v>
      </c>
      <c r="I36" s="50">
        <v>3</v>
      </c>
      <c r="J36" s="50">
        <v>2</v>
      </c>
      <c r="K36" s="50">
        <v>1</v>
      </c>
      <c r="L36" s="50">
        <v>3</v>
      </c>
      <c r="M36" s="50">
        <v>145</v>
      </c>
      <c r="N36" s="50">
        <v>0</v>
      </c>
      <c r="O36" s="15">
        <f t="shared" si="0"/>
        <v>142</v>
      </c>
      <c r="P36" s="15">
        <f t="shared" si="1"/>
        <v>287</v>
      </c>
    </row>
    <row r="37" spans="2:24" ht="23.1" customHeight="1" x14ac:dyDescent="0.25">
      <c r="B37" s="23" t="s">
        <v>64</v>
      </c>
      <c r="C37" s="50">
        <v>52</v>
      </c>
      <c r="D37" s="50">
        <v>7</v>
      </c>
      <c r="E37" s="50">
        <v>4</v>
      </c>
      <c r="F37" s="50">
        <v>41</v>
      </c>
      <c r="G37" s="50">
        <v>0</v>
      </c>
      <c r="H37" s="50">
        <v>2</v>
      </c>
      <c r="I37" s="50">
        <v>3</v>
      </c>
      <c r="J37" s="50">
        <v>5</v>
      </c>
      <c r="K37" s="50">
        <v>2</v>
      </c>
      <c r="L37" s="50">
        <v>0</v>
      </c>
      <c r="M37" s="50">
        <v>175</v>
      </c>
      <c r="N37" s="50">
        <v>48</v>
      </c>
      <c r="O37" s="15">
        <f t="shared" si="0"/>
        <v>164</v>
      </c>
      <c r="P37" s="15">
        <f t="shared" si="1"/>
        <v>339</v>
      </c>
    </row>
    <row r="38" spans="2:24" ht="23.1" customHeight="1" x14ac:dyDescent="0.25">
      <c r="B38" s="24" t="s">
        <v>65</v>
      </c>
      <c r="C38" s="50">
        <v>48</v>
      </c>
      <c r="D38" s="50">
        <v>7</v>
      </c>
      <c r="E38" s="50">
        <v>5</v>
      </c>
      <c r="F38" s="50">
        <v>51</v>
      </c>
      <c r="G38" s="50">
        <v>0</v>
      </c>
      <c r="H38" s="50">
        <v>0</v>
      </c>
      <c r="I38" s="50">
        <v>4</v>
      </c>
      <c r="J38" s="50">
        <v>5</v>
      </c>
      <c r="K38" s="50">
        <v>1</v>
      </c>
      <c r="L38" s="50">
        <v>4</v>
      </c>
      <c r="M38" s="50">
        <v>175</v>
      </c>
      <c r="N38" s="50">
        <v>0</v>
      </c>
      <c r="O38" s="15">
        <f t="shared" si="0"/>
        <v>125</v>
      </c>
      <c r="P38" s="15">
        <f t="shared" si="1"/>
        <v>300</v>
      </c>
    </row>
    <row r="39" spans="2:24" ht="23.1" customHeight="1" x14ac:dyDescent="0.25">
      <c r="B39" s="24" t="s">
        <v>66</v>
      </c>
      <c r="C39" s="50">
        <v>60</v>
      </c>
      <c r="D39" s="50">
        <v>8</v>
      </c>
      <c r="E39" s="50">
        <v>9</v>
      </c>
      <c r="F39" s="50">
        <v>46</v>
      </c>
      <c r="G39" s="50">
        <v>1</v>
      </c>
      <c r="H39" s="50">
        <v>2</v>
      </c>
      <c r="I39" s="50">
        <v>5</v>
      </c>
      <c r="J39" s="50">
        <v>3</v>
      </c>
      <c r="K39" s="50">
        <v>0</v>
      </c>
      <c r="L39" s="50">
        <v>2</v>
      </c>
      <c r="M39" s="50">
        <v>165</v>
      </c>
      <c r="N39" s="50">
        <v>0</v>
      </c>
      <c r="O39" s="15">
        <f t="shared" si="0"/>
        <v>136</v>
      </c>
      <c r="P39" s="15">
        <f t="shared" si="1"/>
        <v>301</v>
      </c>
    </row>
    <row r="40" spans="2:24" ht="23.1" customHeight="1" x14ac:dyDescent="0.25">
      <c r="B40" s="24" t="s">
        <v>67</v>
      </c>
      <c r="C40" s="50">
        <v>64</v>
      </c>
      <c r="D40" s="50">
        <v>3</v>
      </c>
      <c r="E40" s="50">
        <v>6</v>
      </c>
      <c r="F40" s="50">
        <v>47</v>
      </c>
      <c r="G40" s="50">
        <v>0</v>
      </c>
      <c r="H40" s="50">
        <v>1</v>
      </c>
      <c r="I40" s="50">
        <v>1</v>
      </c>
      <c r="J40" s="50">
        <v>6</v>
      </c>
      <c r="K40" s="50">
        <v>0</v>
      </c>
      <c r="L40" s="50">
        <v>1</v>
      </c>
      <c r="M40" s="50">
        <v>125</v>
      </c>
      <c r="N40" s="50">
        <v>0</v>
      </c>
      <c r="O40" s="15">
        <f t="shared" si="0"/>
        <v>129</v>
      </c>
      <c r="P40" s="15">
        <f t="shared" si="1"/>
        <v>254</v>
      </c>
    </row>
    <row r="41" spans="2:24" ht="23.1" customHeight="1" x14ac:dyDescent="0.25">
      <c r="B41" s="23" t="s">
        <v>68</v>
      </c>
      <c r="C41" s="50">
        <v>42</v>
      </c>
      <c r="D41" s="50">
        <v>13</v>
      </c>
      <c r="E41" s="50">
        <v>12</v>
      </c>
      <c r="F41" s="50">
        <v>53</v>
      </c>
      <c r="G41" s="50">
        <v>0</v>
      </c>
      <c r="H41" s="50">
        <v>0</v>
      </c>
      <c r="I41" s="50">
        <v>13</v>
      </c>
      <c r="J41" s="50">
        <v>3</v>
      </c>
      <c r="K41" s="50">
        <v>3</v>
      </c>
      <c r="L41" s="50">
        <v>2</v>
      </c>
      <c r="M41" s="50">
        <v>125</v>
      </c>
      <c r="N41" s="50">
        <v>0</v>
      </c>
      <c r="O41" s="15">
        <f t="shared" si="0"/>
        <v>141</v>
      </c>
      <c r="P41" s="15">
        <f t="shared" si="1"/>
        <v>266</v>
      </c>
    </row>
    <row r="42" spans="2:24" ht="23.1" customHeight="1" x14ac:dyDescent="0.25">
      <c r="B42" s="24" t="s">
        <v>69</v>
      </c>
      <c r="C42" s="50">
        <v>43</v>
      </c>
      <c r="D42" s="50">
        <v>4</v>
      </c>
      <c r="E42" s="50">
        <v>9</v>
      </c>
      <c r="F42" s="50">
        <v>43</v>
      </c>
      <c r="G42" s="50">
        <v>2</v>
      </c>
      <c r="H42" s="50">
        <v>0</v>
      </c>
      <c r="I42" s="50">
        <v>8</v>
      </c>
      <c r="J42" s="50">
        <v>1</v>
      </c>
      <c r="K42" s="50">
        <v>0</v>
      </c>
      <c r="L42" s="50">
        <v>2</v>
      </c>
      <c r="M42" s="50">
        <v>150</v>
      </c>
      <c r="N42" s="50">
        <v>0</v>
      </c>
      <c r="O42" s="15">
        <f t="shared" si="0"/>
        <v>112</v>
      </c>
      <c r="P42" s="15">
        <f t="shared" si="1"/>
        <v>262</v>
      </c>
    </row>
    <row r="43" spans="2:24" ht="23.1" customHeight="1" x14ac:dyDescent="0.25">
      <c r="B43" s="23" t="s">
        <v>70</v>
      </c>
      <c r="C43" s="50">
        <v>73</v>
      </c>
      <c r="D43" s="50">
        <v>3</v>
      </c>
      <c r="E43" s="50">
        <v>5</v>
      </c>
      <c r="F43" s="50">
        <v>33</v>
      </c>
      <c r="G43" s="50">
        <v>1</v>
      </c>
      <c r="H43" s="50">
        <v>3</v>
      </c>
      <c r="I43" s="50">
        <v>5</v>
      </c>
      <c r="J43" s="50">
        <v>3</v>
      </c>
      <c r="K43" s="50">
        <v>1</v>
      </c>
      <c r="L43" s="50">
        <v>3</v>
      </c>
      <c r="M43" s="50">
        <v>125</v>
      </c>
      <c r="N43" s="50">
        <v>0</v>
      </c>
      <c r="O43" s="15">
        <f t="shared" si="0"/>
        <v>130</v>
      </c>
      <c r="P43" s="15">
        <f t="shared" si="1"/>
        <v>255</v>
      </c>
    </row>
    <row r="44" spans="2:24" ht="23.1" customHeight="1" x14ac:dyDescent="0.25">
      <c r="B44" s="25" t="s">
        <v>71</v>
      </c>
      <c r="C44" s="50">
        <v>65</v>
      </c>
      <c r="D44" s="50">
        <v>15</v>
      </c>
      <c r="E44" s="50">
        <v>13</v>
      </c>
      <c r="F44" s="50">
        <v>65</v>
      </c>
      <c r="G44" s="50">
        <v>2</v>
      </c>
      <c r="H44" s="50">
        <v>3</v>
      </c>
      <c r="I44" s="50">
        <v>5</v>
      </c>
      <c r="J44" s="50">
        <v>2</v>
      </c>
      <c r="K44" s="50">
        <v>1</v>
      </c>
      <c r="L44" s="50">
        <v>3</v>
      </c>
      <c r="M44" s="50">
        <v>185</v>
      </c>
      <c r="N44" s="50">
        <v>0</v>
      </c>
      <c r="O44" s="15">
        <f t="shared" si="0"/>
        <v>174</v>
      </c>
      <c r="P44" s="15">
        <f t="shared" si="1"/>
        <v>359</v>
      </c>
    </row>
    <row r="45" spans="2:24" ht="23.1" customHeight="1" x14ac:dyDescent="0.25">
      <c r="B45" s="23" t="s">
        <v>72</v>
      </c>
      <c r="C45" s="50">
        <v>50</v>
      </c>
      <c r="D45" s="50">
        <v>9</v>
      </c>
      <c r="E45" s="50">
        <v>8</v>
      </c>
      <c r="F45" s="50">
        <v>55</v>
      </c>
      <c r="G45" s="50">
        <v>1</v>
      </c>
      <c r="H45" s="50">
        <v>1</v>
      </c>
      <c r="I45" s="50">
        <v>8</v>
      </c>
      <c r="J45" s="50">
        <v>3</v>
      </c>
      <c r="K45" s="50">
        <v>2</v>
      </c>
      <c r="L45" s="50">
        <v>2</v>
      </c>
      <c r="M45" s="50">
        <v>125</v>
      </c>
      <c r="N45" s="50">
        <v>0</v>
      </c>
      <c r="O45" s="15">
        <v>12</v>
      </c>
      <c r="P45" s="15">
        <v>14</v>
      </c>
      <c r="Q45" s="51">
        <v>75</v>
      </c>
      <c r="R45" s="52">
        <v>0</v>
      </c>
      <c r="S45" s="8">
        <v>0</v>
      </c>
      <c r="T45" s="8">
        <v>4</v>
      </c>
      <c r="U45">
        <v>2</v>
      </c>
      <c r="V45">
        <v>2</v>
      </c>
      <c r="W45">
        <v>3</v>
      </c>
      <c r="X45">
        <v>125</v>
      </c>
    </row>
    <row r="46" spans="2:24" ht="23.1" customHeight="1" x14ac:dyDescent="0.25">
      <c r="B46" s="24" t="s">
        <v>73</v>
      </c>
      <c r="C46" s="50">
        <v>50</v>
      </c>
      <c r="D46" s="50">
        <v>12</v>
      </c>
      <c r="E46" s="50">
        <v>14</v>
      </c>
      <c r="F46" s="50">
        <v>75</v>
      </c>
      <c r="G46" s="50">
        <v>0</v>
      </c>
      <c r="H46" s="50">
        <v>0</v>
      </c>
      <c r="I46" s="50">
        <v>4</v>
      </c>
      <c r="J46" s="50">
        <v>2</v>
      </c>
      <c r="K46" s="50">
        <v>2</v>
      </c>
      <c r="L46" s="50">
        <v>3</v>
      </c>
      <c r="M46" s="50">
        <v>125</v>
      </c>
      <c r="N46" s="50">
        <v>0</v>
      </c>
      <c r="O46" s="15">
        <f t="shared" si="0"/>
        <v>162</v>
      </c>
      <c r="P46" s="15">
        <f t="shared" si="1"/>
        <v>287</v>
      </c>
      <c r="R46" s="8"/>
      <c r="T46"/>
    </row>
    <row r="47" spans="2:24" ht="23.1" customHeight="1" x14ac:dyDescent="0.25">
      <c r="B47" s="24" t="s">
        <v>74</v>
      </c>
      <c r="C47" s="50">
        <v>60</v>
      </c>
      <c r="D47" s="50">
        <v>5</v>
      </c>
      <c r="E47" s="50">
        <v>4</v>
      </c>
      <c r="F47" s="50">
        <v>61</v>
      </c>
      <c r="G47" s="50">
        <v>4</v>
      </c>
      <c r="H47" s="50">
        <v>2</v>
      </c>
      <c r="I47" s="50">
        <v>6</v>
      </c>
      <c r="J47" s="50">
        <v>0</v>
      </c>
      <c r="K47" s="50">
        <v>0</v>
      </c>
      <c r="L47" s="50">
        <v>2</v>
      </c>
      <c r="M47" s="50">
        <v>160</v>
      </c>
      <c r="N47" s="50">
        <v>0</v>
      </c>
      <c r="O47" s="15">
        <f t="shared" si="0"/>
        <v>144</v>
      </c>
      <c r="P47" s="15">
        <f t="shared" si="1"/>
        <v>304</v>
      </c>
      <c r="R47" s="8"/>
      <c r="T47"/>
    </row>
    <row r="48" spans="2:24" ht="23.1" customHeight="1" x14ac:dyDescent="0.25">
      <c r="B48" s="24" t="s">
        <v>75</v>
      </c>
      <c r="C48" s="50">
        <v>35</v>
      </c>
      <c r="D48" s="50">
        <v>2</v>
      </c>
      <c r="E48" s="50">
        <v>3</v>
      </c>
      <c r="F48" s="50">
        <v>43</v>
      </c>
      <c r="G48" s="50">
        <v>3</v>
      </c>
      <c r="H48" s="50">
        <v>10</v>
      </c>
      <c r="I48" s="50">
        <v>11</v>
      </c>
      <c r="J48" s="50">
        <v>3</v>
      </c>
      <c r="K48" s="50">
        <v>2</v>
      </c>
      <c r="L48" s="50">
        <v>3</v>
      </c>
      <c r="M48" s="50">
        <v>110</v>
      </c>
      <c r="N48" s="50">
        <v>0</v>
      </c>
      <c r="O48" s="15">
        <f t="shared" si="0"/>
        <v>115</v>
      </c>
      <c r="P48" s="15">
        <f t="shared" si="1"/>
        <v>225</v>
      </c>
      <c r="R48" s="8"/>
      <c r="T48"/>
    </row>
    <row r="49" spans="2:20" ht="23.1" customHeight="1" x14ac:dyDescent="0.25">
      <c r="B49" s="23" t="s">
        <v>76</v>
      </c>
      <c r="C49" s="50">
        <v>51</v>
      </c>
      <c r="D49" s="50">
        <v>5</v>
      </c>
      <c r="E49" s="50">
        <v>7</v>
      </c>
      <c r="F49" s="50">
        <v>46</v>
      </c>
      <c r="G49" s="50">
        <v>1</v>
      </c>
      <c r="H49" s="50">
        <v>5</v>
      </c>
      <c r="I49" s="50">
        <v>5</v>
      </c>
      <c r="J49" s="50">
        <v>0</v>
      </c>
      <c r="K49" s="50">
        <v>1</v>
      </c>
      <c r="L49" s="50">
        <v>2</v>
      </c>
      <c r="M49" s="50">
        <v>100</v>
      </c>
      <c r="N49" s="50">
        <v>0</v>
      </c>
      <c r="O49" s="15">
        <f t="shared" si="0"/>
        <v>123</v>
      </c>
      <c r="P49" s="15">
        <f t="shared" si="1"/>
        <v>223</v>
      </c>
      <c r="R49" s="8"/>
      <c r="T49"/>
    </row>
    <row r="50" spans="2:20" ht="23.1" customHeight="1" x14ac:dyDescent="0.25">
      <c r="B50" s="24" t="s">
        <v>77</v>
      </c>
      <c r="C50" s="50">
        <v>52</v>
      </c>
      <c r="D50" s="50">
        <v>5</v>
      </c>
      <c r="E50" s="50">
        <v>6</v>
      </c>
      <c r="F50" s="50">
        <v>32</v>
      </c>
      <c r="G50" s="50">
        <v>0</v>
      </c>
      <c r="H50" s="50">
        <v>1</v>
      </c>
      <c r="I50" s="50">
        <v>1</v>
      </c>
      <c r="J50" s="50">
        <v>3</v>
      </c>
      <c r="K50" s="50">
        <v>0</v>
      </c>
      <c r="L50" s="50">
        <v>1</v>
      </c>
      <c r="M50" s="50">
        <v>215</v>
      </c>
      <c r="N50" s="50">
        <v>0</v>
      </c>
      <c r="O50" s="15">
        <f t="shared" si="0"/>
        <v>101</v>
      </c>
      <c r="P50" s="15">
        <f t="shared" si="1"/>
        <v>316</v>
      </c>
      <c r="R50" s="8"/>
      <c r="T50"/>
    </row>
    <row r="51" spans="2:20" ht="23.1" customHeight="1" x14ac:dyDescent="0.25">
      <c r="B51" s="24" t="s">
        <v>78</v>
      </c>
      <c r="C51" s="50">
        <v>51</v>
      </c>
      <c r="D51" s="50">
        <v>7</v>
      </c>
      <c r="E51" s="50">
        <v>10</v>
      </c>
      <c r="F51" s="50">
        <v>60</v>
      </c>
      <c r="G51" s="50">
        <v>1</v>
      </c>
      <c r="H51" s="50">
        <v>3</v>
      </c>
      <c r="I51" s="50">
        <v>1</v>
      </c>
      <c r="J51" s="50">
        <v>4</v>
      </c>
      <c r="K51" s="50">
        <v>0</v>
      </c>
      <c r="L51" s="50">
        <v>3</v>
      </c>
      <c r="M51" s="50">
        <v>105</v>
      </c>
      <c r="N51" s="50">
        <v>0</v>
      </c>
      <c r="O51" s="15">
        <f t="shared" si="0"/>
        <v>140</v>
      </c>
      <c r="P51" s="15">
        <f t="shared" si="1"/>
        <v>245</v>
      </c>
      <c r="R51" s="8"/>
      <c r="T51"/>
    </row>
    <row r="52" spans="2:20" ht="23.1" customHeight="1" x14ac:dyDescent="0.25">
      <c r="B52" s="24" t="s">
        <v>79</v>
      </c>
      <c r="C52" s="50">
        <v>49</v>
      </c>
      <c r="D52" s="50">
        <v>23</v>
      </c>
      <c r="E52" s="50">
        <v>8</v>
      </c>
      <c r="F52" s="50">
        <v>48</v>
      </c>
      <c r="G52" s="50">
        <v>3</v>
      </c>
      <c r="H52" s="50">
        <v>3</v>
      </c>
      <c r="I52" s="50">
        <v>3</v>
      </c>
      <c r="J52" s="50">
        <v>1</v>
      </c>
      <c r="K52" s="50">
        <v>1</v>
      </c>
      <c r="L52" s="50">
        <v>4</v>
      </c>
      <c r="M52" s="50">
        <v>100</v>
      </c>
      <c r="N52" s="50">
        <v>1</v>
      </c>
      <c r="O52" s="15">
        <f t="shared" si="0"/>
        <v>144</v>
      </c>
      <c r="P52" s="15">
        <f t="shared" si="1"/>
        <v>244</v>
      </c>
      <c r="R52" s="8"/>
      <c r="T52"/>
    </row>
    <row r="53" spans="2:20" ht="23.1" customHeight="1" x14ac:dyDescent="0.25">
      <c r="B53" s="23" t="s">
        <v>80</v>
      </c>
      <c r="C53" s="50">
        <v>50</v>
      </c>
      <c r="D53" s="50">
        <v>10</v>
      </c>
      <c r="E53" s="50">
        <v>5</v>
      </c>
      <c r="F53" s="50">
        <v>60</v>
      </c>
      <c r="G53" s="50">
        <v>1</v>
      </c>
      <c r="H53" s="50">
        <v>0</v>
      </c>
      <c r="I53" s="50">
        <v>2</v>
      </c>
      <c r="J53" s="50">
        <v>2</v>
      </c>
      <c r="K53" s="50">
        <v>0</v>
      </c>
      <c r="L53" s="50">
        <v>2</v>
      </c>
      <c r="M53" s="50">
        <v>95</v>
      </c>
      <c r="N53" s="50">
        <v>0</v>
      </c>
      <c r="O53" s="15">
        <f t="shared" si="0"/>
        <v>132</v>
      </c>
      <c r="P53" s="15">
        <f t="shared" si="1"/>
        <v>227</v>
      </c>
      <c r="R53" s="8"/>
      <c r="T53"/>
    </row>
    <row r="54" spans="2:20" ht="23.1" customHeight="1" x14ac:dyDescent="0.25">
      <c r="B54" s="23" t="s">
        <v>81</v>
      </c>
      <c r="C54" s="50">
        <v>67</v>
      </c>
      <c r="D54" s="50">
        <v>7</v>
      </c>
      <c r="E54" s="50">
        <v>8</v>
      </c>
      <c r="F54" s="50">
        <v>60</v>
      </c>
      <c r="G54" s="50">
        <v>3</v>
      </c>
      <c r="H54" s="50">
        <v>3</v>
      </c>
      <c r="I54" s="50">
        <v>17</v>
      </c>
      <c r="J54" s="50">
        <v>11</v>
      </c>
      <c r="K54" s="50">
        <v>3</v>
      </c>
      <c r="L54" s="50">
        <v>6</v>
      </c>
      <c r="M54" s="50">
        <v>80</v>
      </c>
      <c r="N54" s="50">
        <v>0</v>
      </c>
      <c r="O54" s="15">
        <f t="shared" si="0"/>
        <v>185</v>
      </c>
      <c r="P54" s="15">
        <f t="shared" si="1"/>
        <v>265</v>
      </c>
      <c r="R54" s="8"/>
      <c r="T54"/>
    </row>
    <row r="55" spans="2:20" ht="23.1" customHeight="1" x14ac:dyDescent="0.25">
      <c r="B55" s="23" t="s">
        <v>82</v>
      </c>
      <c r="C55" s="50">
        <v>54</v>
      </c>
      <c r="D55" s="50">
        <v>4</v>
      </c>
      <c r="E55" s="50">
        <v>5</v>
      </c>
      <c r="F55" s="50">
        <v>70</v>
      </c>
      <c r="G55" s="50">
        <v>1</v>
      </c>
      <c r="H55" s="50">
        <v>2</v>
      </c>
      <c r="I55" s="50">
        <v>8</v>
      </c>
      <c r="J55" s="50">
        <v>5</v>
      </c>
      <c r="K55" s="50">
        <v>1</v>
      </c>
      <c r="L55" s="50">
        <v>3</v>
      </c>
      <c r="M55" s="50">
        <v>84</v>
      </c>
      <c r="N55" s="50">
        <v>0</v>
      </c>
      <c r="O55" s="15">
        <f t="shared" si="0"/>
        <v>153</v>
      </c>
      <c r="P55" s="15">
        <f t="shared" si="1"/>
        <v>237</v>
      </c>
      <c r="R55" s="8"/>
      <c r="T55"/>
    </row>
    <row r="56" spans="2:20" ht="23.1" customHeight="1" x14ac:dyDescent="0.25">
      <c r="B56" s="23" t="s">
        <v>83</v>
      </c>
      <c r="C56" s="50">
        <v>70</v>
      </c>
      <c r="D56" s="50">
        <v>11</v>
      </c>
      <c r="E56" s="50">
        <v>9</v>
      </c>
      <c r="F56" s="50">
        <v>72</v>
      </c>
      <c r="G56" s="50">
        <v>2</v>
      </c>
      <c r="H56" s="50">
        <v>1</v>
      </c>
      <c r="I56" s="50">
        <v>5</v>
      </c>
      <c r="J56" s="50">
        <v>4</v>
      </c>
      <c r="K56" s="50">
        <v>0</v>
      </c>
      <c r="L56" s="50">
        <v>2</v>
      </c>
      <c r="M56" s="50">
        <v>90</v>
      </c>
      <c r="N56" s="50">
        <v>0</v>
      </c>
      <c r="O56" s="15">
        <f t="shared" si="0"/>
        <v>176</v>
      </c>
      <c r="P56" s="15">
        <f t="shared" si="1"/>
        <v>266</v>
      </c>
      <c r="R56" s="8"/>
      <c r="T56"/>
    </row>
    <row r="57" spans="2:20" ht="23.1" customHeight="1" x14ac:dyDescent="0.25">
      <c r="B57" s="23" t="s">
        <v>84</v>
      </c>
      <c r="C57" s="50">
        <v>77</v>
      </c>
      <c r="D57" s="50">
        <v>3</v>
      </c>
      <c r="E57" s="50">
        <v>15</v>
      </c>
      <c r="F57" s="50">
        <v>59</v>
      </c>
      <c r="G57" s="50">
        <v>0</v>
      </c>
      <c r="H57" s="50">
        <v>4</v>
      </c>
      <c r="I57" s="50">
        <v>6</v>
      </c>
      <c r="J57" s="50">
        <v>2</v>
      </c>
      <c r="K57" s="50">
        <v>5</v>
      </c>
      <c r="L57" s="50">
        <v>5</v>
      </c>
      <c r="M57" s="50">
        <v>92</v>
      </c>
      <c r="N57" s="50">
        <v>0</v>
      </c>
      <c r="O57" s="15">
        <f t="shared" si="0"/>
        <v>176</v>
      </c>
      <c r="P57" s="15">
        <f t="shared" si="1"/>
        <v>268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2264</v>
      </c>
      <c r="D58" s="16">
        <f t="shared" si="21"/>
        <v>760</v>
      </c>
      <c r="E58" s="16">
        <f t="shared" si="21"/>
        <v>421</v>
      </c>
      <c r="F58" s="16">
        <f t="shared" si="21"/>
        <v>2564</v>
      </c>
      <c r="G58" s="16">
        <f t="shared" si="21"/>
        <v>64</v>
      </c>
      <c r="H58" s="16">
        <f t="shared" si="21"/>
        <v>90</v>
      </c>
      <c r="I58" s="16">
        <f t="shared" si="21"/>
        <v>288</v>
      </c>
      <c r="J58" s="16">
        <f t="shared" si="21"/>
        <v>178</v>
      </c>
      <c r="K58" s="16">
        <f t="shared" si="21"/>
        <v>73</v>
      </c>
      <c r="L58" s="16">
        <f t="shared" si="21"/>
        <v>114</v>
      </c>
      <c r="M58" s="16">
        <f t="shared" si="21"/>
        <v>6671</v>
      </c>
      <c r="N58" s="16">
        <f t="shared" si="21"/>
        <v>50</v>
      </c>
      <c r="O58" s="16">
        <f t="shared" si="21"/>
        <v>6739</v>
      </c>
      <c r="P58" s="16">
        <f t="shared" si="21"/>
        <v>13287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0.17039211259125461</v>
      </c>
      <c r="D59" s="43">
        <f t="shared" si="22"/>
        <v>5.7198765710845187E-2</v>
      </c>
      <c r="E59" s="43">
        <f t="shared" si="22"/>
        <v>3.1685105742455033E-2</v>
      </c>
      <c r="F59" s="43">
        <f t="shared" si="22"/>
        <v>0.19297057274027243</v>
      </c>
      <c r="G59" s="43">
        <f t="shared" si="22"/>
        <v>4.8167381651238053E-3</v>
      </c>
      <c r="H59" s="43">
        <f t="shared" si="22"/>
        <v>6.7735380447053514E-3</v>
      </c>
      <c r="I59" s="43">
        <f t="shared" si="22"/>
        <v>2.1675321743057124E-2</v>
      </c>
      <c r="J59" s="43">
        <f t="shared" si="22"/>
        <v>1.3396553021750583E-2</v>
      </c>
      <c r="K59" s="43">
        <f t="shared" si="22"/>
        <v>5.4940919695943401E-3</v>
      </c>
      <c r="L59" s="43">
        <f t="shared" si="22"/>
        <v>8.579814856626778E-3</v>
      </c>
      <c r="M59" s="43">
        <f t="shared" si="22"/>
        <v>0.5020696921803266</v>
      </c>
      <c r="N59" s="43">
        <f t="shared" si="22"/>
        <v>3.7630766915029727E-3</v>
      </c>
      <c r="R59" s="8"/>
      <c r="T59"/>
    </row>
    <row r="60" spans="2:20" ht="23.1" customHeight="1" x14ac:dyDescent="0.25">
      <c r="B60" s="42" t="s">
        <v>94</v>
      </c>
      <c r="C60" s="44">
        <f>C58/$O$58</f>
        <v>0.33595488944947322</v>
      </c>
      <c r="D60" s="44">
        <f t="shared" ref="D60:N60" si="23">D58/$O$58</f>
        <v>0.11277637631696097</v>
      </c>
      <c r="E60" s="44">
        <f t="shared" si="23"/>
        <v>6.2472176880842854E-2</v>
      </c>
      <c r="F60" s="44">
        <f t="shared" si="23"/>
        <v>0.38047188010090516</v>
      </c>
      <c r="G60" s="44">
        <f t="shared" si="23"/>
        <v>9.4969580056388191E-3</v>
      </c>
      <c r="H60" s="44">
        <f t="shared" si="23"/>
        <v>1.3355097195429589E-2</v>
      </c>
      <c r="I60" s="44">
        <f t="shared" si="23"/>
        <v>4.2736311025374688E-2</v>
      </c>
      <c r="J60" s="44">
        <f t="shared" si="23"/>
        <v>2.6413414453182966E-2</v>
      </c>
      <c r="K60" s="44">
        <f t="shared" si="23"/>
        <v>1.0832467725181778E-2</v>
      </c>
      <c r="L60" s="44">
        <f t="shared" si="23"/>
        <v>1.6916456447544147E-2</v>
      </c>
      <c r="M60" s="44"/>
      <c r="N60" s="44">
        <f t="shared" si="23"/>
        <v>7.4194984419053275E-3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F126"/>
  <sheetViews>
    <sheetView view="pageBreakPreview" topLeftCell="A7" zoomScale="60" workbookViewId="0">
      <selection activeCell="N57" sqref="N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4" t="str">
        <f>'22.07 BUSEGA-NATEETE'!C3:G3</f>
        <v>MCC - C1 - STN10 - MASAKA ROAD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'28.07 BUSEGA-NATEETE'!D5</f>
        <v>28.07.19</v>
      </c>
      <c r="E5" s="3"/>
      <c r="F5" s="41" t="s">
        <v>1</v>
      </c>
      <c r="G5" s="62" t="str">
        <f>'28.07 BUSEGA-NATEETE'!G5:H5</f>
        <v>GOD'S MERCY SUPERMARKET</v>
      </c>
      <c r="H5" s="63"/>
      <c r="I5" s="14"/>
      <c r="J5" s="2" t="s">
        <v>5</v>
      </c>
      <c r="K5" s="62" t="str">
        <f>'28.07 BUSEGA-NATEETE'!K5:L5</f>
        <v>BONIFACE/IVAN</v>
      </c>
      <c r="L5" s="63"/>
      <c r="M5" s="10"/>
      <c r="N5" s="10"/>
      <c r="O5" s="3"/>
      <c r="P5" s="3"/>
    </row>
    <row r="6" spans="2:32" ht="23.25" customHeight="1" x14ac:dyDescent="0.25">
      <c r="C6" s="2" t="s">
        <v>4</v>
      </c>
      <c r="D6" s="62" t="str">
        <f>'22.07 BUSEGA-NATEETE'!D6:E6</f>
        <v>BUSEGA</v>
      </c>
      <c r="E6" s="63"/>
      <c r="F6" s="2" t="s">
        <v>2</v>
      </c>
      <c r="G6" s="62" t="str">
        <f>'22.07 BUSEGA-NATEETE'!G6:H6</f>
        <v>NATEETE</v>
      </c>
      <c r="H6" s="63"/>
      <c r="J6" s="2" t="s">
        <v>21</v>
      </c>
      <c r="K6" s="62" t="str">
        <f>'28.07 BUSEGA-NATEETE'!K6:L6</f>
        <v>BEATRACE</v>
      </c>
      <c r="L6" s="6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35</v>
      </c>
      <c r="D10" s="50">
        <v>2</v>
      </c>
      <c r="E10" s="50">
        <v>7</v>
      </c>
      <c r="F10" s="50">
        <v>43</v>
      </c>
      <c r="G10" s="50">
        <v>2</v>
      </c>
      <c r="H10" s="50">
        <v>4</v>
      </c>
      <c r="I10" s="50">
        <v>4</v>
      </c>
      <c r="J10" s="50">
        <v>3</v>
      </c>
      <c r="K10" s="50">
        <v>1</v>
      </c>
      <c r="L10" s="50">
        <v>0</v>
      </c>
      <c r="M10" s="50">
        <v>220</v>
      </c>
      <c r="N10" s="50">
        <v>0</v>
      </c>
      <c r="O10" s="15">
        <f t="shared" ref="O10:O57" si="0">SUM(C10:L10,N10)</f>
        <v>101</v>
      </c>
      <c r="P10" s="15">
        <f t="shared" ref="P10:P57" si="1">SUM(C10:N10)</f>
        <v>321</v>
      </c>
      <c r="R10" s="1" t="s">
        <v>6</v>
      </c>
      <c r="S10" s="17">
        <f t="shared" ref="S10:AF10" si="2">SUM(C10:C13)</f>
        <v>146</v>
      </c>
      <c r="T10" s="17">
        <f t="shared" si="2"/>
        <v>17</v>
      </c>
      <c r="U10" s="17">
        <f t="shared" si="2"/>
        <v>19</v>
      </c>
      <c r="V10" s="17">
        <f t="shared" si="2"/>
        <v>173</v>
      </c>
      <c r="W10" s="17">
        <f t="shared" si="2"/>
        <v>7</v>
      </c>
      <c r="X10" s="17">
        <f t="shared" si="2"/>
        <v>10</v>
      </c>
      <c r="Y10" s="17">
        <f t="shared" si="2"/>
        <v>32</v>
      </c>
      <c r="Z10" s="17">
        <f t="shared" si="2"/>
        <v>11</v>
      </c>
      <c r="AA10" s="17">
        <f t="shared" si="2"/>
        <v>2</v>
      </c>
      <c r="AB10" s="17">
        <f t="shared" si="2"/>
        <v>2</v>
      </c>
      <c r="AC10" s="17">
        <f t="shared" si="2"/>
        <v>810</v>
      </c>
      <c r="AD10" s="17">
        <f t="shared" si="2"/>
        <v>0</v>
      </c>
      <c r="AE10" s="31">
        <f t="shared" si="2"/>
        <v>419</v>
      </c>
      <c r="AF10" s="31">
        <f t="shared" si="2"/>
        <v>1229</v>
      </c>
    </row>
    <row r="11" spans="2:32" s="6" customFormat="1" ht="23.1" customHeight="1" x14ac:dyDescent="0.25">
      <c r="B11" s="23" t="s">
        <v>38</v>
      </c>
      <c r="C11" s="50">
        <v>46</v>
      </c>
      <c r="D11" s="50">
        <v>2</v>
      </c>
      <c r="E11" s="50">
        <v>7</v>
      </c>
      <c r="F11" s="50">
        <v>45</v>
      </c>
      <c r="G11" s="50">
        <v>1</v>
      </c>
      <c r="H11" s="50">
        <v>2</v>
      </c>
      <c r="I11" s="50">
        <v>9</v>
      </c>
      <c r="J11" s="50">
        <v>2</v>
      </c>
      <c r="K11" s="50">
        <v>0</v>
      </c>
      <c r="L11" s="50">
        <v>0</v>
      </c>
      <c r="M11" s="50">
        <v>205</v>
      </c>
      <c r="N11" s="50">
        <v>0</v>
      </c>
      <c r="O11" s="15">
        <f t="shared" si="0"/>
        <v>114</v>
      </c>
      <c r="P11" s="15">
        <f t="shared" si="1"/>
        <v>319</v>
      </c>
      <c r="R11" s="1" t="s">
        <v>7</v>
      </c>
      <c r="S11" s="17">
        <f t="shared" ref="S11:AF11" si="3">SUM(C14:C17)</f>
        <v>134</v>
      </c>
      <c r="T11" s="17">
        <f t="shared" si="3"/>
        <v>24</v>
      </c>
      <c r="U11" s="17">
        <f t="shared" si="3"/>
        <v>15</v>
      </c>
      <c r="V11" s="17">
        <f t="shared" si="3"/>
        <v>173</v>
      </c>
      <c r="W11" s="17">
        <f t="shared" si="3"/>
        <v>6</v>
      </c>
      <c r="X11" s="17">
        <f t="shared" si="3"/>
        <v>10</v>
      </c>
      <c r="Y11" s="17">
        <f t="shared" si="3"/>
        <v>27</v>
      </c>
      <c r="Z11" s="17">
        <f t="shared" si="3"/>
        <v>22</v>
      </c>
      <c r="AA11" s="17">
        <f t="shared" si="3"/>
        <v>11</v>
      </c>
      <c r="AB11" s="17">
        <f t="shared" si="3"/>
        <v>6</v>
      </c>
      <c r="AC11" s="17">
        <f t="shared" si="3"/>
        <v>735</v>
      </c>
      <c r="AD11" s="17">
        <f t="shared" si="3"/>
        <v>0</v>
      </c>
      <c r="AE11" s="31">
        <f t="shared" si="3"/>
        <v>428</v>
      </c>
      <c r="AF11" s="31">
        <f t="shared" si="3"/>
        <v>1163</v>
      </c>
    </row>
    <row r="12" spans="2:32" ht="23.1" customHeight="1" x14ac:dyDescent="0.25">
      <c r="B12" s="23" t="s">
        <v>39</v>
      </c>
      <c r="C12" s="50">
        <v>17</v>
      </c>
      <c r="D12" s="50">
        <v>5</v>
      </c>
      <c r="E12" s="50">
        <v>3</v>
      </c>
      <c r="F12" s="50">
        <v>41</v>
      </c>
      <c r="G12" s="50">
        <v>2</v>
      </c>
      <c r="H12" s="50">
        <v>2</v>
      </c>
      <c r="I12" s="50">
        <v>10</v>
      </c>
      <c r="J12" s="50">
        <v>4</v>
      </c>
      <c r="K12" s="50">
        <v>1</v>
      </c>
      <c r="L12" s="50">
        <v>2</v>
      </c>
      <c r="M12" s="50">
        <v>180</v>
      </c>
      <c r="N12" s="50">
        <v>0</v>
      </c>
      <c r="O12" s="15">
        <f t="shared" si="0"/>
        <v>87</v>
      </c>
      <c r="P12" s="15">
        <f t="shared" si="1"/>
        <v>267</v>
      </c>
      <c r="R12" s="1" t="s">
        <v>8</v>
      </c>
      <c r="S12" s="17">
        <f t="shared" ref="S12:AF12" si="4">SUM(C18:C21)</f>
        <v>181</v>
      </c>
      <c r="T12" s="17">
        <f t="shared" si="4"/>
        <v>20</v>
      </c>
      <c r="U12" s="17">
        <f t="shared" si="4"/>
        <v>29</v>
      </c>
      <c r="V12" s="17">
        <f t="shared" si="4"/>
        <v>174</v>
      </c>
      <c r="W12" s="17">
        <f t="shared" si="4"/>
        <v>2</v>
      </c>
      <c r="X12" s="17">
        <f t="shared" si="4"/>
        <v>6</v>
      </c>
      <c r="Y12" s="17">
        <f t="shared" si="4"/>
        <v>23</v>
      </c>
      <c r="Z12" s="17">
        <f t="shared" si="4"/>
        <v>11</v>
      </c>
      <c r="AA12" s="17">
        <f t="shared" si="4"/>
        <v>4</v>
      </c>
      <c r="AB12" s="17">
        <f t="shared" si="4"/>
        <v>7</v>
      </c>
      <c r="AC12" s="17">
        <f t="shared" si="4"/>
        <v>740</v>
      </c>
      <c r="AD12" s="17">
        <f t="shared" si="4"/>
        <v>0</v>
      </c>
      <c r="AE12" s="31">
        <f t="shared" si="4"/>
        <v>457</v>
      </c>
      <c r="AF12" s="31">
        <f t="shared" si="4"/>
        <v>1197</v>
      </c>
    </row>
    <row r="13" spans="2:32" ht="23.1" customHeight="1" x14ac:dyDescent="0.25">
      <c r="B13" s="23" t="s">
        <v>40</v>
      </c>
      <c r="C13" s="50">
        <v>48</v>
      </c>
      <c r="D13" s="50">
        <v>8</v>
      </c>
      <c r="E13" s="50">
        <v>2</v>
      </c>
      <c r="F13" s="50">
        <v>44</v>
      </c>
      <c r="G13" s="50">
        <v>2</v>
      </c>
      <c r="H13" s="50">
        <v>2</v>
      </c>
      <c r="I13" s="50">
        <v>9</v>
      </c>
      <c r="J13" s="50">
        <v>2</v>
      </c>
      <c r="K13" s="50">
        <v>0</v>
      </c>
      <c r="L13" s="50">
        <v>0</v>
      </c>
      <c r="M13" s="50">
        <v>205</v>
      </c>
      <c r="N13" s="50">
        <v>0</v>
      </c>
      <c r="O13" s="15">
        <f t="shared" si="0"/>
        <v>117</v>
      </c>
      <c r="P13" s="15">
        <f t="shared" si="1"/>
        <v>322</v>
      </c>
      <c r="R13" s="1" t="s">
        <v>9</v>
      </c>
      <c r="S13" s="17">
        <f t="shared" ref="S13:AF13" si="5">SUM(C22:C25)</f>
        <v>175</v>
      </c>
      <c r="T13" s="17">
        <f t="shared" si="5"/>
        <v>18</v>
      </c>
      <c r="U13" s="17">
        <f t="shared" si="5"/>
        <v>25</v>
      </c>
      <c r="V13" s="17">
        <f t="shared" si="5"/>
        <v>169</v>
      </c>
      <c r="W13" s="17">
        <f t="shared" si="5"/>
        <v>4</v>
      </c>
      <c r="X13" s="17">
        <f t="shared" si="5"/>
        <v>4</v>
      </c>
      <c r="Y13" s="17">
        <f t="shared" si="5"/>
        <v>26</v>
      </c>
      <c r="Z13" s="17">
        <f t="shared" si="5"/>
        <v>19</v>
      </c>
      <c r="AA13" s="17">
        <f t="shared" si="5"/>
        <v>3</v>
      </c>
      <c r="AB13" s="17">
        <f t="shared" si="5"/>
        <v>10</v>
      </c>
      <c r="AC13" s="17">
        <f t="shared" si="5"/>
        <v>770</v>
      </c>
      <c r="AD13" s="17">
        <f t="shared" si="5"/>
        <v>0</v>
      </c>
      <c r="AE13" s="31">
        <f t="shared" si="5"/>
        <v>453</v>
      </c>
      <c r="AF13" s="31">
        <f t="shared" si="5"/>
        <v>1223</v>
      </c>
    </row>
    <row r="14" spans="2:32" ht="23.1" customHeight="1" x14ac:dyDescent="0.25">
      <c r="B14" s="23" t="s">
        <v>41</v>
      </c>
      <c r="C14" s="50">
        <v>34</v>
      </c>
      <c r="D14" s="50">
        <v>7</v>
      </c>
      <c r="E14" s="50">
        <v>6</v>
      </c>
      <c r="F14" s="50">
        <v>45</v>
      </c>
      <c r="G14" s="50">
        <v>3</v>
      </c>
      <c r="H14" s="50">
        <v>3</v>
      </c>
      <c r="I14" s="50">
        <v>11</v>
      </c>
      <c r="J14" s="50">
        <v>8</v>
      </c>
      <c r="K14" s="50">
        <v>0</v>
      </c>
      <c r="L14" s="50">
        <v>3</v>
      </c>
      <c r="M14" s="50">
        <v>170</v>
      </c>
      <c r="N14" s="50">
        <v>0</v>
      </c>
      <c r="O14" s="15">
        <f t="shared" si="0"/>
        <v>120</v>
      </c>
      <c r="P14" s="15">
        <f t="shared" si="1"/>
        <v>290</v>
      </c>
      <c r="R14" s="1" t="s">
        <v>10</v>
      </c>
      <c r="S14" s="17">
        <f t="shared" ref="S14:AF14" si="6">SUM(C26:C29)</f>
        <v>144</v>
      </c>
      <c r="T14" s="17">
        <f t="shared" si="6"/>
        <v>31</v>
      </c>
      <c r="U14" s="17">
        <f t="shared" si="6"/>
        <v>17</v>
      </c>
      <c r="V14" s="17">
        <f t="shared" si="6"/>
        <v>131</v>
      </c>
      <c r="W14" s="17">
        <f t="shared" si="6"/>
        <v>5</v>
      </c>
      <c r="X14" s="17">
        <f t="shared" si="6"/>
        <v>5</v>
      </c>
      <c r="Y14" s="17">
        <f t="shared" si="6"/>
        <v>16</v>
      </c>
      <c r="Z14" s="17">
        <f t="shared" si="6"/>
        <v>21</v>
      </c>
      <c r="AA14" s="17">
        <f t="shared" si="6"/>
        <v>4</v>
      </c>
      <c r="AB14" s="17">
        <f t="shared" si="6"/>
        <v>2</v>
      </c>
      <c r="AC14" s="17">
        <f t="shared" si="6"/>
        <v>585</v>
      </c>
      <c r="AD14" s="17">
        <f t="shared" si="6"/>
        <v>0</v>
      </c>
      <c r="AE14" s="31">
        <f t="shared" si="6"/>
        <v>376</v>
      </c>
      <c r="AF14" s="31">
        <f t="shared" si="6"/>
        <v>961</v>
      </c>
    </row>
    <row r="15" spans="2:32" ht="23.1" customHeight="1" x14ac:dyDescent="0.25">
      <c r="B15" s="23" t="s">
        <v>42</v>
      </c>
      <c r="C15" s="50">
        <v>32</v>
      </c>
      <c r="D15" s="50">
        <v>2</v>
      </c>
      <c r="E15" s="50">
        <v>4</v>
      </c>
      <c r="F15" s="50">
        <v>37</v>
      </c>
      <c r="G15" s="50">
        <v>3</v>
      </c>
      <c r="H15" s="50">
        <v>3</v>
      </c>
      <c r="I15" s="50">
        <v>6</v>
      </c>
      <c r="J15" s="50">
        <v>6</v>
      </c>
      <c r="K15" s="50">
        <v>0</v>
      </c>
      <c r="L15" s="50">
        <v>0</v>
      </c>
      <c r="M15" s="50">
        <v>160</v>
      </c>
      <c r="N15" s="50">
        <v>0</v>
      </c>
      <c r="O15" s="15">
        <f t="shared" si="0"/>
        <v>93</v>
      </c>
      <c r="P15" s="15">
        <f t="shared" si="1"/>
        <v>253</v>
      </c>
      <c r="R15" s="1" t="s">
        <v>11</v>
      </c>
      <c r="S15" s="17">
        <f t="shared" ref="S15:AF15" si="7">SUM(C30:C33)</f>
        <v>167</v>
      </c>
      <c r="T15" s="17">
        <f t="shared" si="7"/>
        <v>37</v>
      </c>
      <c r="U15" s="17">
        <f t="shared" si="7"/>
        <v>21</v>
      </c>
      <c r="V15" s="17">
        <f t="shared" si="7"/>
        <v>129</v>
      </c>
      <c r="W15" s="17">
        <f t="shared" si="7"/>
        <v>4</v>
      </c>
      <c r="X15" s="17">
        <f t="shared" si="7"/>
        <v>3</v>
      </c>
      <c r="Y15" s="17">
        <f t="shared" si="7"/>
        <v>32</v>
      </c>
      <c r="Z15" s="17">
        <f t="shared" si="7"/>
        <v>22</v>
      </c>
      <c r="AA15" s="17">
        <f t="shared" si="7"/>
        <v>8</v>
      </c>
      <c r="AB15" s="17">
        <f t="shared" si="7"/>
        <v>8</v>
      </c>
      <c r="AC15" s="17">
        <f t="shared" si="7"/>
        <v>680</v>
      </c>
      <c r="AD15" s="17">
        <f t="shared" si="7"/>
        <v>0</v>
      </c>
      <c r="AE15" s="31">
        <f t="shared" si="7"/>
        <v>431</v>
      </c>
      <c r="AF15" s="31">
        <f t="shared" si="7"/>
        <v>1111</v>
      </c>
    </row>
    <row r="16" spans="2:32" ht="23.1" customHeight="1" x14ac:dyDescent="0.25">
      <c r="B16" s="23" t="s">
        <v>43</v>
      </c>
      <c r="C16" s="50">
        <v>31</v>
      </c>
      <c r="D16" s="50">
        <v>10</v>
      </c>
      <c r="E16" s="50">
        <v>2</v>
      </c>
      <c r="F16" s="50">
        <v>42</v>
      </c>
      <c r="G16" s="50">
        <v>0</v>
      </c>
      <c r="H16" s="50">
        <v>2</v>
      </c>
      <c r="I16" s="50">
        <v>6</v>
      </c>
      <c r="J16" s="50">
        <v>4</v>
      </c>
      <c r="K16" s="50">
        <v>0</v>
      </c>
      <c r="L16" s="50">
        <v>2</v>
      </c>
      <c r="M16" s="50">
        <v>175</v>
      </c>
      <c r="N16" s="50">
        <v>0</v>
      </c>
      <c r="O16" s="15">
        <f t="shared" si="0"/>
        <v>99</v>
      </c>
      <c r="P16" s="15">
        <f t="shared" si="1"/>
        <v>274</v>
      </c>
      <c r="R16" s="1" t="s">
        <v>12</v>
      </c>
      <c r="S16" s="17">
        <f t="shared" ref="S16:AF16" si="8">SUM(C34:C37)</f>
        <v>165</v>
      </c>
      <c r="T16" s="17">
        <f t="shared" si="8"/>
        <v>14</v>
      </c>
      <c r="U16" s="17">
        <f t="shared" si="8"/>
        <v>28</v>
      </c>
      <c r="V16" s="17">
        <f t="shared" si="8"/>
        <v>161</v>
      </c>
      <c r="W16" s="17">
        <f t="shared" si="8"/>
        <v>2</v>
      </c>
      <c r="X16" s="17">
        <f t="shared" si="8"/>
        <v>2</v>
      </c>
      <c r="Y16" s="17">
        <f t="shared" si="8"/>
        <v>22</v>
      </c>
      <c r="Z16" s="17">
        <f t="shared" si="8"/>
        <v>15</v>
      </c>
      <c r="AA16" s="17">
        <f t="shared" si="8"/>
        <v>3</v>
      </c>
      <c r="AB16" s="17">
        <f t="shared" si="8"/>
        <v>3</v>
      </c>
      <c r="AC16" s="17">
        <f t="shared" si="8"/>
        <v>645</v>
      </c>
      <c r="AD16" s="17">
        <f t="shared" si="8"/>
        <v>0</v>
      </c>
      <c r="AE16" s="31">
        <f t="shared" si="8"/>
        <v>415</v>
      </c>
      <c r="AF16" s="31">
        <f t="shared" si="8"/>
        <v>1060</v>
      </c>
    </row>
    <row r="17" spans="2:32" ht="23.1" customHeight="1" x14ac:dyDescent="0.25">
      <c r="B17" s="23" t="s">
        <v>44</v>
      </c>
      <c r="C17" s="50">
        <v>37</v>
      </c>
      <c r="D17" s="50">
        <v>5</v>
      </c>
      <c r="E17" s="50">
        <v>3</v>
      </c>
      <c r="F17" s="50">
        <v>49</v>
      </c>
      <c r="G17" s="50">
        <v>0</v>
      </c>
      <c r="H17" s="50">
        <v>2</v>
      </c>
      <c r="I17" s="50">
        <v>4</v>
      </c>
      <c r="J17" s="50">
        <v>4</v>
      </c>
      <c r="K17" s="50">
        <v>11</v>
      </c>
      <c r="L17" s="50">
        <v>1</v>
      </c>
      <c r="M17" s="50">
        <v>230</v>
      </c>
      <c r="N17" s="50">
        <v>0</v>
      </c>
      <c r="O17" s="15">
        <f t="shared" si="0"/>
        <v>116</v>
      </c>
      <c r="P17" s="15">
        <f t="shared" si="1"/>
        <v>346</v>
      </c>
      <c r="R17" s="1" t="s">
        <v>13</v>
      </c>
      <c r="S17" s="17">
        <f t="shared" ref="S17:AF17" si="9">SUM(C38:C41)</f>
        <v>219</v>
      </c>
      <c r="T17" s="17">
        <f t="shared" si="9"/>
        <v>34</v>
      </c>
      <c r="U17" s="17">
        <f t="shared" si="9"/>
        <v>19</v>
      </c>
      <c r="V17" s="17">
        <f t="shared" si="9"/>
        <v>205</v>
      </c>
      <c r="W17" s="17">
        <f t="shared" si="9"/>
        <v>3</v>
      </c>
      <c r="X17" s="17">
        <f t="shared" si="9"/>
        <v>2</v>
      </c>
      <c r="Y17" s="17">
        <f t="shared" si="9"/>
        <v>18</v>
      </c>
      <c r="Z17" s="17">
        <f t="shared" si="9"/>
        <v>14</v>
      </c>
      <c r="AA17" s="17">
        <f t="shared" si="9"/>
        <v>7</v>
      </c>
      <c r="AB17" s="17">
        <f t="shared" si="9"/>
        <v>6</v>
      </c>
      <c r="AC17" s="17">
        <f t="shared" si="9"/>
        <v>670</v>
      </c>
      <c r="AD17" s="17">
        <f t="shared" si="9"/>
        <v>0</v>
      </c>
      <c r="AE17" s="31">
        <f t="shared" si="9"/>
        <v>527</v>
      </c>
      <c r="AF17" s="31">
        <f t="shared" si="9"/>
        <v>1197</v>
      </c>
    </row>
    <row r="18" spans="2:32" ht="23.1" customHeight="1" x14ac:dyDescent="0.25">
      <c r="B18" s="23" t="s">
        <v>45</v>
      </c>
      <c r="C18" s="50">
        <v>43</v>
      </c>
      <c r="D18" s="50">
        <v>3</v>
      </c>
      <c r="E18" s="50">
        <v>14</v>
      </c>
      <c r="F18" s="50">
        <v>43</v>
      </c>
      <c r="G18" s="50">
        <v>0</v>
      </c>
      <c r="H18" s="50">
        <v>0</v>
      </c>
      <c r="I18" s="50">
        <v>3</v>
      </c>
      <c r="J18" s="50">
        <v>5</v>
      </c>
      <c r="K18" s="50">
        <v>1</v>
      </c>
      <c r="L18" s="50">
        <v>1</v>
      </c>
      <c r="M18" s="50">
        <v>215</v>
      </c>
      <c r="N18" s="50">
        <v>0</v>
      </c>
      <c r="O18" s="15">
        <f t="shared" si="0"/>
        <v>113</v>
      </c>
      <c r="P18" s="15">
        <f t="shared" si="1"/>
        <v>328</v>
      </c>
      <c r="R18" s="1" t="s">
        <v>14</v>
      </c>
      <c r="S18" s="17">
        <f t="shared" ref="S18:AF18" si="10">SUM(C42:C45)</f>
        <v>291</v>
      </c>
      <c r="T18" s="17">
        <f t="shared" si="10"/>
        <v>36</v>
      </c>
      <c r="U18" s="17">
        <f t="shared" si="10"/>
        <v>31</v>
      </c>
      <c r="V18" s="17">
        <f t="shared" si="10"/>
        <v>225</v>
      </c>
      <c r="W18" s="17">
        <f t="shared" si="10"/>
        <v>8</v>
      </c>
      <c r="X18" s="17">
        <f t="shared" si="10"/>
        <v>2</v>
      </c>
      <c r="Y18" s="17">
        <f t="shared" si="10"/>
        <v>27</v>
      </c>
      <c r="Z18" s="17">
        <f t="shared" si="10"/>
        <v>39</v>
      </c>
      <c r="AA18" s="17">
        <f t="shared" si="10"/>
        <v>4</v>
      </c>
      <c r="AB18" s="17">
        <f t="shared" si="10"/>
        <v>12</v>
      </c>
      <c r="AC18" s="17">
        <f t="shared" si="10"/>
        <v>694</v>
      </c>
      <c r="AD18" s="17">
        <f t="shared" si="10"/>
        <v>0</v>
      </c>
      <c r="AE18" s="31">
        <f t="shared" si="10"/>
        <v>675</v>
      </c>
      <c r="AF18" s="31">
        <f t="shared" si="10"/>
        <v>1369</v>
      </c>
    </row>
    <row r="19" spans="2:32" ht="23.1" customHeight="1" x14ac:dyDescent="0.25">
      <c r="B19" s="23" t="s">
        <v>46</v>
      </c>
      <c r="C19" s="50">
        <v>26</v>
      </c>
      <c r="D19" s="50">
        <v>5</v>
      </c>
      <c r="E19" s="50">
        <v>4</v>
      </c>
      <c r="F19" s="50">
        <v>37</v>
      </c>
      <c r="G19" s="50">
        <v>1</v>
      </c>
      <c r="H19" s="50">
        <v>4</v>
      </c>
      <c r="I19" s="50">
        <v>9</v>
      </c>
      <c r="J19" s="50">
        <v>1</v>
      </c>
      <c r="K19" s="50">
        <v>1</v>
      </c>
      <c r="L19" s="50">
        <v>1</v>
      </c>
      <c r="M19" s="50">
        <v>110</v>
      </c>
      <c r="N19" s="50">
        <v>0</v>
      </c>
      <c r="O19" s="15">
        <f t="shared" si="0"/>
        <v>89</v>
      </c>
      <c r="P19" s="15">
        <f t="shared" si="1"/>
        <v>199</v>
      </c>
      <c r="R19" s="1" t="s">
        <v>15</v>
      </c>
      <c r="S19" s="17">
        <f t="shared" ref="S19:AF19" si="11">SUM(C46:C49)</f>
        <v>182</v>
      </c>
      <c r="T19" s="17">
        <f t="shared" si="11"/>
        <v>22</v>
      </c>
      <c r="U19" s="17">
        <f t="shared" si="11"/>
        <v>25</v>
      </c>
      <c r="V19" s="17">
        <f t="shared" si="11"/>
        <v>209</v>
      </c>
      <c r="W19" s="17">
        <f t="shared" si="11"/>
        <v>5</v>
      </c>
      <c r="X19" s="17">
        <f t="shared" si="11"/>
        <v>9</v>
      </c>
      <c r="Y19" s="17">
        <f t="shared" si="11"/>
        <v>12</v>
      </c>
      <c r="Z19" s="17">
        <f t="shared" si="11"/>
        <v>29</v>
      </c>
      <c r="AA19" s="17">
        <f t="shared" si="11"/>
        <v>14</v>
      </c>
      <c r="AB19" s="17">
        <f t="shared" si="11"/>
        <v>8</v>
      </c>
      <c r="AC19" s="17">
        <f t="shared" si="11"/>
        <v>734</v>
      </c>
      <c r="AD19" s="17">
        <f t="shared" si="11"/>
        <v>1</v>
      </c>
      <c r="AE19" s="31">
        <f t="shared" si="11"/>
        <v>516</v>
      </c>
      <c r="AF19" s="31">
        <f t="shared" si="11"/>
        <v>1250</v>
      </c>
    </row>
    <row r="20" spans="2:32" ht="23.1" customHeight="1" x14ac:dyDescent="0.25">
      <c r="B20" s="23" t="s">
        <v>47</v>
      </c>
      <c r="C20" s="50">
        <v>52</v>
      </c>
      <c r="D20" s="50">
        <v>7</v>
      </c>
      <c r="E20" s="50">
        <v>5</v>
      </c>
      <c r="F20" s="50">
        <v>42</v>
      </c>
      <c r="G20" s="50">
        <v>1</v>
      </c>
      <c r="H20" s="50">
        <v>2</v>
      </c>
      <c r="I20" s="50">
        <v>4</v>
      </c>
      <c r="J20" s="50">
        <v>3</v>
      </c>
      <c r="K20" s="50">
        <v>1</v>
      </c>
      <c r="L20" s="50">
        <v>4</v>
      </c>
      <c r="M20" s="50">
        <v>200</v>
      </c>
      <c r="N20" s="50">
        <v>0</v>
      </c>
      <c r="O20" s="15">
        <f t="shared" si="0"/>
        <v>121</v>
      </c>
      <c r="P20" s="15">
        <f t="shared" si="1"/>
        <v>321</v>
      </c>
      <c r="R20" s="1" t="s">
        <v>16</v>
      </c>
      <c r="S20" s="17">
        <f t="shared" ref="S20:AF20" si="12">SUM(C50:C53)</f>
        <v>269</v>
      </c>
      <c r="T20" s="17">
        <f t="shared" si="12"/>
        <v>25</v>
      </c>
      <c r="U20" s="17">
        <f t="shared" si="12"/>
        <v>40</v>
      </c>
      <c r="V20" s="17">
        <f t="shared" si="12"/>
        <v>259</v>
      </c>
      <c r="W20" s="17">
        <f t="shared" si="12"/>
        <v>10</v>
      </c>
      <c r="X20" s="17">
        <f t="shared" si="12"/>
        <v>4</v>
      </c>
      <c r="Y20" s="17">
        <f t="shared" si="12"/>
        <v>21</v>
      </c>
      <c r="Z20" s="17">
        <f t="shared" si="12"/>
        <v>36</v>
      </c>
      <c r="AA20" s="17">
        <f t="shared" si="12"/>
        <v>6</v>
      </c>
      <c r="AB20" s="17">
        <f t="shared" si="12"/>
        <v>12</v>
      </c>
      <c r="AC20" s="17">
        <f t="shared" si="12"/>
        <v>1006</v>
      </c>
      <c r="AD20" s="17">
        <f t="shared" si="12"/>
        <v>0</v>
      </c>
      <c r="AE20" s="31">
        <f t="shared" si="12"/>
        <v>682</v>
      </c>
      <c r="AF20" s="31">
        <f t="shared" si="12"/>
        <v>1688</v>
      </c>
    </row>
    <row r="21" spans="2:32" ht="23.1" customHeight="1" x14ac:dyDescent="0.25">
      <c r="B21" s="23" t="s">
        <v>48</v>
      </c>
      <c r="C21" s="50">
        <v>60</v>
      </c>
      <c r="D21" s="50">
        <v>5</v>
      </c>
      <c r="E21" s="50">
        <v>6</v>
      </c>
      <c r="F21" s="50">
        <v>52</v>
      </c>
      <c r="G21" s="50">
        <v>0</v>
      </c>
      <c r="H21" s="50">
        <v>0</v>
      </c>
      <c r="I21" s="50">
        <v>7</v>
      </c>
      <c r="J21" s="50">
        <v>2</v>
      </c>
      <c r="K21" s="50">
        <v>1</v>
      </c>
      <c r="L21" s="50">
        <v>1</v>
      </c>
      <c r="M21" s="50">
        <v>215</v>
      </c>
      <c r="N21" s="50">
        <v>0</v>
      </c>
      <c r="O21" s="15">
        <f t="shared" si="0"/>
        <v>134</v>
      </c>
      <c r="P21" s="15">
        <f t="shared" si="1"/>
        <v>349</v>
      </c>
      <c r="R21" s="36" t="s">
        <v>20</v>
      </c>
      <c r="S21" s="34">
        <f t="shared" ref="S21:AF21" si="13">SUM(C54:C57)</f>
        <v>198</v>
      </c>
      <c r="T21" s="17">
        <f t="shared" si="13"/>
        <v>30</v>
      </c>
      <c r="U21" s="17">
        <f t="shared" si="13"/>
        <v>29</v>
      </c>
      <c r="V21" s="17">
        <f t="shared" si="13"/>
        <v>224</v>
      </c>
      <c r="W21" s="17">
        <f t="shared" si="13"/>
        <v>6</v>
      </c>
      <c r="X21" s="17">
        <f t="shared" si="13"/>
        <v>5</v>
      </c>
      <c r="Y21" s="17">
        <f t="shared" si="13"/>
        <v>11</v>
      </c>
      <c r="Z21" s="17">
        <f t="shared" si="13"/>
        <v>29</v>
      </c>
      <c r="AA21" s="17">
        <f t="shared" si="13"/>
        <v>2</v>
      </c>
      <c r="AB21" s="17">
        <f t="shared" si="13"/>
        <v>14</v>
      </c>
      <c r="AC21" s="17">
        <f t="shared" si="13"/>
        <v>1124</v>
      </c>
      <c r="AD21" s="17">
        <f t="shared" si="13"/>
        <v>0</v>
      </c>
      <c r="AE21" s="31">
        <f t="shared" si="13"/>
        <v>548</v>
      </c>
      <c r="AF21" s="31">
        <f t="shared" si="13"/>
        <v>1672</v>
      </c>
    </row>
    <row r="22" spans="2:32" ht="23.1" customHeight="1" x14ac:dyDescent="0.25">
      <c r="B22" s="23" t="s">
        <v>49</v>
      </c>
      <c r="C22" s="50">
        <v>45</v>
      </c>
      <c r="D22" s="50">
        <v>5</v>
      </c>
      <c r="E22" s="50">
        <v>6</v>
      </c>
      <c r="F22" s="50">
        <v>47</v>
      </c>
      <c r="G22" s="50">
        <v>2</v>
      </c>
      <c r="H22" s="50">
        <v>0</v>
      </c>
      <c r="I22" s="50">
        <v>12</v>
      </c>
      <c r="J22" s="50">
        <v>5</v>
      </c>
      <c r="K22" s="50">
        <v>1</v>
      </c>
      <c r="L22" s="50">
        <v>4</v>
      </c>
      <c r="M22" s="50">
        <v>180</v>
      </c>
      <c r="N22" s="50">
        <v>0</v>
      </c>
      <c r="O22" s="15">
        <f t="shared" si="0"/>
        <v>127</v>
      </c>
      <c r="P22" s="15">
        <f t="shared" si="1"/>
        <v>307</v>
      </c>
      <c r="R22" s="38" t="s">
        <v>90</v>
      </c>
      <c r="S22" s="39">
        <f>MAX(S10:S12)</f>
        <v>181</v>
      </c>
      <c r="T22" s="39">
        <f t="shared" ref="T22:AF22" si="14">MAX(T10:T12)</f>
        <v>24</v>
      </c>
      <c r="U22" s="39">
        <f t="shared" si="14"/>
        <v>29</v>
      </c>
      <c r="V22" s="39">
        <f t="shared" si="14"/>
        <v>174</v>
      </c>
      <c r="W22" s="39">
        <f t="shared" si="14"/>
        <v>7</v>
      </c>
      <c r="X22" s="39">
        <f t="shared" si="14"/>
        <v>10</v>
      </c>
      <c r="Y22" s="39">
        <f t="shared" si="14"/>
        <v>32</v>
      </c>
      <c r="Z22" s="39">
        <f t="shared" si="14"/>
        <v>22</v>
      </c>
      <c r="AA22" s="39">
        <f t="shared" si="14"/>
        <v>11</v>
      </c>
      <c r="AB22" s="39">
        <f t="shared" si="14"/>
        <v>7</v>
      </c>
      <c r="AC22" s="39">
        <f t="shared" si="14"/>
        <v>810</v>
      </c>
      <c r="AD22" s="39">
        <f t="shared" si="14"/>
        <v>0</v>
      </c>
      <c r="AE22" s="40">
        <f t="shared" si="14"/>
        <v>457</v>
      </c>
      <c r="AF22" s="40">
        <f t="shared" si="14"/>
        <v>1229</v>
      </c>
    </row>
    <row r="23" spans="2:32" ht="23.1" customHeight="1" x14ac:dyDescent="0.25">
      <c r="B23" s="23" t="s">
        <v>50</v>
      </c>
      <c r="C23" s="50">
        <v>42</v>
      </c>
      <c r="D23" s="50">
        <v>4</v>
      </c>
      <c r="E23" s="50">
        <v>11</v>
      </c>
      <c r="F23" s="50">
        <v>35</v>
      </c>
      <c r="G23" s="50">
        <v>1</v>
      </c>
      <c r="H23" s="50">
        <v>1</v>
      </c>
      <c r="I23" s="50">
        <v>3</v>
      </c>
      <c r="J23" s="50">
        <v>4</v>
      </c>
      <c r="K23" s="50">
        <v>0</v>
      </c>
      <c r="L23" s="50">
        <v>2</v>
      </c>
      <c r="M23" s="50">
        <v>170</v>
      </c>
      <c r="N23" s="50">
        <v>0</v>
      </c>
      <c r="O23" s="15">
        <f t="shared" si="0"/>
        <v>103</v>
      </c>
      <c r="P23" s="15">
        <f t="shared" si="1"/>
        <v>273</v>
      </c>
      <c r="R23" s="38" t="s">
        <v>91</v>
      </c>
      <c r="S23" s="39">
        <f>MAX(S13:S18)</f>
        <v>291</v>
      </c>
      <c r="T23" s="39">
        <f t="shared" ref="T23:AF23" si="15">MAX(T13:T18)</f>
        <v>37</v>
      </c>
      <c r="U23" s="39">
        <f t="shared" si="15"/>
        <v>31</v>
      </c>
      <c r="V23" s="39">
        <f t="shared" si="15"/>
        <v>225</v>
      </c>
      <c r="W23" s="39">
        <f t="shared" si="15"/>
        <v>8</v>
      </c>
      <c r="X23" s="39">
        <f t="shared" si="15"/>
        <v>5</v>
      </c>
      <c r="Y23" s="39">
        <f t="shared" si="15"/>
        <v>32</v>
      </c>
      <c r="Z23" s="39">
        <f t="shared" si="15"/>
        <v>39</v>
      </c>
      <c r="AA23" s="39">
        <f t="shared" si="15"/>
        <v>8</v>
      </c>
      <c r="AB23" s="39">
        <f t="shared" si="15"/>
        <v>12</v>
      </c>
      <c r="AC23" s="39">
        <f t="shared" si="15"/>
        <v>770</v>
      </c>
      <c r="AD23" s="39">
        <f t="shared" si="15"/>
        <v>0</v>
      </c>
      <c r="AE23" s="40">
        <f t="shared" si="15"/>
        <v>675</v>
      </c>
      <c r="AF23" s="40">
        <f t="shared" si="15"/>
        <v>1369</v>
      </c>
    </row>
    <row r="24" spans="2:32" ht="23.1" customHeight="1" x14ac:dyDescent="0.25">
      <c r="B24" s="23" t="s">
        <v>51</v>
      </c>
      <c r="C24" s="50">
        <v>67</v>
      </c>
      <c r="D24" s="50">
        <v>7</v>
      </c>
      <c r="E24" s="50">
        <v>7</v>
      </c>
      <c r="F24" s="50">
        <v>45</v>
      </c>
      <c r="G24" s="50">
        <v>0</v>
      </c>
      <c r="H24" s="50">
        <v>2</v>
      </c>
      <c r="I24" s="50">
        <v>2</v>
      </c>
      <c r="J24" s="50">
        <v>5</v>
      </c>
      <c r="K24" s="50">
        <v>0</v>
      </c>
      <c r="L24" s="50">
        <v>1</v>
      </c>
      <c r="M24" s="50">
        <v>215</v>
      </c>
      <c r="N24" s="50">
        <v>0</v>
      </c>
      <c r="O24" s="15">
        <f t="shared" si="0"/>
        <v>136</v>
      </c>
      <c r="P24" s="15">
        <f t="shared" si="1"/>
        <v>351</v>
      </c>
      <c r="R24" s="38" t="s">
        <v>92</v>
      </c>
      <c r="S24" s="39">
        <f>MAX(S19:S21)</f>
        <v>269</v>
      </c>
      <c r="T24" s="39">
        <f t="shared" ref="T24:AF24" si="16">MAX(T19:T21)</f>
        <v>30</v>
      </c>
      <c r="U24" s="39">
        <f t="shared" si="16"/>
        <v>40</v>
      </c>
      <c r="V24" s="39">
        <f t="shared" si="16"/>
        <v>259</v>
      </c>
      <c r="W24" s="39">
        <f t="shared" si="16"/>
        <v>10</v>
      </c>
      <c r="X24" s="39">
        <f t="shared" si="16"/>
        <v>9</v>
      </c>
      <c r="Y24" s="39">
        <f t="shared" si="16"/>
        <v>21</v>
      </c>
      <c r="Z24" s="39">
        <f t="shared" si="16"/>
        <v>36</v>
      </c>
      <c r="AA24" s="39">
        <f t="shared" si="16"/>
        <v>14</v>
      </c>
      <c r="AB24" s="39">
        <f t="shared" si="16"/>
        <v>14</v>
      </c>
      <c r="AC24" s="39">
        <f t="shared" si="16"/>
        <v>1124</v>
      </c>
      <c r="AD24" s="39">
        <f t="shared" si="16"/>
        <v>1</v>
      </c>
      <c r="AE24" s="40">
        <f t="shared" si="16"/>
        <v>682</v>
      </c>
      <c r="AF24" s="40">
        <f t="shared" si="16"/>
        <v>1688</v>
      </c>
    </row>
    <row r="25" spans="2:32" ht="23.1" customHeight="1" x14ac:dyDescent="0.25">
      <c r="B25" s="23" t="s">
        <v>52</v>
      </c>
      <c r="C25" s="50">
        <v>21</v>
      </c>
      <c r="D25" s="50">
        <v>2</v>
      </c>
      <c r="E25" s="50">
        <v>1</v>
      </c>
      <c r="F25" s="50">
        <v>42</v>
      </c>
      <c r="G25" s="50">
        <v>1</v>
      </c>
      <c r="H25" s="50">
        <v>1</v>
      </c>
      <c r="I25" s="50">
        <v>9</v>
      </c>
      <c r="J25" s="50">
        <v>5</v>
      </c>
      <c r="K25" s="50">
        <v>2</v>
      </c>
      <c r="L25" s="50">
        <v>3</v>
      </c>
      <c r="M25" s="50">
        <v>205</v>
      </c>
      <c r="N25" s="50">
        <v>0</v>
      </c>
      <c r="O25" s="15">
        <f t="shared" si="0"/>
        <v>87</v>
      </c>
      <c r="P25" s="15">
        <f t="shared" si="1"/>
        <v>292</v>
      </c>
      <c r="R25" s="37" t="s">
        <v>85</v>
      </c>
      <c r="S25" s="35">
        <f t="shared" ref="S25:AF25" si="17">SUM(S10:S12)</f>
        <v>461</v>
      </c>
      <c r="T25" s="16">
        <f t="shared" si="17"/>
        <v>61</v>
      </c>
      <c r="U25" s="16">
        <f t="shared" si="17"/>
        <v>63</v>
      </c>
      <c r="V25" s="16">
        <f t="shared" si="17"/>
        <v>520</v>
      </c>
      <c r="W25" s="16">
        <f t="shared" si="17"/>
        <v>15</v>
      </c>
      <c r="X25" s="16">
        <f t="shared" si="17"/>
        <v>26</v>
      </c>
      <c r="Y25" s="16">
        <f t="shared" si="17"/>
        <v>82</v>
      </c>
      <c r="Z25" s="16">
        <f t="shared" si="17"/>
        <v>44</v>
      </c>
      <c r="AA25" s="16">
        <f t="shared" si="17"/>
        <v>17</v>
      </c>
      <c r="AB25" s="16">
        <f t="shared" si="17"/>
        <v>15</v>
      </c>
      <c r="AC25" s="16">
        <f t="shared" si="17"/>
        <v>2285</v>
      </c>
      <c r="AD25" s="16">
        <f t="shared" si="17"/>
        <v>0</v>
      </c>
      <c r="AE25" s="32">
        <f t="shared" si="17"/>
        <v>1304</v>
      </c>
      <c r="AF25" s="32">
        <f t="shared" si="17"/>
        <v>3589</v>
      </c>
    </row>
    <row r="26" spans="2:32" ht="23.1" customHeight="1" x14ac:dyDescent="0.25">
      <c r="B26" s="23" t="s">
        <v>53</v>
      </c>
      <c r="C26" s="50">
        <v>31</v>
      </c>
      <c r="D26" s="50">
        <v>4</v>
      </c>
      <c r="E26" s="50">
        <v>5</v>
      </c>
      <c r="F26" s="50">
        <v>32</v>
      </c>
      <c r="G26" s="50">
        <v>2</v>
      </c>
      <c r="H26" s="50">
        <v>1</v>
      </c>
      <c r="I26" s="50">
        <v>4</v>
      </c>
      <c r="J26" s="50">
        <v>7</v>
      </c>
      <c r="K26" s="50">
        <v>2</v>
      </c>
      <c r="L26" s="50">
        <v>0</v>
      </c>
      <c r="M26" s="50">
        <v>180</v>
      </c>
      <c r="N26" s="50">
        <v>0</v>
      </c>
      <c r="O26" s="15">
        <f t="shared" si="0"/>
        <v>88</v>
      </c>
      <c r="P26" s="15">
        <f t="shared" si="1"/>
        <v>268</v>
      </c>
      <c r="R26" s="28" t="s">
        <v>86</v>
      </c>
      <c r="S26" s="16">
        <f t="shared" ref="S26:AF26" si="18">SUM(S13:S18)</f>
        <v>1161</v>
      </c>
      <c r="T26" s="16">
        <f t="shared" si="18"/>
        <v>170</v>
      </c>
      <c r="U26" s="16">
        <f t="shared" si="18"/>
        <v>141</v>
      </c>
      <c r="V26" s="16">
        <f t="shared" si="18"/>
        <v>1020</v>
      </c>
      <c r="W26" s="16">
        <f t="shared" si="18"/>
        <v>26</v>
      </c>
      <c r="X26" s="16">
        <f t="shared" si="18"/>
        <v>18</v>
      </c>
      <c r="Y26" s="16">
        <f t="shared" si="18"/>
        <v>141</v>
      </c>
      <c r="Z26" s="16">
        <f t="shared" si="18"/>
        <v>130</v>
      </c>
      <c r="AA26" s="16">
        <f t="shared" si="18"/>
        <v>29</v>
      </c>
      <c r="AB26" s="16">
        <f t="shared" si="18"/>
        <v>41</v>
      </c>
      <c r="AC26" s="16">
        <f t="shared" si="18"/>
        <v>4044</v>
      </c>
      <c r="AD26" s="16">
        <f t="shared" si="18"/>
        <v>0</v>
      </c>
      <c r="AE26" s="32">
        <f t="shared" si="18"/>
        <v>2877</v>
      </c>
      <c r="AF26" s="32">
        <f t="shared" si="18"/>
        <v>6921</v>
      </c>
    </row>
    <row r="27" spans="2:32" ht="23.1" customHeight="1" x14ac:dyDescent="0.25">
      <c r="B27" s="23" t="s">
        <v>54</v>
      </c>
      <c r="C27" s="50">
        <v>45</v>
      </c>
      <c r="D27" s="50">
        <v>5</v>
      </c>
      <c r="E27" s="50">
        <v>4</v>
      </c>
      <c r="F27" s="50">
        <v>33</v>
      </c>
      <c r="G27" s="50">
        <v>1</v>
      </c>
      <c r="H27" s="50">
        <v>2</v>
      </c>
      <c r="I27" s="50">
        <v>4</v>
      </c>
      <c r="J27" s="50">
        <v>4</v>
      </c>
      <c r="K27" s="50">
        <v>1</v>
      </c>
      <c r="L27" s="50">
        <v>1</v>
      </c>
      <c r="M27" s="50">
        <v>140</v>
      </c>
      <c r="N27" s="50">
        <v>0</v>
      </c>
      <c r="O27" s="15">
        <f t="shared" si="0"/>
        <v>100</v>
      </c>
      <c r="P27" s="15">
        <f t="shared" si="1"/>
        <v>240</v>
      </c>
      <c r="R27" s="29" t="s">
        <v>87</v>
      </c>
      <c r="S27" s="16">
        <f t="shared" ref="S27:AF27" si="19">SUM(S19:S21)</f>
        <v>649</v>
      </c>
      <c r="T27" s="16">
        <f t="shared" si="19"/>
        <v>77</v>
      </c>
      <c r="U27" s="16">
        <f t="shared" si="19"/>
        <v>94</v>
      </c>
      <c r="V27" s="16">
        <f t="shared" si="19"/>
        <v>692</v>
      </c>
      <c r="W27" s="16">
        <f t="shared" si="19"/>
        <v>21</v>
      </c>
      <c r="X27" s="16">
        <f t="shared" si="19"/>
        <v>18</v>
      </c>
      <c r="Y27" s="16">
        <f t="shared" si="19"/>
        <v>44</v>
      </c>
      <c r="Z27" s="16">
        <f t="shared" si="19"/>
        <v>94</v>
      </c>
      <c r="AA27" s="16">
        <f t="shared" si="19"/>
        <v>22</v>
      </c>
      <c r="AB27" s="16">
        <f t="shared" si="19"/>
        <v>34</v>
      </c>
      <c r="AC27" s="16">
        <f t="shared" si="19"/>
        <v>2864</v>
      </c>
      <c r="AD27" s="16">
        <f t="shared" si="19"/>
        <v>1</v>
      </c>
      <c r="AE27" s="32">
        <f t="shared" si="19"/>
        <v>1746</v>
      </c>
      <c r="AF27" s="32">
        <f t="shared" si="19"/>
        <v>4610</v>
      </c>
    </row>
    <row r="28" spans="2:32" ht="23.1" customHeight="1" x14ac:dyDescent="0.25">
      <c r="B28" s="23" t="s">
        <v>55</v>
      </c>
      <c r="C28" s="50">
        <v>32</v>
      </c>
      <c r="D28" s="50">
        <v>6</v>
      </c>
      <c r="E28" s="50">
        <v>3</v>
      </c>
      <c r="F28" s="50">
        <v>40</v>
      </c>
      <c r="G28" s="50">
        <v>2</v>
      </c>
      <c r="H28" s="50">
        <v>0</v>
      </c>
      <c r="I28" s="50">
        <v>2</v>
      </c>
      <c r="J28" s="50">
        <v>3</v>
      </c>
      <c r="K28" s="50">
        <v>0</v>
      </c>
      <c r="L28" s="50">
        <v>0</v>
      </c>
      <c r="M28" s="50">
        <v>125</v>
      </c>
      <c r="N28" s="50">
        <v>0</v>
      </c>
      <c r="O28" s="15">
        <f t="shared" si="0"/>
        <v>88</v>
      </c>
      <c r="P28" s="15">
        <f t="shared" si="1"/>
        <v>213</v>
      </c>
      <c r="R28" s="5" t="s">
        <v>17</v>
      </c>
      <c r="S28" s="16">
        <f t="shared" ref="S28:AF28" si="20">SUM(S10:S21)</f>
        <v>2271</v>
      </c>
      <c r="T28" s="16">
        <f t="shared" si="20"/>
        <v>308</v>
      </c>
      <c r="U28" s="16">
        <f t="shared" si="20"/>
        <v>298</v>
      </c>
      <c r="V28" s="16">
        <f t="shared" si="20"/>
        <v>2232</v>
      </c>
      <c r="W28" s="16">
        <f t="shared" si="20"/>
        <v>62</v>
      </c>
      <c r="X28" s="16">
        <f t="shared" si="20"/>
        <v>62</v>
      </c>
      <c r="Y28" s="16">
        <f t="shared" si="20"/>
        <v>267</v>
      </c>
      <c r="Z28" s="16">
        <f t="shared" si="20"/>
        <v>268</v>
      </c>
      <c r="AA28" s="16">
        <f t="shared" si="20"/>
        <v>68</v>
      </c>
      <c r="AB28" s="16">
        <f t="shared" si="20"/>
        <v>90</v>
      </c>
      <c r="AC28" s="16">
        <f t="shared" si="20"/>
        <v>9193</v>
      </c>
      <c r="AD28" s="16">
        <f t="shared" si="20"/>
        <v>1</v>
      </c>
      <c r="AE28" s="32">
        <f t="shared" si="20"/>
        <v>5927</v>
      </c>
      <c r="AF28" s="32">
        <f t="shared" si="20"/>
        <v>15120</v>
      </c>
    </row>
    <row r="29" spans="2:32" ht="23.1" customHeight="1" x14ac:dyDescent="0.25">
      <c r="B29" s="23" t="s">
        <v>56</v>
      </c>
      <c r="C29" s="50">
        <v>36</v>
      </c>
      <c r="D29" s="50">
        <v>16</v>
      </c>
      <c r="E29" s="50">
        <v>5</v>
      </c>
      <c r="F29" s="50">
        <v>26</v>
      </c>
      <c r="G29" s="50">
        <v>0</v>
      </c>
      <c r="H29" s="50">
        <v>2</v>
      </c>
      <c r="I29" s="50">
        <v>6</v>
      </c>
      <c r="J29" s="50">
        <v>7</v>
      </c>
      <c r="K29" s="50">
        <v>1</v>
      </c>
      <c r="L29" s="50">
        <v>1</v>
      </c>
      <c r="M29" s="50">
        <v>140</v>
      </c>
      <c r="N29" s="50">
        <v>0</v>
      </c>
      <c r="O29" s="15">
        <f t="shared" si="0"/>
        <v>100</v>
      </c>
      <c r="P29" s="15">
        <f t="shared" si="1"/>
        <v>240</v>
      </c>
      <c r="R29"/>
      <c r="S29" s="20"/>
      <c r="T29" s="19"/>
    </row>
    <row r="30" spans="2:32" ht="23.1" customHeight="1" x14ac:dyDescent="0.25">
      <c r="B30" s="23" t="s">
        <v>57</v>
      </c>
      <c r="C30" s="50">
        <v>15</v>
      </c>
      <c r="D30" s="50">
        <v>7</v>
      </c>
      <c r="E30" s="50">
        <v>2</v>
      </c>
      <c r="F30" s="50">
        <v>40</v>
      </c>
      <c r="G30" s="50">
        <v>0</v>
      </c>
      <c r="H30" s="50">
        <v>1</v>
      </c>
      <c r="I30" s="50">
        <v>7</v>
      </c>
      <c r="J30" s="50">
        <v>2</v>
      </c>
      <c r="K30" s="50">
        <v>1</v>
      </c>
      <c r="L30" s="50">
        <v>2</v>
      </c>
      <c r="M30" s="50">
        <v>150</v>
      </c>
      <c r="N30" s="50">
        <v>0</v>
      </c>
      <c r="O30" s="15">
        <f t="shared" si="0"/>
        <v>77</v>
      </c>
      <c r="P30" s="15">
        <f t="shared" si="1"/>
        <v>227</v>
      </c>
    </row>
    <row r="31" spans="2:32" ht="23.1" customHeight="1" x14ac:dyDescent="0.25">
      <c r="B31" s="24" t="s">
        <v>58</v>
      </c>
      <c r="C31" s="50">
        <v>36</v>
      </c>
      <c r="D31" s="50">
        <v>7</v>
      </c>
      <c r="E31" s="50">
        <v>4</v>
      </c>
      <c r="F31" s="50">
        <v>26</v>
      </c>
      <c r="G31" s="50">
        <v>2</v>
      </c>
      <c r="H31" s="50">
        <v>0</v>
      </c>
      <c r="I31" s="50">
        <v>6</v>
      </c>
      <c r="J31" s="50">
        <v>7</v>
      </c>
      <c r="K31" s="50">
        <v>1</v>
      </c>
      <c r="L31" s="50">
        <v>4</v>
      </c>
      <c r="M31" s="50">
        <v>240</v>
      </c>
      <c r="N31" s="50">
        <v>0</v>
      </c>
      <c r="O31" s="15">
        <f t="shared" si="0"/>
        <v>93</v>
      </c>
      <c r="P31" s="15">
        <f t="shared" si="1"/>
        <v>333</v>
      </c>
    </row>
    <row r="32" spans="2:32" ht="23.1" customHeight="1" x14ac:dyDescent="0.25">
      <c r="B32" s="24" t="s">
        <v>59</v>
      </c>
      <c r="C32" s="50">
        <v>56</v>
      </c>
      <c r="D32" s="50">
        <v>8</v>
      </c>
      <c r="E32" s="50">
        <v>9</v>
      </c>
      <c r="F32" s="50">
        <v>32</v>
      </c>
      <c r="G32" s="50">
        <v>1</v>
      </c>
      <c r="H32" s="50">
        <v>0</v>
      </c>
      <c r="I32" s="50">
        <v>10</v>
      </c>
      <c r="J32" s="50">
        <v>8</v>
      </c>
      <c r="K32" s="50">
        <v>4</v>
      </c>
      <c r="L32" s="50">
        <v>1</v>
      </c>
      <c r="M32" s="50">
        <v>110</v>
      </c>
      <c r="N32" s="50">
        <v>0</v>
      </c>
      <c r="O32" s="15">
        <f t="shared" si="0"/>
        <v>129</v>
      </c>
      <c r="P32" s="15">
        <f t="shared" si="1"/>
        <v>239</v>
      </c>
    </row>
    <row r="33" spans="2:20" ht="23.1" customHeight="1" x14ac:dyDescent="0.25">
      <c r="B33" s="23" t="s">
        <v>60</v>
      </c>
      <c r="C33" s="50">
        <v>60</v>
      </c>
      <c r="D33" s="50">
        <v>15</v>
      </c>
      <c r="E33" s="50">
        <v>6</v>
      </c>
      <c r="F33" s="50">
        <v>31</v>
      </c>
      <c r="G33" s="50">
        <v>1</v>
      </c>
      <c r="H33" s="50">
        <v>2</v>
      </c>
      <c r="I33" s="50">
        <v>9</v>
      </c>
      <c r="J33" s="50">
        <v>5</v>
      </c>
      <c r="K33" s="50">
        <v>2</v>
      </c>
      <c r="L33" s="50">
        <v>1</v>
      </c>
      <c r="M33" s="50">
        <v>180</v>
      </c>
      <c r="N33" s="50">
        <v>0</v>
      </c>
      <c r="O33" s="15">
        <f t="shared" si="0"/>
        <v>132</v>
      </c>
      <c r="P33" s="15">
        <f t="shared" si="1"/>
        <v>312</v>
      </c>
    </row>
    <row r="34" spans="2:20" ht="23.1" customHeight="1" x14ac:dyDescent="0.25">
      <c r="B34" s="24" t="s">
        <v>61</v>
      </c>
      <c r="C34" s="50">
        <v>47</v>
      </c>
      <c r="D34" s="50">
        <v>5</v>
      </c>
      <c r="E34" s="50">
        <v>10</v>
      </c>
      <c r="F34" s="50">
        <v>40</v>
      </c>
      <c r="G34" s="50">
        <v>1</v>
      </c>
      <c r="H34" s="50">
        <v>0</v>
      </c>
      <c r="I34" s="50">
        <v>7</v>
      </c>
      <c r="J34" s="50">
        <v>4</v>
      </c>
      <c r="K34" s="50">
        <v>1</v>
      </c>
      <c r="L34" s="50">
        <v>1</v>
      </c>
      <c r="M34" s="50">
        <v>180</v>
      </c>
      <c r="N34" s="50">
        <v>0</v>
      </c>
      <c r="O34" s="15">
        <f t="shared" si="0"/>
        <v>116</v>
      </c>
      <c r="P34" s="15">
        <f t="shared" si="1"/>
        <v>296</v>
      </c>
    </row>
    <row r="35" spans="2:20" ht="23.1" customHeight="1" x14ac:dyDescent="0.25">
      <c r="B35" s="24" t="s">
        <v>62</v>
      </c>
      <c r="C35" s="50">
        <v>33</v>
      </c>
      <c r="D35" s="50">
        <v>4</v>
      </c>
      <c r="E35" s="50">
        <v>11</v>
      </c>
      <c r="F35" s="50">
        <v>33</v>
      </c>
      <c r="G35" s="50">
        <v>0</v>
      </c>
      <c r="H35" s="50">
        <v>0</v>
      </c>
      <c r="I35" s="50">
        <v>5</v>
      </c>
      <c r="J35" s="50">
        <v>5</v>
      </c>
      <c r="K35" s="50">
        <v>0</v>
      </c>
      <c r="L35" s="50">
        <v>2</v>
      </c>
      <c r="M35" s="50">
        <v>210</v>
      </c>
      <c r="N35" s="50">
        <v>0</v>
      </c>
      <c r="O35" s="15">
        <f t="shared" si="0"/>
        <v>93</v>
      </c>
      <c r="P35" s="15">
        <f t="shared" si="1"/>
        <v>303</v>
      </c>
    </row>
    <row r="36" spans="2:20" ht="23.1" customHeight="1" x14ac:dyDescent="0.25">
      <c r="B36" s="24" t="s">
        <v>63</v>
      </c>
      <c r="C36" s="50">
        <v>40</v>
      </c>
      <c r="D36" s="50">
        <v>4</v>
      </c>
      <c r="E36" s="50">
        <v>5</v>
      </c>
      <c r="F36" s="50">
        <v>43</v>
      </c>
      <c r="G36" s="50">
        <v>1</v>
      </c>
      <c r="H36" s="50">
        <v>0</v>
      </c>
      <c r="I36" s="50">
        <v>6</v>
      </c>
      <c r="J36" s="50">
        <v>2</v>
      </c>
      <c r="K36" s="50">
        <v>0</v>
      </c>
      <c r="L36" s="50">
        <v>0</v>
      </c>
      <c r="M36" s="50">
        <v>130</v>
      </c>
      <c r="N36" s="50">
        <v>0</v>
      </c>
      <c r="O36" s="15">
        <f t="shared" si="0"/>
        <v>101</v>
      </c>
      <c r="P36" s="15">
        <f t="shared" si="1"/>
        <v>231</v>
      </c>
    </row>
    <row r="37" spans="2:20" ht="23.1" customHeight="1" x14ac:dyDescent="0.25">
      <c r="B37" s="23" t="s">
        <v>64</v>
      </c>
      <c r="C37" s="50">
        <v>45</v>
      </c>
      <c r="D37" s="50">
        <v>1</v>
      </c>
      <c r="E37" s="50">
        <v>2</v>
      </c>
      <c r="F37" s="50">
        <v>45</v>
      </c>
      <c r="G37" s="50">
        <v>0</v>
      </c>
      <c r="H37" s="50">
        <v>2</v>
      </c>
      <c r="I37" s="50">
        <v>4</v>
      </c>
      <c r="J37" s="50">
        <v>4</v>
      </c>
      <c r="K37" s="50">
        <v>2</v>
      </c>
      <c r="L37" s="50">
        <v>0</v>
      </c>
      <c r="M37" s="50">
        <v>125</v>
      </c>
      <c r="N37" s="50">
        <v>0</v>
      </c>
      <c r="O37" s="15">
        <f t="shared" si="0"/>
        <v>105</v>
      </c>
      <c r="P37" s="15">
        <f t="shared" si="1"/>
        <v>230</v>
      </c>
    </row>
    <row r="38" spans="2:20" ht="23.1" customHeight="1" x14ac:dyDescent="0.25">
      <c r="B38" s="24" t="s">
        <v>65</v>
      </c>
      <c r="C38" s="50">
        <v>61</v>
      </c>
      <c r="D38" s="50">
        <v>14</v>
      </c>
      <c r="E38" s="50">
        <v>6</v>
      </c>
      <c r="F38" s="50">
        <v>45</v>
      </c>
      <c r="G38" s="50">
        <v>0</v>
      </c>
      <c r="H38" s="50">
        <v>0</v>
      </c>
      <c r="I38" s="50">
        <v>4</v>
      </c>
      <c r="J38" s="50">
        <v>3</v>
      </c>
      <c r="K38" s="50">
        <v>2</v>
      </c>
      <c r="L38" s="50">
        <v>2</v>
      </c>
      <c r="M38" s="50">
        <v>105</v>
      </c>
      <c r="N38" s="50">
        <v>0</v>
      </c>
      <c r="O38" s="15">
        <f t="shared" si="0"/>
        <v>137</v>
      </c>
      <c r="P38" s="15">
        <f t="shared" si="1"/>
        <v>242</v>
      </c>
    </row>
    <row r="39" spans="2:20" ht="23.1" customHeight="1" x14ac:dyDescent="0.25">
      <c r="B39" s="24" t="s">
        <v>66</v>
      </c>
      <c r="C39" s="50">
        <v>51</v>
      </c>
      <c r="D39" s="50">
        <v>4</v>
      </c>
      <c r="E39" s="50">
        <v>4</v>
      </c>
      <c r="F39" s="50">
        <v>38</v>
      </c>
      <c r="G39" s="50">
        <v>0</v>
      </c>
      <c r="H39" s="50">
        <v>0</v>
      </c>
      <c r="I39" s="50">
        <v>1</v>
      </c>
      <c r="J39" s="50">
        <v>3</v>
      </c>
      <c r="K39" s="50">
        <v>3</v>
      </c>
      <c r="L39" s="50">
        <v>1</v>
      </c>
      <c r="M39" s="50">
        <v>160</v>
      </c>
      <c r="N39" s="50">
        <v>0</v>
      </c>
      <c r="O39" s="15">
        <f t="shared" si="0"/>
        <v>105</v>
      </c>
      <c r="P39" s="15">
        <f t="shared" si="1"/>
        <v>265</v>
      </c>
    </row>
    <row r="40" spans="2:20" ht="23.1" customHeight="1" x14ac:dyDescent="0.25">
      <c r="B40" s="24" t="s">
        <v>67</v>
      </c>
      <c r="C40" s="50">
        <v>52</v>
      </c>
      <c r="D40" s="50">
        <v>8</v>
      </c>
      <c r="E40" s="50">
        <v>6</v>
      </c>
      <c r="F40" s="50">
        <v>61</v>
      </c>
      <c r="G40" s="50">
        <v>0</v>
      </c>
      <c r="H40" s="50">
        <v>2</v>
      </c>
      <c r="I40" s="50">
        <v>6</v>
      </c>
      <c r="J40" s="50">
        <v>6</v>
      </c>
      <c r="K40" s="50">
        <v>0</v>
      </c>
      <c r="L40" s="50">
        <v>1</v>
      </c>
      <c r="M40" s="50">
        <v>205</v>
      </c>
      <c r="N40" s="50">
        <v>0</v>
      </c>
      <c r="O40" s="15">
        <f t="shared" si="0"/>
        <v>142</v>
      </c>
      <c r="P40" s="15">
        <f t="shared" si="1"/>
        <v>347</v>
      </c>
    </row>
    <row r="41" spans="2:20" ht="23.1" customHeight="1" x14ac:dyDescent="0.25">
      <c r="B41" s="23" t="s">
        <v>68</v>
      </c>
      <c r="C41" s="50">
        <v>55</v>
      </c>
      <c r="D41" s="50">
        <v>8</v>
      </c>
      <c r="E41" s="50">
        <v>3</v>
      </c>
      <c r="F41" s="50">
        <v>61</v>
      </c>
      <c r="G41" s="50">
        <v>3</v>
      </c>
      <c r="H41" s="50">
        <v>0</v>
      </c>
      <c r="I41" s="50">
        <v>7</v>
      </c>
      <c r="J41" s="50">
        <v>2</v>
      </c>
      <c r="K41" s="50">
        <v>2</v>
      </c>
      <c r="L41" s="50">
        <v>2</v>
      </c>
      <c r="M41" s="50">
        <v>200</v>
      </c>
      <c r="N41" s="50">
        <v>0</v>
      </c>
      <c r="O41" s="15">
        <f t="shared" si="0"/>
        <v>143</v>
      </c>
      <c r="P41" s="15">
        <f t="shared" si="1"/>
        <v>343</v>
      </c>
    </row>
    <row r="42" spans="2:20" ht="23.1" customHeight="1" x14ac:dyDescent="0.25">
      <c r="B42" s="24" t="s">
        <v>69</v>
      </c>
      <c r="C42" s="50">
        <v>75</v>
      </c>
      <c r="D42" s="50">
        <v>9</v>
      </c>
      <c r="E42" s="50">
        <v>16</v>
      </c>
      <c r="F42" s="50">
        <v>62</v>
      </c>
      <c r="G42" s="50">
        <v>1</v>
      </c>
      <c r="H42" s="50">
        <v>0</v>
      </c>
      <c r="I42" s="50">
        <v>10</v>
      </c>
      <c r="J42" s="50">
        <v>10</v>
      </c>
      <c r="K42" s="50">
        <v>3</v>
      </c>
      <c r="L42" s="50">
        <v>4</v>
      </c>
      <c r="M42" s="50">
        <v>125</v>
      </c>
      <c r="N42" s="50">
        <v>0</v>
      </c>
      <c r="O42" s="15">
        <f t="shared" si="0"/>
        <v>190</v>
      </c>
      <c r="P42" s="15">
        <f t="shared" si="1"/>
        <v>315</v>
      </c>
    </row>
    <row r="43" spans="2:20" ht="23.1" customHeight="1" x14ac:dyDescent="0.25">
      <c r="B43" s="23" t="s">
        <v>70</v>
      </c>
      <c r="C43" s="50">
        <v>91</v>
      </c>
      <c r="D43" s="50">
        <v>10</v>
      </c>
      <c r="E43" s="50">
        <v>6</v>
      </c>
      <c r="F43" s="50">
        <v>42</v>
      </c>
      <c r="G43" s="50">
        <v>0</v>
      </c>
      <c r="H43" s="50">
        <v>1</v>
      </c>
      <c r="I43" s="50">
        <v>11</v>
      </c>
      <c r="J43" s="50">
        <v>7</v>
      </c>
      <c r="K43" s="50">
        <v>0</v>
      </c>
      <c r="L43" s="50">
        <v>1</v>
      </c>
      <c r="M43" s="50">
        <v>185</v>
      </c>
      <c r="N43" s="50">
        <v>0</v>
      </c>
      <c r="O43" s="15">
        <f t="shared" si="0"/>
        <v>169</v>
      </c>
      <c r="P43" s="15">
        <f t="shared" si="1"/>
        <v>354</v>
      </c>
    </row>
    <row r="44" spans="2:20" ht="23.1" customHeight="1" x14ac:dyDescent="0.25">
      <c r="B44" s="25" t="s">
        <v>71</v>
      </c>
      <c r="C44" s="50">
        <v>71</v>
      </c>
      <c r="D44" s="50">
        <v>5</v>
      </c>
      <c r="E44" s="50">
        <v>4</v>
      </c>
      <c r="F44" s="50">
        <v>61</v>
      </c>
      <c r="G44" s="50">
        <v>2</v>
      </c>
      <c r="H44" s="50">
        <v>1</v>
      </c>
      <c r="I44" s="50">
        <v>2</v>
      </c>
      <c r="J44" s="50">
        <v>7</v>
      </c>
      <c r="K44" s="50">
        <v>0</v>
      </c>
      <c r="L44" s="50">
        <v>4</v>
      </c>
      <c r="M44" s="50">
        <v>180</v>
      </c>
      <c r="N44" s="50">
        <v>0</v>
      </c>
      <c r="O44" s="15">
        <f t="shared" si="0"/>
        <v>157</v>
      </c>
      <c r="P44" s="15">
        <f t="shared" si="1"/>
        <v>337</v>
      </c>
    </row>
    <row r="45" spans="2:20" ht="23.1" customHeight="1" x14ac:dyDescent="0.25">
      <c r="B45" s="23" t="s">
        <v>72</v>
      </c>
      <c r="C45" s="50">
        <v>54</v>
      </c>
      <c r="D45" s="50">
        <v>12</v>
      </c>
      <c r="E45" s="50">
        <v>5</v>
      </c>
      <c r="F45" s="50">
        <v>60</v>
      </c>
      <c r="G45" s="50">
        <v>5</v>
      </c>
      <c r="H45" s="50">
        <v>0</v>
      </c>
      <c r="I45" s="50">
        <v>4</v>
      </c>
      <c r="J45" s="50">
        <v>15</v>
      </c>
      <c r="K45" s="50">
        <v>1</v>
      </c>
      <c r="L45" s="50">
        <v>3</v>
      </c>
      <c r="M45" s="50">
        <v>204</v>
      </c>
      <c r="N45" s="50">
        <v>0</v>
      </c>
      <c r="O45" s="15">
        <f t="shared" si="0"/>
        <v>159</v>
      </c>
      <c r="P45" s="15">
        <f t="shared" si="1"/>
        <v>363</v>
      </c>
    </row>
    <row r="46" spans="2:20" ht="23.1" customHeight="1" x14ac:dyDescent="0.25">
      <c r="B46" s="24" t="s">
        <v>73</v>
      </c>
      <c r="C46" s="50">
        <v>51</v>
      </c>
      <c r="D46" s="50">
        <v>12</v>
      </c>
      <c r="E46" s="50">
        <v>10</v>
      </c>
      <c r="F46" s="50">
        <v>43</v>
      </c>
      <c r="G46" s="50">
        <v>2</v>
      </c>
      <c r="H46" s="50">
        <v>2</v>
      </c>
      <c r="I46" s="50">
        <v>2</v>
      </c>
      <c r="J46" s="50">
        <v>5</v>
      </c>
      <c r="K46" s="50">
        <v>8</v>
      </c>
      <c r="L46" s="50">
        <v>3</v>
      </c>
      <c r="M46" s="50">
        <v>152</v>
      </c>
      <c r="N46" s="50">
        <v>0</v>
      </c>
      <c r="O46" s="15">
        <f t="shared" si="0"/>
        <v>138</v>
      </c>
      <c r="P46" s="15">
        <f t="shared" si="1"/>
        <v>290</v>
      </c>
      <c r="R46" s="8"/>
      <c r="T46"/>
    </row>
    <row r="47" spans="2:20" ht="23.1" customHeight="1" x14ac:dyDescent="0.25">
      <c r="B47" s="24" t="s">
        <v>74</v>
      </c>
      <c r="C47" s="50">
        <v>47</v>
      </c>
      <c r="D47" s="50">
        <v>5</v>
      </c>
      <c r="E47" s="50">
        <v>9</v>
      </c>
      <c r="F47" s="50">
        <v>53</v>
      </c>
      <c r="G47" s="50">
        <v>0</v>
      </c>
      <c r="H47" s="50">
        <v>0</v>
      </c>
      <c r="I47" s="50">
        <v>2</v>
      </c>
      <c r="J47" s="50">
        <v>6</v>
      </c>
      <c r="K47" s="50">
        <v>1</v>
      </c>
      <c r="L47" s="50">
        <v>3</v>
      </c>
      <c r="M47" s="50">
        <v>201</v>
      </c>
      <c r="N47" s="50">
        <v>0</v>
      </c>
      <c r="O47" s="15">
        <f t="shared" si="0"/>
        <v>126</v>
      </c>
      <c r="P47" s="15">
        <f t="shared" si="1"/>
        <v>327</v>
      </c>
      <c r="R47" s="8"/>
      <c r="T47"/>
    </row>
    <row r="48" spans="2:20" ht="23.1" customHeight="1" x14ac:dyDescent="0.25">
      <c r="B48" s="24" t="s">
        <v>75</v>
      </c>
      <c r="C48" s="50">
        <v>32</v>
      </c>
      <c r="D48" s="50">
        <v>2</v>
      </c>
      <c r="E48" s="50">
        <v>2</v>
      </c>
      <c r="F48" s="50">
        <v>43</v>
      </c>
      <c r="G48" s="50">
        <v>3</v>
      </c>
      <c r="H48" s="50">
        <v>1</v>
      </c>
      <c r="I48" s="50">
        <v>5</v>
      </c>
      <c r="J48" s="50">
        <v>9</v>
      </c>
      <c r="K48" s="50">
        <v>3</v>
      </c>
      <c r="L48" s="50">
        <v>1</v>
      </c>
      <c r="M48" s="50">
        <v>181</v>
      </c>
      <c r="N48" s="50">
        <v>1</v>
      </c>
      <c r="O48" s="15">
        <f t="shared" si="0"/>
        <v>102</v>
      </c>
      <c r="P48" s="15">
        <f t="shared" si="1"/>
        <v>283</v>
      </c>
      <c r="R48" s="8"/>
      <c r="T48"/>
    </row>
    <row r="49" spans="2:20" ht="23.1" customHeight="1" x14ac:dyDescent="0.25">
      <c r="B49" s="23" t="s">
        <v>76</v>
      </c>
      <c r="C49" s="50">
        <v>52</v>
      </c>
      <c r="D49" s="50">
        <v>3</v>
      </c>
      <c r="E49" s="50">
        <v>4</v>
      </c>
      <c r="F49" s="50">
        <v>70</v>
      </c>
      <c r="G49" s="50">
        <v>0</v>
      </c>
      <c r="H49" s="50">
        <v>6</v>
      </c>
      <c r="I49" s="50">
        <v>3</v>
      </c>
      <c r="J49" s="50">
        <v>9</v>
      </c>
      <c r="K49" s="50">
        <v>2</v>
      </c>
      <c r="L49" s="50">
        <v>1</v>
      </c>
      <c r="M49" s="50">
        <v>200</v>
      </c>
      <c r="N49" s="50">
        <v>0</v>
      </c>
      <c r="O49" s="15">
        <f t="shared" si="0"/>
        <v>150</v>
      </c>
      <c r="P49" s="15">
        <f t="shared" si="1"/>
        <v>350</v>
      </c>
      <c r="R49" s="8"/>
      <c r="T49"/>
    </row>
    <row r="50" spans="2:20" ht="23.1" customHeight="1" x14ac:dyDescent="0.25">
      <c r="B50" s="24" t="s">
        <v>77</v>
      </c>
      <c r="C50" s="50">
        <v>75</v>
      </c>
      <c r="D50" s="50">
        <v>6</v>
      </c>
      <c r="E50" s="50">
        <v>8</v>
      </c>
      <c r="F50" s="50">
        <v>82</v>
      </c>
      <c r="G50" s="50">
        <v>2</v>
      </c>
      <c r="H50" s="50">
        <v>2</v>
      </c>
      <c r="I50" s="50">
        <v>7</v>
      </c>
      <c r="J50" s="50">
        <v>11</v>
      </c>
      <c r="K50" s="50">
        <v>1</v>
      </c>
      <c r="L50" s="50">
        <v>2</v>
      </c>
      <c r="M50" s="50">
        <v>286</v>
      </c>
      <c r="N50" s="50">
        <v>0</v>
      </c>
      <c r="O50" s="15">
        <f t="shared" si="0"/>
        <v>196</v>
      </c>
      <c r="P50" s="15">
        <f t="shared" si="1"/>
        <v>482</v>
      </c>
      <c r="R50" s="8"/>
      <c r="T50"/>
    </row>
    <row r="51" spans="2:20" ht="23.1" customHeight="1" x14ac:dyDescent="0.25">
      <c r="B51" s="24" t="s">
        <v>78</v>
      </c>
      <c r="C51" s="50">
        <v>66</v>
      </c>
      <c r="D51" s="50">
        <v>2</v>
      </c>
      <c r="E51" s="50">
        <v>7</v>
      </c>
      <c r="F51" s="50">
        <v>52</v>
      </c>
      <c r="G51" s="50">
        <v>0</v>
      </c>
      <c r="H51" s="50">
        <v>1</v>
      </c>
      <c r="I51" s="50">
        <v>5</v>
      </c>
      <c r="J51" s="50">
        <v>6</v>
      </c>
      <c r="K51" s="50">
        <v>4</v>
      </c>
      <c r="L51" s="50">
        <v>2</v>
      </c>
      <c r="M51" s="50">
        <v>223</v>
      </c>
      <c r="N51" s="50">
        <v>0</v>
      </c>
      <c r="O51" s="15">
        <f t="shared" si="0"/>
        <v>145</v>
      </c>
      <c r="P51" s="15">
        <f t="shared" si="1"/>
        <v>368</v>
      </c>
      <c r="R51" s="8"/>
      <c r="T51"/>
    </row>
    <row r="52" spans="2:20" ht="23.1" customHeight="1" x14ac:dyDescent="0.25">
      <c r="B52" s="24" t="s">
        <v>79</v>
      </c>
      <c r="C52" s="50">
        <v>76</v>
      </c>
      <c r="D52" s="50">
        <v>8</v>
      </c>
      <c r="E52" s="50">
        <v>5</v>
      </c>
      <c r="F52" s="50">
        <v>65</v>
      </c>
      <c r="G52" s="50">
        <v>3</v>
      </c>
      <c r="H52" s="50">
        <v>0</v>
      </c>
      <c r="I52" s="50">
        <v>5</v>
      </c>
      <c r="J52" s="50">
        <v>14</v>
      </c>
      <c r="K52" s="50">
        <v>1</v>
      </c>
      <c r="L52" s="50">
        <v>5</v>
      </c>
      <c r="M52" s="50">
        <v>252</v>
      </c>
      <c r="N52" s="50">
        <v>0</v>
      </c>
      <c r="O52" s="15">
        <f t="shared" si="0"/>
        <v>182</v>
      </c>
      <c r="P52" s="15">
        <f t="shared" si="1"/>
        <v>434</v>
      </c>
      <c r="R52" s="8"/>
      <c r="T52"/>
    </row>
    <row r="53" spans="2:20" ht="23.1" customHeight="1" x14ac:dyDescent="0.25">
      <c r="B53" s="23" t="s">
        <v>80</v>
      </c>
      <c r="C53" s="50">
        <v>52</v>
      </c>
      <c r="D53" s="50">
        <v>9</v>
      </c>
      <c r="E53" s="50">
        <v>20</v>
      </c>
      <c r="F53" s="50">
        <v>60</v>
      </c>
      <c r="G53" s="50">
        <v>5</v>
      </c>
      <c r="H53" s="50">
        <v>1</v>
      </c>
      <c r="I53" s="50">
        <v>4</v>
      </c>
      <c r="J53" s="50">
        <v>5</v>
      </c>
      <c r="K53" s="50">
        <v>0</v>
      </c>
      <c r="L53" s="50">
        <v>3</v>
      </c>
      <c r="M53" s="50">
        <v>245</v>
      </c>
      <c r="N53" s="50">
        <v>0</v>
      </c>
      <c r="O53" s="15">
        <f t="shared" si="0"/>
        <v>159</v>
      </c>
      <c r="P53" s="15">
        <f t="shared" si="1"/>
        <v>404</v>
      </c>
      <c r="R53" s="8"/>
      <c r="T53"/>
    </row>
    <row r="54" spans="2:20" ht="23.1" customHeight="1" x14ac:dyDescent="0.25">
      <c r="B54" s="23" t="s">
        <v>81</v>
      </c>
      <c r="C54" s="50">
        <v>41</v>
      </c>
      <c r="D54" s="50">
        <v>7</v>
      </c>
      <c r="E54" s="50">
        <v>7</v>
      </c>
      <c r="F54" s="50">
        <v>47</v>
      </c>
      <c r="G54" s="50">
        <v>1</v>
      </c>
      <c r="H54" s="50">
        <v>1</v>
      </c>
      <c r="I54" s="50">
        <v>4</v>
      </c>
      <c r="J54" s="50">
        <v>8</v>
      </c>
      <c r="K54" s="50">
        <v>1</v>
      </c>
      <c r="L54" s="50">
        <v>5</v>
      </c>
      <c r="M54" s="50">
        <v>300</v>
      </c>
      <c r="N54" s="50">
        <v>0</v>
      </c>
      <c r="O54" s="15">
        <f t="shared" si="0"/>
        <v>122</v>
      </c>
      <c r="P54" s="15">
        <f t="shared" si="1"/>
        <v>422</v>
      </c>
      <c r="R54" s="8"/>
      <c r="T54"/>
    </row>
    <row r="55" spans="2:20" ht="23.1" customHeight="1" x14ac:dyDescent="0.25">
      <c r="B55" s="23" t="s">
        <v>82</v>
      </c>
      <c r="C55" s="50">
        <v>46</v>
      </c>
      <c r="D55" s="50">
        <v>15</v>
      </c>
      <c r="E55" s="50">
        <v>15</v>
      </c>
      <c r="F55" s="50">
        <v>67</v>
      </c>
      <c r="G55" s="50">
        <v>2</v>
      </c>
      <c r="H55" s="50">
        <v>0</v>
      </c>
      <c r="I55" s="50">
        <v>1</v>
      </c>
      <c r="J55" s="50">
        <v>10</v>
      </c>
      <c r="K55" s="50">
        <v>0</v>
      </c>
      <c r="L55" s="50">
        <v>2</v>
      </c>
      <c r="M55" s="50">
        <v>292</v>
      </c>
      <c r="N55" s="50">
        <v>0</v>
      </c>
      <c r="O55" s="15">
        <f t="shared" si="0"/>
        <v>158</v>
      </c>
      <c r="P55" s="15">
        <f t="shared" si="1"/>
        <v>450</v>
      </c>
      <c r="R55" s="8"/>
      <c r="T55"/>
    </row>
    <row r="56" spans="2:20" ht="23.1" customHeight="1" x14ac:dyDescent="0.25">
      <c r="B56" s="23" t="s">
        <v>83</v>
      </c>
      <c r="C56" s="50">
        <v>50</v>
      </c>
      <c r="D56" s="50">
        <v>5</v>
      </c>
      <c r="E56" s="50">
        <v>2</v>
      </c>
      <c r="F56" s="50">
        <v>61</v>
      </c>
      <c r="G56" s="50">
        <v>3</v>
      </c>
      <c r="H56" s="50">
        <v>2</v>
      </c>
      <c r="I56" s="50">
        <v>2</v>
      </c>
      <c r="J56" s="50">
        <v>8</v>
      </c>
      <c r="K56" s="50">
        <v>1</v>
      </c>
      <c r="L56" s="50">
        <v>4</v>
      </c>
      <c r="M56" s="50">
        <v>261</v>
      </c>
      <c r="N56" s="50">
        <v>0</v>
      </c>
      <c r="O56" s="15">
        <f t="shared" si="0"/>
        <v>138</v>
      </c>
      <c r="P56" s="15">
        <f t="shared" si="1"/>
        <v>399</v>
      </c>
      <c r="R56" s="8"/>
      <c r="T56"/>
    </row>
    <row r="57" spans="2:20" ht="23.1" customHeight="1" x14ac:dyDescent="0.25">
      <c r="B57" s="23" t="s">
        <v>84</v>
      </c>
      <c r="C57" s="50">
        <v>61</v>
      </c>
      <c r="D57" s="50">
        <v>3</v>
      </c>
      <c r="E57" s="50">
        <v>5</v>
      </c>
      <c r="F57" s="50">
        <v>49</v>
      </c>
      <c r="G57" s="50">
        <v>0</v>
      </c>
      <c r="H57" s="50">
        <v>2</v>
      </c>
      <c r="I57" s="50">
        <v>4</v>
      </c>
      <c r="J57" s="50">
        <v>3</v>
      </c>
      <c r="K57" s="50">
        <v>0</v>
      </c>
      <c r="L57" s="50">
        <v>3</v>
      </c>
      <c r="M57" s="50">
        <v>271</v>
      </c>
      <c r="N57" s="50">
        <v>0</v>
      </c>
      <c r="O57" s="15">
        <f t="shared" si="0"/>
        <v>130</v>
      </c>
      <c r="P57" s="15">
        <f t="shared" si="1"/>
        <v>401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2271</v>
      </c>
      <c r="D58" s="16">
        <f t="shared" si="21"/>
        <v>308</v>
      </c>
      <c r="E58" s="16">
        <f t="shared" si="21"/>
        <v>298</v>
      </c>
      <c r="F58" s="16">
        <f t="shared" si="21"/>
        <v>2232</v>
      </c>
      <c r="G58" s="16">
        <f t="shared" si="21"/>
        <v>62</v>
      </c>
      <c r="H58" s="16">
        <f t="shared" si="21"/>
        <v>62</v>
      </c>
      <c r="I58" s="16">
        <f t="shared" si="21"/>
        <v>267</v>
      </c>
      <c r="J58" s="16">
        <f t="shared" si="21"/>
        <v>268</v>
      </c>
      <c r="K58" s="16">
        <f t="shared" si="21"/>
        <v>68</v>
      </c>
      <c r="L58" s="16">
        <f t="shared" si="21"/>
        <v>90</v>
      </c>
      <c r="M58" s="16">
        <f t="shared" si="21"/>
        <v>9193</v>
      </c>
      <c r="N58" s="16">
        <f t="shared" si="21"/>
        <v>1</v>
      </c>
      <c r="O58" s="16">
        <f t="shared" si="21"/>
        <v>5927</v>
      </c>
      <c r="P58" s="16">
        <f t="shared" si="21"/>
        <v>15120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0.15019841269841269</v>
      </c>
      <c r="D59" s="43">
        <f t="shared" si="22"/>
        <v>2.0370370370370372E-2</v>
      </c>
      <c r="E59" s="43">
        <f t="shared" si="22"/>
        <v>1.9708994708994711E-2</v>
      </c>
      <c r="F59" s="43">
        <f t="shared" si="22"/>
        <v>0.14761904761904762</v>
      </c>
      <c r="G59" s="43">
        <f t="shared" si="22"/>
        <v>4.1005291005291001E-3</v>
      </c>
      <c r="H59" s="43">
        <f t="shared" si="22"/>
        <v>4.1005291005291001E-3</v>
      </c>
      <c r="I59" s="43">
        <f t="shared" si="22"/>
        <v>1.7658730158730158E-2</v>
      </c>
      <c r="J59" s="43">
        <f t="shared" si="22"/>
        <v>1.7724867724867723E-2</v>
      </c>
      <c r="K59" s="43">
        <f t="shared" si="22"/>
        <v>4.4973544973544973E-3</v>
      </c>
      <c r="L59" s="43">
        <f t="shared" si="22"/>
        <v>5.9523809523809521E-3</v>
      </c>
      <c r="M59" s="43">
        <f t="shared" si="22"/>
        <v>0.60800264550264549</v>
      </c>
      <c r="N59" s="43">
        <f t="shared" si="22"/>
        <v>6.6137566137566142E-5</v>
      </c>
      <c r="R59" s="8"/>
      <c r="T59"/>
    </row>
    <row r="60" spans="2:20" ht="23.1" customHeight="1" x14ac:dyDescent="0.25">
      <c r="B60" s="42" t="s">
        <v>94</v>
      </c>
      <c r="C60" s="44">
        <f>C58/$O$58</f>
        <v>0.38316180192340138</v>
      </c>
      <c r="D60" s="44">
        <f t="shared" ref="D60:N60" si="23">D58/$O$58</f>
        <v>5.1965581238400539E-2</v>
      </c>
      <c r="E60" s="44">
        <f t="shared" si="23"/>
        <v>5.0278387042348577E-2</v>
      </c>
      <c r="F60" s="44">
        <f t="shared" si="23"/>
        <v>0.37658174455879873</v>
      </c>
      <c r="G60" s="44">
        <f t="shared" si="23"/>
        <v>1.0460604015522186E-2</v>
      </c>
      <c r="H60" s="44">
        <f t="shared" si="23"/>
        <v>1.0460604015522186E-2</v>
      </c>
      <c r="I60" s="44">
        <f t="shared" si="23"/>
        <v>4.504808503458748E-2</v>
      </c>
      <c r="J60" s="44">
        <f t="shared" si="23"/>
        <v>4.5216804454192676E-2</v>
      </c>
      <c r="K60" s="44">
        <f t="shared" si="23"/>
        <v>1.1472920533153366E-2</v>
      </c>
      <c r="L60" s="44">
        <f t="shared" si="23"/>
        <v>1.5184747764467691E-2</v>
      </c>
      <c r="M60" s="44"/>
      <c r="N60" s="44">
        <f t="shared" si="23"/>
        <v>1.6871941960519654E-4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B1:AF174"/>
  <sheetViews>
    <sheetView view="pageBreakPreview" topLeftCell="E49" zoomScale="60" workbookViewId="0">
      <selection activeCell="AD51" sqref="AD5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4" t="str">
        <f>'28.07 NATEETE-BUSEGA'!C3:G3</f>
        <v>MCC - C1 - STN10 - MASAKA ROAD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5" t="s">
        <v>169</v>
      </c>
      <c r="E5" s="66"/>
      <c r="F5" s="41" t="s">
        <v>1</v>
      </c>
      <c r="G5" s="62" t="str">
        <f>'28.07 BUSEGA-NATEETE'!G5:H5</f>
        <v>GOD'S MERCY SUPERMARKET</v>
      </c>
      <c r="H5" s="63"/>
      <c r="I5" s="14"/>
      <c r="J5" s="2" t="s">
        <v>5</v>
      </c>
      <c r="K5" s="62" t="str">
        <f>'28.07 BUSEGA-NATEETE'!K5:L5</f>
        <v>BONIFACE/IVAN</v>
      </c>
      <c r="L5" s="63"/>
      <c r="M5" s="10"/>
      <c r="N5" s="10"/>
      <c r="O5" s="3"/>
      <c r="P5" s="3"/>
    </row>
    <row r="6" spans="2:32" ht="23.25" customHeight="1" x14ac:dyDescent="0.25">
      <c r="C6" s="2" t="s">
        <v>4</v>
      </c>
      <c r="D6" s="62" t="str">
        <f>'28.07 BUSEGA-NATEETE'!D6:E6</f>
        <v>NATEETE</v>
      </c>
      <c r="E6" s="63"/>
      <c r="F6" s="2" t="s">
        <v>2</v>
      </c>
      <c r="G6" s="62" t="str">
        <f>'28.07 BUSEGA-NATEETE'!G6:H6</f>
        <v>BUSEGA</v>
      </c>
      <c r="H6" s="63"/>
      <c r="J6" s="2" t="s">
        <v>21</v>
      </c>
      <c r="K6" s="62" t="str">
        <f>'28.07 BUSEGA-NATEETE'!K6:L6</f>
        <v>BEATRACE</v>
      </c>
      <c r="L6" s="6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AVERAGE('22.07 NATEETE-BUSEGA'!C10,'23.07 NATEETE-BUSEGA'!C10,'24.07 NATEETE-BUSEGA'!C10,'25.07 NATEETE-BUSEGA'!C10,'26.07 NATEETE-BUSEGA'!C10,'27.07 NATEETE-BUSEGA'!C10,'28.07 BUSEGA-NATEETE'!C10)</f>
        <v>44.714285714285715</v>
      </c>
      <c r="D10" s="49">
        <f>AVERAGE('22.07 NATEETE-BUSEGA'!D10,'23.07 NATEETE-BUSEGA'!D10,'24.07 NATEETE-BUSEGA'!D10,'25.07 NATEETE-BUSEGA'!D10,'26.07 NATEETE-BUSEGA'!D10,'27.07 NATEETE-BUSEGA'!D10,'28.07 BUSEGA-NATEETE'!D10)</f>
        <v>5.1428571428571432</v>
      </c>
      <c r="E10" s="49">
        <f>AVERAGE('22.07 NATEETE-BUSEGA'!E10,'23.07 NATEETE-BUSEGA'!E10,'24.07 NATEETE-BUSEGA'!E10,'25.07 NATEETE-BUSEGA'!E10,'26.07 NATEETE-BUSEGA'!E10,'27.07 NATEETE-BUSEGA'!E10,'28.07 BUSEGA-NATEETE'!E10)</f>
        <v>2.8571428571428572</v>
      </c>
      <c r="F10" s="49">
        <f>AVERAGE('22.07 NATEETE-BUSEGA'!F10,'23.07 NATEETE-BUSEGA'!F10,'24.07 NATEETE-BUSEGA'!F10,'25.07 NATEETE-BUSEGA'!F10,'26.07 NATEETE-BUSEGA'!F10,'27.07 NATEETE-BUSEGA'!F10,'28.07 BUSEGA-NATEETE'!F10)</f>
        <v>56.857142857142854</v>
      </c>
      <c r="G10" s="49">
        <f>AVERAGE('22.07 NATEETE-BUSEGA'!G10,'23.07 NATEETE-BUSEGA'!G10,'24.07 NATEETE-BUSEGA'!G10,'25.07 NATEETE-BUSEGA'!G10,'26.07 NATEETE-BUSEGA'!G10,'27.07 NATEETE-BUSEGA'!G10,'28.07 BUSEGA-NATEETE'!G10)</f>
        <v>2.2857142857142856</v>
      </c>
      <c r="H10" s="49">
        <f>AVERAGE('22.07 NATEETE-BUSEGA'!H10,'23.07 NATEETE-BUSEGA'!H10,'24.07 NATEETE-BUSEGA'!H10,'25.07 NATEETE-BUSEGA'!H10,'26.07 NATEETE-BUSEGA'!H10,'27.07 NATEETE-BUSEGA'!H10,'28.07 BUSEGA-NATEETE'!H10)</f>
        <v>1.5714285714285714</v>
      </c>
      <c r="I10" s="49">
        <f>AVERAGE('22.07 NATEETE-BUSEGA'!I10,'23.07 NATEETE-BUSEGA'!I10,'24.07 NATEETE-BUSEGA'!I10,'25.07 NATEETE-BUSEGA'!I10,'26.07 NATEETE-BUSEGA'!I10,'27.07 NATEETE-BUSEGA'!I10,'28.07 BUSEGA-NATEETE'!I10)</f>
        <v>8.1428571428571423</v>
      </c>
      <c r="J10" s="49">
        <f>AVERAGE('22.07 NATEETE-BUSEGA'!J10,'23.07 NATEETE-BUSEGA'!J10,'24.07 NATEETE-BUSEGA'!J10,'25.07 NATEETE-BUSEGA'!J10,'26.07 NATEETE-BUSEGA'!J10,'27.07 NATEETE-BUSEGA'!J10,'28.07 BUSEGA-NATEETE'!J10)</f>
        <v>2.5714285714285716</v>
      </c>
      <c r="K10" s="49">
        <f>AVERAGE('22.07 NATEETE-BUSEGA'!K10,'23.07 NATEETE-BUSEGA'!K10,'24.07 NATEETE-BUSEGA'!K10,'25.07 NATEETE-BUSEGA'!K10,'26.07 NATEETE-BUSEGA'!K10,'27.07 NATEETE-BUSEGA'!K10,'28.07 BUSEGA-NATEETE'!K10)</f>
        <v>1</v>
      </c>
      <c r="L10" s="49">
        <f>AVERAGE('22.07 NATEETE-BUSEGA'!L10,'23.07 NATEETE-BUSEGA'!L10,'24.07 NATEETE-BUSEGA'!L10,'25.07 NATEETE-BUSEGA'!L10,'26.07 NATEETE-BUSEGA'!L10,'27.07 NATEETE-BUSEGA'!L10,'28.07 BUSEGA-NATEETE'!L10)</f>
        <v>2.1428571428571428</v>
      </c>
      <c r="M10" s="49">
        <f>AVERAGE('22.07 NATEETE-BUSEGA'!M10,'23.07 NATEETE-BUSEGA'!M10,'24.07 NATEETE-BUSEGA'!M10,'25.07 NATEETE-BUSEGA'!M10,'26.07 NATEETE-BUSEGA'!M10,'27.07 NATEETE-BUSEGA'!M10,'28.07 BUSEGA-NATEETE'!M10)</f>
        <v>114.57142857142857</v>
      </c>
      <c r="N10" s="49">
        <f>AVERAGE('22.07 NATEETE-BUSEGA'!N10,'23.07 NATEETE-BUSEGA'!N10,'24.07 NATEETE-BUSEGA'!N10,'25.07 NATEETE-BUSEGA'!N10,'26.07 NATEETE-BUSEGA'!N10,'27.07 NATEETE-BUSEGA'!N10,'28.07 BUSEGA-NATEETE'!N10)</f>
        <v>0</v>
      </c>
      <c r="O10" s="15">
        <f t="shared" ref="O10:O73" si="0">SUM(C10:L10,N10)</f>
        <v>127.28571428571428</v>
      </c>
      <c r="P10" s="15">
        <f t="shared" ref="P10:P73" si="1">SUM(C10:N10)</f>
        <v>241.85714285714283</v>
      </c>
      <c r="R10" s="1" t="s">
        <v>6</v>
      </c>
      <c r="S10" s="17">
        <f t="shared" ref="S10:AF10" si="2">SUM(C10:C13)</f>
        <v>166.85714285714286</v>
      </c>
      <c r="T10" s="17">
        <f t="shared" si="2"/>
        <v>24</v>
      </c>
      <c r="U10" s="17">
        <f t="shared" si="2"/>
        <v>17.714285714285715</v>
      </c>
      <c r="V10" s="17">
        <f t="shared" si="2"/>
        <v>217.71428571428569</v>
      </c>
      <c r="W10" s="17">
        <f t="shared" si="2"/>
        <v>11.571428571428573</v>
      </c>
      <c r="X10" s="17">
        <f t="shared" si="2"/>
        <v>7.0000000000000009</v>
      </c>
      <c r="Y10" s="17">
        <f t="shared" si="2"/>
        <v>29.571428571428573</v>
      </c>
      <c r="Z10" s="17">
        <f t="shared" si="2"/>
        <v>15.285714285714286</v>
      </c>
      <c r="AA10" s="17">
        <f t="shared" si="2"/>
        <v>6.1428571428571432</v>
      </c>
      <c r="AB10" s="17">
        <f t="shared" si="2"/>
        <v>7.1428571428571432</v>
      </c>
      <c r="AC10" s="17">
        <f t="shared" si="2"/>
        <v>650.28571428571422</v>
      </c>
      <c r="AD10" s="17">
        <f t="shared" si="2"/>
        <v>0</v>
      </c>
      <c r="AE10" s="31">
        <f t="shared" si="2"/>
        <v>503</v>
      </c>
      <c r="AF10" s="31">
        <f t="shared" si="2"/>
        <v>1153.2857142857142</v>
      </c>
    </row>
    <row r="11" spans="2:32" s="6" customFormat="1" ht="23.1" customHeight="1" x14ac:dyDescent="0.25">
      <c r="B11" s="23" t="s">
        <v>38</v>
      </c>
      <c r="C11" s="49">
        <f>AVERAGE('22.07 NATEETE-BUSEGA'!C11,'23.07 NATEETE-BUSEGA'!C11,'24.07 NATEETE-BUSEGA'!C11,'25.07 NATEETE-BUSEGA'!C11,'26.07 NATEETE-BUSEGA'!C11,'27.07 NATEETE-BUSEGA'!C11,'28.07 BUSEGA-NATEETE'!C11)</f>
        <v>43.142857142857146</v>
      </c>
      <c r="D11" s="49">
        <f>AVERAGE('22.07 NATEETE-BUSEGA'!D11,'23.07 NATEETE-BUSEGA'!D11,'24.07 NATEETE-BUSEGA'!D11,'25.07 NATEETE-BUSEGA'!D11,'26.07 NATEETE-BUSEGA'!D11,'27.07 NATEETE-BUSEGA'!D11,'28.07 BUSEGA-NATEETE'!D11)</f>
        <v>4.4285714285714288</v>
      </c>
      <c r="E11" s="49">
        <f>AVERAGE('22.07 NATEETE-BUSEGA'!E11,'23.07 NATEETE-BUSEGA'!E11,'24.07 NATEETE-BUSEGA'!E11,'25.07 NATEETE-BUSEGA'!E11,'26.07 NATEETE-BUSEGA'!E11,'27.07 NATEETE-BUSEGA'!E11,'28.07 BUSEGA-NATEETE'!E11)</f>
        <v>4.5714285714285712</v>
      </c>
      <c r="F11" s="49">
        <f>AVERAGE('22.07 NATEETE-BUSEGA'!F11,'23.07 NATEETE-BUSEGA'!F11,'24.07 NATEETE-BUSEGA'!F11,'25.07 NATEETE-BUSEGA'!F11,'26.07 NATEETE-BUSEGA'!F11,'27.07 NATEETE-BUSEGA'!F11,'28.07 BUSEGA-NATEETE'!F11)</f>
        <v>53.142857142857146</v>
      </c>
      <c r="G11" s="49">
        <f>AVERAGE('22.07 NATEETE-BUSEGA'!G11,'23.07 NATEETE-BUSEGA'!G11,'24.07 NATEETE-BUSEGA'!G11,'25.07 NATEETE-BUSEGA'!G11,'26.07 NATEETE-BUSEGA'!G11,'27.07 NATEETE-BUSEGA'!G11,'28.07 BUSEGA-NATEETE'!G11)</f>
        <v>2</v>
      </c>
      <c r="H11" s="49">
        <f>AVERAGE('22.07 NATEETE-BUSEGA'!H11,'23.07 NATEETE-BUSEGA'!H11,'24.07 NATEETE-BUSEGA'!H11,'25.07 NATEETE-BUSEGA'!H11,'26.07 NATEETE-BUSEGA'!H11,'27.07 NATEETE-BUSEGA'!H11,'28.07 BUSEGA-NATEETE'!H11)</f>
        <v>1.8571428571428572</v>
      </c>
      <c r="I11" s="49">
        <f>AVERAGE('22.07 NATEETE-BUSEGA'!I11,'23.07 NATEETE-BUSEGA'!I11,'24.07 NATEETE-BUSEGA'!I11,'25.07 NATEETE-BUSEGA'!I11,'26.07 NATEETE-BUSEGA'!I11,'27.07 NATEETE-BUSEGA'!I11,'28.07 BUSEGA-NATEETE'!I11)</f>
        <v>8.5714285714285712</v>
      </c>
      <c r="J11" s="49">
        <f>AVERAGE('22.07 NATEETE-BUSEGA'!J11,'23.07 NATEETE-BUSEGA'!J11,'24.07 NATEETE-BUSEGA'!J11,'25.07 NATEETE-BUSEGA'!J11,'26.07 NATEETE-BUSEGA'!J11,'27.07 NATEETE-BUSEGA'!J11,'28.07 BUSEGA-NATEETE'!J11)</f>
        <v>3.1428571428571428</v>
      </c>
      <c r="K11" s="49">
        <f>AVERAGE('22.07 NATEETE-BUSEGA'!K11,'23.07 NATEETE-BUSEGA'!K11,'24.07 NATEETE-BUSEGA'!K11,'25.07 NATEETE-BUSEGA'!K11,'26.07 NATEETE-BUSEGA'!K11,'27.07 NATEETE-BUSEGA'!K11,'28.07 BUSEGA-NATEETE'!K11)</f>
        <v>2.5714285714285716</v>
      </c>
      <c r="L11" s="49">
        <f>AVERAGE('22.07 NATEETE-BUSEGA'!L11,'23.07 NATEETE-BUSEGA'!L11,'24.07 NATEETE-BUSEGA'!L11,'25.07 NATEETE-BUSEGA'!L11,'26.07 NATEETE-BUSEGA'!L11,'27.07 NATEETE-BUSEGA'!L11,'28.07 BUSEGA-NATEETE'!L11)</f>
        <v>1.4285714285714286</v>
      </c>
      <c r="M11" s="49">
        <f>AVERAGE('22.07 NATEETE-BUSEGA'!M11,'23.07 NATEETE-BUSEGA'!M11,'24.07 NATEETE-BUSEGA'!M11,'25.07 NATEETE-BUSEGA'!M11,'26.07 NATEETE-BUSEGA'!M11,'27.07 NATEETE-BUSEGA'!M11,'28.07 BUSEGA-NATEETE'!M11)</f>
        <v>163</v>
      </c>
      <c r="N11" s="49">
        <f>AVERAGE('22.07 NATEETE-BUSEGA'!N11,'23.07 NATEETE-BUSEGA'!N11,'24.07 NATEETE-BUSEGA'!N11,'25.07 NATEETE-BUSEGA'!N11,'26.07 NATEETE-BUSEGA'!N11,'27.07 NATEETE-BUSEGA'!N11,'28.07 BUSEGA-NATEETE'!N11)</f>
        <v>0</v>
      </c>
      <c r="O11" s="15">
        <f t="shared" si="0"/>
        <v>124.85714285714286</v>
      </c>
      <c r="P11" s="15">
        <f t="shared" si="1"/>
        <v>287.85714285714289</v>
      </c>
      <c r="R11" s="1" t="s">
        <v>7</v>
      </c>
      <c r="S11" s="17">
        <f t="shared" ref="S11:AF11" si="3">SUM(C14:C17)</f>
        <v>153.14285714285714</v>
      </c>
      <c r="T11" s="17">
        <f t="shared" si="3"/>
        <v>33</v>
      </c>
      <c r="U11" s="17">
        <f t="shared" si="3"/>
        <v>26.428571428571431</v>
      </c>
      <c r="V11" s="17">
        <f t="shared" si="3"/>
        <v>220.42857142857144</v>
      </c>
      <c r="W11" s="17">
        <f t="shared" si="3"/>
        <v>4.7142857142857135</v>
      </c>
      <c r="X11" s="17">
        <f t="shared" si="3"/>
        <v>7.4285714285714288</v>
      </c>
      <c r="Y11" s="17">
        <f t="shared" si="3"/>
        <v>31.142857142857142</v>
      </c>
      <c r="Z11" s="17">
        <f t="shared" si="3"/>
        <v>16</v>
      </c>
      <c r="AA11" s="17">
        <f t="shared" si="3"/>
        <v>6.7142857142857135</v>
      </c>
      <c r="AB11" s="17">
        <f t="shared" si="3"/>
        <v>5.7142857142857135</v>
      </c>
      <c r="AC11" s="17">
        <f t="shared" si="3"/>
        <v>903.28571428571433</v>
      </c>
      <c r="AD11" s="17">
        <f t="shared" si="3"/>
        <v>0.14285714285714285</v>
      </c>
      <c r="AE11" s="31">
        <f t="shared" si="3"/>
        <v>504.85714285714289</v>
      </c>
      <c r="AF11" s="31">
        <f t="shared" si="3"/>
        <v>1408.1428571428569</v>
      </c>
    </row>
    <row r="12" spans="2:32" ht="23.1" customHeight="1" x14ac:dyDescent="0.25">
      <c r="B12" s="23" t="s">
        <v>39</v>
      </c>
      <c r="C12" s="49">
        <f>AVERAGE('22.07 NATEETE-BUSEGA'!C12,'23.07 NATEETE-BUSEGA'!C12,'24.07 NATEETE-BUSEGA'!C12,'25.07 NATEETE-BUSEGA'!C12,'26.07 NATEETE-BUSEGA'!C12,'27.07 NATEETE-BUSEGA'!C12,'28.07 BUSEGA-NATEETE'!C12)</f>
        <v>39</v>
      </c>
      <c r="D12" s="49">
        <f>AVERAGE('22.07 NATEETE-BUSEGA'!D12,'23.07 NATEETE-BUSEGA'!D12,'24.07 NATEETE-BUSEGA'!D12,'25.07 NATEETE-BUSEGA'!D12,'26.07 NATEETE-BUSEGA'!D12,'27.07 NATEETE-BUSEGA'!D12,'28.07 BUSEGA-NATEETE'!D12)</f>
        <v>7</v>
      </c>
      <c r="E12" s="49">
        <f>AVERAGE('22.07 NATEETE-BUSEGA'!E12,'23.07 NATEETE-BUSEGA'!E12,'24.07 NATEETE-BUSEGA'!E12,'25.07 NATEETE-BUSEGA'!E12,'26.07 NATEETE-BUSEGA'!E12,'27.07 NATEETE-BUSEGA'!E12,'28.07 BUSEGA-NATEETE'!E12)</f>
        <v>4.8571428571428568</v>
      </c>
      <c r="F12" s="49">
        <f>AVERAGE('22.07 NATEETE-BUSEGA'!F12,'23.07 NATEETE-BUSEGA'!F12,'24.07 NATEETE-BUSEGA'!F12,'25.07 NATEETE-BUSEGA'!F12,'26.07 NATEETE-BUSEGA'!F12,'27.07 NATEETE-BUSEGA'!F12,'28.07 BUSEGA-NATEETE'!F12)</f>
        <v>64.571428571428569</v>
      </c>
      <c r="G12" s="49">
        <f>AVERAGE('22.07 NATEETE-BUSEGA'!G12,'23.07 NATEETE-BUSEGA'!G12,'24.07 NATEETE-BUSEGA'!G12,'25.07 NATEETE-BUSEGA'!G12,'26.07 NATEETE-BUSEGA'!G12,'27.07 NATEETE-BUSEGA'!G12,'28.07 BUSEGA-NATEETE'!G12)</f>
        <v>2.1428571428571428</v>
      </c>
      <c r="H12" s="49">
        <f>AVERAGE('22.07 NATEETE-BUSEGA'!H12,'23.07 NATEETE-BUSEGA'!H12,'24.07 NATEETE-BUSEGA'!H12,'25.07 NATEETE-BUSEGA'!H12,'26.07 NATEETE-BUSEGA'!H12,'27.07 NATEETE-BUSEGA'!H12,'28.07 BUSEGA-NATEETE'!H12)</f>
        <v>1.8571428571428572</v>
      </c>
      <c r="I12" s="49">
        <f>AVERAGE('22.07 NATEETE-BUSEGA'!I12,'23.07 NATEETE-BUSEGA'!I12,'24.07 NATEETE-BUSEGA'!I12,'25.07 NATEETE-BUSEGA'!I12,'26.07 NATEETE-BUSEGA'!I12,'27.07 NATEETE-BUSEGA'!I12,'28.07 BUSEGA-NATEETE'!I12)</f>
        <v>7</v>
      </c>
      <c r="J12" s="49">
        <f>AVERAGE('22.07 NATEETE-BUSEGA'!J12,'23.07 NATEETE-BUSEGA'!J12,'24.07 NATEETE-BUSEGA'!J12,'25.07 NATEETE-BUSEGA'!J12,'26.07 NATEETE-BUSEGA'!J12,'27.07 NATEETE-BUSEGA'!J12,'28.07 BUSEGA-NATEETE'!J12)</f>
        <v>5</v>
      </c>
      <c r="K12" s="49">
        <f>AVERAGE('22.07 NATEETE-BUSEGA'!K12,'23.07 NATEETE-BUSEGA'!K12,'24.07 NATEETE-BUSEGA'!K12,'25.07 NATEETE-BUSEGA'!K12,'26.07 NATEETE-BUSEGA'!K12,'27.07 NATEETE-BUSEGA'!K12,'28.07 BUSEGA-NATEETE'!K12)</f>
        <v>1.1428571428571428</v>
      </c>
      <c r="L12" s="49">
        <f>AVERAGE('22.07 NATEETE-BUSEGA'!L12,'23.07 NATEETE-BUSEGA'!L12,'24.07 NATEETE-BUSEGA'!L12,'25.07 NATEETE-BUSEGA'!L12,'26.07 NATEETE-BUSEGA'!L12,'27.07 NATEETE-BUSEGA'!L12,'28.07 BUSEGA-NATEETE'!L12)</f>
        <v>1.8571428571428572</v>
      </c>
      <c r="M12" s="49">
        <f>AVERAGE('22.07 NATEETE-BUSEGA'!M12,'23.07 NATEETE-BUSEGA'!M12,'24.07 NATEETE-BUSEGA'!M12,'25.07 NATEETE-BUSEGA'!M12,'26.07 NATEETE-BUSEGA'!M12,'27.07 NATEETE-BUSEGA'!M12,'28.07 BUSEGA-NATEETE'!M12)</f>
        <v>158.14285714285714</v>
      </c>
      <c r="N12" s="49">
        <f>AVERAGE('22.07 NATEETE-BUSEGA'!N12,'23.07 NATEETE-BUSEGA'!N12,'24.07 NATEETE-BUSEGA'!N12,'25.07 NATEETE-BUSEGA'!N12,'26.07 NATEETE-BUSEGA'!N12,'27.07 NATEETE-BUSEGA'!N12,'28.07 BUSEGA-NATEETE'!N12)</f>
        <v>0</v>
      </c>
      <c r="O12" s="15">
        <f t="shared" si="0"/>
        <v>134.42857142857142</v>
      </c>
      <c r="P12" s="15">
        <f t="shared" si="1"/>
        <v>292.57142857142856</v>
      </c>
      <c r="R12" s="1" t="s">
        <v>8</v>
      </c>
      <c r="S12" s="17">
        <f t="shared" ref="S12:AF12" si="4">SUM(C18:C21)</f>
        <v>197.85714285714286</v>
      </c>
      <c r="T12" s="17">
        <f t="shared" si="4"/>
        <v>38.285714285714285</v>
      </c>
      <c r="U12" s="17">
        <f t="shared" si="4"/>
        <v>25.714285714285715</v>
      </c>
      <c r="V12" s="17">
        <f t="shared" si="4"/>
        <v>280.42857142857144</v>
      </c>
      <c r="W12" s="17">
        <f t="shared" si="4"/>
        <v>4.7142857142857144</v>
      </c>
      <c r="X12" s="17">
        <f t="shared" si="4"/>
        <v>5</v>
      </c>
      <c r="Y12" s="17">
        <f t="shared" si="4"/>
        <v>33.571428571428569</v>
      </c>
      <c r="Z12" s="17">
        <f t="shared" si="4"/>
        <v>14.571428571428573</v>
      </c>
      <c r="AA12" s="17">
        <f t="shared" si="4"/>
        <v>5.4285714285714288</v>
      </c>
      <c r="AB12" s="17">
        <f t="shared" si="4"/>
        <v>6</v>
      </c>
      <c r="AC12" s="17">
        <f t="shared" si="4"/>
        <v>874.57142857142856</v>
      </c>
      <c r="AD12" s="17">
        <f t="shared" si="4"/>
        <v>0</v>
      </c>
      <c r="AE12" s="31">
        <f t="shared" si="4"/>
        <v>611.57142857142867</v>
      </c>
      <c r="AF12" s="31">
        <f t="shared" si="4"/>
        <v>1486.1428571428573</v>
      </c>
    </row>
    <row r="13" spans="2:32" ht="23.1" customHeight="1" x14ac:dyDescent="0.25">
      <c r="B13" s="23" t="s">
        <v>40</v>
      </c>
      <c r="C13" s="49">
        <f>AVERAGE('22.07 NATEETE-BUSEGA'!C13,'23.07 NATEETE-BUSEGA'!C13,'24.07 NATEETE-BUSEGA'!C13,'25.07 NATEETE-BUSEGA'!C13,'26.07 NATEETE-BUSEGA'!C13,'27.07 NATEETE-BUSEGA'!C13,'28.07 BUSEGA-NATEETE'!C13)</f>
        <v>40</v>
      </c>
      <c r="D13" s="49">
        <f>AVERAGE('22.07 NATEETE-BUSEGA'!D13,'23.07 NATEETE-BUSEGA'!D13,'24.07 NATEETE-BUSEGA'!D13,'25.07 NATEETE-BUSEGA'!D13,'26.07 NATEETE-BUSEGA'!D13,'27.07 NATEETE-BUSEGA'!D13,'28.07 BUSEGA-NATEETE'!D13)</f>
        <v>7.4285714285714288</v>
      </c>
      <c r="E13" s="49">
        <f>AVERAGE('22.07 NATEETE-BUSEGA'!E13,'23.07 NATEETE-BUSEGA'!E13,'24.07 NATEETE-BUSEGA'!E13,'25.07 NATEETE-BUSEGA'!E13,'26.07 NATEETE-BUSEGA'!E13,'27.07 NATEETE-BUSEGA'!E13,'28.07 BUSEGA-NATEETE'!E13)</f>
        <v>5.4285714285714288</v>
      </c>
      <c r="F13" s="49">
        <f>AVERAGE('22.07 NATEETE-BUSEGA'!F13,'23.07 NATEETE-BUSEGA'!F13,'24.07 NATEETE-BUSEGA'!F13,'25.07 NATEETE-BUSEGA'!F13,'26.07 NATEETE-BUSEGA'!F13,'27.07 NATEETE-BUSEGA'!F13,'28.07 BUSEGA-NATEETE'!F13)</f>
        <v>43.142857142857146</v>
      </c>
      <c r="G13" s="49">
        <f>AVERAGE('22.07 NATEETE-BUSEGA'!G13,'23.07 NATEETE-BUSEGA'!G13,'24.07 NATEETE-BUSEGA'!G13,'25.07 NATEETE-BUSEGA'!G13,'26.07 NATEETE-BUSEGA'!G13,'27.07 NATEETE-BUSEGA'!G13,'28.07 BUSEGA-NATEETE'!G13)</f>
        <v>5.1428571428571432</v>
      </c>
      <c r="H13" s="49">
        <f>AVERAGE('22.07 NATEETE-BUSEGA'!H13,'23.07 NATEETE-BUSEGA'!H13,'24.07 NATEETE-BUSEGA'!H13,'25.07 NATEETE-BUSEGA'!H13,'26.07 NATEETE-BUSEGA'!H13,'27.07 NATEETE-BUSEGA'!H13,'28.07 BUSEGA-NATEETE'!H13)</f>
        <v>1.7142857142857142</v>
      </c>
      <c r="I13" s="49">
        <f>AVERAGE('22.07 NATEETE-BUSEGA'!I13,'23.07 NATEETE-BUSEGA'!I13,'24.07 NATEETE-BUSEGA'!I13,'25.07 NATEETE-BUSEGA'!I13,'26.07 NATEETE-BUSEGA'!I13,'27.07 NATEETE-BUSEGA'!I13,'28.07 BUSEGA-NATEETE'!I13)</f>
        <v>5.8571428571428568</v>
      </c>
      <c r="J13" s="49">
        <f>AVERAGE('22.07 NATEETE-BUSEGA'!J13,'23.07 NATEETE-BUSEGA'!J13,'24.07 NATEETE-BUSEGA'!J13,'25.07 NATEETE-BUSEGA'!J13,'26.07 NATEETE-BUSEGA'!J13,'27.07 NATEETE-BUSEGA'!J13,'28.07 BUSEGA-NATEETE'!J13)</f>
        <v>4.5714285714285712</v>
      </c>
      <c r="K13" s="49">
        <f>AVERAGE('22.07 NATEETE-BUSEGA'!K13,'23.07 NATEETE-BUSEGA'!K13,'24.07 NATEETE-BUSEGA'!K13,'25.07 NATEETE-BUSEGA'!K13,'26.07 NATEETE-BUSEGA'!K13,'27.07 NATEETE-BUSEGA'!K13,'28.07 BUSEGA-NATEETE'!K13)</f>
        <v>1.4285714285714286</v>
      </c>
      <c r="L13" s="49">
        <f>AVERAGE('22.07 NATEETE-BUSEGA'!L13,'23.07 NATEETE-BUSEGA'!L13,'24.07 NATEETE-BUSEGA'!L13,'25.07 NATEETE-BUSEGA'!L13,'26.07 NATEETE-BUSEGA'!L13,'27.07 NATEETE-BUSEGA'!L13,'28.07 BUSEGA-NATEETE'!L13)</f>
        <v>1.7142857142857142</v>
      </c>
      <c r="M13" s="49">
        <f>AVERAGE('22.07 NATEETE-BUSEGA'!M13,'23.07 NATEETE-BUSEGA'!M13,'24.07 NATEETE-BUSEGA'!M13,'25.07 NATEETE-BUSEGA'!M13,'26.07 NATEETE-BUSEGA'!M13,'27.07 NATEETE-BUSEGA'!M13,'28.07 BUSEGA-NATEETE'!M13)</f>
        <v>214.57142857142858</v>
      </c>
      <c r="N13" s="49">
        <f>AVERAGE('22.07 NATEETE-BUSEGA'!N13,'23.07 NATEETE-BUSEGA'!N13,'24.07 NATEETE-BUSEGA'!N13,'25.07 NATEETE-BUSEGA'!N13,'26.07 NATEETE-BUSEGA'!N13,'27.07 NATEETE-BUSEGA'!N13,'28.07 BUSEGA-NATEETE'!N13)</f>
        <v>0</v>
      </c>
      <c r="O13" s="15">
        <f t="shared" si="0"/>
        <v>116.42857142857142</v>
      </c>
      <c r="P13" s="15">
        <f t="shared" si="1"/>
        <v>331</v>
      </c>
      <c r="R13" s="1" t="s">
        <v>9</v>
      </c>
      <c r="S13" s="17">
        <f t="shared" ref="S13:AF13" si="5">SUM(C22:C25)</f>
        <v>208</v>
      </c>
      <c r="T13" s="17">
        <f t="shared" si="5"/>
        <v>39.142857142857139</v>
      </c>
      <c r="U13" s="17">
        <f t="shared" si="5"/>
        <v>39</v>
      </c>
      <c r="V13" s="17">
        <f t="shared" si="5"/>
        <v>262</v>
      </c>
      <c r="W13" s="17">
        <f t="shared" si="5"/>
        <v>5.7142857142857144</v>
      </c>
      <c r="X13" s="17">
        <f t="shared" si="5"/>
        <v>5.2857142857142856</v>
      </c>
      <c r="Y13" s="17">
        <f t="shared" si="5"/>
        <v>36.571428571428577</v>
      </c>
      <c r="Z13" s="17">
        <f t="shared" si="5"/>
        <v>21</v>
      </c>
      <c r="AA13" s="17">
        <f t="shared" si="5"/>
        <v>8.4285714285714288</v>
      </c>
      <c r="AB13" s="17">
        <f t="shared" si="5"/>
        <v>7.8571428571428568</v>
      </c>
      <c r="AC13" s="17">
        <f t="shared" si="5"/>
        <v>793.28571428571422</v>
      </c>
      <c r="AD13" s="17">
        <f t="shared" si="5"/>
        <v>0.14285714285714285</v>
      </c>
      <c r="AE13" s="31">
        <f t="shared" si="5"/>
        <v>633.14285714285711</v>
      </c>
      <c r="AF13" s="31">
        <f t="shared" si="5"/>
        <v>1426.4285714285713</v>
      </c>
    </row>
    <row r="14" spans="2:32" ht="23.1" customHeight="1" x14ac:dyDescent="0.25">
      <c r="B14" s="23" t="s">
        <v>41</v>
      </c>
      <c r="C14" s="49">
        <f>AVERAGE('22.07 NATEETE-BUSEGA'!C14,'23.07 NATEETE-BUSEGA'!C14,'24.07 NATEETE-BUSEGA'!C14,'25.07 NATEETE-BUSEGA'!C14,'26.07 NATEETE-BUSEGA'!C14,'27.07 NATEETE-BUSEGA'!C14,'28.07 BUSEGA-NATEETE'!C14)</f>
        <v>29.857142857142858</v>
      </c>
      <c r="D14" s="49">
        <f>AVERAGE('22.07 NATEETE-BUSEGA'!D14,'23.07 NATEETE-BUSEGA'!D14,'24.07 NATEETE-BUSEGA'!D14,'25.07 NATEETE-BUSEGA'!D14,'26.07 NATEETE-BUSEGA'!D14,'27.07 NATEETE-BUSEGA'!D14,'28.07 BUSEGA-NATEETE'!D14)</f>
        <v>7.4285714285714288</v>
      </c>
      <c r="E14" s="49">
        <f>AVERAGE('22.07 NATEETE-BUSEGA'!E14,'23.07 NATEETE-BUSEGA'!E14,'24.07 NATEETE-BUSEGA'!E14,'25.07 NATEETE-BUSEGA'!E14,'26.07 NATEETE-BUSEGA'!E14,'27.07 NATEETE-BUSEGA'!E14,'28.07 BUSEGA-NATEETE'!E14)</f>
        <v>5.7142857142857144</v>
      </c>
      <c r="F14" s="49">
        <f>AVERAGE('22.07 NATEETE-BUSEGA'!F14,'23.07 NATEETE-BUSEGA'!F14,'24.07 NATEETE-BUSEGA'!F14,'25.07 NATEETE-BUSEGA'!F14,'26.07 NATEETE-BUSEGA'!F14,'27.07 NATEETE-BUSEGA'!F14,'28.07 BUSEGA-NATEETE'!F14)</f>
        <v>44.857142857142854</v>
      </c>
      <c r="G14" s="49">
        <f>AVERAGE('22.07 NATEETE-BUSEGA'!G14,'23.07 NATEETE-BUSEGA'!G14,'24.07 NATEETE-BUSEGA'!G14,'25.07 NATEETE-BUSEGA'!G14,'26.07 NATEETE-BUSEGA'!G14,'27.07 NATEETE-BUSEGA'!G14,'28.07 BUSEGA-NATEETE'!G14)</f>
        <v>1.7142857142857142</v>
      </c>
      <c r="H14" s="49">
        <f>AVERAGE('22.07 NATEETE-BUSEGA'!H14,'23.07 NATEETE-BUSEGA'!H14,'24.07 NATEETE-BUSEGA'!H14,'25.07 NATEETE-BUSEGA'!H14,'26.07 NATEETE-BUSEGA'!H14,'27.07 NATEETE-BUSEGA'!H14,'28.07 BUSEGA-NATEETE'!H14)</f>
        <v>2.4285714285714284</v>
      </c>
      <c r="I14" s="49">
        <f>AVERAGE('22.07 NATEETE-BUSEGA'!I14,'23.07 NATEETE-BUSEGA'!I14,'24.07 NATEETE-BUSEGA'!I14,'25.07 NATEETE-BUSEGA'!I14,'26.07 NATEETE-BUSEGA'!I14,'27.07 NATEETE-BUSEGA'!I14,'28.07 BUSEGA-NATEETE'!I14)</f>
        <v>9</v>
      </c>
      <c r="J14" s="49">
        <f>AVERAGE('22.07 NATEETE-BUSEGA'!J14,'23.07 NATEETE-BUSEGA'!J14,'24.07 NATEETE-BUSEGA'!J14,'25.07 NATEETE-BUSEGA'!J14,'26.07 NATEETE-BUSEGA'!J14,'27.07 NATEETE-BUSEGA'!J14,'28.07 BUSEGA-NATEETE'!J14)</f>
        <v>4</v>
      </c>
      <c r="K14" s="49">
        <f>AVERAGE('22.07 NATEETE-BUSEGA'!K14,'23.07 NATEETE-BUSEGA'!K14,'24.07 NATEETE-BUSEGA'!K14,'25.07 NATEETE-BUSEGA'!K14,'26.07 NATEETE-BUSEGA'!K14,'27.07 NATEETE-BUSEGA'!K14,'28.07 BUSEGA-NATEETE'!K14)</f>
        <v>3</v>
      </c>
      <c r="L14" s="49">
        <f>AVERAGE('22.07 NATEETE-BUSEGA'!L14,'23.07 NATEETE-BUSEGA'!L14,'24.07 NATEETE-BUSEGA'!L14,'25.07 NATEETE-BUSEGA'!L14,'26.07 NATEETE-BUSEGA'!L14,'27.07 NATEETE-BUSEGA'!L14,'28.07 BUSEGA-NATEETE'!L14)</f>
        <v>2</v>
      </c>
      <c r="M14" s="49">
        <f>AVERAGE('22.07 NATEETE-BUSEGA'!M14,'23.07 NATEETE-BUSEGA'!M14,'24.07 NATEETE-BUSEGA'!M14,'25.07 NATEETE-BUSEGA'!M14,'26.07 NATEETE-BUSEGA'!M14,'27.07 NATEETE-BUSEGA'!M14,'28.07 BUSEGA-NATEETE'!M14)</f>
        <v>205.71428571428572</v>
      </c>
      <c r="N14" s="49">
        <f>AVERAGE('22.07 NATEETE-BUSEGA'!N14,'23.07 NATEETE-BUSEGA'!N14,'24.07 NATEETE-BUSEGA'!N14,'25.07 NATEETE-BUSEGA'!N14,'26.07 NATEETE-BUSEGA'!N14,'27.07 NATEETE-BUSEGA'!N14,'28.07 BUSEGA-NATEETE'!N14)</f>
        <v>0.14285714285714285</v>
      </c>
      <c r="O14" s="15">
        <f t="shared" si="0"/>
        <v>110.14285714285714</v>
      </c>
      <c r="P14" s="15">
        <f t="shared" si="1"/>
        <v>315.85714285714289</v>
      </c>
      <c r="R14" s="1" t="s">
        <v>10</v>
      </c>
      <c r="S14" s="17">
        <f t="shared" ref="S14:AF14" si="6">SUM(C26:C29)</f>
        <v>213.28571428571428</v>
      </c>
      <c r="T14" s="17">
        <f t="shared" si="6"/>
        <v>31.714285714285715</v>
      </c>
      <c r="U14" s="17">
        <f t="shared" si="6"/>
        <v>33.857142857142861</v>
      </c>
      <c r="V14" s="17">
        <f t="shared" si="6"/>
        <v>247.28571428571428</v>
      </c>
      <c r="W14" s="17">
        <f t="shared" si="6"/>
        <v>6.7142857142857135</v>
      </c>
      <c r="X14" s="17">
        <f t="shared" si="6"/>
        <v>7.1428571428571423</v>
      </c>
      <c r="Y14" s="17">
        <f t="shared" si="6"/>
        <v>39.714285714285715</v>
      </c>
      <c r="Z14" s="17">
        <f t="shared" si="6"/>
        <v>22</v>
      </c>
      <c r="AA14" s="17">
        <f t="shared" si="6"/>
        <v>8.7142857142857153</v>
      </c>
      <c r="AB14" s="17">
        <f t="shared" si="6"/>
        <v>13.285714285714285</v>
      </c>
      <c r="AC14" s="17">
        <f t="shared" si="6"/>
        <v>766.42857142857144</v>
      </c>
      <c r="AD14" s="17">
        <f t="shared" si="6"/>
        <v>0</v>
      </c>
      <c r="AE14" s="31">
        <f t="shared" si="6"/>
        <v>623.71428571428578</v>
      </c>
      <c r="AF14" s="31">
        <f t="shared" si="6"/>
        <v>1390.1428571428569</v>
      </c>
    </row>
    <row r="15" spans="2:32" ht="23.1" customHeight="1" x14ac:dyDescent="0.25">
      <c r="B15" s="23" t="s">
        <v>42</v>
      </c>
      <c r="C15" s="49">
        <f>AVERAGE('22.07 NATEETE-BUSEGA'!C15,'23.07 NATEETE-BUSEGA'!C15,'24.07 NATEETE-BUSEGA'!C15,'25.07 NATEETE-BUSEGA'!C15,'26.07 NATEETE-BUSEGA'!C15,'27.07 NATEETE-BUSEGA'!C15,'28.07 BUSEGA-NATEETE'!C15)</f>
        <v>43.571428571428569</v>
      </c>
      <c r="D15" s="49">
        <f>AVERAGE('22.07 NATEETE-BUSEGA'!D15,'23.07 NATEETE-BUSEGA'!D15,'24.07 NATEETE-BUSEGA'!D15,'25.07 NATEETE-BUSEGA'!D15,'26.07 NATEETE-BUSEGA'!D15,'27.07 NATEETE-BUSEGA'!D15,'28.07 BUSEGA-NATEETE'!D15)</f>
        <v>9.2857142857142865</v>
      </c>
      <c r="E15" s="49">
        <f>AVERAGE('22.07 NATEETE-BUSEGA'!E15,'23.07 NATEETE-BUSEGA'!E15,'24.07 NATEETE-BUSEGA'!E15,'25.07 NATEETE-BUSEGA'!E15,'26.07 NATEETE-BUSEGA'!E15,'27.07 NATEETE-BUSEGA'!E15,'28.07 BUSEGA-NATEETE'!E15)</f>
        <v>6.2857142857142856</v>
      </c>
      <c r="F15" s="49">
        <f>AVERAGE('22.07 NATEETE-BUSEGA'!F15,'23.07 NATEETE-BUSEGA'!F15,'24.07 NATEETE-BUSEGA'!F15,'25.07 NATEETE-BUSEGA'!F15,'26.07 NATEETE-BUSEGA'!F15,'27.07 NATEETE-BUSEGA'!F15,'28.07 BUSEGA-NATEETE'!F15)</f>
        <v>57.142857142857146</v>
      </c>
      <c r="G15" s="49">
        <f>AVERAGE('22.07 NATEETE-BUSEGA'!G15,'23.07 NATEETE-BUSEGA'!G15,'24.07 NATEETE-BUSEGA'!G15,'25.07 NATEETE-BUSEGA'!G15,'26.07 NATEETE-BUSEGA'!G15,'27.07 NATEETE-BUSEGA'!G15,'28.07 BUSEGA-NATEETE'!G15)</f>
        <v>1.1428571428571428</v>
      </c>
      <c r="H15" s="49">
        <f>AVERAGE('22.07 NATEETE-BUSEGA'!H15,'23.07 NATEETE-BUSEGA'!H15,'24.07 NATEETE-BUSEGA'!H15,'25.07 NATEETE-BUSEGA'!H15,'26.07 NATEETE-BUSEGA'!H15,'27.07 NATEETE-BUSEGA'!H15,'28.07 BUSEGA-NATEETE'!H15)</f>
        <v>1.5714285714285714</v>
      </c>
      <c r="I15" s="49">
        <f>AVERAGE('22.07 NATEETE-BUSEGA'!I15,'23.07 NATEETE-BUSEGA'!I15,'24.07 NATEETE-BUSEGA'!I15,'25.07 NATEETE-BUSEGA'!I15,'26.07 NATEETE-BUSEGA'!I15,'27.07 NATEETE-BUSEGA'!I15,'28.07 BUSEGA-NATEETE'!I15)</f>
        <v>5.5714285714285712</v>
      </c>
      <c r="J15" s="49">
        <f>AVERAGE('22.07 NATEETE-BUSEGA'!J15,'23.07 NATEETE-BUSEGA'!J15,'24.07 NATEETE-BUSEGA'!J15,'25.07 NATEETE-BUSEGA'!J15,'26.07 NATEETE-BUSEGA'!J15,'27.07 NATEETE-BUSEGA'!J15,'28.07 BUSEGA-NATEETE'!J15)</f>
        <v>4.1428571428571432</v>
      </c>
      <c r="K15" s="49">
        <f>AVERAGE('22.07 NATEETE-BUSEGA'!K15,'23.07 NATEETE-BUSEGA'!K15,'24.07 NATEETE-BUSEGA'!K15,'25.07 NATEETE-BUSEGA'!K15,'26.07 NATEETE-BUSEGA'!K15,'27.07 NATEETE-BUSEGA'!K15,'28.07 BUSEGA-NATEETE'!K15)</f>
        <v>1.5714285714285714</v>
      </c>
      <c r="L15" s="49">
        <f>AVERAGE('22.07 NATEETE-BUSEGA'!L15,'23.07 NATEETE-BUSEGA'!L15,'24.07 NATEETE-BUSEGA'!L15,'25.07 NATEETE-BUSEGA'!L15,'26.07 NATEETE-BUSEGA'!L15,'27.07 NATEETE-BUSEGA'!L15,'28.07 BUSEGA-NATEETE'!L15)</f>
        <v>1.5714285714285714</v>
      </c>
      <c r="M15" s="49">
        <f>AVERAGE('22.07 NATEETE-BUSEGA'!M15,'23.07 NATEETE-BUSEGA'!M15,'24.07 NATEETE-BUSEGA'!M15,'25.07 NATEETE-BUSEGA'!M15,'26.07 NATEETE-BUSEGA'!M15,'27.07 NATEETE-BUSEGA'!M15,'28.07 BUSEGA-NATEETE'!M15)</f>
        <v>222.28571428571428</v>
      </c>
      <c r="N15" s="49">
        <f>AVERAGE('22.07 NATEETE-BUSEGA'!N15,'23.07 NATEETE-BUSEGA'!N15,'24.07 NATEETE-BUSEGA'!N15,'25.07 NATEETE-BUSEGA'!N15,'26.07 NATEETE-BUSEGA'!N15,'27.07 NATEETE-BUSEGA'!N15,'28.07 BUSEGA-NATEETE'!N15)</f>
        <v>0</v>
      </c>
      <c r="O15" s="15">
        <f t="shared" si="0"/>
        <v>131.85714285714286</v>
      </c>
      <c r="P15" s="15">
        <f t="shared" si="1"/>
        <v>354.14285714285711</v>
      </c>
      <c r="R15" s="1" t="s">
        <v>11</v>
      </c>
      <c r="S15" s="17">
        <f t="shared" ref="S15:AF15" si="7">SUM(C30:C33)</f>
        <v>184.28571428571428</v>
      </c>
      <c r="T15" s="17">
        <f t="shared" si="7"/>
        <v>37.571428571428569</v>
      </c>
      <c r="U15" s="17">
        <f t="shared" si="7"/>
        <v>30.857142857142861</v>
      </c>
      <c r="V15" s="17">
        <f t="shared" si="7"/>
        <v>200.42857142857144</v>
      </c>
      <c r="W15" s="17">
        <f t="shared" si="7"/>
        <v>5.1428571428571432</v>
      </c>
      <c r="X15" s="17">
        <f t="shared" si="7"/>
        <v>4.8571428571428577</v>
      </c>
      <c r="Y15" s="17">
        <f t="shared" si="7"/>
        <v>37</v>
      </c>
      <c r="Z15" s="17">
        <f t="shared" si="7"/>
        <v>25.571428571428569</v>
      </c>
      <c r="AA15" s="17">
        <f t="shared" si="7"/>
        <v>8.4285714285714288</v>
      </c>
      <c r="AB15" s="17">
        <f t="shared" si="7"/>
        <v>11.285714285714285</v>
      </c>
      <c r="AC15" s="17">
        <f t="shared" si="7"/>
        <v>682.57142857142867</v>
      </c>
      <c r="AD15" s="17">
        <f t="shared" si="7"/>
        <v>0</v>
      </c>
      <c r="AE15" s="31">
        <f t="shared" si="7"/>
        <v>545.42857142857144</v>
      </c>
      <c r="AF15" s="31">
        <f t="shared" si="7"/>
        <v>1228</v>
      </c>
    </row>
    <row r="16" spans="2:32" ht="23.1" customHeight="1" x14ac:dyDescent="0.25">
      <c r="B16" s="23" t="s">
        <v>43</v>
      </c>
      <c r="C16" s="49">
        <f>AVERAGE('22.07 NATEETE-BUSEGA'!C16,'23.07 NATEETE-BUSEGA'!C16,'24.07 NATEETE-BUSEGA'!C16,'25.07 NATEETE-BUSEGA'!C16,'26.07 NATEETE-BUSEGA'!C16,'27.07 NATEETE-BUSEGA'!C16,'28.07 BUSEGA-NATEETE'!C16)</f>
        <v>40</v>
      </c>
      <c r="D16" s="49">
        <f>AVERAGE('22.07 NATEETE-BUSEGA'!D16,'23.07 NATEETE-BUSEGA'!D16,'24.07 NATEETE-BUSEGA'!D16,'25.07 NATEETE-BUSEGA'!D16,'26.07 NATEETE-BUSEGA'!D16,'27.07 NATEETE-BUSEGA'!D16,'28.07 BUSEGA-NATEETE'!D16)</f>
        <v>9</v>
      </c>
      <c r="E16" s="49">
        <f>AVERAGE('22.07 NATEETE-BUSEGA'!E16,'23.07 NATEETE-BUSEGA'!E16,'24.07 NATEETE-BUSEGA'!E16,'25.07 NATEETE-BUSEGA'!E16,'26.07 NATEETE-BUSEGA'!E16,'27.07 NATEETE-BUSEGA'!E16,'28.07 BUSEGA-NATEETE'!E16)</f>
        <v>8.7142857142857135</v>
      </c>
      <c r="F16" s="49">
        <f>AVERAGE('22.07 NATEETE-BUSEGA'!F16,'23.07 NATEETE-BUSEGA'!F16,'24.07 NATEETE-BUSEGA'!F16,'25.07 NATEETE-BUSEGA'!F16,'26.07 NATEETE-BUSEGA'!F16,'27.07 NATEETE-BUSEGA'!F16,'28.07 BUSEGA-NATEETE'!F16)</f>
        <v>60.857142857142854</v>
      </c>
      <c r="G16" s="49">
        <f>AVERAGE('22.07 NATEETE-BUSEGA'!G16,'23.07 NATEETE-BUSEGA'!G16,'24.07 NATEETE-BUSEGA'!G16,'25.07 NATEETE-BUSEGA'!G16,'26.07 NATEETE-BUSEGA'!G16,'27.07 NATEETE-BUSEGA'!G16,'28.07 BUSEGA-NATEETE'!G16)</f>
        <v>0.7142857142857143</v>
      </c>
      <c r="H16" s="49">
        <f>AVERAGE('22.07 NATEETE-BUSEGA'!H16,'23.07 NATEETE-BUSEGA'!H16,'24.07 NATEETE-BUSEGA'!H16,'25.07 NATEETE-BUSEGA'!H16,'26.07 NATEETE-BUSEGA'!H16,'27.07 NATEETE-BUSEGA'!H16,'28.07 BUSEGA-NATEETE'!H16)</f>
        <v>2</v>
      </c>
      <c r="I16" s="49">
        <f>AVERAGE('22.07 NATEETE-BUSEGA'!I16,'23.07 NATEETE-BUSEGA'!I16,'24.07 NATEETE-BUSEGA'!I16,'25.07 NATEETE-BUSEGA'!I16,'26.07 NATEETE-BUSEGA'!I16,'27.07 NATEETE-BUSEGA'!I16,'28.07 BUSEGA-NATEETE'!I16)</f>
        <v>7.5714285714285712</v>
      </c>
      <c r="J16" s="49">
        <f>AVERAGE('22.07 NATEETE-BUSEGA'!J16,'23.07 NATEETE-BUSEGA'!J16,'24.07 NATEETE-BUSEGA'!J16,'25.07 NATEETE-BUSEGA'!J16,'26.07 NATEETE-BUSEGA'!J16,'27.07 NATEETE-BUSEGA'!J16,'28.07 BUSEGA-NATEETE'!J16)</f>
        <v>3.7142857142857144</v>
      </c>
      <c r="K16" s="49">
        <f>AVERAGE('22.07 NATEETE-BUSEGA'!K16,'23.07 NATEETE-BUSEGA'!K16,'24.07 NATEETE-BUSEGA'!K16,'25.07 NATEETE-BUSEGA'!K16,'26.07 NATEETE-BUSEGA'!K16,'27.07 NATEETE-BUSEGA'!K16,'28.07 BUSEGA-NATEETE'!K16)</f>
        <v>1.5714285714285714</v>
      </c>
      <c r="L16" s="49">
        <f>AVERAGE('22.07 NATEETE-BUSEGA'!L16,'23.07 NATEETE-BUSEGA'!L16,'24.07 NATEETE-BUSEGA'!L16,'25.07 NATEETE-BUSEGA'!L16,'26.07 NATEETE-BUSEGA'!L16,'27.07 NATEETE-BUSEGA'!L16,'28.07 BUSEGA-NATEETE'!L16)</f>
        <v>1</v>
      </c>
      <c r="M16" s="49">
        <f>AVERAGE('22.07 NATEETE-BUSEGA'!M16,'23.07 NATEETE-BUSEGA'!M16,'24.07 NATEETE-BUSEGA'!M16,'25.07 NATEETE-BUSEGA'!M16,'26.07 NATEETE-BUSEGA'!M16,'27.07 NATEETE-BUSEGA'!M16,'28.07 BUSEGA-NATEETE'!M16)</f>
        <v>242.42857142857142</v>
      </c>
      <c r="N16" s="49">
        <f>AVERAGE('22.07 NATEETE-BUSEGA'!N16,'23.07 NATEETE-BUSEGA'!N16,'24.07 NATEETE-BUSEGA'!N16,'25.07 NATEETE-BUSEGA'!N16,'26.07 NATEETE-BUSEGA'!N16,'27.07 NATEETE-BUSEGA'!N16,'28.07 BUSEGA-NATEETE'!N16)</f>
        <v>0</v>
      </c>
      <c r="O16" s="15">
        <f t="shared" si="0"/>
        <v>135.14285714285717</v>
      </c>
      <c r="P16" s="15">
        <f t="shared" si="1"/>
        <v>377.57142857142856</v>
      </c>
      <c r="R16" s="1" t="s">
        <v>12</v>
      </c>
      <c r="S16" s="17">
        <f t="shared" ref="S16:AF16" si="8">SUM(C34:C37)</f>
        <v>177.57142857142856</v>
      </c>
      <c r="T16" s="17">
        <f t="shared" si="8"/>
        <v>37.142857142857146</v>
      </c>
      <c r="U16" s="17">
        <f t="shared" si="8"/>
        <v>30.714285714285715</v>
      </c>
      <c r="V16" s="17">
        <f t="shared" si="8"/>
        <v>202.28571428571428</v>
      </c>
      <c r="W16" s="17">
        <f t="shared" si="8"/>
        <v>5.5714285714285712</v>
      </c>
      <c r="X16" s="17">
        <f t="shared" si="8"/>
        <v>4</v>
      </c>
      <c r="Y16" s="17">
        <f t="shared" si="8"/>
        <v>34.857142857142854</v>
      </c>
      <c r="Z16" s="17">
        <f t="shared" si="8"/>
        <v>24.428571428571431</v>
      </c>
      <c r="AA16" s="17">
        <f t="shared" si="8"/>
        <v>7.1428571428571423</v>
      </c>
      <c r="AB16" s="17">
        <f t="shared" si="8"/>
        <v>8.8571428571428577</v>
      </c>
      <c r="AC16" s="17">
        <f t="shared" si="8"/>
        <v>645.14285714285711</v>
      </c>
      <c r="AD16" s="17">
        <f t="shared" si="8"/>
        <v>7</v>
      </c>
      <c r="AE16" s="31">
        <f t="shared" si="8"/>
        <v>539.57142857142856</v>
      </c>
      <c r="AF16" s="31">
        <f t="shared" si="8"/>
        <v>1184.7142857142858</v>
      </c>
    </row>
    <row r="17" spans="2:32" ht="23.1" customHeight="1" x14ac:dyDescent="0.25">
      <c r="B17" s="23" t="s">
        <v>44</v>
      </c>
      <c r="C17" s="49">
        <f>AVERAGE('22.07 NATEETE-BUSEGA'!C17,'23.07 NATEETE-BUSEGA'!C17,'24.07 NATEETE-BUSEGA'!C17,'25.07 NATEETE-BUSEGA'!C17,'26.07 NATEETE-BUSEGA'!C17,'27.07 NATEETE-BUSEGA'!C17,'28.07 BUSEGA-NATEETE'!C17)</f>
        <v>39.714285714285715</v>
      </c>
      <c r="D17" s="49">
        <f>AVERAGE('22.07 NATEETE-BUSEGA'!D17,'23.07 NATEETE-BUSEGA'!D17,'24.07 NATEETE-BUSEGA'!D17,'25.07 NATEETE-BUSEGA'!D17,'26.07 NATEETE-BUSEGA'!D17,'27.07 NATEETE-BUSEGA'!D17,'28.07 BUSEGA-NATEETE'!D17)</f>
        <v>7.2857142857142856</v>
      </c>
      <c r="E17" s="49">
        <f>AVERAGE('22.07 NATEETE-BUSEGA'!E17,'23.07 NATEETE-BUSEGA'!E17,'24.07 NATEETE-BUSEGA'!E17,'25.07 NATEETE-BUSEGA'!E17,'26.07 NATEETE-BUSEGA'!E17,'27.07 NATEETE-BUSEGA'!E17,'28.07 BUSEGA-NATEETE'!E17)</f>
        <v>5.7142857142857144</v>
      </c>
      <c r="F17" s="49">
        <f>AVERAGE('22.07 NATEETE-BUSEGA'!F17,'23.07 NATEETE-BUSEGA'!F17,'24.07 NATEETE-BUSEGA'!F17,'25.07 NATEETE-BUSEGA'!F17,'26.07 NATEETE-BUSEGA'!F17,'27.07 NATEETE-BUSEGA'!F17,'28.07 BUSEGA-NATEETE'!F17)</f>
        <v>57.571428571428569</v>
      </c>
      <c r="G17" s="49">
        <f>AVERAGE('22.07 NATEETE-BUSEGA'!G17,'23.07 NATEETE-BUSEGA'!G17,'24.07 NATEETE-BUSEGA'!G17,'25.07 NATEETE-BUSEGA'!G17,'26.07 NATEETE-BUSEGA'!G17,'27.07 NATEETE-BUSEGA'!G17,'28.07 BUSEGA-NATEETE'!G17)</f>
        <v>1.1428571428571428</v>
      </c>
      <c r="H17" s="49">
        <f>AVERAGE('22.07 NATEETE-BUSEGA'!H17,'23.07 NATEETE-BUSEGA'!H17,'24.07 NATEETE-BUSEGA'!H17,'25.07 NATEETE-BUSEGA'!H17,'26.07 NATEETE-BUSEGA'!H17,'27.07 NATEETE-BUSEGA'!H17,'28.07 BUSEGA-NATEETE'!H17)</f>
        <v>1.4285714285714286</v>
      </c>
      <c r="I17" s="49">
        <f>AVERAGE('22.07 NATEETE-BUSEGA'!I17,'23.07 NATEETE-BUSEGA'!I17,'24.07 NATEETE-BUSEGA'!I17,'25.07 NATEETE-BUSEGA'!I17,'26.07 NATEETE-BUSEGA'!I17,'27.07 NATEETE-BUSEGA'!I17,'28.07 BUSEGA-NATEETE'!I17)</f>
        <v>9</v>
      </c>
      <c r="J17" s="49">
        <f>AVERAGE('22.07 NATEETE-BUSEGA'!J17,'23.07 NATEETE-BUSEGA'!J17,'24.07 NATEETE-BUSEGA'!J17,'25.07 NATEETE-BUSEGA'!J17,'26.07 NATEETE-BUSEGA'!J17,'27.07 NATEETE-BUSEGA'!J17,'28.07 BUSEGA-NATEETE'!J17)</f>
        <v>4.1428571428571432</v>
      </c>
      <c r="K17" s="49">
        <f>AVERAGE('22.07 NATEETE-BUSEGA'!K17,'23.07 NATEETE-BUSEGA'!K17,'24.07 NATEETE-BUSEGA'!K17,'25.07 NATEETE-BUSEGA'!K17,'26.07 NATEETE-BUSEGA'!K17,'27.07 NATEETE-BUSEGA'!K17,'28.07 BUSEGA-NATEETE'!K17)</f>
        <v>0.5714285714285714</v>
      </c>
      <c r="L17" s="49">
        <f>AVERAGE('22.07 NATEETE-BUSEGA'!L17,'23.07 NATEETE-BUSEGA'!L17,'24.07 NATEETE-BUSEGA'!L17,'25.07 NATEETE-BUSEGA'!L17,'26.07 NATEETE-BUSEGA'!L17,'27.07 NATEETE-BUSEGA'!L17,'28.07 BUSEGA-NATEETE'!L17)</f>
        <v>1.1428571428571428</v>
      </c>
      <c r="M17" s="49">
        <f>AVERAGE('22.07 NATEETE-BUSEGA'!M17,'23.07 NATEETE-BUSEGA'!M17,'24.07 NATEETE-BUSEGA'!M17,'25.07 NATEETE-BUSEGA'!M17,'26.07 NATEETE-BUSEGA'!M17,'27.07 NATEETE-BUSEGA'!M17,'28.07 BUSEGA-NATEETE'!M17)</f>
        <v>232.85714285714286</v>
      </c>
      <c r="N17" s="49">
        <f>AVERAGE('22.07 NATEETE-BUSEGA'!N17,'23.07 NATEETE-BUSEGA'!N17,'24.07 NATEETE-BUSEGA'!N17,'25.07 NATEETE-BUSEGA'!N17,'26.07 NATEETE-BUSEGA'!N17,'27.07 NATEETE-BUSEGA'!N17,'28.07 BUSEGA-NATEETE'!N17)</f>
        <v>0</v>
      </c>
      <c r="O17" s="15">
        <f t="shared" si="0"/>
        <v>127.71428571428569</v>
      </c>
      <c r="P17" s="15">
        <f t="shared" si="1"/>
        <v>360.57142857142856</v>
      </c>
      <c r="R17" s="1" t="s">
        <v>13</v>
      </c>
      <c r="S17" s="17">
        <f t="shared" ref="S17:AF17" si="9">SUM(C38:C41)</f>
        <v>206.28571428571428</v>
      </c>
      <c r="T17" s="17">
        <f t="shared" si="9"/>
        <v>35.142857142857146</v>
      </c>
      <c r="U17" s="17">
        <f t="shared" si="9"/>
        <v>35.285714285714285</v>
      </c>
      <c r="V17" s="17">
        <f t="shared" si="9"/>
        <v>205.42857142857144</v>
      </c>
      <c r="W17" s="17">
        <f t="shared" si="9"/>
        <v>5.5714285714285712</v>
      </c>
      <c r="X17" s="17">
        <f t="shared" si="9"/>
        <v>5</v>
      </c>
      <c r="Y17" s="17">
        <f t="shared" si="9"/>
        <v>42.428571428571431</v>
      </c>
      <c r="Z17" s="17">
        <f t="shared" si="9"/>
        <v>28</v>
      </c>
      <c r="AA17" s="17">
        <f t="shared" si="9"/>
        <v>9.1428571428571423</v>
      </c>
      <c r="AB17" s="17">
        <f t="shared" si="9"/>
        <v>11.714285714285714</v>
      </c>
      <c r="AC17" s="17">
        <f t="shared" si="9"/>
        <v>632.42857142857144</v>
      </c>
      <c r="AD17" s="17">
        <f t="shared" si="9"/>
        <v>0.14285714285714285</v>
      </c>
      <c r="AE17" s="31">
        <f t="shared" si="9"/>
        <v>584.14285714285711</v>
      </c>
      <c r="AF17" s="31">
        <f t="shared" si="9"/>
        <v>1216.5714285714287</v>
      </c>
    </row>
    <row r="18" spans="2:32" ht="23.1" customHeight="1" x14ac:dyDescent="0.25">
      <c r="B18" s="23" t="s">
        <v>45</v>
      </c>
      <c r="C18" s="49">
        <f>AVERAGE('22.07 NATEETE-BUSEGA'!C18,'23.07 NATEETE-BUSEGA'!C18,'24.07 NATEETE-BUSEGA'!C18,'25.07 NATEETE-BUSEGA'!C18,'26.07 NATEETE-BUSEGA'!C18,'27.07 NATEETE-BUSEGA'!C18,'28.07 BUSEGA-NATEETE'!C18)</f>
        <v>41.714285714285715</v>
      </c>
      <c r="D18" s="49">
        <f>AVERAGE('22.07 NATEETE-BUSEGA'!D18,'23.07 NATEETE-BUSEGA'!D18,'24.07 NATEETE-BUSEGA'!D18,'25.07 NATEETE-BUSEGA'!D18,'26.07 NATEETE-BUSEGA'!D18,'27.07 NATEETE-BUSEGA'!D18,'28.07 BUSEGA-NATEETE'!D18)</f>
        <v>9.1428571428571423</v>
      </c>
      <c r="E18" s="49">
        <f>AVERAGE('22.07 NATEETE-BUSEGA'!E18,'23.07 NATEETE-BUSEGA'!E18,'24.07 NATEETE-BUSEGA'!E18,'25.07 NATEETE-BUSEGA'!E18,'26.07 NATEETE-BUSEGA'!E18,'27.07 NATEETE-BUSEGA'!E18,'28.07 BUSEGA-NATEETE'!E18)</f>
        <v>6.4285714285714288</v>
      </c>
      <c r="F18" s="49">
        <f>AVERAGE('22.07 NATEETE-BUSEGA'!F18,'23.07 NATEETE-BUSEGA'!F18,'24.07 NATEETE-BUSEGA'!F18,'25.07 NATEETE-BUSEGA'!F18,'26.07 NATEETE-BUSEGA'!F18,'27.07 NATEETE-BUSEGA'!F18,'28.07 BUSEGA-NATEETE'!F18)</f>
        <v>68.142857142857139</v>
      </c>
      <c r="G18" s="49">
        <f>AVERAGE('22.07 NATEETE-BUSEGA'!G18,'23.07 NATEETE-BUSEGA'!G18,'24.07 NATEETE-BUSEGA'!G18,'25.07 NATEETE-BUSEGA'!G18,'26.07 NATEETE-BUSEGA'!G18,'27.07 NATEETE-BUSEGA'!G18,'28.07 BUSEGA-NATEETE'!G18)</f>
        <v>1.2857142857142858</v>
      </c>
      <c r="H18" s="49">
        <f>AVERAGE('22.07 NATEETE-BUSEGA'!H18,'23.07 NATEETE-BUSEGA'!H18,'24.07 NATEETE-BUSEGA'!H18,'25.07 NATEETE-BUSEGA'!H18,'26.07 NATEETE-BUSEGA'!H18,'27.07 NATEETE-BUSEGA'!H18,'28.07 BUSEGA-NATEETE'!H18)</f>
        <v>1.4285714285714286</v>
      </c>
      <c r="I18" s="49">
        <f>AVERAGE('22.07 NATEETE-BUSEGA'!I18,'23.07 NATEETE-BUSEGA'!I18,'24.07 NATEETE-BUSEGA'!I18,'25.07 NATEETE-BUSEGA'!I18,'26.07 NATEETE-BUSEGA'!I18,'27.07 NATEETE-BUSEGA'!I18,'28.07 BUSEGA-NATEETE'!I18)</f>
        <v>8.7142857142857135</v>
      </c>
      <c r="J18" s="49">
        <f>AVERAGE('22.07 NATEETE-BUSEGA'!J18,'23.07 NATEETE-BUSEGA'!J18,'24.07 NATEETE-BUSEGA'!J18,'25.07 NATEETE-BUSEGA'!J18,'26.07 NATEETE-BUSEGA'!J18,'27.07 NATEETE-BUSEGA'!J18,'28.07 BUSEGA-NATEETE'!J18)</f>
        <v>4.7142857142857144</v>
      </c>
      <c r="K18" s="49">
        <f>AVERAGE('22.07 NATEETE-BUSEGA'!K18,'23.07 NATEETE-BUSEGA'!K18,'24.07 NATEETE-BUSEGA'!K18,'25.07 NATEETE-BUSEGA'!K18,'26.07 NATEETE-BUSEGA'!K18,'27.07 NATEETE-BUSEGA'!K18,'28.07 BUSEGA-NATEETE'!K18)</f>
        <v>1</v>
      </c>
      <c r="L18" s="49">
        <f>AVERAGE('22.07 NATEETE-BUSEGA'!L18,'23.07 NATEETE-BUSEGA'!L18,'24.07 NATEETE-BUSEGA'!L18,'25.07 NATEETE-BUSEGA'!L18,'26.07 NATEETE-BUSEGA'!L18,'27.07 NATEETE-BUSEGA'!L18,'28.07 BUSEGA-NATEETE'!L18)</f>
        <v>1.1428571428571428</v>
      </c>
      <c r="M18" s="49">
        <f>AVERAGE('22.07 NATEETE-BUSEGA'!M18,'23.07 NATEETE-BUSEGA'!M18,'24.07 NATEETE-BUSEGA'!M18,'25.07 NATEETE-BUSEGA'!M18,'26.07 NATEETE-BUSEGA'!M18,'27.07 NATEETE-BUSEGA'!M18,'28.07 BUSEGA-NATEETE'!M18)</f>
        <v>235.14285714285714</v>
      </c>
      <c r="N18" s="49">
        <f>AVERAGE('22.07 NATEETE-BUSEGA'!N18,'23.07 NATEETE-BUSEGA'!N18,'24.07 NATEETE-BUSEGA'!N18,'25.07 NATEETE-BUSEGA'!N18,'26.07 NATEETE-BUSEGA'!N18,'27.07 NATEETE-BUSEGA'!N18,'28.07 BUSEGA-NATEETE'!N18)</f>
        <v>0</v>
      </c>
      <c r="O18" s="15">
        <f t="shared" si="0"/>
        <v>143.71428571428572</v>
      </c>
      <c r="P18" s="15">
        <f t="shared" si="1"/>
        <v>378.85714285714289</v>
      </c>
      <c r="R18" s="1" t="s">
        <v>14</v>
      </c>
      <c r="S18" s="17">
        <f t="shared" ref="S18:AF18" si="10">SUM(C42:C45)</f>
        <v>229.14285714285714</v>
      </c>
      <c r="T18" s="17">
        <f t="shared" si="10"/>
        <v>25.285714285714285</v>
      </c>
      <c r="U18" s="17">
        <f t="shared" si="10"/>
        <v>36.857142857142854</v>
      </c>
      <c r="V18" s="17">
        <f t="shared" si="10"/>
        <v>209.85714285714286</v>
      </c>
      <c r="W18" s="17">
        <f t="shared" si="10"/>
        <v>7.7142857142857135</v>
      </c>
      <c r="X18" s="17">
        <f t="shared" si="10"/>
        <v>5</v>
      </c>
      <c r="Y18" s="17">
        <f t="shared" si="10"/>
        <v>50</v>
      </c>
      <c r="Z18" s="17">
        <f t="shared" si="10"/>
        <v>28.142857142857146</v>
      </c>
      <c r="AA18" s="17">
        <f t="shared" si="10"/>
        <v>9.2857142857142865</v>
      </c>
      <c r="AB18" s="17">
        <f t="shared" si="10"/>
        <v>14.571428571428571</v>
      </c>
      <c r="AC18" s="17">
        <f t="shared" si="10"/>
        <v>589.14285714285722</v>
      </c>
      <c r="AD18" s="17">
        <f t="shared" si="10"/>
        <v>0.14285714285714285</v>
      </c>
      <c r="AE18" s="31">
        <f t="shared" si="10"/>
        <v>616</v>
      </c>
      <c r="AF18" s="31">
        <f t="shared" si="10"/>
        <v>1205.1428571428573</v>
      </c>
    </row>
    <row r="19" spans="2:32" ht="23.1" customHeight="1" x14ac:dyDescent="0.25">
      <c r="B19" s="23" t="s">
        <v>46</v>
      </c>
      <c r="C19" s="49">
        <f>AVERAGE('22.07 NATEETE-BUSEGA'!C19,'23.07 NATEETE-BUSEGA'!C19,'24.07 NATEETE-BUSEGA'!C19,'25.07 NATEETE-BUSEGA'!C19,'26.07 NATEETE-BUSEGA'!C19,'27.07 NATEETE-BUSEGA'!C19,'28.07 BUSEGA-NATEETE'!C19)</f>
        <v>52.285714285714285</v>
      </c>
      <c r="D19" s="49">
        <f>AVERAGE('22.07 NATEETE-BUSEGA'!D19,'23.07 NATEETE-BUSEGA'!D19,'24.07 NATEETE-BUSEGA'!D19,'25.07 NATEETE-BUSEGA'!D19,'26.07 NATEETE-BUSEGA'!D19,'27.07 NATEETE-BUSEGA'!D19,'28.07 BUSEGA-NATEETE'!D19)</f>
        <v>10.714285714285714</v>
      </c>
      <c r="E19" s="49">
        <f>AVERAGE('22.07 NATEETE-BUSEGA'!E19,'23.07 NATEETE-BUSEGA'!E19,'24.07 NATEETE-BUSEGA'!E19,'25.07 NATEETE-BUSEGA'!E19,'26.07 NATEETE-BUSEGA'!E19,'27.07 NATEETE-BUSEGA'!E19,'28.07 BUSEGA-NATEETE'!E19)</f>
        <v>6.7142857142857144</v>
      </c>
      <c r="F19" s="49">
        <f>AVERAGE('22.07 NATEETE-BUSEGA'!F19,'23.07 NATEETE-BUSEGA'!F19,'24.07 NATEETE-BUSEGA'!F19,'25.07 NATEETE-BUSEGA'!F19,'26.07 NATEETE-BUSEGA'!F19,'27.07 NATEETE-BUSEGA'!F19,'28.07 BUSEGA-NATEETE'!F19)</f>
        <v>68</v>
      </c>
      <c r="G19" s="49">
        <f>AVERAGE('22.07 NATEETE-BUSEGA'!G19,'23.07 NATEETE-BUSEGA'!G19,'24.07 NATEETE-BUSEGA'!G19,'25.07 NATEETE-BUSEGA'!G19,'26.07 NATEETE-BUSEGA'!G19,'27.07 NATEETE-BUSEGA'!G19,'28.07 BUSEGA-NATEETE'!G19)</f>
        <v>1.4285714285714286</v>
      </c>
      <c r="H19" s="49">
        <f>AVERAGE('22.07 NATEETE-BUSEGA'!H19,'23.07 NATEETE-BUSEGA'!H19,'24.07 NATEETE-BUSEGA'!H19,'25.07 NATEETE-BUSEGA'!H19,'26.07 NATEETE-BUSEGA'!H19,'27.07 NATEETE-BUSEGA'!H19,'28.07 BUSEGA-NATEETE'!H19)</f>
        <v>1.5714285714285714</v>
      </c>
      <c r="I19" s="49">
        <f>AVERAGE('22.07 NATEETE-BUSEGA'!I19,'23.07 NATEETE-BUSEGA'!I19,'24.07 NATEETE-BUSEGA'!I19,'25.07 NATEETE-BUSEGA'!I19,'26.07 NATEETE-BUSEGA'!I19,'27.07 NATEETE-BUSEGA'!I19,'28.07 BUSEGA-NATEETE'!I19)</f>
        <v>5.5714285714285712</v>
      </c>
      <c r="J19" s="49">
        <f>AVERAGE('22.07 NATEETE-BUSEGA'!J19,'23.07 NATEETE-BUSEGA'!J19,'24.07 NATEETE-BUSEGA'!J19,'25.07 NATEETE-BUSEGA'!J19,'26.07 NATEETE-BUSEGA'!J19,'27.07 NATEETE-BUSEGA'!J19,'28.07 BUSEGA-NATEETE'!J19)</f>
        <v>3.2857142857142856</v>
      </c>
      <c r="K19" s="49">
        <f>AVERAGE('22.07 NATEETE-BUSEGA'!K19,'23.07 NATEETE-BUSEGA'!K19,'24.07 NATEETE-BUSEGA'!K19,'25.07 NATEETE-BUSEGA'!K19,'26.07 NATEETE-BUSEGA'!K19,'27.07 NATEETE-BUSEGA'!K19,'28.07 BUSEGA-NATEETE'!K19)</f>
        <v>1.4285714285714286</v>
      </c>
      <c r="L19" s="49">
        <f>AVERAGE('22.07 NATEETE-BUSEGA'!L19,'23.07 NATEETE-BUSEGA'!L19,'24.07 NATEETE-BUSEGA'!L19,'25.07 NATEETE-BUSEGA'!L19,'26.07 NATEETE-BUSEGA'!L19,'27.07 NATEETE-BUSEGA'!L19,'28.07 BUSEGA-NATEETE'!L19)</f>
        <v>1.5714285714285714</v>
      </c>
      <c r="M19" s="49">
        <f>AVERAGE('22.07 NATEETE-BUSEGA'!M19,'23.07 NATEETE-BUSEGA'!M19,'24.07 NATEETE-BUSEGA'!M19,'25.07 NATEETE-BUSEGA'!M19,'26.07 NATEETE-BUSEGA'!M19,'27.07 NATEETE-BUSEGA'!M19,'28.07 BUSEGA-NATEETE'!M19)</f>
        <v>203.71428571428572</v>
      </c>
      <c r="N19" s="49">
        <f>AVERAGE('22.07 NATEETE-BUSEGA'!N19,'23.07 NATEETE-BUSEGA'!N19,'24.07 NATEETE-BUSEGA'!N19,'25.07 NATEETE-BUSEGA'!N19,'26.07 NATEETE-BUSEGA'!N19,'27.07 NATEETE-BUSEGA'!N19,'28.07 BUSEGA-NATEETE'!N19)</f>
        <v>0</v>
      </c>
      <c r="O19" s="15">
        <f t="shared" si="0"/>
        <v>152.57142857142858</v>
      </c>
      <c r="P19" s="15">
        <f t="shared" si="1"/>
        <v>356.28571428571433</v>
      </c>
      <c r="R19" s="1" t="s">
        <v>15</v>
      </c>
      <c r="S19" s="17">
        <f t="shared" ref="S19:AF19" si="11">SUM(C46:C49)</f>
        <v>217.85714285714286</v>
      </c>
      <c r="T19" s="17">
        <f t="shared" si="11"/>
        <v>30.714285714285712</v>
      </c>
      <c r="U19" s="17">
        <f t="shared" si="11"/>
        <v>38.428571428571431</v>
      </c>
      <c r="V19" s="17">
        <f t="shared" si="11"/>
        <v>225</v>
      </c>
      <c r="W19" s="17">
        <f t="shared" si="11"/>
        <v>10.571428571428571</v>
      </c>
      <c r="X19" s="17">
        <f t="shared" si="11"/>
        <v>5.2857142857142856</v>
      </c>
      <c r="Y19" s="17">
        <f t="shared" si="11"/>
        <v>37.285714285714292</v>
      </c>
      <c r="Z19" s="17">
        <f t="shared" si="11"/>
        <v>23.714285714285712</v>
      </c>
      <c r="AA19" s="17">
        <f t="shared" si="11"/>
        <v>8</v>
      </c>
      <c r="AB19" s="17">
        <f t="shared" si="11"/>
        <v>13.285714285714285</v>
      </c>
      <c r="AC19" s="17">
        <f t="shared" si="11"/>
        <v>744</v>
      </c>
      <c r="AD19" s="17">
        <f t="shared" si="11"/>
        <v>0.14285714285714285</v>
      </c>
      <c r="AE19" s="31">
        <f t="shared" si="11"/>
        <v>610.28571428571422</v>
      </c>
      <c r="AF19" s="31">
        <f t="shared" si="11"/>
        <v>1354.2857142857142</v>
      </c>
    </row>
    <row r="20" spans="2:32" ht="23.1" customHeight="1" x14ac:dyDescent="0.25">
      <c r="B20" s="23" t="s">
        <v>47</v>
      </c>
      <c r="C20" s="49">
        <f>AVERAGE('22.07 NATEETE-BUSEGA'!C20,'23.07 NATEETE-BUSEGA'!C20,'24.07 NATEETE-BUSEGA'!C20,'25.07 NATEETE-BUSEGA'!C20,'26.07 NATEETE-BUSEGA'!C20,'27.07 NATEETE-BUSEGA'!C20,'28.07 BUSEGA-NATEETE'!C20)</f>
        <v>43.142857142857146</v>
      </c>
      <c r="D20" s="49">
        <f>AVERAGE('22.07 NATEETE-BUSEGA'!D20,'23.07 NATEETE-BUSEGA'!D20,'24.07 NATEETE-BUSEGA'!D20,'25.07 NATEETE-BUSEGA'!D20,'26.07 NATEETE-BUSEGA'!D20,'27.07 NATEETE-BUSEGA'!D20,'28.07 BUSEGA-NATEETE'!D20)</f>
        <v>9.8571428571428577</v>
      </c>
      <c r="E20" s="49">
        <f>AVERAGE('22.07 NATEETE-BUSEGA'!E20,'23.07 NATEETE-BUSEGA'!E20,'24.07 NATEETE-BUSEGA'!E20,'25.07 NATEETE-BUSEGA'!E20,'26.07 NATEETE-BUSEGA'!E20,'27.07 NATEETE-BUSEGA'!E20,'28.07 BUSEGA-NATEETE'!E20)</f>
        <v>6.1428571428571432</v>
      </c>
      <c r="F20" s="49">
        <f>AVERAGE('22.07 NATEETE-BUSEGA'!F20,'23.07 NATEETE-BUSEGA'!F20,'24.07 NATEETE-BUSEGA'!F20,'25.07 NATEETE-BUSEGA'!F20,'26.07 NATEETE-BUSEGA'!F20,'27.07 NATEETE-BUSEGA'!F20,'28.07 BUSEGA-NATEETE'!F20)</f>
        <v>61.142857142857146</v>
      </c>
      <c r="G20" s="49">
        <f>AVERAGE('22.07 NATEETE-BUSEGA'!G20,'23.07 NATEETE-BUSEGA'!G20,'24.07 NATEETE-BUSEGA'!G20,'25.07 NATEETE-BUSEGA'!G20,'26.07 NATEETE-BUSEGA'!G20,'27.07 NATEETE-BUSEGA'!G20,'28.07 BUSEGA-NATEETE'!G20)</f>
        <v>0.8571428571428571</v>
      </c>
      <c r="H20" s="49">
        <f>AVERAGE('22.07 NATEETE-BUSEGA'!H20,'23.07 NATEETE-BUSEGA'!H20,'24.07 NATEETE-BUSEGA'!H20,'25.07 NATEETE-BUSEGA'!H20,'26.07 NATEETE-BUSEGA'!H20,'27.07 NATEETE-BUSEGA'!H20,'28.07 BUSEGA-NATEETE'!H20)</f>
        <v>1.2857142857142858</v>
      </c>
      <c r="I20" s="49">
        <f>AVERAGE('22.07 NATEETE-BUSEGA'!I20,'23.07 NATEETE-BUSEGA'!I20,'24.07 NATEETE-BUSEGA'!I20,'25.07 NATEETE-BUSEGA'!I20,'26.07 NATEETE-BUSEGA'!I20,'27.07 NATEETE-BUSEGA'!I20,'28.07 BUSEGA-NATEETE'!I20)</f>
        <v>10</v>
      </c>
      <c r="J20" s="49">
        <f>AVERAGE('22.07 NATEETE-BUSEGA'!J20,'23.07 NATEETE-BUSEGA'!J20,'24.07 NATEETE-BUSEGA'!J20,'25.07 NATEETE-BUSEGA'!J20,'26.07 NATEETE-BUSEGA'!J20,'27.07 NATEETE-BUSEGA'!J20,'28.07 BUSEGA-NATEETE'!J20)</f>
        <v>2.7142857142857144</v>
      </c>
      <c r="K20" s="49">
        <f>AVERAGE('22.07 NATEETE-BUSEGA'!K20,'23.07 NATEETE-BUSEGA'!K20,'24.07 NATEETE-BUSEGA'!K20,'25.07 NATEETE-BUSEGA'!K20,'26.07 NATEETE-BUSEGA'!K20,'27.07 NATEETE-BUSEGA'!K20,'28.07 BUSEGA-NATEETE'!K20)</f>
        <v>0.8571428571428571</v>
      </c>
      <c r="L20" s="49">
        <f>AVERAGE('22.07 NATEETE-BUSEGA'!L20,'23.07 NATEETE-BUSEGA'!L20,'24.07 NATEETE-BUSEGA'!L20,'25.07 NATEETE-BUSEGA'!L20,'26.07 NATEETE-BUSEGA'!L20,'27.07 NATEETE-BUSEGA'!L20,'28.07 BUSEGA-NATEETE'!L20)</f>
        <v>1.7142857142857142</v>
      </c>
      <c r="M20" s="49">
        <f>AVERAGE('22.07 NATEETE-BUSEGA'!M20,'23.07 NATEETE-BUSEGA'!M20,'24.07 NATEETE-BUSEGA'!M20,'25.07 NATEETE-BUSEGA'!M20,'26.07 NATEETE-BUSEGA'!M20,'27.07 NATEETE-BUSEGA'!M20,'28.07 BUSEGA-NATEETE'!M20)</f>
        <v>203.57142857142858</v>
      </c>
      <c r="N20" s="49">
        <f>AVERAGE('22.07 NATEETE-BUSEGA'!N20,'23.07 NATEETE-BUSEGA'!N20,'24.07 NATEETE-BUSEGA'!N20,'25.07 NATEETE-BUSEGA'!N20,'26.07 NATEETE-BUSEGA'!N20,'27.07 NATEETE-BUSEGA'!N20,'28.07 BUSEGA-NATEETE'!N20)</f>
        <v>0</v>
      </c>
      <c r="O20" s="15">
        <f t="shared" si="0"/>
        <v>137.71428571428575</v>
      </c>
      <c r="P20" s="15">
        <f t="shared" si="1"/>
        <v>341.28571428571433</v>
      </c>
      <c r="R20" s="1" t="s">
        <v>16</v>
      </c>
      <c r="S20" s="17">
        <f t="shared" ref="S20:AF20" si="12">SUM(C50:C53)</f>
        <v>209.14285714285714</v>
      </c>
      <c r="T20" s="17">
        <f t="shared" si="12"/>
        <v>30.142857142857142</v>
      </c>
      <c r="U20" s="17">
        <f t="shared" si="12"/>
        <v>31.714285714285715</v>
      </c>
      <c r="V20" s="17">
        <f t="shared" si="12"/>
        <v>167.71428571428572</v>
      </c>
      <c r="W20" s="17">
        <f t="shared" si="12"/>
        <v>6.2857142857142856</v>
      </c>
      <c r="X20" s="17">
        <f t="shared" si="12"/>
        <v>5.0000000000000009</v>
      </c>
      <c r="Y20" s="17">
        <f t="shared" si="12"/>
        <v>36.142857142857139</v>
      </c>
      <c r="Z20" s="17">
        <f t="shared" si="12"/>
        <v>25.571428571428573</v>
      </c>
      <c r="AA20" s="17">
        <f t="shared" si="12"/>
        <v>8.5714285714285712</v>
      </c>
      <c r="AB20" s="17">
        <f t="shared" si="12"/>
        <v>11.571428571428571</v>
      </c>
      <c r="AC20" s="17">
        <f t="shared" si="12"/>
        <v>914.28571428571422</v>
      </c>
      <c r="AD20" s="17">
        <f t="shared" si="12"/>
        <v>0.14285714285714285</v>
      </c>
      <c r="AE20" s="31">
        <f t="shared" si="12"/>
        <v>532</v>
      </c>
      <c r="AF20" s="31">
        <f t="shared" si="12"/>
        <v>1446.2857142857142</v>
      </c>
    </row>
    <row r="21" spans="2:32" ht="23.1" customHeight="1" x14ac:dyDescent="0.25">
      <c r="B21" s="23" t="s">
        <v>48</v>
      </c>
      <c r="C21" s="49">
        <f>AVERAGE('22.07 NATEETE-BUSEGA'!C21,'23.07 NATEETE-BUSEGA'!C21,'24.07 NATEETE-BUSEGA'!C21,'25.07 NATEETE-BUSEGA'!C21,'26.07 NATEETE-BUSEGA'!C21,'27.07 NATEETE-BUSEGA'!C21,'28.07 BUSEGA-NATEETE'!C21)</f>
        <v>60.714285714285715</v>
      </c>
      <c r="D21" s="49">
        <f>AVERAGE('22.07 NATEETE-BUSEGA'!D21,'23.07 NATEETE-BUSEGA'!D21,'24.07 NATEETE-BUSEGA'!D21,'25.07 NATEETE-BUSEGA'!D21,'26.07 NATEETE-BUSEGA'!D21,'27.07 NATEETE-BUSEGA'!D21,'28.07 BUSEGA-NATEETE'!D21)</f>
        <v>8.5714285714285712</v>
      </c>
      <c r="E21" s="49">
        <f>AVERAGE('22.07 NATEETE-BUSEGA'!E21,'23.07 NATEETE-BUSEGA'!E21,'24.07 NATEETE-BUSEGA'!E21,'25.07 NATEETE-BUSEGA'!E21,'26.07 NATEETE-BUSEGA'!E21,'27.07 NATEETE-BUSEGA'!E21,'28.07 BUSEGA-NATEETE'!E21)</f>
        <v>6.4285714285714288</v>
      </c>
      <c r="F21" s="49">
        <f>AVERAGE('22.07 NATEETE-BUSEGA'!F21,'23.07 NATEETE-BUSEGA'!F21,'24.07 NATEETE-BUSEGA'!F21,'25.07 NATEETE-BUSEGA'!F21,'26.07 NATEETE-BUSEGA'!F21,'27.07 NATEETE-BUSEGA'!F21,'28.07 BUSEGA-NATEETE'!F21)</f>
        <v>83.142857142857139</v>
      </c>
      <c r="G21" s="49">
        <f>AVERAGE('22.07 NATEETE-BUSEGA'!G21,'23.07 NATEETE-BUSEGA'!G21,'24.07 NATEETE-BUSEGA'!G21,'25.07 NATEETE-BUSEGA'!G21,'26.07 NATEETE-BUSEGA'!G21,'27.07 NATEETE-BUSEGA'!G21,'28.07 BUSEGA-NATEETE'!G21)</f>
        <v>1.1428571428571428</v>
      </c>
      <c r="H21" s="49">
        <f>AVERAGE('22.07 NATEETE-BUSEGA'!H21,'23.07 NATEETE-BUSEGA'!H21,'24.07 NATEETE-BUSEGA'!H21,'25.07 NATEETE-BUSEGA'!H21,'26.07 NATEETE-BUSEGA'!H21,'27.07 NATEETE-BUSEGA'!H21,'28.07 BUSEGA-NATEETE'!H21)</f>
        <v>0.7142857142857143</v>
      </c>
      <c r="I21" s="49">
        <f>AVERAGE('22.07 NATEETE-BUSEGA'!I21,'23.07 NATEETE-BUSEGA'!I21,'24.07 NATEETE-BUSEGA'!I21,'25.07 NATEETE-BUSEGA'!I21,'26.07 NATEETE-BUSEGA'!I21,'27.07 NATEETE-BUSEGA'!I21,'28.07 BUSEGA-NATEETE'!I21)</f>
        <v>9.2857142857142865</v>
      </c>
      <c r="J21" s="49">
        <f>AVERAGE('22.07 NATEETE-BUSEGA'!J21,'23.07 NATEETE-BUSEGA'!J21,'24.07 NATEETE-BUSEGA'!J21,'25.07 NATEETE-BUSEGA'!J21,'26.07 NATEETE-BUSEGA'!J21,'27.07 NATEETE-BUSEGA'!J21,'28.07 BUSEGA-NATEETE'!J21)</f>
        <v>3.8571428571428572</v>
      </c>
      <c r="K21" s="49">
        <f>AVERAGE('22.07 NATEETE-BUSEGA'!K21,'23.07 NATEETE-BUSEGA'!K21,'24.07 NATEETE-BUSEGA'!K21,'25.07 NATEETE-BUSEGA'!K21,'26.07 NATEETE-BUSEGA'!K21,'27.07 NATEETE-BUSEGA'!K21,'28.07 BUSEGA-NATEETE'!K21)</f>
        <v>2.1428571428571428</v>
      </c>
      <c r="L21" s="49">
        <f>AVERAGE('22.07 NATEETE-BUSEGA'!L21,'23.07 NATEETE-BUSEGA'!L21,'24.07 NATEETE-BUSEGA'!L21,'25.07 NATEETE-BUSEGA'!L21,'26.07 NATEETE-BUSEGA'!L21,'27.07 NATEETE-BUSEGA'!L21,'28.07 BUSEGA-NATEETE'!L21)</f>
        <v>1.5714285714285714</v>
      </c>
      <c r="M21" s="49">
        <f>AVERAGE('22.07 NATEETE-BUSEGA'!M21,'23.07 NATEETE-BUSEGA'!M21,'24.07 NATEETE-BUSEGA'!M21,'25.07 NATEETE-BUSEGA'!M21,'26.07 NATEETE-BUSEGA'!M21,'27.07 NATEETE-BUSEGA'!M21,'28.07 BUSEGA-NATEETE'!M21)</f>
        <v>232.14285714285714</v>
      </c>
      <c r="N21" s="49">
        <f>AVERAGE('22.07 NATEETE-BUSEGA'!N21,'23.07 NATEETE-BUSEGA'!N21,'24.07 NATEETE-BUSEGA'!N21,'25.07 NATEETE-BUSEGA'!N21,'26.07 NATEETE-BUSEGA'!N21,'27.07 NATEETE-BUSEGA'!N21,'28.07 BUSEGA-NATEETE'!N21)</f>
        <v>0</v>
      </c>
      <c r="O21" s="15">
        <f t="shared" si="0"/>
        <v>177.57142857142858</v>
      </c>
      <c r="P21" s="15">
        <f t="shared" si="1"/>
        <v>409.71428571428572</v>
      </c>
      <c r="R21" s="36" t="s">
        <v>20</v>
      </c>
      <c r="S21" s="34">
        <f t="shared" ref="S21:AF33" si="13">SUM(C54:C57)</f>
        <v>221.85714285714286</v>
      </c>
      <c r="T21" s="17">
        <f t="shared" si="13"/>
        <v>25.428571428571431</v>
      </c>
      <c r="U21" s="17">
        <f t="shared" si="13"/>
        <v>33.571428571428569</v>
      </c>
      <c r="V21" s="17">
        <f t="shared" si="13"/>
        <v>157.71428571428572</v>
      </c>
      <c r="W21" s="17">
        <f t="shared" si="13"/>
        <v>4.5714285714285712</v>
      </c>
      <c r="X21" s="17">
        <f t="shared" si="13"/>
        <v>4.7142857142857135</v>
      </c>
      <c r="Y21" s="17">
        <f t="shared" si="13"/>
        <v>30.428571428571427</v>
      </c>
      <c r="Z21" s="17">
        <f t="shared" si="13"/>
        <v>26.142857142857142</v>
      </c>
      <c r="AA21" s="17">
        <f t="shared" si="13"/>
        <v>9.428571428571427</v>
      </c>
      <c r="AB21" s="17">
        <f t="shared" si="13"/>
        <v>45.999999999999993</v>
      </c>
      <c r="AC21" s="17">
        <f t="shared" si="13"/>
        <v>852.99999999999989</v>
      </c>
      <c r="AD21" s="17">
        <f t="shared" si="13"/>
        <v>0</v>
      </c>
      <c r="AE21" s="31">
        <f t="shared" si="13"/>
        <v>559.85714285714289</v>
      </c>
      <c r="AF21" s="31">
        <f t="shared" si="13"/>
        <v>1412.8571428571427</v>
      </c>
    </row>
    <row r="22" spans="2:32" ht="23.1" customHeight="1" x14ac:dyDescent="0.25">
      <c r="B22" s="23" t="s">
        <v>49</v>
      </c>
      <c r="C22" s="49">
        <f>AVERAGE('22.07 NATEETE-BUSEGA'!C22,'23.07 NATEETE-BUSEGA'!C22,'24.07 NATEETE-BUSEGA'!C22,'25.07 NATEETE-BUSEGA'!C22,'26.07 NATEETE-BUSEGA'!C22,'27.07 NATEETE-BUSEGA'!C22,'28.07 BUSEGA-NATEETE'!C22)</f>
        <v>60.714285714285715</v>
      </c>
      <c r="D22" s="49">
        <f>AVERAGE('22.07 NATEETE-BUSEGA'!D22,'23.07 NATEETE-BUSEGA'!D22,'24.07 NATEETE-BUSEGA'!D22,'25.07 NATEETE-BUSEGA'!D22,'26.07 NATEETE-BUSEGA'!D22,'27.07 NATEETE-BUSEGA'!D22,'28.07 BUSEGA-NATEETE'!D22)</f>
        <v>10.857142857142858</v>
      </c>
      <c r="E22" s="49">
        <f>AVERAGE('22.07 NATEETE-BUSEGA'!E22,'23.07 NATEETE-BUSEGA'!E22,'24.07 NATEETE-BUSEGA'!E22,'25.07 NATEETE-BUSEGA'!E22,'26.07 NATEETE-BUSEGA'!E22,'27.07 NATEETE-BUSEGA'!E22,'28.07 BUSEGA-NATEETE'!E22)</f>
        <v>7.5714285714285712</v>
      </c>
      <c r="F22" s="49">
        <f>AVERAGE('22.07 NATEETE-BUSEGA'!F22,'23.07 NATEETE-BUSEGA'!F22,'24.07 NATEETE-BUSEGA'!F22,'25.07 NATEETE-BUSEGA'!F22,'26.07 NATEETE-BUSEGA'!F22,'27.07 NATEETE-BUSEGA'!F22,'28.07 BUSEGA-NATEETE'!F22)</f>
        <v>77.714285714285708</v>
      </c>
      <c r="G22" s="49">
        <f>AVERAGE('22.07 NATEETE-BUSEGA'!G22,'23.07 NATEETE-BUSEGA'!G22,'24.07 NATEETE-BUSEGA'!G22,'25.07 NATEETE-BUSEGA'!G22,'26.07 NATEETE-BUSEGA'!G22,'27.07 NATEETE-BUSEGA'!G22,'28.07 BUSEGA-NATEETE'!G22)</f>
        <v>1.7142857142857142</v>
      </c>
      <c r="H22" s="49">
        <f>AVERAGE('22.07 NATEETE-BUSEGA'!H22,'23.07 NATEETE-BUSEGA'!H22,'24.07 NATEETE-BUSEGA'!H22,'25.07 NATEETE-BUSEGA'!H22,'26.07 NATEETE-BUSEGA'!H22,'27.07 NATEETE-BUSEGA'!H22,'28.07 BUSEGA-NATEETE'!H22)</f>
        <v>0.8571428571428571</v>
      </c>
      <c r="I22" s="49">
        <f>AVERAGE('22.07 NATEETE-BUSEGA'!I22,'23.07 NATEETE-BUSEGA'!I22,'24.07 NATEETE-BUSEGA'!I22,'25.07 NATEETE-BUSEGA'!I22,'26.07 NATEETE-BUSEGA'!I22,'27.07 NATEETE-BUSEGA'!I22,'28.07 BUSEGA-NATEETE'!I22)</f>
        <v>9.1428571428571423</v>
      </c>
      <c r="J22" s="49">
        <f>AVERAGE('22.07 NATEETE-BUSEGA'!J22,'23.07 NATEETE-BUSEGA'!J22,'24.07 NATEETE-BUSEGA'!J22,'25.07 NATEETE-BUSEGA'!J22,'26.07 NATEETE-BUSEGA'!J22,'27.07 NATEETE-BUSEGA'!J22,'28.07 BUSEGA-NATEETE'!J22)</f>
        <v>5</v>
      </c>
      <c r="K22" s="49">
        <f>AVERAGE('22.07 NATEETE-BUSEGA'!K22,'23.07 NATEETE-BUSEGA'!K22,'24.07 NATEETE-BUSEGA'!K22,'25.07 NATEETE-BUSEGA'!K22,'26.07 NATEETE-BUSEGA'!K22,'27.07 NATEETE-BUSEGA'!K22,'28.07 BUSEGA-NATEETE'!K22)</f>
        <v>0.5714285714285714</v>
      </c>
      <c r="L22" s="49">
        <f>AVERAGE('22.07 NATEETE-BUSEGA'!L22,'23.07 NATEETE-BUSEGA'!L22,'24.07 NATEETE-BUSEGA'!L22,'25.07 NATEETE-BUSEGA'!L22,'26.07 NATEETE-BUSEGA'!L22,'27.07 NATEETE-BUSEGA'!L22,'28.07 BUSEGA-NATEETE'!L22)</f>
        <v>2.1428571428571428</v>
      </c>
      <c r="M22" s="49">
        <f>AVERAGE('22.07 NATEETE-BUSEGA'!M22,'23.07 NATEETE-BUSEGA'!M22,'24.07 NATEETE-BUSEGA'!M22,'25.07 NATEETE-BUSEGA'!M22,'26.07 NATEETE-BUSEGA'!M22,'27.07 NATEETE-BUSEGA'!M22,'28.07 BUSEGA-NATEETE'!M22)</f>
        <v>213.42857142857142</v>
      </c>
      <c r="N22" s="49">
        <f>AVERAGE('22.07 NATEETE-BUSEGA'!N22,'23.07 NATEETE-BUSEGA'!N22,'24.07 NATEETE-BUSEGA'!N22,'25.07 NATEETE-BUSEGA'!N22,'26.07 NATEETE-BUSEGA'!N22,'27.07 NATEETE-BUSEGA'!N22,'28.07 BUSEGA-NATEETE'!N22)</f>
        <v>0</v>
      </c>
      <c r="O22" s="15">
        <f t="shared" si="0"/>
        <v>176.28571428571428</v>
      </c>
      <c r="P22" s="15">
        <f t="shared" si="1"/>
        <v>389.71428571428567</v>
      </c>
      <c r="R22" s="1" t="s">
        <v>146</v>
      </c>
      <c r="S22" s="34">
        <f>SUM(C58:C61)</f>
        <v>238.5</v>
      </c>
      <c r="T22" s="34">
        <f t="shared" ref="T22:AD22" si="14">SUM(D58:D61)</f>
        <v>20.5</v>
      </c>
      <c r="U22" s="34">
        <f t="shared" si="14"/>
        <v>26</v>
      </c>
      <c r="V22" s="34">
        <f t="shared" si="14"/>
        <v>117.5</v>
      </c>
      <c r="W22" s="34">
        <f t="shared" si="14"/>
        <v>2.5</v>
      </c>
      <c r="X22" s="34">
        <f t="shared" si="14"/>
        <v>3</v>
      </c>
      <c r="Y22" s="34">
        <f t="shared" si="14"/>
        <v>22</v>
      </c>
      <c r="Z22" s="34">
        <f t="shared" si="14"/>
        <v>21</v>
      </c>
      <c r="AA22" s="34">
        <f t="shared" si="14"/>
        <v>5</v>
      </c>
      <c r="AB22" s="34">
        <f t="shared" si="14"/>
        <v>10</v>
      </c>
      <c r="AC22" s="34">
        <f t="shared" si="14"/>
        <v>1143.5</v>
      </c>
      <c r="AD22" s="34">
        <f t="shared" si="14"/>
        <v>0</v>
      </c>
      <c r="AE22" s="31">
        <f t="shared" si="13"/>
        <v>555.07142857142856</v>
      </c>
      <c r="AF22" s="31">
        <f t="shared" si="13"/>
        <v>1450.3571428571427</v>
      </c>
    </row>
    <row r="23" spans="2:32" ht="23.1" customHeight="1" x14ac:dyDescent="0.25">
      <c r="B23" s="23" t="s">
        <v>50</v>
      </c>
      <c r="C23" s="49">
        <f>AVERAGE('22.07 NATEETE-BUSEGA'!C23,'23.07 NATEETE-BUSEGA'!C23,'24.07 NATEETE-BUSEGA'!C23,'25.07 NATEETE-BUSEGA'!C23,'26.07 NATEETE-BUSEGA'!C23,'27.07 NATEETE-BUSEGA'!C23,'28.07 BUSEGA-NATEETE'!C23)</f>
        <v>50.571428571428569</v>
      </c>
      <c r="D23" s="49">
        <f>AVERAGE('22.07 NATEETE-BUSEGA'!D23,'23.07 NATEETE-BUSEGA'!D23,'24.07 NATEETE-BUSEGA'!D23,'25.07 NATEETE-BUSEGA'!D23,'26.07 NATEETE-BUSEGA'!D23,'27.07 NATEETE-BUSEGA'!D23,'28.07 BUSEGA-NATEETE'!D23)</f>
        <v>10.714285714285714</v>
      </c>
      <c r="E23" s="49">
        <f>AVERAGE('22.07 NATEETE-BUSEGA'!E23,'23.07 NATEETE-BUSEGA'!E23,'24.07 NATEETE-BUSEGA'!E23,'25.07 NATEETE-BUSEGA'!E23,'26.07 NATEETE-BUSEGA'!E23,'27.07 NATEETE-BUSEGA'!E23,'28.07 BUSEGA-NATEETE'!E23)</f>
        <v>9.8571428571428577</v>
      </c>
      <c r="F23" s="49">
        <f>AVERAGE('22.07 NATEETE-BUSEGA'!F23,'23.07 NATEETE-BUSEGA'!F23,'24.07 NATEETE-BUSEGA'!F23,'25.07 NATEETE-BUSEGA'!F23,'26.07 NATEETE-BUSEGA'!F23,'27.07 NATEETE-BUSEGA'!F23,'28.07 BUSEGA-NATEETE'!F23)</f>
        <v>70.428571428571431</v>
      </c>
      <c r="G23" s="49">
        <f>AVERAGE('22.07 NATEETE-BUSEGA'!G23,'23.07 NATEETE-BUSEGA'!G23,'24.07 NATEETE-BUSEGA'!G23,'25.07 NATEETE-BUSEGA'!G23,'26.07 NATEETE-BUSEGA'!G23,'27.07 NATEETE-BUSEGA'!G23,'28.07 BUSEGA-NATEETE'!G23)</f>
        <v>1.4285714285714286</v>
      </c>
      <c r="H23" s="49">
        <f>AVERAGE('22.07 NATEETE-BUSEGA'!H23,'23.07 NATEETE-BUSEGA'!H23,'24.07 NATEETE-BUSEGA'!H23,'25.07 NATEETE-BUSEGA'!H23,'26.07 NATEETE-BUSEGA'!H23,'27.07 NATEETE-BUSEGA'!H23,'28.07 BUSEGA-NATEETE'!H23)</f>
        <v>1.4285714285714286</v>
      </c>
      <c r="I23" s="49">
        <f>AVERAGE('22.07 NATEETE-BUSEGA'!I23,'23.07 NATEETE-BUSEGA'!I23,'24.07 NATEETE-BUSEGA'!I23,'25.07 NATEETE-BUSEGA'!I23,'26.07 NATEETE-BUSEGA'!I23,'27.07 NATEETE-BUSEGA'!I23,'28.07 BUSEGA-NATEETE'!I23)</f>
        <v>9.5714285714285712</v>
      </c>
      <c r="J23" s="49">
        <f>AVERAGE('22.07 NATEETE-BUSEGA'!J23,'23.07 NATEETE-BUSEGA'!J23,'24.07 NATEETE-BUSEGA'!J23,'25.07 NATEETE-BUSEGA'!J23,'26.07 NATEETE-BUSEGA'!J23,'27.07 NATEETE-BUSEGA'!J23,'28.07 BUSEGA-NATEETE'!J23)</f>
        <v>5.4285714285714288</v>
      </c>
      <c r="K23" s="49">
        <f>AVERAGE('22.07 NATEETE-BUSEGA'!K23,'23.07 NATEETE-BUSEGA'!K23,'24.07 NATEETE-BUSEGA'!K23,'25.07 NATEETE-BUSEGA'!K23,'26.07 NATEETE-BUSEGA'!K23,'27.07 NATEETE-BUSEGA'!K23,'28.07 BUSEGA-NATEETE'!K23)</f>
        <v>1.7142857142857142</v>
      </c>
      <c r="L23" s="49">
        <f>AVERAGE('22.07 NATEETE-BUSEGA'!L23,'23.07 NATEETE-BUSEGA'!L23,'24.07 NATEETE-BUSEGA'!L23,'25.07 NATEETE-BUSEGA'!L23,'26.07 NATEETE-BUSEGA'!L23,'27.07 NATEETE-BUSEGA'!L23,'28.07 BUSEGA-NATEETE'!L23)</f>
        <v>1.1428571428571428</v>
      </c>
      <c r="M23" s="49">
        <f>AVERAGE('22.07 NATEETE-BUSEGA'!M23,'23.07 NATEETE-BUSEGA'!M23,'24.07 NATEETE-BUSEGA'!M23,'25.07 NATEETE-BUSEGA'!M23,'26.07 NATEETE-BUSEGA'!M23,'27.07 NATEETE-BUSEGA'!M23,'28.07 BUSEGA-NATEETE'!M23)</f>
        <v>207</v>
      </c>
      <c r="N23" s="49">
        <f>AVERAGE('22.07 NATEETE-BUSEGA'!N23,'23.07 NATEETE-BUSEGA'!N23,'24.07 NATEETE-BUSEGA'!N23,'25.07 NATEETE-BUSEGA'!N23,'26.07 NATEETE-BUSEGA'!N23,'27.07 NATEETE-BUSEGA'!N23,'28.07 BUSEGA-NATEETE'!N23)</f>
        <v>0</v>
      </c>
      <c r="O23" s="15">
        <f t="shared" si="0"/>
        <v>162.28571428571425</v>
      </c>
      <c r="P23" s="15">
        <f t="shared" si="1"/>
        <v>369.28571428571422</v>
      </c>
      <c r="R23" s="1" t="s">
        <v>147</v>
      </c>
      <c r="S23" s="34">
        <f>SUM(C62:C65)</f>
        <v>279.5</v>
      </c>
      <c r="T23" s="34">
        <f t="shared" ref="T23:AD23" si="15">SUM(D62:D65)</f>
        <v>33.5</v>
      </c>
      <c r="U23" s="34">
        <f t="shared" si="15"/>
        <v>26</v>
      </c>
      <c r="V23" s="34">
        <f t="shared" si="15"/>
        <v>103</v>
      </c>
      <c r="W23" s="34">
        <f t="shared" si="15"/>
        <v>8.5</v>
      </c>
      <c r="X23" s="34">
        <f t="shared" si="15"/>
        <v>5.5</v>
      </c>
      <c r="Y23" s="34">
        <f t="shared" si="15"/>
        <v>18</v>
      </c>
      <c r="Z23" s="34">
        <f t="shared" si="15"/>
        <v>17</v>
      </c>
      <c r="AA23" s="34">
        <f t="shared" si="15"/>
        <v>12.5</v>
      </c>
      <c r="AB23" s="34">
        <f t="shared" si="15"/>
        <v>5.5</v>
      </c>
      <c r="AC23" s="34">
        <f t="shared" si="15"/>
        <v>1152.5</v>
      </c>
      <c r="AD23" s="34">
        <f t="shared" si="15"/>
        <v>0</v>
      </c>
      <c r="AE23" s="31">
        <f t="shared" si="13"/>
        <v>546.21428571428578</v>
      </c>
      <c r="AF23" s="31">
        <f t="shared" si="13"/>
        <v>1521.5714285714284</v>
      </c>
    </row>
    <row r="24" spans="2:32" ht="23.1" customHeight="1" x14ac:dyDescent="0.25">
      <c r="B24" s="23" t="s">
        <v>51</v>
      </c>
      <c r="C24" s="49">
        <f>AVERAGE('22.07 NATEETE-BUSEGA'!C24,'23.07 NATEETE-BUSEGA'!C24,'24.07 NATEETE-BUSEGA'!C24,'25.07 NATEETE-BUSEGA'!C24,'26.07 NATEETE-BUSEGA'!C24,'27.07 NATEETE-BUSEGA'!C24,'28.07 BUSEGA-NATEETE'!C24)</f>
        <v>43.285714285714285</v>
      </c>
      <c r="D24" s="49">
        <f>AVERAGE('22.07 NATEETE-BUSEGA'!D24,'23.07 NATEETE-BUSEGA'!D24,'24.07 NATEETE-BUSEGA'!D24,'25.07 NATEETE-BUSEGA'!D24,'26.07 NATEETE-BUSEGA'!D24,'27.07 NATEETE-BUSEGA'!D24,'28.07 BUSEGA-NATEETE'!D24)</f>
        <v>9</v>
      </c>
      <c r="E24" s="49">
        <f>AVERAGE('22.07 NATEETE-BUSEGA'!E24,'23.07 NATEETE-BUSEGA'!E24,'24.07 NATEETE-BUSEGA'!E24,'25.07 NATEETE-BUSEGA'!E24,'26.07 NATEETE-BUSEGA'!E24,'27.07 NATEETE-BUSEGA'!E24,'28.07 BUSEGA-NATEETE'!E24)</f>
        <v>11.571428571428571</v>
      </c>
      <c r="F24" s="49">
        <f>AVERAGE('22.07 NATEETE-BUSEGA'!F24,'23.07 NATEETE-BUSEGA'!F24,'24.07 NATEETE-BUSEGA'!F24,'25.07 NATEETE-BUSEGA'!F24,'26.07 NATEETE-BUSEGA'!F24,'27.07 NATEETE-BUSEGA'!F24,'28.07 BUSEGA-NATEETE'!F24)</f>
        <v>59.714285714285715</v>
      </c>
      <c r="G24" s="49">
        <f>AVERAGE('22.07 NATEETE-BUSEGA'!G24,'23.07 NATEETE-BUSEGA'!G24,'24.07 NATEETE-BUSEGA'!G24,'25.07 NATEETE-BUSEGA'!G24,'26.07 NATEETE-BUSEGA'!G24,'27.07 NATEETE-BUSEGA'!G24,'28.07 BUSEGA-NATEETE'!G24)</f>
        <v>0.8571428571428571</v>
      </c>
      <c r="H24" s="49">
        <f>AVERAGE('22.07 NATEETE-BUSEGA'!H24,'23.07 NATEETE-BUSEGA'!H24,'24.07 NATEETE-BUSEGA'!H24,'25.07 NATEETE-BUSEGA'!H24,'26.07 NATEETE-BUSEGA'!H24,'27.07 NATEETE-BUSEGA'!H24,'28.07 BUSEGA-NATEETE'!H24)</f>
        <v>1</v>
      </c>
      <c r="I24" s="49">
        <f>AVERAGE('22.07 NATEETE-BUSEGA'!I24,'23.07 NATEETE-BUSEGA'!I24,'24.07 NATEETE-BUSEGA'!I24,'25.07 NATEETE-BUSEGA'!I24,'26.07 NATEETE-BUSEGA'!I24,'27.07 NATEETE-BUSEGA'!I24,'28.07 BUSEGA-NATEETE'!I24)</f>
        <v>10.714285714285714</v>
      </c>
      <c r="J24" s="49">
        <f>AVERAGE('22.07 NATEETE-BUSEGA'!J24,'23.07 NATEETE-BUSEGA'!J24,'24.07 NATEETE-BUSEGA'!J24,'25.07 NATEETE-BUSEGA'!J24,'26.07 NATEETE-BUSEGA'!J24,'27.07 NATEETE-BUSEGA'!J24,'28.07 BUSEGA-NATEETE'!J24)</f>
        <v>5.4285714285714288</v>
      </c>
      <c r="K24" s="49">
        <f>AVERAGE('22.07 NATEETE-BUSEGA'!K24,'23.07 NATEETE-BUSEGA'!K24,'24.07 NATEETE-BUSEGA'!K24,'25.07 NATEETE-BUSEGA'!K24,'26.07 NATEETE-BUSEGA'!K24,'27.07 NATEETE-BUSEGA'!K24,'28.07 BUSEGA-NATEETE'!K24)</f>
        <v>4.1428571428571432</v>
      </c>
      <c r="L24" s="49">
        <f>AVERAGE('22.07 NATEETE-BUSEGA'!L24,'23.07 NATEETE-BUSEGA'!L24,'24.07 NATEETE-BUSEGA'!L24,'25.07 NATEETE-BUSEGA'!L24,'26.07 NATEETE-BUSEGA'!L24,'27.07 NATEETE-BUSEGA'!L24,'28.07 BUSEGA-NATEETE'!L24)</f>
        <v>3</v>
      </c>
      <c r="M24" s="49">
        <f>AVERAGE('22.07 NATEETE-BUSEGA'!M24,'23.07 NATEETE-BUSEGA'!M24,'24.07 NATEETE-BUSEGA'!M24,'25.07 NATEETE-BUSEGA'!M24,'26.07 NATEETE-BUSEGA'!M24,'27.07 NATEETE-BUSEGA'!M24,'28.07 BUSEGA-NATEETE'!M24)</f>
        <v>190.57142857142858</v>
      </c>
      <c r="N24" s="49">
        <f>AVERAGE('22.07 NATEETE-BUSEGA'!N24,'23.07 NATEETE-BUSEGA'!N24,'24.07 NATEETE-BUSEGA'!N24,'25.07 NATEETE-BUSEGA'!N24,'26.07 NATEETE-BUSEGA'!N24,'27.07 NATEETE-BUSEGA'!N24,'28.07 BUSEGA-NATEETE'!N24)</f>
        <v>0</v>
      </c>
      <c r="O24" s="15">
        <f t="shared" si="0"/>
        <v>148.71428571428569</v>
      </c>
      <c r="P24" s="15">
        <f t="shared" si="1"/>
        <v>339.28571428571428</v>
      </c>
      <c r="R24" s="1" t="s">
        <v>148</v>
      </c>
      <c r="S24" s="34">
        <f>SUM(C66:C69)</f>
        <v>224.5</v>
      </c>
      <c r="T24" s="34">
        <f t="shared" ref="T24:AD24" si="16">SUM(D66:D69)</f>
        <v>30.5</v>
      </c>
      <c r="U24" s="34">
        <f t="shared" si="16"/>
        <v>16.5</v>
      </c>
      <c r="V24" s="34">
        <f t="shared" si="16"/>
        <v>115</v>
      </c>
      <c r="W24" s="34">
        <f t="shared" si="16"/>
        <v>2.5</v>
      </c>
      <c r="X24" s="34">
        <f t="shared" si="16"/>
        <v>6.5</v>
      </c>
      <c r="Y24" s="34">
        <f t="shared" si="16"/>
        <v>12</v>
      </c>
      <c r="Z24" s="34">
        <f t="shared" si="16"/>
        <v>9.5</v>
      </c>
      <c r="AA24" s="34">
        <f t="shared" si="16"/>
        <v>9.5</v>
      </c>
      <c r="AB24" s="34">
        <f t="shared" si="16"/>
        <v>5.5</v>
      </c>
      <c r="AC24" s="34">
        <f t="shared" si="16"/>
        <v>1228</v>
      </c>
      <c r="AD24" s="34">
        <f t="shared" si="16"/>
        <v>0</v>
      </c>
      <c r="AE24" s="31">
        <f t="shared" si="13"/>
        <v>486.5</v>
      </c>
      <c r="AF24" s="31">
        <f t="shared" si="13"/>
        <v>1544.5714285714284</v>
      </c>
    </row>
    <row r="25" spans="2:32" ht="23.1" customHeight="1" x14ac:dyDescent="0.25">
      <c r="B25" s="23" t="s">
        <v>52</v>
      </c>
      <c r="C25" s="49">
        <f>AVERAGE('22.07 NATEETE-BUSEGA'!C25,'23.07 NATEETE-BUSEGA'!C25,'24.07 NATEETE-BUSEGA'!C25,'25.07 NATEETE-BUSEGA'!C25,'26.07 NATEETE-BUSEGA'!C25,'27.07 NATEETE-BUSEGA'!C25,'28.07 BUSEGA-NATEETE'!C25)</f>
        <v>53.428571428571431</v>
      </c>
      <c r="D25" s="49">
        <f>AVERAGE('22.07 NATEETE-BUSEGA'!D25,'23.07 NATEETE-BUSEGA'!D25,'24.07 NATEETE-BUSEGA'!D25,'25.07 NATEETE-BUSEGA'!D25,'26.07 NATEETE-BUSEGA'!D25,'27.07 NATEETE-BUSEGA'!D25,'28.07 BUSEGA-NATEETE'!D25)</f>
        <v>8.5714285714285712</v>
      </c>
      <c r="E25" s="49">
        <f>AVERAGE('22.07 NATEETE-BUSEGA'!E25,'23.07 NATEETE-BUSEGA'!E25,'24.07 NATEETE-BUSEGA'!E25,'25.07 NATEETE-BUSEGA'!E25,'26.07 NATEETE-BUSEGA'!E25,'27.07 NATEETE-BUSEGA'!E25,'28.07 BUSEGA-NATEETE'!E25)</f>
        <v>10</v>
      </c>
      <c r="F25" s="49">
        <f>AVERAGE('22.07 NATEETE-BUSEGA'!F25,'23.07 NATEETE-BUSEGA'!F25,'24.07 NATEETE-BUSEGA'!F25,'25.07 NATEETE-BUSEGA'!F25,'26.07 NATEETE-BUSEGA'!F25,'27.07 NATEETE-BUSEGA'!F25,'28.07 BUSEGA-NATEETE'!F25)</f>
        <v>54.142857142857146</v>
      </c>
      <c r="G25" s="49">
        <f>AVERAGE('22.07 NATEETE-BUSEGA'!G25,'23.07 NATEETE-BUSEGA'!G25,'24.07 NATEETE-BUSEGA'!G25,'25.07 NATEETE-BUSEGA'!G25,'26.07 NATEETE-BUSEGA'!G25,'27.07 NATEETE-BUSEGA'!G25,'28.07 BUSEGA-NATEETE'!G25)</f>
        <v>1.7142857142857142</v>
      </c>
      <c r="H25" s="49">
        <f>AVERAGE('22.07 NATEETE-BUSEGA'!H25,'23.07 NATEETE-BUSEGA'!H25,'24.07 NATEETE-BUSEGA'!H25,'25.07 NATEETE-BUSEGA'!H25,'26.07 NATEETE-BUSEGA'!H25,'27.07 NATEETE-BUSEGA'!H25,'28.07 BUSEGA-NATEETE'!H25)</f>
        <v>2</v>
      </c>
      <c r="I25" s="49">
        <f>AVERAGE('22.07 NATEETE-BUSEGA'!I25,'23.07 NATEETE-BUSEGA'!I25,'24.07 NATEETE-BUSEGA'!I25,'25.07 NATEETE-BUSEGA'!I25,'26.07 NATEETE-BUSEGA'!I25,'27.07 NATEETE-BUSEGA'!I25,'28.07 BUSEGA-NATEETE'!I25)</f>
        <v>7.1428571428571432</v>
      </c>
      <c r="J25" s="49">
        <f>AVERAGE('22.07 NATEETE-BUSEGA'!J25,'23.07 NATEETE-BUSEGA'!J25,'24.07 NATEETE-BUSEGA'!J25,'25.07 NATEETE-BUSEGA'!J25,'26.07 NATEETE-BUSEGA'!J25,'27.07 NATEETE-BUSEGA'!J25,'28.07 BUSEGA-NATEETE'!J25)</f>
        <v>5.1428571428571432</v>
      </c>
      <c r="K25" s="49">
        <f>AVERAGE('22.07 NATEETE-BUSEGA'!K25,'23.07 NATEETE-BUSEGA'!K25,'24.07 NATEETE-BUSEGA'!K25,'25.07 NATEETE-BUSEGA'!K25,'26.07 NATEETE-BUSEGA'!K25,'27.07 NATEETE-BUSEGA'!K25,'28.07 BUSEGA-NATEETE'!K25)</f>
        <v>2</v>
      </c>
      <c r="L25" s="49">
        <f>AVERAGE('22.07 NATEETE-BUSEGA'!L25,'23.07 NATEETE-BUSEGA'!L25,'24.07 NATEETE-BUSEGA'!L25,'25.07 NATEETE-BUSEGA'!L25,'26.07 NATEETE-BUSEGA'!L25,'27.07 NATEETE-BUSEGA'!L25,'28.07 BUSEGA-NATEETE'!L25)</f>
        <v>1.5714285714285714</v>
      </c>
      <c r="M25" s="49">
        <f>AVERAGE('22.07 NATEETE-BUSEGA'!M25,'23.07 NATEETE-BUSEGA'!M25,'24.07 NATEETE-BUSEGA'!M25,'25.07 NATEETE-BUSEGA'!M25,'26.07 NATEETE-BUSEGA'!M25,'27.07 NATEETE-BUSEGA'!M25,'28.07 BUSEGA-NATEETE'!M25)</f>
        <v>182.28571428571428</v>
      </c>
      <c r="N25" s="49">
        <f>AVERAGE('22.07 NATEETE-BUSEGA'!N25,'23.07 NATEETE-BUSEGA'!N25,'24.07 NATEETE-BUSEGA'!N25,'25.07 NATEETE-BUSEGA'!N25,'26.07 NATEETE-BUSEGA'!N25,'27.07 NATEETE-BUSEGA'!N25,'28.07 BUSEGA-NATEETE'!N25)</f>
        <v>0.14285714285714285</v>
      </c>
      <c r="O25" s="15">
        <f t="shared" si="0"/>
        <v>145.85714285714283</v>
      </c>
      <c r="P25" s="15">
        <f t="shared" si="1"/>
        <v>328.14285714285717</v>
      </c>
      <c r="R25" s="1" t="s">
        <v>149</v>
      </c>
      <c r="S25" s="34">
        <f>SUM(C70:C73)</f>
        <v>290</v>
      </c>
      <c r="T25" s="34">
        <f t="shared" ref="T25:AD25" si="17">SUM(D70:D73)</f>
        <v>29.5</v>
      </c>
      <c r="U25" s="34">
        <f t="shared" si="17"/>
        <v>16.5</v>
      </c>
      <c r="V25" s="34">
        <f t="shared" si="17"/>
        <v>145.5</v>
      </c>
      <c r="W25" s="34">
        <f t="shared" si="17"/>
        <v>1</v>
      </c>
      <c r="X25" s="34">
        <f t="shared" si="17"/>
        <v>7</v>
      </c>
      <c r="Y25" s="34">
        <f t="shared" si="17"/>
        <v>21</v>
      </c>
      <c r="Z25" s="34">
        <f t="shared" si="17"/>
        <v>16</v>
      </c>
      <c r="AA25" s="34">
        <f t="shared" si="17"/>
        <v>6</v>
      </c>
      <c r="AB25" s="34">
        <f t="shared" si="17"/>
        <v>5.5</v>
      </c>
      <c r="AC25" s="34">
        <f t="shared" si="17"/>
        <v>991</v>
      </c>
      <c r="AD25" s="34">
        <f t="shared" si="17"/>
        <v>0</v>
      </c>
      <c r="AE25" s="31">
        <f t="shared" si="13"/>
        <v>466</v>
      </c>
      <c r="AF25" s="31">
        <f t="shared" si="13"/>
        <v>1609.5</v>
      </c>
    </row>
    <row r="26" spans="2:32" ht="23.1" customHeight="1" x14ac:dyDescent="0.25">
      <c r="B26" s="23" t="s">
        <v>53</v>
      </c>
      <c r="C26" s="49">
        <f>AVERAGE('22.07 NATEETE-BUSEGA'!C26,'23.07 NATEETE-BUSEGA'!C26,'24.07 NATEETE-BUSEGA'!C26,'25.07 NATEETE-BUSEGA'!C26,'26.07 NATEETE-BUSEGA'!C26,'27.07 NATEETE-BUSEGA'!C26,'28.07 BUSEGA-NATEETE'!C26)</f>
        <v>63.142857142857146</v>
      </c>
      <c r="D26" s="49">
        <f>AVERAGE('22.07 NATEETE-BUSEGA'!D26,'23.07 NATEETE-BUSEGA'!D26,'24.07 NATEETE-BUSEGA'!D26,'25.07 NATEETE-BUSEGA'!D26,'26.07 NATEETE-BUSEGA'!D26,'27.07 NATEETE-BUSEGA'!D26,'28.07 BUSEGA-NATEETE'!D26)</f>
        <v>9.2857142857142865</v>
      </c>
      <c r="E26" s="49">
        <f>AVERAGE('22.07 NATEETE-BUSEGA'!E26,'23.07 NATEETE-BUSEGA'!E26,'24.07 NATEETE-BUSEGA'!E26,'25.07 NATEETE-BUSEGA'!E26,'26.07 NATEETE-BUSEGA'!E26,'27.07 NATEETE-BUSEGA'!E26,'28.07 BUSEGA-NATEETE'!E26)</f>
        <v>11.714285714285714</v>
      </c>
      <c r="F26" s="49">
        <f>AVERAGE('22.07 NATEETE-BUSEGA'!F26,'23.07 NATEETE-BUSEGA'!F26,'24.07 NATEETE-BUSEGA'!F26,'25.07 NATEETE-BUSEGA'!F26,'26.07 NATEETE-BUSEGA'!F26,'27.07 NATEETE-BUSEGA'!F26,'28.07 BUSEGA-NATEETE'!F26)</f>
        <v>70.285714285714292</v>
      </c>
      <c r="G26" s="49">
        <f>AVERAGE('22.07 NATEETE-BUSEGA'!G26,'23.07 NATEETE-BUSEGA'!G26,'24.07 NATEETE-BUSEGA'!G26,'25.07 NATEETE-BUSEGA'!G26,'26.07 NATEETE-BUSEGA'!G26,'27.07 NATEETE-BUSEGA'!G26,'28.07 BUSEGA-NATEETE'!G26)</f>
        <v>1</v>
      </c>
      <c r="H26" s="49">
        <f>AVERAGE('22.07 NATEETE-BUSEGA'!H26,'23.07 NATEETE-BUSEGA'!H26,'24.07 NATEETE-BUSEGA'!H26,'25.07 NATEETE-BUSEGA'!H26,'26.07 NATEETE-BUSEGA'!H26,'27.07 NATEETE-BUSEGA'!H26,'28.07 BUSEGA-NATEETE'!H26)</f>
        <v>1.8571428571428572</v>
      </c>
      <c r="I26" s="49">
        <f>AVERAGE('22.07 NATEETE-BUSEGA'!I26,'23.07 NATEETE-BUSEGA'!I26,'24.07 NATEETE-BUSEGA'!I26,'25.07 NATEETE-BUSEGA'!I26,'26.07 NATEETE-BUSEGA'!I26,'27.07 NATEETE-BUSEGA'!I26,'28.07 BUSEGA-NATEETE'!I26)</f>
        <v>11.142857142857142</v>
      </c>
      <c r="J26" s="49">
        <f>AVERAGE('22.07 NATEETE-BUSEGA'!J26,'23.07 NATEETE-BUSEGA'!J26,'24.07 NATEETE-BUSEGA'!J26,'25.07 NATEETE-BUSEGA'!J26,'26.07 NATEETE-BUSEGA'!J26,'27.07 NATEETE-BUSEGA'!J26,'28.07 BUSEGA-NATEETE'!J26)</f>
        <v>5.4285714285714288</v>
      </c>
      <c r="K26" s="49">
        <f>AVERAGE('22.07 NATEETE-BUSEGA'!K26,'23.07 NATEETE-BUSEGA'!K26,'24.07 NATEETE-BUSEGA'!K26,'25.07 NATEETE-BUSEGA'!K26,'26.07 NATEETE-BUSEGA'!K26,'27.07 NATEETE-BUSEGA'!K26,'28.07 BUSEGA-NATEETE'!K26)</f>
        <v>2.1428571428571428</v>
      </c>
      <c r="L26" s="49">
        <f>AVERAGE('22.07 NATEETE-BUSEGA'!L26,'23.07 NATEETE-BUSEGA'!L26,'24.07 NATEETE-BUSEGA'!L26,'25.07 NATEETE-BUSEGA'!L26,'26.07 NATEETE-BUSEGA'!L26,'27.07 NATEETE-BUSEGA'!L26,'28.07 BUSEGA-NATEETE'!L26)</f>
        <v>3</v>
      </c>
      <c r="M26" s="49">
        <f>AVERAGE('22.07 NATEETE-BUSEGA'!M26,'23.07 NATEETE-BUSEGA'!M26,'24.07 NATEETE-BUSEGA'!M26,'25.07 NATEETE-BUSEGA'!M26,'26.07 NATEETE-BUSEGA'!M26,'27.07 NATEETE-BUSEGA'!M26,'28.07 BUSEGA-NATEETE'!M26)</f>
        <v>190.14285714285714</v>
      </c>
      <c r="N26" s="49">
        <f>AVERAGE('22.07 NATEETE-BUSEGA'!N26,'23.07 NATEETE-BUSEGA'!N26,'24.07 NATEETE-BUSEGA'!N26,'25.07 NATEETE-BUSEGA'!N26,'26.07 NATEETE-BUSEGA'!N26,'27.07 NATEETE-BUSEGA'!N26,'28.07 BUSEGA-NATEETE'!N26)</f>
        <v>0</v>
      </c>
      <c r="O26" s="15">
        <f t="shared" si="0"/>
        <v>179</v>
      </c>
      <c r="P26" s="15">
        <f t="shared" si="1"/>
        <v>369.14285714285711</v>
      </c>
      <c r="R26" s="1" t="s">
        <v>150</v>
      </c>
      <c r="S26" s="34">
        <f>SUM(C74:C77)</f>
        <v>260.5</v>
      </c>
      <c r="T26" s="34">
        <f t="shared" ref="T26:AD26" si="18">SUM(D74:D77)</f>
        <v>34</v>
      </c>
      <c r="U26" s="34">
        <f t="shared" si="18"/>
        <v>19.5</v>
      </c>
      <c r="V26" s="34">
        <f t="shared" si="18"/>
        <v>101.5</v>
      </c>
      <c r="W26" s="34">
        <f t="shared" si="18"/>
        <v>3</v>
      </c>
      <c r="X26" s="34">
        <f t="shared" si="18"/>
        <v>6.5</v>
      </c>
      <c r="Y26" s="34">
        <f t="shared" si="18"/>
        <v>7.5</v>
      </c>
      <c r="Z26" s="34">
        <f t="shared" si="18"/>
        <v>10.5</v>
      </c>
      <c r="AA26" s="34">
        <f t="shared" si="18"/>
        <v>4</v>
      </c>
      <c r="AB26" s="34">
        <f t="shared" si="18"/>
        <v>4</v>
      </c>
      <c r="AC26" s="34">
        <f t="shared" si="18"/>
        <v>710</v>
      </c>
      <c r="AD26" s="34">
        <f t="shared" si="18"/>
        <v>0</v>
      </c>
      <c r="AE26" s="31">
        <f t="shared" si="13"/>
        <v>476</v>
      </c>
      <c r="AF26" s="31">
        <f t="shared" si="13"/>
        <v>1603</v>
      </c>
    </row>
    <row r="27" spans="2:32" ht="23.1" customHeight="1" x14ac:dyDescent="0.25">
      <c r="B27" s="23" t="s">
        <v>54</v>
      </c>
      <c r="C27" s="49">
        <f>AVERAGE('22.07 NATEETE-BUSEGA'!C27,'23.07 NATEETE-BUSEGA'!C27,'24.07 NATEETE-BUSEGA'!C27,'25.07 NATEETE-BUSEGA'!C27,'26.07 NATEETE-BUSEGA'!C27,'27.07 NATEETE-BUSEGA'!C27,'28.07 BUSEGA-NATEETE'!C27)</f>
        <v>56.857142857142854</v>
      </c>
      <c r="D27" s="49">
        <f>AVERAGE('22.07 NATEETE-BUSEGA'!D27,'23.07 NATEETE-BUSEGA'!D27,'24.07 NATEETE-BUSEGA'!D27,'25.07 NATEETE-BUSEGA'!D27,'26.07 NATEETE-BUSEGA'!D27,'27.07 NATEETE-BUSEGA'!D27,'28.07 BUSEGA-NATEETE'!D27)</f>
        <v>9.2857142857142865</v>
      </c>
      <c r="E27" s="49">
        <f>AVERAGE('22.07 NATEETE-BUSEGA'!E27,'23.07 NATEETE-BUSEGA'!E27,'24.07 NATEETE-BUSEGA'!E27,'25.07 NATEETE-BUSEGA'!E27,'26.07 NATEETE-BUSEGA'!E27,'27.07 NATEETE-BUSEGA'!E27,'28.07 BUSEGA-NATEETE'!E27)</f>
        <v>7.1428571428571432</v>
      </c>
      <c r="F27" s="49">
        <f>AVERAGE('22.07 NATEETE-BUSEGA'!F27,'23.07 NATEETE-BUSEGA'!F27,'24.07 NATEETE-BUSEGA'!F27,'25.07 NATEETE-BUSEGA'!F27,'26.07 NATEETE-BUSEGA'!F27,'27.07 NATEETE-BUSEGA'!F27,'28.07 BUSEGA-NATEETE'!F27)</f>
        <v>64.571428571428569</v>
      </c>
      <c r="G27" s="49">
        <f>AVERAGE('22.07 NATEETE-BUSEGA'!G27,'23.07 NATEETE-BUSEGA'!G27,'24.07 NATEETE-BUSEGA'!G27,'25.07 NATEETE-BUSEGA'!G27,'26.07 NATEETE-BUSEGA'!G27,'27.07 NATEETE-BUSEGA'!G27,'28.07 BUSEGA-NATEETE'!G27)</f>
        <v>1.8571428571428572</v>
      </c>
      <c r="H27" s="49">
        <f>AVERAGE('22.07 NATEETE-BUSEGA'!H27,'23.07 NATEETE-BUSEGA'!H27,'24.07 NATEETE-BUSEGA'!H27,'25.07 NATEETE-BUSEGA'!H27,'26.07 NATEETE-BUSEGA'!H27,'27.07 NATEETE-BUSEGA'!H27,'28.07 BUSEGA-NATEETE'!H27)</f>
        <v>1.7142857142857142</v>
      </c>
      <c r="I27" s="49">
        <f>AVERAGE('22.07 NATEETE-BUSEGA'!I27,'23.07 NATEETE-BUSEGA'!I27,'24.07 NATEETE-BUSEGA'!I27,'25.07 NATEETE-BUSEGA'!I27,'26.07 NATEETE-BUSEGA'!I27,'27.07 NATEETE-BUSEGA'!I27,'28.07 BUSEGA-NATEETE'!I27)</f>
        <v>9.5714285714285712</v>
      </c>
      <c r="J27" s="49">
        <f>AVERAGE('22.07 NATEETE-BUSEGA'!J27,'23.07 NATEETE-BUSEGA'!J27,'24.07 NATEETE-BUSEGA'!J27,'25.07 NATEETE-BUSEGA'!J27,'26.07 NATEETE-BUSEGA'!J27,'27.07 NATEETE-BUSEGA'!J27,'28.07 BUSEGA-NATEETE'!J27)</f>
        <v>5.5714285714285712</v>
      </c>
      <c r="K27" s="49">
        <f>AVERAGE('22.07 NATEETE-BUSEGA'!K27,'23.07 NATEETE-BUSEGA'!K27,'24.07 NATEETE-BUSEGA'!K27,'25.07 NATEETE-BUSEGA'!K27,'26.07 NATEETE-BUSEGA'!K27,'27.07 NATEETE-BUSEGA'!K27,'28.07 BUSEGA-NATEETE'!K27)</f>
        <v>2.5714285714285716</v>
      </c>
      <c r="L27" s="49">
        <f>AVERAGE('22.07 NATEETE-BUSEGA'!L27,'23.07 NATEETE-BUSEGA'!L27,'24.07 NATEETE-BUSEGA'!L27,'25.07 NATEETE-BUSEGA'!L27,'26.07 NATEETE-BUSEGA'!L27,'27.07 NATEETE-BUSEGA'!L27,'28.07 BUSEGA-NATEETE'!L27)</f>
        <v>3.1428571428571428</v>
      </c>
      <c r="M27" s="49">
        <f>AVERAGE('22.07 NATEETE-BUSEGA'!M27,'23.07 NATEETE-BUSEGA'!M27,'24.07 NATEETE-BUSEGA'!M27,'25.07 NATEETE-BUSEGA'!M27,'26.07 NATEETE-BUSEGA'!M27,'27.07 NATEETE-BUSEGA'!M27,'28.07 BUSEGA-NATEETE'!M27)</f>
        <v>167.57142857142858</v>
      </c>
      <c r="N27" s="49">
        <f>AVERAGE('22.07 NATEETE-BUSEGA'!N27,'23.07 NATEETE-BUSEGA'!N27,'24.07 NATEETE-BUSEGA'!N27,'25.07 NATEETE-BUSEGA'!N27,'26.07 NATEETE-BUSEGA'!N27,'27.07 NATEETE-BUSEGA'!N27,'28.07 BUSEGA-NATEETE'!N27)</f>
        <v>0</v>
      </c>
      <c r="O27" s="15">
        <f t="shared" si="0"/>
        <v>162.28571428571431</v>
      </c>
      <c r="P27" s="15">
        <f t="shared" si="1"/>
        <v>329.85714285714289</v>
      </c>
      <c r="R27" s="1" t="s">
        <v>151</v>
      </c>
      <c r="S27" s="34">
        <f>SUM(C78:C81)</f>
        <v>168.5</v>
      </c>
      <c r="T27" s="34">
        <f t="shared" ref="T27:AD27" si="19">SUM(D78:D81)</f>
        <v>21</v>
      </c>
      <c r="U27" s="34">
        <f t="shared" si="19"/>
        <v>19</v>
      </c>
      <c r="V27" s="34">
        <f t="shared" si="19"/>
        <v>59</v>
      </c>
      <c r="W27" s="34">
        <f t="shared" si="19"/>
        <v>0.5</v>
      </c>
      <c r="X27" s="34">
        <f t="shared" si="19"/>
        <v>7.5</v>
      </c>
      <c r="Y27" s="34">
        <f t="shared" si="19"/>
        <v>6.5</v>
      </c>
      <c r="Z27" s="34">
        <f t="shared" si="19"/>
        <v>6</v>
      </c>
      <c r="AA27" s="34">
        <f t="shared" si="19"/>
        <v>2.5</v>
      </c>
      <c r="AB27" s="34">
        <f t="shared" si="19"/>
        <v>1</v>
      </c>
      <c r="AC27" s="34">
        <f t="shared" si="19"/>
        <v>395</v>
      </c>
      <c r="AD27" s="34">
        <f t="shared" si="19"/>
        <v>0</v>
      </c>
      <c r="AE27" s="31">
        <f t="shared" si="13"/>
        <v>467</v>
      </c>
      <c r="AF27" s="31">
        <f t="shared" si="13"/>
        <v>1587</v>
      </c>
    </row>
    <row r="28" spans="2:32" ht="23.1" customHeight="1" x14ac:dyDescent="0.25">
      <c r="B28" s="23" t="s">
        <v>55</v>
      </c>
      <c r="C28" s="49">
        <f>AVERAGE('22.07 NATEETE-BUSEGA'!C28,'23.07 NATEETE-BUSEGA'!C28,'24.07 NATEETE-BUSEGA'!C28,'25.07 NATEETE-BUSEGA'!C28,'26.07 NATEETE-BUSEGA'!C28,'27.07 NATEETE-BUSEGA'!C28,'28.07 BUSEGA-NATEETE'!C28)</f>
        <v>44.142857142857146</v>
      </c>
      <c r="D28" s="49">
        <f>AVERAGE('22.07 NATEETE-BUSEGA'!D28,'23.07 NATEETE-BUSEGA'!D28,'24.07 NATEETE-BUSEGA'!D28,'25.07 NATEETE-BUSEGA'!D28,'26.07 NATEETE-BUSEGA'!D28,'27.07 NATEETE-BUSEGA'!D28,'28.07 BUSEGA-NATEETE'!D28)</f>
        <v>7.1428571428571432</v>
      </c>
      <c r="E28" s="49">
        <f>AVERAGE('22.07 NATEETE-BUSEGA'!E28,'23.07 NATEETE-BUSEGA'!E28,'24.07 NATEETE-BUSEGA'!E28,'25.07 NATEETE-BUSEGA'!E28,'26.07 NATEETE-BUSEGA'!E28,'27.07 NATEETE-BUSEGA'!E28,'28.07 BUSEGA-NATEETE'!E28)</f>
        <v>7.8571428571428568</v>
      </c>
      <c r="F28" s="49">
        <f>AVERAGE('22.07 NATEETE-BUSEGA'!F28,'23.07 NATEETE-BUSEGA'!F28,'24.07 NATEETE-BUSEGA'!F28,'25.07 NATEETE-BUSEGA'!F28,'26.07 NATEETE-BUSEGA'!F28,'27.07 NATEETE-BUSEGA'!F28,'28.07 BUSEGA-NATEETE'!F28)</f>
        <v>60</v>
      </c>
      <c r="G28" s="49">
        <f>AVERAGE('22.07 NATEETE-BUSEGA'!G28,'23.07 NATEETE-BUSEGA'!G28,'24.07 NATEETE-BUSEGA'!G28,'25.07 NATEETE-BUSEGA'!G28,'26.07 NATEETE-BUSEGA'!G28,'27.07 NATEETE-BUSEGA'!G28,'28.07 BUSEGA-NATEETE'!G28)</f>
        <v>2.2857142857142856</v>
      </c>
      <c r="H28" s="49">
        <f>AVERAGE('22.07 NATEETE-BUSEGA'!H28,'23.07 NATEETE-BUSEGA'!H28,'24.07 NATEETE-BUSEGA'!H28,'25.07 NATEETE-BUSEGA'!H28,'26.07 NATEETE-BUSEGA'!H28,'27.07 NATEETE-BUSEGA'!H28,'28.07 BUSEGA-NATEETE'!H28)</f>
        <v>2.1428571428571428</v>
      </c>
      <c r="I28" s="49">
        <f>AVERAGE('22.07 NATEETE-BUSEGA'!I28,'23.07 NATEETE-BUSEGA'!I28,'24.07 NATEETE-BUSEGA'!I28,'25.07 NATEETE-BUSEGA'!I28,'26.07 NATEETE-BUSEGA'!I28,'27.07 NATEETE-BUSEGA'!I28,'28.07 BUSEGA-NATEETE'!I28)</f>
        <v>9.7142857142857135</v>
      </c>
      <c r="J28" s="49">
        <f>AVERAGE('22.07 NATEETE-BUSEGA'!J28,'23.07 NATEETE-BUSEGA'!J28,'24.07 NATEETE-BUSEGA'!J28,'25.07 NATEETE-BUSEGA'!J28,'26.07 NATEETE-BUSEGA'!J28,'27.07 NATEETE-BUSEGA'!J28,'28.07 BUSEGA-NATEETE'!J28)</f>
        <v>6.1428571428571432</v>
      </c>
      <c r="K28" s="49">
        <f>AVERAGE('22.07 NATEETE-BUSEGA'!K28,'23.07 NATEETE-BUSEGA'!K28,'24.07 NATEETE-BUSEGA'!K28,'25.07 NATEETE-BUSEGA'!K28,'26.07 NATEETE-BUSEGA'!K28,'27.07 NATEETE-BUSEGA'!K28,'28.07 BUSEGA-NATEETE'!K28)</f>
        <v>1.7142857142857142</v>
      </c>
      <c r="L28" s="49">
        <f>AVERAGE('22.07 NATEETE-BUSEGA'!L28,'23.07 NATEETE-BUSEGA'!L28,'24.07 NATEETE-BUSEGA'!L28,'25.07 NATEETE-BUSEGA'!L28,'26.07 NATEETE-BUSEGA'!L28,'27.07 NATEETE-BUSEGA'!L28,'28.07 BUSEGA-NATEETE'!L28)</f>
        <v>3.2857142857142856</v>
      </c>
      <c r="M28" s="49">
        <f>AVERAGE('22.07 NATEETE-BUSEGA'!M28,'23.07 NATEETE-BUSEGA'!M28,'24.07 NATEETE-BUSEGA'!M28,'25.07 NATEETE-BUSEGA'!M28,'26.07 NATEETE-BUSEGA'!M28,'27.07 NATEETE-BUSEGA'!M28,'28.07 BUSEGA-NATEETE'!M28)</f>
        <v>218.14285714285714</v>
      </c>
      <c r="N28" s="49">
        <f>AVERAGE('22.07 NATEETE-BUSEGA'!N28,'23.07 NATEETE-BUSEGA'!N28,'24.07 NATEETE-BUSEGA'!N28,'25.07 NATEETE-BUSEGA'!N28,'26.07 NATEETE-BUSEGA'!N28,'27.07 NATEETE-BUSEGA'!N28,'28.07 BUSEGA-NATEETE'!N28)</f>
        <v>0</v>
      </c>
      <c r="O28" s="15">
        <f t="shared" si="0"/>
        <v>144.42857142857142</v>
      </c>
      <c r="P28" s="15">
        <f t="shared" si="1"/>
        <v>362.57142857142856</v>
      </c>
      <c r="R28" s="1" t="s">
        <v>152</v>
      </c>
      <c r="S28" s="34">
        <f>SUM(C82:C85)</f>
        <v>141</v>
      </c>
      <c r="T28" s="34">
        <f>SUM(D82:D85)</f>
        <v>12.5</v>
      </c>
      <c r="U28" s="34">
        <f t="shared" ref="U28:AD28" si="20">SUM(E82:E85)</f>
        <v>12.5</v>
      </c>
      <c r="V28" s="34">
        <f t="shared" si="20"/>
        <v>25.5</v>
      </c>
      <c r="W28" s="34">
        <f t="shared" si="20"/>
        <v>0.5</v>
      </c>
      <c r="X28" s="34">
        <f t="shared" si="20"/>
        <v>3.5</v>
      </c>
      <c r="Y28" s="34">
        <f t="shared" si="20"/>
        <v>10.5</v>
      </c>
      <c r="Z28" s="34">
        <f t="shared" si="20"/>
        <v>7</v>
      </c>
      <c r="AA28" s="34">
        <f t="shared" si="20"/>
        <v>1</v>
      </c>
      <c r="AB28" s="34">
        <f t="shared" si="20"/>
        <v>2</v>
      </c>
      <c r="AC28" s="34">
        <f t="shared" si="20"/>
        <v>227.5</v>
      </c>
      <c r="AD28" s="34">
        <f t="shared" si="20"/>
        <v>0</v>
      </c>
      <c r="AE28" s="31">
        <f t="shared" si="13"/>
        <v>485</v>
      </c>
      <c r="AF28" s="31">
        <f t="shared" si="13"/>
        <v>1637</v>
      </c>
    </row>
    <row r="29" spans="2:32" ht="23.1" customHeight="1" x14ac:dyDescent="0.25">
      <c r="B29" s="23" t="s">
        <v>56</v>
      </c>
      <c r="C29" s="49">
        <f>AVERAGE('22.07 NATEETE-BUSEGA'!C29,'23.07 NATEETE-BUSEGA'!C29,'24.07 NATEETE-BUSEGA'!C29,'25.07 NATEETE-BUSEGA'!C29,'26.07 NATEETE-BUSEGA'!C29,'27.07 NATEETE-BUSEGA'!C29,'28.07 BUSEGA-NATEETE'!C29)</f>
        <v>49.142857142857146</v>
      </c>
      <c r="D29" s="49">
        <f>AVERAGE('22.07 NATEETE-BUSEGA'!D29,'23.07 NATEETE-BUSEGA'!D29,'24.07 NATEETE-BUSEGA'!D29,'25.07 NATEETE-BUSEGA'!D29,'26.07 NATEETE-BUSEGA'!D29,'27.07 NATEETE-BUSEGA'!D29,'28.07 BUSEGA-NATEETE'!D29)</f>
        <v>6</v>
      </c>
      <c r="E29" s="49">
        <f>AVERAGE('22.07 NATEETE-BUSEGA'!E29,'23.07 NATEETE-BUSEGA'!E29,'24.07 NATEETE-BUSEGA'!E29,'25.07 NATEETE-BUSEGA'!E29,'26.07 NATEETE-BUSEGA'!E29,'27.07 NATEETE-BUSEGA'!E29,'28.07 BUSEGA-NATEETE'!E29)</f>
        <v>7.1428571428571432</v>
      </c>
      <c r="F29" s="49">
        <f>AVERAGE('22.07 NATEETE-BUSEGA'!F29,'23.07 NATEETE-BUSEGA'!F29,'24.07 NATEETE-BUSEGA'!F29,'25.07 NATEETE-BUSEGA'!F29,'26.07 NATEETE-BUSEGA'!F29,'27.07 NATEETE-BUSEGA'!F29,'28.07 BUSEGA-NATEETE'!F29)</f>
        <v>52.428571428571431</v>
      </c>
      <c r="G29" s="49">
        <f>AVERAGE('22.07 NATEETE-BUSEGA'!G29,'23.07 NATEETE-BUSEGA'!G29,'24.07 NATEETE-BUSEGA'!G29,'25.07 NATEETE-BUSEGA'!G29,'26.07 NATEETE-BUSEGA'!G29,'27.07 NATEETE-BUSEGA'!G29,'28.07 BUSEGA-NATEETE'!G29)</f>
        <v>1.5714285714285714</v>
      </c>
      <c r="H29" s="49">
        <f>AVERAGE('22.07 NATEETE-BUSEGA'!H29,'23.07 NATEETE-BUSEGA'!H29,'24.07 NATEETE-BUSEGA'!H29,'25.07 NATEETE-BUSEGA'!H29,'26.07 NATEETE-BUSEGA'!H29,'27.07 NATEETE-BUSEGA'!H29,'28.07 BUSEGA-NATEETE'!H29)</f>
        <v>1.4285714285714286</v>
      </c>
      <c r="I29" s="49">
        <f>AVERAGE('22.07 NATEETE-BUSEGA'!I29,'23.07 NATEETE-BUSEGA'!I29,'24.07 NATEETE-BUSEGA'!I29,'25.07 NATEETE-BUSEGA'!I29,'26.07 NATEETE-BUSEGA'!I29,'27.07 NATEETE-BUSEGA'!I29,'28.07 BUSEGA-NATEETE'!I29)</f>
        <v>9.2857142857142865</v>
      </c>
      <c r="J29" s="49">
        <f>AVERAGE('22.07 NATEETE-BUSEGA'!J29,'23.07 NATEETE-BUSEGA'!J29,'24.07 NATEETE-BUSEGA'!J29,'25.07 NATEETE-BUSEGA'!J29,'26.07 NATEETE-BUSEGA'!J29,'27.07 NATEETE-BUSEGA'!J29,'28.07 BUSEGA-NATEETE'!J29)</f>
        <v>4.8571428571428568</v>
      </c>
      <c r="K29" s="49">
        <f>AVERAGE('22.07 NATEETE-BUSEGA'!K29,'23.07 NATEETE-BUSEGA'!K29,'24.07 NATEETE-BUSEGA'!K29,'25.07 NATEETE-BUSEGA'!K29,'26.07 NATEETE-BUSEGA'!K29,'27.07 NATEETE-BUSEGA'!K29,'28.07 BUSEGA-NATEETE'!K29)</f>
        <v>2.2857142857142856</v>
      </c>
      <c r="L29" s="49">
        <f>AVERAGE('22.07 NATEETE-BUSEGA'!L29,'23.07 NATEETE-BUSEGA'!L29,'24.07 NATEETE-BUSEGA'!L29,'25.07 NATEETE-BUSEGA'!L29,'26.07 NATEETE-BUSEGA'!L29,'27.07 NATEETE-BUSEGA'!L29,'28.07 BUSEGA-NATEETE'!L29)</f>
        <v>3.8571428571428572</v>
      </c>
      <c r="M29" s="49">
        <f>AVERAGE('22.07 NATEETE-BUSEGA'!M29,'23.07 NATEETE-BUSEGA'!M29,'24.07 NATEETE-BUSEGA'!M29,'25.07 NATEETE-BUSEGA'!M29,'26.07 NATEETE-BUSEGA'!M29,'27.07 NATEETE-BUSEGA'!M29,'28.07 BUSEGA-NATEETE'!M29)</f>
        <v>190.57142857142858</v>
      </c>
      <c r="N29" s="49">
        <f>AVERAGE('22.07 NATEETE-BUSEGA'!N29,'23.07 NATEETE-BUSEGA'!N29,'24.07 NATEETE-BUSEGA'!N29,'25.07 NATEETE-BUSEGA'!N29,'26.07 NATEETE-BUSEGA'!N29,'27.07 NATEETE-BUSEGA'!N29,'28.07 BUSEGA-NATEETE'!N29)</f>
        <v>0</v>
      </c>
      <c r="O29" s="15">
        <f t="shared" si="0"/>
        <v>138</v>
      </c>
      <c r="P29" s="15">
        <f t="shared" si="1"/>
        <v>328.57142857142856</v>
      </c>
      <c r="R29" s="1" t="s">
        <v>153</v>
      </c>
      <c r="S29" s="34">
        <f>SUM(C86:C89)</f>
        <v>64</v>
      </c>
      <c r="T29" s="34">
        <f t="shared" ref="T29:AD29" si="21">SUM(D86:D89)</f>
        <v>6</v>
      </c>
      <c r="U29" s="34">
        <f t="shared" si="21"/>
        <v>5.5</v>
      </c>
      <c r="V29" s="34">
        <f t="shared" si="21"/>
        <v>5</v>
      </c>
      <c r="W29" s="34">
        <f t="shared" si="21"/>
        <v>0</v>
      </c>
      <c r="X29" s="34">
        <f t="shared" si="21"/>
        <v>2.5</v>
      </c>
      <c r="Y29" s="34">
        <f t="shared" si="21"/>
        <v>8</v>
      </c>
      <c r="Z29" s="34">
        <f t="shared" si="21"/>
        <v>10.5</v>
      </c>
      <c r="AA29" s="34">
        <f t="shared" si="21"/>
        <v>1</v>
      </c>
      <c r="AB29" s="34">
        <f t="shared" si="21"/>
        <v>4</v>
      </c>
      <c r="AC29" s="34">
        <f t="shared" si="21"/>
        <v>173.5</v>
      </c>
      <c r="AD29" s="34">
        <f t="shared" si="21"/>
        <v>0</v>
      </c>
      <c r="AE29" s="31">
        <f t="shared" si="13"/>
        <v>509</v>
      </c>
      <c r="AF29" s="31">
        <f t="shared" si="13"/>
        <v>1661.5</v>
      </c>
    </row>
    <row r="30" spans="2:32" ht="23.1" customHeight="1" x14ac:dyDescent="0.25">
      <c r="B30" s="23" t="s">
        <v>57</v>
      </c>
      <c r="C30" s="49">
        <f>AVERAGE('22.07 NATEETE-BUSEGA'!C30,'23.07 NATEETE-BUSEGA'!C30,'24.07 NATEETE-BUSEGA'!C30,'25.07 NATEETE-BUSEGA'!C30,'26.07 NATEETE-BUSEGA'!C30,'27.07 NATEETE-BUSEGA'!C30,'28.07 BUSEGA-NATEETE'!C30)</f>
        <v>57.714285714285715</v>
      </c>
      <c r="D30" s="49">
        <f>AVERAGE('22.07 NATEETE-BUSEGA'!D30,'23.07 NATEETE-BUSEGA'!D30,'24.07 NATEETE-BUSEGA'!D30,'25.07 NATEETE-BUSEGA'!D30,'26.07 NATEETE-BUSEGA'!D30,'27.07 NATEETE-BUSEGA'!D30,'28.07 BUSEGA-NATEETE'!D30)</f>
        <v>12.142857142857142</v>
      </c>
      <c r="E30" s="49">
        <f>AVERAGE('22.07 NATEETE-BUSEGA'!E30,'23.07 NATEETE-BUSEGA'!E30,'24.07 NATEETE-BUSEGA'!E30,'25.07 NATEETE-BUSEGA'!E30,'26.07 NATEETE-BUSEGA'!E30,'27.07 NATEETE-BUSEGA'!E30,'28.07 BUSEGA-NATEETE'!E30)</f>
        <v>7.7142857142857144</v>
      </c>
      <c r="F30" s="49">
        <f>AVERAGE('22.07 NATEETE-BUSEGA'!F30,'23.07 NATEETE-BUSEGA'!F30,'24.07 NATEETE-BUSEGA'!F30,'25.07 NATEETE-BUSEGA'!F30,'26.07 NATEETE-BUSEGA'!F30,'27.07 NATEETE-BUSEGA'!F30,'28.07 BUSEGA-NATEETE'!F30)</f>
        <v>54.428571428571431</v>
      </c>
      <c r="G30" s="49">
        <f>AVERAGE('22.07 NATEETE-BUSEGA'!G30,'23.07 NATEETE-BUSEGA'!G30,'24.07 NATEETE-BUSEGA'!G30,'25.07 NATEETE-BUSEGA'!G30,'26.07 NATEETE-BUSEGA'!G30,'27.07 NATEETE-BUSEGA'!G30,'28.07 BUSEGA-NATEETE'!G30)</f>
        <v>1.4285714285714286</v>
      </c>
      <c r="H30" s="49">
        <f>AVERAGE('22.07 NATEETE-BUSEGA'!H30,'23.07 NATEETE-BUSEGA'!H30,'24.07 NATEETE-BUSEGA'!H30,'25.07 NATEETE-BUSEGA'!H30,'26.07 NATEETE-BUSEGA'!H30,'27.07 NATEETE-BUSEGA'!H30,'28.07 BUSEGA-NATEETE'!H30)</f>
        <v>1.2857142857142858</v>
      </c>
      <c r="I30" s="49">
        <f>AVERAGE('22.07 NATEETE-BUSEGA'!I30,'23.07 NATEETE-BUSEGA'!I30,'24.07 NATEETE-BUSEGA'!I30,'25.07 NATEETE-BUSEGA'!I30,'26.07 NATEETE-BUSEGA'!I30,'27.07 NATEETE-BUSEGA'!I30,'28.07 BUSEGA-NATEETE'!I30)</f>
        <v>10</v>
      </c>
      <c r="J30" s="49">
        <f>AVERAGE('22.07 NATEETE-BUSEGA'!J30,'23.07 NATEETE-BUSEGA'!J30,'24.07 NATEETE-BUSEGA'!J30,'25.07 NATEETE-BUSEGA'!J30,'26.07 NATEETE-BUSEGA'!J30,'27.07 NATEETE-BUSEGA'!J30,'28.07 BUSEGA-NATEETE'!J30)</f>
        <v>6.1428571428571432</v>
      </c>
      <c r="K30" s="49">
        <f>AVERAGE('22.07 NATEETE-BUSEGA'!K30,'23.07 NATEETE-BUSEGA'!K30,'24.07 NATEETE-BUSEGA'!K30,'25.07 NATEETE-BUSEGA'!K30,'26.07 NATEETE-BUSEGA'!K30,'27.07 NATEETE-BUSEGA'!K30,'28.07 BUSEGA-NATEETE'!K30)</f>
        <v>2.8571428571428572</v>
      </c>
      <c r="L30" s="49">
        <f>AVERAGE('22.07 NATEETE-BUSEGA'!L30,'23.07 NATEETE-BUSEGA'!L30,'24.07 NATEETE-BUSEGA'!L30,'25.07 NATEETE-BUSEGA'!L30,'26.07 NATEETE-BUSEGA'!L30,'27.07 NATEETE-BUSEGA'!L30,'28.07 BUSEGA-NATEETE'!L30)</f>
        <v>2.1428571428571428</v>
      </c>
      <c r="M30" s="49">
        <f>AVERAGE('22.07 NATEETE-BUSEGA'!M30,'23.07 NATEETE-BUSEGA'!M30,'24.07 NATEETE-BUSEGA'!M30,'25.07 NATEETE-BUSEGA'!M30,'26.07 NATEETE-BUSEGA'!M30,'27.07 NATEETE-BUSEGA'!M30,'28.07 BUSEGA-NATEETE'!M30)</f>
        <v>157.57142857142858</v>
      </c>
      <c r="N30" s="49">
        <f>AVERAGE('22.07 NATEETE-BUSEGA'!N30,'23.07 NATEETE-BUSEGA'!N30,'24.07 NATEETE-BUSEGA'!N30,'25.07 NATEETE-BUSEGA'!N30,'26.07 NATEETE-BUSEGA'!N30,'27.07 NATEETE-BUSEGA'!N30,'28.07 BUSEGA-NATEETE'!N30)</f>
        <v>0</v>
      </c>
      <c r="O30" s="15">
        <f t="shared" si="0"/>
        <v>155.85714285714283</v>
      </c>
      <c r="P30" s="15">
        <f t="shared" si="1"/>
        <v>313.42857142857144</v>
      </c>
      <c r="R30" s="1" t="s">
        <v>154</v>
      </c>
      <c r="S30" s="34">
        <f>SUM(C90:C93)</f>
        <v>71.5</v>
      </c>
      <c r="T30" s="34">
        <f t="shared" ref="T30:AD30" si="22">SUM(D90:D93)</f>
        <v>7.5</v>
      </c>
      <c r="U30" s="34">
        <f t="shared" si="22"/>
        <v>8.5</v>
      </c>
      <c r="V30" s="34">
        <f t="shared" si="22"/>
        <v>5.5</v>
      </c>
      <c r="W30" s="34">
        <f t="shared" si="22"/>
        <v>0</v>
      </c>
      <c r="X30" s="34">
        <f t="shared" si="22"/>
        <v>2</v>
      </c>
      <c r="Y30" s="34">
        <f t="shared" si="22"/>
        <v>5</v>
      </c>
      <c r="Z30" s="34">
        <f t="shared" si="22"/>
        <v>5.5</v>
      </c>
      <c r="AA30" s="34">
        <f t="shared" si="22"/>
        <v>3.5</v>
      </c>
      <c r="AB30" s="34">
        <f t="shared" si="22"/>
        <v>0.5</v>
      </c>
      <c r="AC30" s="34">
        <f t="shared" si="22"/>
        <v>176</v>
      </c>
      <c r="AD30" s="34">
        <f t="shared" si="22"/>
        <v>0</v>
      </c>
      <c r="AE30" s="31">
        <f t="shared" si="13"/>
        <v>506</v>
      </c>
      <c r="AF30" s="31">
        <f t="shared" si="13"/>
        <v>1709.5</v>
      </c>
    </row>
    <row r="31" spans="2:32" ht="23.1" customHeight="1" x14ac:dyDescent="0.25">
      <c r="B31" s="24" t="s">
        <v>58</v>
      </c>
      <c r="C31" s="49">
        <f>AVERAGE('22.07 NATEETE-BUSEGA'!C31,'23.07 NATEETE-BUSEGA'!C31,'24.07 NATEETE-BUSEGA'!C31,'25.07 NATEETE-BUSEGA'!C31,'26.07 NATEETE-BUSEGA'!C31,'27.07 NATEETE-BUSEGA'!C31,'28.07 BUSEGA-NATEETE'!C31)</f>
        <v>36.857142857142854</v>
      </c>
      <c r="D31" s="49">
        <f>AVERAGE('22.07 NATEETE-BUSEGA'!D31,'23.07 NATEETE-BUSEGA'!D31,'24.07 NATEETE-BUSEGA'!D31,'25.07 NATEETE-BUSEGA'!D31,'26.07 NATEETE-BUSEGA'!D31,'27.07 NATEETE-BUSEGA'!D31,'28.07 BUSEGA-NATEETE'!D31)</f>
        <v>7.5714285714285712</v>
      </c>
      <c r="E31" s="49">
        <f>AVERAGE('22.07 NATEETE-BUSEGA'!E31,'23.07 NATEETE-BUSEGA'!E31,'24.07 NATEETE-BUSEGA'!E31,'25.07 NATEETE-BUSEGA'!E31,'26.07 NATEETE-BUSEGA'!E31,'27.07 NATEETE-BUSEGA'!E31,'28.07 BUSEGA-NATEETE'!E31)</f>
        <v>8.8571428571428577</v>
      </c>
      <c r="F31" s="49">
        <f>AVERAGE('22.07 NATEETE-BUSEGA'!F31,'23.07 NATEETE-BUSEGA'!F31,'24.07 NATEETE-BUSEGA'!F31,'25.07 NATEETE-BUSEGA'!F31,'26.07 NATEETE-BUSEGA'!F31,'27.07 NATEETE-BUSEGA'!F31,'28.07 BUSEGA-NATEETE'!F31)</f>
        <v>43.428571428571431</v>
      </c>
      <c r="G31" s="49">
        <f>AVERAGE('22.07 NATEETE-BUSEGA'!G31,'23.07 NATEETE-BUSEGA'!G31,'24.07 NATEETE-BUSEGA'!G31,'25.07 NATEETE-BUSEGA'!G31,'26.07 NATEETE-BUSEGA'!G31,'27.07 NATEETE-BUSEGA'!G31,'28.07 BUSEGA-NATEETE'!G31)</f>
        <v>1</v>
      </c>
      <c r="H31" s="49">
        <f>AVERAGE('22.07 NATEETE-BUSEGA'!H31,'23.07 NATEETE-BUSEGA'!H31,'24.07 NATEETE-BUSEGA'!H31,'25.07 NATEETE-BUSEGA'!H31,'26.07 NATEETE-BUSEGA'!H31,'27.07 NATEETE-BUSEGA'!H31,'28.07 BUSEGA-NATEETE'!H31)</f>
        <v>1.5714285714285714</v>
      </c>
      <c r="I31" s="49">
        <f>AVERAGE('22.07 NATEETE-BUSEGA'!I31,'23.07 NATEETE-BUSEGA'!I31,'24.07 NATEETE-BUSEGA'!I31,'25.07 NATEETE-BUSEGA'!I31,'26.07 NATEETE-BUSEGA'!I31,'27.07 NATEETE-BUSEGA'!I31,'28.07 BUSEGA-NATEETE'!I31)</f>
        <v>9.2857142857142865</v>
      </c>
      <c r="J31" s="49">
        <f>AVERAGE('22.07 NATEETE-BUSEGA'!J31,'23.07 NATEETE-BUSEGA'!J31,'24.07 NATEETE-BUSEGA'!J31,'25.07 NATEETE-BUSEGA'!J31,'26.07 NATEETE-BUSEGA'!J31,'27.07 NATEETE-BUSEGA'!J31,'28.07 BUSEGA-NATEETE'!J31)</f>
        <v>7.2857142857142856</v>
      </c>
      <c r="K31" s="49">
        <f>AVERAGE('22.07 NATEETE-BUSEGA'!K31,'23.07 NATEETE-BUSEGA'!K31,'24.07 NATEETE-BUSEGA'!K31,'25.07 NATEETE-BUSEGA'!K31,'26.07 NATEETE-BUSEGA'!K31,'27.07 NATEETE-BUSEGA'!K31,'28.07 BUSEGA-NATEETE'!K31)</f>
        <v>2.1428571428571428</v>
      </c>
      <c r="L31" s="49">
        <f>AVERAGE('22.07 NATEETE-BUSEGA'!L31,'23.07 NATEETE-BUSEGA'!L31,'24.07 NATEETE-BUSEGA'!L31,'25.07 NATEETE-BUSEGA'!L31,'26.07 NATEETE-BUSEGA'!L31,'27.07 NATEETE-BUSEGA'!L31,'28.07 BUSEGA-NATEETE'!L31)</f>
        <v>3.2857142857142856</v>
      </c>
      <c r="M31" s="49">
        <f>AVERAGE('22.07 NATEETE-BUSEGA'!M31,'23.07 NATEETE-BUSEGA'!M31,'24.07 NATEETE-BUSEGA'!M31,'25.07 NATEETE-BUSEGA'!M31,'26.07 NATEETE-BUSEGA'!M31,'27.07 NATEETE-BUSEGA'!M31,'28.07 BUSEGA-NATEETE'!M31)</f>
        <v>198.14285714285714</v>
      </c>
      <c r="N31" s="49">
        <f>AVERAGE('22.07 NATEETE-BUSEGA'!N31,'23.07 NATEETE-BUSEGA'!N31,'24.07 NATEETE-BUSEGA'!N31,'25.07 NATEETE-BUSEGA'!N31,'26.07 NATEETE-BUSEGA'!N31,'27.07 NATEETE-BUSEGA'!N31,'28.07 BUSEGA-NATEETE'!N31)</f>
        <v>0</v>
      </c>
      <c r="O31" s="15">
        <f t="shared" si="0"/>
        <v>121.28571428571429</v>
      </c>
      <c r="P31" s="15">
        <f t="shared" si="1"/>
        <v>319.42857142857144</v>
      </c>
      <c r="R31" s="1" t="s">
        <v>155</v>
      </c>
      <c r="S31" s="34">
        <f>SUM(C94:C97)</f>
        <v>75.5</v>
      </c>
      <c r="T31" s="34">
        <f t="shared" ref="T31:AD31" si="23">SUM(D94:D97)</f>
        <v>5.5</v>
      </c>
      <c r="U31" s="34">
        <f t="shared" si="23"/>
        <v>9.5</v>
      </c>
      <c r="V31" s="34">
        <f t="shared" si="23"/>
        <v>16</v>
      </c>
      <c r="W31" s="34">
        <f t="shared" si="23"/>
        <v>1</v>
      </c>
      <c r="X31" s="34">
        <f t="shared" si="23"/>
        <v>1.5</v>
      </c>
      <c r="Y31" s="34">
        <f t="shared" si="23"/>
        <v>7</v>
      </c>
      <c r="Z31" s="34">
        <f t="shared" si="23"/>
        <v>4.5</v>
      </c>
      <c r="AA31" s="34">
        <f t="shared" si="23"/>
        <v>1.5</v>
      </c>
      <c r="AB31" s="34">
        <f t="shared" si="23"/>
        <v>0</v>
      </c>
      <c r="AC31" s="34">
        <f t="shared" si="23"/>
        <v>153</v>
      </c>
      <c r="AD31" s="34">
        <f t="shared" si="23"/>
        <v>0</v>
      </c>
      <c r="AE31" s="31">
        <f t="shared" si="13"/>
        <v>488</v>
      </c>
      <c r="AF31" s="31">
        <f t="shared" si="13"/>
        <v>1719</v>
      </c>
    </row>
    <row r="32" spans="2:32" ht="23.1" customHeight="1" x14ac:dyDescent="0.25">
      <c r="B32" s="24" t="s">
        <v>59</v>
      </c>
      <c r="C32" s="49">
        <f>AVERAGE('22.07 NATEETE-BUSEGA'!C32,'23.07 NATEETE-BUSEGA'!C32,'24.07 NATEETE-BUSEGA'!C32,'25.07 NATEETE-BUSEGA'!C32,'26.07 NATEETE-BUSEGA'!C32,'27.07 NATEETE-BUSEGA'!C32,'28.07 BUSEGA-NATEETE'!C32)</f>
        <v>46.571428571428569</v>
      </c>
      <c r="D32" s="49">
        <f>AVERAGE('22.07 NATEETE-BUSEGA'!D32,'23.07 NATEETE-BUSEGA'!D32,'24.07 NATEETE-BUSEGA'!D32,'25.07 NATEETE-BUSEGA'!D32,'26.07 NATEETE-BUSEGA'!D32,'27.07 NATEETE-BUSEGA'!D32,'28.07 BUSEGA-NATEETE'!D32)</f>
        <v>8.1428571428571423</v>
      </c>
      <c r="E32" s="49">
        <f>AVERAGE('22.07 NATEETE-BUSEGA'!E32,'23.07 NATEETE-BUSEGA'!E32,'24.07 NATEETE-BUSEGA'!E32,'25.07 NATEETE-BUSEGA'!E32,'26.07 NATEETE-BUSEGA'!E32,'27.07 NATEETE-BUSEGA'!E32,'28.07 BUSEGA-NATEETE'!E32)</f>
        <v>6.8571428571428568</v>
      </c>
      <c r="F32" s="49">
        <f>AVERAGE('22.07 NATEETE-BUSEGA'!F32,'23.07 NATEETE-BUSEGA'!F32,'24.07 NATEETE-BUSEGA'!F32,'25.07 NATEETE-BUSEGA'!F32,'26.07 NATEETE-BUSEGA'!F32,'27.07 NATEETE-BUSEGA'!F32,'28.07 BUSEGA-NATEETE'!F32)</f>
        <v>55</v>
      </c>
      <c r="G32" s="49">
        <f>AVERAGE('22.07 NATEETE-BUSEGA'!G32,'23.07 NATEETE-BUSEGA'!G32,'24.07 NATEETE-BUSEGA'!G32,'25.07 NATEETE-BUSEGA'!G32,'26.07 NATEETE-BUSEGA'!G32,'27.07 NATEETE-BUSEGA'!G32,'28.07 BUSEGA-NATEETE'!G32)</f>
        <v>1.4285714285714286</v>
      </c>
      <c r="H32" s="49">
        <f>AVERAGE('22.07 NATEETE-BUSEGA'!H32,'23.07 NATEETE-BUSEGA'!H32,'24.07 NATEETE-BUSEGA'!H32,'25.07 NATEETE-BUSEGA'!H32,'26.07 NATEETE-BUSEGA'!H32,'27.07 NATEETE-BUSEGA'!H32,'28.07 BUSEGA-NATEETE'!H32)</f>
        <v>1.2857142857142858</v>
      </c>
      <c r="I32" s="49">
        <f>AVERAGE('22.07 NATEETE-BUSEGA'!I32,'23.07 NATEETE-BUSEGA'!I32,'24.07 NATEETE-BUSEGA'!I32,'25.07 NATEETE-BUSEGA'!I32,'26.07 NATEETE-BUSEGA'!I32,'27.07 NATEETE-BUSEGA'!I32,'28.07 BUSEGA-NATEETE'!I32)</f>
        <v>10.857142857142858</v>
      </c>
      <c r="J32" s="49">
        <f>AVERAGE('22.07 NATEETE-BUSEGA'!J32,'23.07 NATEETE-BUSEGA'!J32,'24.07 NATEETE-BUSEGA'!J32,'25.07 NATEETE-BUSEGA'!J32,'26.07 NATEETE-BUSEGA'!J32,'27.07 NATEETE-BUSEGA'!J32,'28.07 BUSEGA-NATEETE'!J32)</f>
        <v>4.7142857142857144</v>
      </c>
      <c r="K32" s="49">
        <f>AVERAGE('22.07 NATEETE-BUSEGA'!K32,'23.07 NATEETE-BUSEGA'!K32,'24.07 NATEETE-BUSEGA'!K32,'25.07 NATEETE-BUSEGA'!K32,'26.07 NATEETE-BUSEGA'!K32,'27.07 NATEETE-BUSEGA'!K32,'28.07 BUSEGA-NATEETE'!K32)</f>
        <v>2.7142857142857144</v>
      </c>
      <c r="L32" s="49">
        <f>AVERAGE('22.07 NATEETE-BUSEGA'!L32,'23.07 NATEETE-BUSEGA'!L32,'24.07 NATEETE-BUSEGA'!L32,'25.07 NATEETE-BUSEGA'!L32,'26.07 NATEETE-BUSEGA'!L32,'27.07 NATEETE-BUSEGA'!L32,'28.07 BUSEGA-NATEETE'!L32)</f>
        <v>2.7142857142857144</v>
      </c>
      <c r="M32" s="49">
        <f>AVERAGE('22.07 NATEETE-BUSEGA'!M32,'23.07 NATEETE-BUSEGA'!M32,'24.07 NATEETE-BUSEGA'!M32,'25.07 NATEETE-BUSEGA'!M32,'26.07 NATEETE-BUSEGA'!M32,'27.07 NATEETE-BUSEGA'!M32,'28.07 BUSEGA-NATEETE'!M32)</f>
        <v>172.57142857142858</v>
      </c>
      <c r="N32" s="49">
        <f>AVERAGE('22.07 NATEETE-BUSEGA'!N32,'23.07 NATEETE-BUSEGA'!N32,'24.07 NATEETE-BUSEGA'!N32,'25.07 NATEETE-BUSEGA'!N32,'26.07 NATEETE-BUSEGA'!N32,'27.07 NATEETE-BUSEGA'!N32,'28.07 BUSEGA-NATEETE'!N32)</f>
        <v>0</v>
      </c>
      <c r="O32" s="15">
        <f t="shared" si="0"/>
        <v>140.28571428571431</v>
      </c>
      <c r="P32" s="15">
        <f t="shared" si="1"/>
        <v>312.85714285714289</v>
      </c>
      <c r="R32" s="1" t="s">
        <v>156</v>
      </c>
      <c r="S32" s="34">
        <f>SUM(C98:C101)</f>
        <v>74</v>
      </c>
      <c r="T32" s="34">
        <f t="shared" ref="T32:AD32" si="24">SUM(D98:D101)</f>
        <v>8</v>
      </c>
      <c r="U32" s="34">
        <f t="shared" si="24"/>
        <v>12</v>
      </c>
      <c r="V32" s="34">
        <f t="shared" si="24"/>
        <v>45</v>
      </c>
      <c r="W32" s="34">
        <f t="shared" si="24"/>
        <v>0</v>
      </c>
      <c r="X32" s="34">
        <f t="shared" si="24"/>
        <v>6</v>
      </c>
      <c r="Y32" s="34">
        <f t="shared" si="24"/>
        <v>12</v>
      </c>
      <c r="Z32" s="34">
        <f t="shared" si="24"/>
        <v>5.5</v>
      </c>
      <c r="AA32" s="34">
        <f t="shared" si="24"/>
        <v>3</v>
      </c>
      <c r="AB32" s="34">
        <f t="shared" si="24"/>
        <v>4.5</v>
      </c>
      <c r="AC32" s="34">
        <f t="shared" si="24"/>
        <v>203</v>
      </c>
      <c r="AD32" s="34">
        <f t="shared" si="24"/>
        <v>0</v>
      </c>
      <c r="AE32" s="31">
        <f t="shared" si="13"/>
        <v>477</v>
      </c>
      <c r="AF32" s="31">
        <f t="shared" si="13"/>
        <v>1701.5</v>
      </c>
    </row>
    <row r="33" spans="2:32" ht="23.1" customHeight="1" x14ac:dyDescent="0.25">
      <c r="B33" s="23" t="s">
        <v>60</v>
      </c>
      <c r="C33" s="49">
        <f>AVERAGE('22.07 NATEETE-BUSEGA'!C33,'23.07 NATEETE-BUSEGA'!C33,'24.07 NATEETE-BUSEGA'!C33,'25.07 NATEETE-BUSEGA'!C33,'26.07 NATEETE-BUSEGA'!C33,'27.07 NATEETE-BUSEGA'!C33,'28.07 BUSEGA-NATEETE'!C33)</f>
        <v>43.142857142857146</v>
      </c>
      <c r="D33" s="49">
        <f>AVERAGE('22.07 NATEETE-BUSEGA'!D33,'23.07 NATEETE-BUSEGA'!D33,'24.07 NATEETE-BUSEGA'!D33,'25.07 NATEETE-BUSEGA'!D33,'26.07 NATEETE-BUSEGA'!D33,'27.07 NATEETE-BUSEGA'!D33,'28.07 BUSEGA-NATEETE'!D33)</f>
        <v>9.7142857142857135</v>
      </c>
      <c r="E33" s="49">
        <f>AVERAGE('22.07 NATEETE-BUSEGA'!E33,'23.07 NATEETE-BUSEGA'!E33,'24.07 NATEETE-BUSEGA'!E33,'25.07 NATEETE-BUSEGA'!E33,'26.07 NATEETE-BUSEGA'!E33,'27.07 NATEETE-BUSEGA'!E33,'28.07 BUSEGA-NATEETE'!E33)</f>
        <v>7.4285714285714288</v>
      </c>
      <c r="F33" s="49">
        <f>AVERAGE('22.07 NATEETE-BUSEGA'!F33,'23.07 NATEETE-BUSEGA'!F33,'24.07 NATEETE-BUSEGA'!F33,'25.07 NATEETE-BUSEGA'!F33,'26.07 NATEETE-BUSEGA'!F33,'27.07 NATEETE-BUSEGA'!F33,'28.07 BUSEGA-NATEETE'!F33)</f>
        <v>47.571428571428569</v>
      </c>
      <c r="G33" s="49">
        <f>AVERAGE('22.07 NATEETE-BUSEGA'!G33,'23.07 NATEETE-BUSEGA'!G33,'24.07 NATEETE-BUSEGA'!G33,'25.07 NATEETE-BUSEGA'!G33,'26.07 NATEETE-BUSEGA'!G33,'27.07 NATEETE-BUSEGA'!G33,'28.07 BUSEGA-NATEETE'!G33)</f>
        <v>1.2857142857142858</v>
      </c>
      <c r="H33" s="49">
        <f>AVERAGE('22.07 NATEETE-BUSEGA'!H33,'23.07 NATEETE-BUSEGA'!H33,'24.07 NATEETE-BUSEGA'!H33,'25.07 NATEETE-BUSEGA'!H33,'26.07 NATEETE-BUSEGA'!H33,'27.07 NATEETE-BUSEGA'!H33,'28.07 BUSEGA-NATEETE'!H33)</f>
        <v>0.7142857142857143</v>
      </c>
      <c r="I33" s="49">
        <f>AVERAGE('22.07 NATEETE-BUSEGA'!I33,'23.07 NATEETE-BUSEGA'!I33,'24.07 NATEETE-BUSEGA'!I33,'25.07 NATEETE-BUSEGA'!I33,'26.07 NATEETE-BUSEGA'!I33,'27.07 NATEETE-BUSEGA'!I33,'28.07 BUSEGA-NATEETE'!I33)</f>
        <v>6.8571428571428568</v>
      </c>
      <c r="J33" s="49">
        <f>AVERAGE('22.07 NATEETE-BUSEGA'!J33,'23.07 NATEETE-BUSEGA'!J33,'24.07 NATEETE-BUSEGA'!J33,'25.07 NATEETE-BUSEGA'!J33,'26.07 NATEETE-BUSEGA'!J33,'27.07 NATEETE-BUSEGA'!J33,'28.07 BUSEGA-NATEETE'!J33)</f>
        <v>7.4285714285714288</v>
      </c>
      <c r="K33" s="49">
        <f>AVERAGE('22.07 NATEETE-BUSEGA'!K33,'23.07 NATEETE-BUSEGA'!K33,'24.07 NATEETE-BUSEGA'!K33,'25.07 NATEETE-BUSEGA'!K33,'26.07 NATEETE-BUSEGA'!K33,'27.07 NATEETE-BUSEGA'!K33,'28.07 BUSEGA-NATEETE'!K33)</f>
        <v>0.7142857142857143</v>
      </c>
      <c r="L33" s="49">
        <f>AVERAGE('22.07 NATEETE-BUSEGA'!L33,'23.07 NATEETE-BUSEGA'!L33,'24.07 NATEETE-BUSEGA'!L33,'25.07 NATEETE-BUSEGA'!L33,'26.07 NATEETE-BUSEGA'!L33,'27.07 NATEETE-BUSEGA'!L33,'28.07 BUSEGA-NATEETE'!L33)</f>
        <v>3.1428571428571428</v>
      </c>
      <c r="M33" s="49">
        <f>AVERAGE('22.07 NATEETE-BUSEGA'!M33,'23.07 NATEETE-BUSEGA'!M33,'24.07 NATEETE-BUSEGA'!M33,'25.07 NATEETE-BUSEGA'!M33,'26.07 NATEETE-BUSEGA'!M33,'27.07 NATEETE-BUSEGA'!M33,'28.07 BUSEGA-NATEETE'!M33)</f>
        <v>154.28571428571428</v>
      </c>
      <c r="N33" s="49">
        <f>AVERAGE('22.07 NATEETE-BUSEGA'!N33,'23.07 NATEETE-BUSEGA'!N33,'24.07 NATEETE-BUSEGA'!N33,'25.07 NATEETE-BUSEGA'!N33,'26.07 NATEETE-BUSEGA'!N33,'27.07 NATEETE-BUSEGA'!N33,'28.07 BUSEGA-NATEETE'!N33)</f>
        <v>0</v>
      </c>
      <c r="O33" s="15">
        <f t="shared" si="0"/>
        <v>128</v>
      </c>
      <c r="P33" s="15">
        <f t="shared" si="1"/>
        <v>282.28571428571428</v>
      </c>
      <c r="R33" s="1" t="s">
        <v>157</v>
      </c>
      <c r="S33" s="34">
        <f>SUM(C102:C105)</f>
        <v>118.5</v>
      </c>
      <c r="T33" s="34">
        <f t="shared" ref="T33:AD33" si="25">SUM(D102:D105)</f>
        <v>22.5</v>
      </c>
      <c r="U33" s="34">
        <f t="shared" si="25"/>
        <v>22.5</v>
      </c>
      <c r="V33" s="34">
        <f t="shared" si="25"/>
        <v>139</v>
      </c>
      <c r="W33" s="34">
        <f t="shared" si="25"/>
        <v>4.5</v>
      </c>
      <c r="X33" s="34">
        <f t="shared" si="25"/>
        <v>5.5</v>
      </c>
      <c r="Y33" s="34">
        <f t="shared" si="25"/>
        <v>23</v>
      </c>
      <c r="Z33" s="34">
        <f t="shared" si="25"/>
        <v>15</v>
      </c>
      <c r="AA33" s="34">
        <f t="shared" si="25"/>
        <v>7.5</v>
      </c>
      <c r="AB33" s="34">
        <f t="shared" si="25"/>
        <v>7</v>
      </c>
      <c r="AC33" s="34">
        <f t="shared" si="25"/>
        <v>391</v>
      </c>
      <c r="AD33" s="34">
        <f t="shared" si="25"/>
        <v>0</v>
      </c>
      <c r="AE33" s="31">
        <f t="shared" si="13"/>
        <v>432</v>
      </c>
      <c r="AF33" s="31">
        <f t="shared" si="13"/>
        <v>1660</v>
      </c>
    </row>
    <row r="34" spans="2:32" ht="23.1" customHeight="1" x14ac:dyDescent="0.25">
      <c r="B34" s="24" t="s">
        <v>61</v>
      </c>
      <c r="C34" s="49">
        <f>AVERAGE('22.07 NATEETE-BUSEGA'!C34,'23.07 NATEETE-BUSEGA'!C34,'24.07 NATEETE-BUSEGA'!C34,'25.07 NATEETE-BUSEGA'!C34,'26.07 NATEETE-BUSEGA'!C34,'27.07 NATEETE-BUSEGA'!C34,'28.07 BUSEGA-NATEETE'!C34)</f>
        <v>46.142857142857146</v>
      </c>
      <c r="D34" s="49">
        <f>AVERAGE('22.07 NATEETE-BUSEGA'!D34,'23.07 NATEETE-BUSEGA'!D34,'24.07 NATEETE-BUSEGA'!D34,'25.07 NATEETE-BUSEGA'!D34,'26.07 NATEETE-BUSEGA'!D34,'27.07 NATEETE-BUSEGA'!D34,'28.07 BUSEGA-NATEETE'!D34)</f>
        <v>9.4285714285714288</v>
      </c>
      <c r="E34" s="49">
        <f>AVERAGE('22.07 NATEETE-BUSEGA'!E34,'23.07 NATEETE-BUSEGA'!E34,'24.07 NATEETE-BUSEGA'!E34,'25.07 NATEETE-BUSEGA'!E34,'26.07 NATEETE-BUSEGA'!E34,'27.07 NATEETE-BUSEGA'!E34,'28.07 BUSEGA-NATEETE'!E34)</f>
        <v>10.285714285714286</v>
      </c>
      <c r="F34" s="49">
        <f>AVERAGE('22.07 NATEETE-BUSEGA'!F34,'23.07 NATEETE-BUSEGA'!F34,'24.07 NATEETE-BUSEGA'!F34,'25.07 NATEETE-BUSEGA'!F34,'26.07 NATEETE-BUSEGA'!F34,'27.07 NATEETE-BUSEGA'!F34,'28.07 BUSEGA-NATEETE'!F34)</f>
        <v>55.285714285714285</v>
      </c>
      <c r="G34" s="49">
        <f>AVERAGE('22.07 NATEETE-BUSEGA'!G34,'23.07 NATEETE-BUSEGA'!G34,'24.07 NATEETE-BUSEGA'!G34,'25.07 NATEETE-BUSEGA'!G34,'26.07 NATEETE-BUSEGA'!G34,'27.07 NATEETE-BUSEGA'!G34,'28.07 BUSEGA-NATEETE'!G34)</f>
        <v>1.1428571428571428</v>
      </c>
      <c r="H34" s="49">
        <f>AVERAGE('22.07 NATEETE-BUSEGA'!H34,'23.07 NATEETE-BUSEGA'!H34,'24.07 NATEETE-BUSEGA'!H34,'25.07 NATEETE-BUSEGA'!H34,'26.07 NATEETE-BUSEGA'!H34,'27.07 NATEETE-BUSEGA'!H34,'28.07 BUSEGA-NATEETE'!H34)</f>
        <v>0.42857142857142855</v>
      </c>
      <c r="I34" s="49">
        <f>AVERAGE('22.07 NATEETE-BUSEGA'!I34,'23.07 NATEETE-BUSEGA'!I34,'24.07 NATEETE-BUSEGA'!I34,'25.07 NATEETE-BUSEGA'!I34,'26.07 NATEETE-BUSEGA'!I34,'27.07 NATEETE-BUSEGA'!I34,'28.07 BUSEGA-NATEETE'!I34)</f>
        <v>9.2857142857142865</v>
      </c>
      <c r="J34" s="49">
        <f>AVERAGE('22.07 NATEETE-BUSEGA'!J34,'23.07 NATEETE-BUSEGA'!J34,'24.07 NATEETE-BUSEGA'!J34,'25.07 NATEETE-BUSEGA'!J34,'26.07 NATEETE-BUSEGA'!J34,'27.07 NATEETE-BUSEGA'!J34,'28.07 BUSEGA-NATEETE'!J34)</f>
        <v>6</v>
      </c>
      <c r="K34" s="49">
        <f>AVERAGE('22.07 NATEETE-BUSEGA'!K34,'23.07 NATEETE-BUSEGA'!K34,'24.07 NATEETE-BUSEGA'!K34,'25.07 NATEETE-BUSEGA'!K34,'26.07 NATEETE-BUSEGA'!K34,'27.07 NATEETE-BUSEGA'!K34,'28.07 BUSEGA-NATEETE'!K34)</f>
        <v>2.4285714285714284</v>
      </c>
      <c r="L34" s="49">
        <f>AVERAGE('22.07 NATEETE-BUSEGA'!L34,'23.07 NATEETE-BUSEGA'!L34,'24.07 NATEETE-BUSEGA'!L34,'25.07 NATEETE-BUSEGA'!L34,'26.07 NATEETE-BUSEGA'!L34,'27.07 NATEETE-BUSEGA'!L34,'28.07 BUSEGA-NATEETE'!L34)</f>
        <v>2.4285714285714284</v>
      </c>
      <c r="M34" s="49">
        <f>AVERAGE('22.07 NATEETE-BUSEGA'!M34,'23.07 NATEETE-BUSEGA'!M34,'24.07 NATEETE-BUSEGA'!M34,'25.07 NATEETE-BUSEGA'!M34,'26.07 NATEETE-BUSEGA'!M34,'27.07 NATEETE-BUSEGA'!M34,'28.07 BUSEGA-NATEETE'!M34)</f>
        <v>158.57142857142858</v>
      </c>
      <c r="N34" s="49">
        <f>AVERAGE('22.07 NATEETE-BUSEGA'!N34,'23.07 NATEETE-BUSEGA'!N34,'24.07 NATEETE-BUSEGA'!N34,'25.07 NATEETE-BUSEGA'!N34,'26.07 NATEETE-BUSEGA'!N34,'27.07 NATEETE-BUSEGA'!N34,'28.07 BUSEGA-NATEETE'!N34)</f>
        <v>0</v>
      </c>
      <c r="O34" s="15">
        <f t="shared" si="0"/>
        <v>142.85714285714283</v>
      </c>
      <c r="P34" s="15">
        <f t="shared" si="1"/>
        <v>301.42857142857144</v>
      </c>
      <c r="R34" s="38" t="s">
        <v>90</v>
      </c>
      <c r="S34" s="39">
        <f t="shared" ref="S34:AF34" si="26">MAX(S10:S12)</f>
        <v>197.85714285714286</v>
      </c>
      <c r="T34" s="39">
        <f t="shared" si="26"/>
        <v>38.285714285714285</v>
      </c>
      <c r="U34" s="39">
        <f t="shared" si="26"/>
        <v>26.428571428571431</v>
      </c>
      <c r="V34" s="39">
        <f t="shared" si="26"/>
        <v>280.42857142857144</v>
      </c>
      <c r="W34" s="39">
        <f t="shared" si="26"/>
        <v>11.571428571428573</v>
      </c>
      <c r="X34" s="39">
        <f t="shared" si="26"/>
        <v>7.4285714285714288</v>
      </c>
      <c r="Y34" s="39">
        <f t="shared" si="26"/>
        <v>33.571428571428569</v>
      </c>
      <c r="Z34" s="39">
        <f t="shared" si="26"/>
        <v>16</v>
      </c>
      <c r="AA34" s="39">
        <f t="shared" si="26"/>
        <v>6.7142857142857135</v>
      </c>
      <c r="AB34" s="39">
        <f t="shared" si="26"/>
        <v>7.1428571428571432</v>
      </c>
      <c r="AC34" s="39">
        <f t="shared" si="26"/>
        <v>903.28571428571433</v>
      </c>
      <c r="AD34" s="39">
        <f t="shared" si="26"/>
        <v>0.14285714285714285</v>
      </c>
      <c r="AE34" s="40">
        <f t="shared" si="26"/>
        <v>611.57142857142867</v>
      </c>
      <c r="AF34" s="40">
        <f t="shared" si="26"/>
        <v>1486.1428571428573</v>
      </c>
    </row>
    <row r="35" spans="2:32" ht="23.1" customHeight="1" x14ac:dyDescent="0.25">
      <c r="B35" s="24" t="s">
        <v>62</v>
      </c>
      <c r="C35" s="49">
        <f>AVERAGE('22.07 NATEETE-BUSEGA'!C35,'23.07 NATEETE-BUSEGA'!C35,'24.07 NATEETE-BUSEGA'!C35,'25.07 NATEETE-BUSEGA'!C35,'26.07 NATEETE-BUSEGA'!C35,'27.07 NATEETE-BUSEGA'!C35,'28.07 BUSEGA-NATEETE'!C35)</f>
        <v>45.857142857142854</v>
      </c>
      <c r="D35" s="49">
        <f>AVERAGE('22.07 NATEETE-BUSEGA'!D35,'23.07 NATEETE-BUSEGA'!D35,'24.07 NATEETE-BUSEGA'!D35,'25.07 NATEETE-BUSEGA'!D35,'26.07 NATEETE-BUSEGA'!D35,'27.07 NATEETE-BUSEGA'!D35,'28.07 BUSEGA-NATEETE'!D35)</f>
        <v>9.5714285714285712</v>
      </c>
      <c r="E35" s="49">
        <f>AVERAGE('22.07 NATEETE-BUSEGA'!E35,'23.07 NATEETE-BUSEGA'!E35,'24.07 NATEETE-BUSEGA'!E35,'25.07 NATEETE-BUSEGA'!E35,'26.07 NATEETE-BUSEGA'!E35,'27.07 NATEETE-BUSEGA'!E35,'28.07 BUSEGA-NATEETE'!E35)</f>
        <v>6.5714285714285712</v>
      </c>
      <c r="F35" s="49">
        <f>AVERAGE('22.07 NATEETE-BUSEGA'!F35,'23.07 NATEETE-BUSEGA'!F35,'24.07 NATEETE-BUSEGA'!F35,'25.07 NATEETE-BUSEGA'!F35,'26.07 NATEETE-BUSEGA'!F35,'27.07 NATEETE-BUSEGA'!F35,'28.07 BUSEGA-NATEETE'!F35)</f>
        <v>50.142857142857146</v>
      </c>
      <c r="G35" s="49">
        <f>AVERAGE('22.07 NATEETE-BUSEGA'!G35,'23.07 NATEETE-BUSEGA'!G35,'24.07 NATEETE-BUSEGA'!G35,'25.07 NATEETE-BUSEGA'!G35,'26.07 NATEETE-BUSEGA'!G35,'27.07 NATEETE-BUSEGA'!G35,'28.07 BUSEGA-NATEETE'!G35)</f>
        <v>1.4285714285714286</v>
      </c>
      <c r="H35" s="49">
        <f>AVERAGE('22.07 NATEETE-BUSEGA'!H35,'23.07 NATEETE-BUSEGA'!H35,'24.07 NATEETE-BUSEGA'!H35,'25.07 NATEETE-BUSEGA'!H35,'26.07 NATEETE-BUSEGA'!H35,'27.07 NATEETE-BUSEGA'!H35,'28.07 BUSEGA-NATEETE'!H35)</f>
        <v>0.8571428571428571</v>
      </c>
      <c r="I35" s="49">
        <f>AVERAGE('22.07 NATEETE-BUSEGA'!I35,'23.07 NATEETE-BUSEGA'!I35,'24.07 NATEETE-BUSEGA'!I35,'25.07 NATEETE-BUSEGA'!I35,'26.07 NATEETE-BUSEGA'!I35,'27.07 NATEETE-BUSEGA'!I35,'28.07 BUSEGA-NATEETE'!I35)</f>
        <v>7.7142857142857144</v>
      </c>
      <c r="J35" s="49">
        <f>AVERAGE('22.07 NATEETE-BUSEGA'!J35,'23.07 NATEETE-BUSEGA'!J35,'24.07 NATEETE-BUSEGA'!J35,'25.07 NATEETE-BUSEGA'!J35,'26.07 NATEETE-BUSEGA'!J35,'27.07 NATEETE-BUSEGA'!J35,'28.07 BUSEGA-NATEETE'!J35)</f>
        <v>5.7142857142857144</v>
      </c>
      <c r="K35" s="49">
        <f>AVERAGE('22.07 NATEETE-BUSEGA'!K35,'23.07 NATEETE-BUSEGA'!K35,'24.07 NATEETE-BUSEGA'!K35,'25.07 NATEETE-BUSEGA'!K35,'26.07 NATEETE-BUSEGA'!K35,'27.07 NATEETE-BUSEGA'!K35,'28.07 BUSEGA-NATEETE'!K35)</f>
        <v>1.5714285714285714</v>
      </c>
      <c r="L35" s="49">
        <f>AVERAGE('22.07 NATEETE-BUSEGA'!L35,'23.07 NATEETE-BUSEGA'!L35,'24.07 NATEETE-BUSEGA'!L35,'25.07 NATEETE-BUSEGA'!L35,'26.07 NATEETE-BUSEGA'!L35,'27.07 NATEETE-BUSEGA'!L35,'28.07 BUSEGA-NATEETE'!L35)</f>
        <v>2.1428571428571428</v>
      </c>
      <c r="M35" s="49">
        <f>AVERAGE('22.07 NATEETE-BUSEGA'!M35,'23.07 NATEETE-BUSEGA'!M35,'24.07 NATEETE-BUSEGA'!M35,'25.07 NATEETE-BUSEGA'!M35,'26.07 NATEETE-BUSEGA'!M35,'27.07 NATEETE-BUSEGA'!M35,'28.07 BUSEGA-NATEETE'!M35)</f>
        <v>181.14285714285714</v>
      </c>
      <c r="N35" s="49">
        <f>AVERAGE('22.07 NATEETE-BUSEGA'!N35,'23.07 NATEETE-BUSEGA'!N35,'24.07 NATEETE-BUSEGA'!N35,'25.07 NATEETE-BUSEGA'!N35,'26.07 NATEETE-BUSEGA'!N35,'27.07 NATEETE-BUSEGA'!N35,'28.07 BUSEGA-NATEETE'!N35)</f>
        <v>0</v>
      </c>
      <c r="O35" s="15">
        <f t="shared" si="0"/>
        <v>131.57142857142856</v>
      </c>
      <c r="P35" s="15">
        <f t="shared" si="1"/>
        <v>312.71428571428567</v>
      </c>
      <c r="R35" s="38" t="s">
        <v>91</v>
      </c>
      <c r="S35" s="39">
        <f t="shared" ref="S35:AF35" si="27">MAX(S13:S18)</f>
        <v>229.14285714285714</v>
      </c>
      <c r="T35" s="39">
        <f t="shared" si="27"/>
        <v>39.142857142857139</v>
      </c>
      <c r="U35" s="39">
        <f t="shared" si="27"/>
        <v>39</v>
      </c>
      <c r="V35" s="39">
        <f t="shared" si="27"/>
        <v>262</v>
      </c>
      <c r="W35" s="39">
        <f t="shared" si="27"/>
        <v>7.7142857142857135</v>
      </c>
      <c r="X35" s="39">
        <f t="shared" si="27"/>
        <v>7.1428571428571423</v>
      </c>
      <c r="Y35" s="39">
        <f t="shared" si="27"/>
        <v>50</v>
      </c>
      <c r="Z35" s="39">
        <f t="shared" si="27"/>
        <v>28.142857142857146</v>
      </c>
      <c r="AA35" s="39">
        <f t="shared" si="27"/>
        <v>9.2857142857142865</v>
      </c>
      <c r="AB35" s="39">
        <f t="shared" si="27"/>
        <v>14.571428571428571</v>
      </c>
      <c r="AC35" s="39">
        <f t="shared" si="27"/>
        <v>793.28571428571422</v>
      </c>
      <c r="AD35" s="39">
        <f t="shared" si="27"/>
        <v>7</v>
      </c>
      <c r="AE35" s="40">
        <f t="shared" si="27"/>
        <v>633.14285714285711</v>
      </c>
      <c r="AF35" s="40">
        <f t="shared" si="27"/>
        <v>1426.4285714285713</v>
      </c>
    </row>
    <row r="36" spans="2:32" ht="23.1" customHeight="1" x14ac:dyDescent="0.25">
      <c r="B36" s="24" t="s">
        <v>63</v>
      </c>
      <c r="C36" s="49">
        <f>AVERAGE('22.07 NATEETE-BUSEGA'!C36,'23.07 NATEETE-BUSEGA'!C36,'24.07 NATEETE-BUSEGA'!C36,'25.07 NATEETE-BUSEGA'!C36,'26.07 NATEETE-BUSEGA'!C36,'27.07 NATEETE-BUSEGA'!C36,'28.07 BUSEGA-NATEETE'!C36)</f>
        <v>45</v>
      </c>
      <c r="D36" s="49">
        <f>AVERAGE('22.07 NATEETE-BUSEGA'!D36,'23.07 NATEETE-BUSEGA'!D36,'24.07 NATEETE-BUSEGA'!D36,'25.07 NATEETE-BUSEGA'!D36,'26.07 NATEETE-BUSEGA'!D36,'27.07 NATEETE-BUSEGA'!D36,'28.07 BUSEGA-NATEETE'!D36)</f>
        <v>12.714285714285714</v>
      </c>
      <c r="E36" s="49">
        <f>AVERAGE('22.07 NATEETE-BUSEGA'!E36,'23.07 NATEETE-BUSEGA'!E36,'24.07 NATEETE-BUSEGA'!E36,'25.07 NATEETE-BUSEGA'!E36,'26.07 NATEETE-BUSEGA'!E36,'27.07 NATEETE-BUSEGA'!E36,'28.07 BUSEGA-NATEETE'!E36)</f>
        <v>7.5714285714285712</v>
      </c>
      <c r="F36" s="49">
        <f>AVERAGE('22.07 NATEETE-BUSEGA'!F36,'23.07 NATEETE-BUSEGA'!F36,'24.07 NATEETE-BUSEGA'!F36,'25.07 NATEETE-BUSEGA'!F36,'26.07 NATEETE-BUSEGA'!F36,'27.07 NATEETE-BUSEGA'!F36,'28.07 BUSEGA-NATEETE'!F36)</f>
        <v>48.714285714285715</v>
      </c>
      <c r="G36" s="49">
        <f>AVERAGE('22.07 NATEETE-BUSEGA'!G36,'23.07 NATEETE-BUSEGA'!G36,'24.07 NATEETE-BUSEGA'!G36,'25.07 NATEETE-BUSEGA'!G36,'26.07 NATEETE-BUSEGA'!G36,'27.07 NATEETE-BUSEGA'!G36,'28.07 BUSEGA-NATEETE'!G36)</f>
        <v>1.2857142857142858</v>
      </c>
      <c r="H36" s="49">
        <f>AVERAGE('22.07 NATEETE-BUSEGA'!H36,'23.07 NATEETE-BUSEGA'!H36,'24.07 NATEETE-BUSEGA'!H36,'25.07 NATEETE-BUSEGA'!H36,'26.07 NATEETE-BUSEGA'!H36,'27.07 NATEETE-BUSEGA'!H36,'28.07 BUSEGA-NATEETE'!H36)</f>
        <v>1</v>
      </c>
      <c r="I36" s="49">
        <f>AVERAGE('22.07 NATEETE-BUSEGA'!I36,'23.07 NATEETE-BUSEGA'!I36,'24.07 NATEETE-BUSEGA'!I36,'25.07 NATEETE-BUSEGA'!I36,'26.07 NATEETE-BUSEGA'!I36,'27.07 NATEETE-BUSEGA'!I36,'28.07 BUSEGA-NATEETE'!I36)</f>
        <v>8.2857142857142865</v>
      </c>
      <c r="J36" s="49">
        <f>AVERAGE('22.07 NATEETE-BUSEGA'!J36,'23.07 NATEETE-BUSEGA'!J36,'24.07 NATEETE-BUSEGA'!J36,'25.07 NATEETE-BUSEGA'!J36,'26.07 NATEETE-BUSEGA'!J36,'27.07 NATEETE-BUSEGA'!J36,'28.07 BUSEGA-NATEETE'!J36)</f>
        <v>6</v>
      </c>
      <c r="K36" s="49">
        <f>AVERAGE('22.07 NATEETE-BUSEGA'!K36,'23.07 NATEETE-BUSEGA'!K36,'24.07 NATEETE-BUSEGA'!K36,'25.07 NATEETE-BUSEGA'!K36,'26.07 NATEETE-BUSEGA'!K36,'27.07 NATEETE-BUSEGA'!K36,'28.07 BUSEGA-NATEETE'!K36)</f>
        <v>2</v>
      </c>
      <c r="L36" s="49">
        <f>AVERAGE('22.07 NATEETE-BUSEGA'!L36,'23.07 NATEETE-BUSEGA'!L36,'24.07 NATEETE-BUSEGA'!L36,'25.07 NATEETE-BUSEGA'!L36,'26.07 NATEETE-BUSEGA'!L36,'27.07 NATEETE-BUSEGA'!L36,'28.07 BUSEGA-NATEETE'!L36)</f>
        <v>2</v>
      </c>
      <c r="M36" s="49">
        <f>AVERAGE('22.07 NATEETE-BUSEGA'!M36,'23.07 NATEETE-BUSEGA'!M36,'24.07 NATEETE-BUSEGA'!M36,'25.07 NATEETE-BUSEGA'!M36,'26.07 NATEETE-BUSEGA'!M36,'27.07 NATEETE-BUSEGA'!M36,'28.07 BUSEGA-NATEETE'!M36)</f>
        <v>149.85714285714286</v>
      </c>
      <c r="N36" s="49">
        <f>AVERAGE('22.07 NATEETE-BUSEGA'!N36,'23.07 NATEETE-BUSEGA'!N36,'24.07 NATEETE-BUSEGA'!N36,'25.07 NATEETE-BUSEGA'!N36,'26.07 NATEETE-BUSEGA'!N36,'27.07 NATEETE-BUSEGA'!N36,'28.07 BUSEGA-NATEETE'!N36)</f>
        <v>0</v>
      </c>
      <c r="O36" s="15">
        <f t="shared" si="0"/>
        <v>134.57142857142858</v>
      </c>
      <c r="P36" s="15">
        <f t="shared" si="1"/>
        <v>284.42857142857144</v>
      </c>
      <c r="R36" s="38" t="s">
        <v>92</v>
      </c>
      <c r="S36" s="39">
        <f t="shared" ref="S36:AF36" si="28">MAX(S19:S21)</f>
        <v>221.85714285714286</v>
      </c>
      <c r="T36" s="39">
        <f t="shared" si="28"/>
        <v>30.714285714285712</v>
      </c>
      <c r="U36" s="39">
        <f t="shared" si="28"/>
        <v>38.428571428571431</v>
      </c>
      <c r="V36" s="39">
        <f t="shared" si="28"/>
        <v>225</v>
      </c>
      <c r="W36" s="39">
        <f t="shared" si="28"/>
        <v>10.571428571428571</v>
      </c>
      <c r="X36" s="39">
        <f t="shared" si="28"/>
        <v>5.2857142857142856</v>
      </c>
      <c r="Y36" s="39">
        <f t="shared" si="28"/>
        <v>37.285714285714292</v>
      </c>
      <c r="Z36" s="39">
        <f t="shared" si="28"/>
        <v>26.142857142857142</v>
      </c>
      <c r="AA36" s="39">
        <f t="shared" si="28"/>
        <v>9.428571428571427</v>
      </c>
      <c r="AB36" s="39">
        <f t="shared" si="28"/>
        <v>45.999999999999993</v>
      </c>
      <c r="AC36" s="39">
        <f t="shared" si="28"/>
        <v>914.28571428571422</v>
      </c>
      <c r="AD36" s="39">
        <f t="shared" si="28"/>
        <v>0.14285714285714285</v>
      </c>
      <c r="AE36" s="40">
        <f t="shared" si="28"/>
        <v>610.28571428571422</v>
      </c>
      <c r="AF36" s="40">
        <f t="shared" si="28"/>
        <v>1446.2857142857142</v>
      </c>
    </row>
    <row r="37" spans="2:32" ht="23.1" customHeight="1" x14ac:dyDescent="0.25">
      <c r="B37" s="23" t="s">
        <v>64</v>
      </c>
      <c r="C37" s="49">
        <f>AVERAGE('22.07 NATEETE-BUSEGA'!C37,'23.07 NATEETE-BUSEGA'!C37,'24.07 NATEETE-BUSEGA'!C37,'25.07 NATEETE-BUSEGA'!C37,'26.07 NATEETE-BUSEGA'!C37,'27.07 NATEETE-BUSEGA'!C37,'28.07 BUSEGA-NATEETE'!C37)</f>
        <v>40.571428571428569</v>
      </c>
      <c r="D37" s="49">
        <f>AVERAGE('22.07 NATEETE-BUSEGA'!D37,'23.07 NATEETE-BUSEGA'!D37,'24.07 NATEETE-BUSEGA'!D37,'25.07 NATEETE-BUSEGA'!D37,'26.07 NATEETE-BUSEGA'!D37,'27.07 NATEETE-BUSEGA'!D37,'28.07 BUSEGA-NATEETE'!D37)</f>
        <v>5.4285714285714288</v>
      </c>
      <c r="E37" s="49">
        <f>AVERAGE('22.07 NATEETE-BUSEGA'!E37,'23.07 NATEETE-BUSEGA'!E37,'24.07 NATEETE-BUSEGA'!E37,'25.07 NATEETE-BUSEGA'!E37,'26.07 NATEETE-BUSEGA'!E37,'27.07 NATEETE-BUSEGA'!E37,'28.07 BUSEGA-NATEETE'!E37)</f>
        <v>6.2857142857142856</v>
      </c>
      <c r="F37" s="49">
        <f>AVERAGE('22.07 NATEETE-BUSEGA'!F37,'23.07 NATEETE-BUSEGA'!F37,'24.07 NATEETE-BUSEGA'!F37,'25.07 NATEETE-BUSEGA'!F37,'26.07 NATEETE-BUSEGA'!F37,'27.07 NATEETE-BUSEGA'!F37,'28.07 BUSEGA-NATEETE'!F37)</f>
        <v>48.142857142857146</v>
      </c>
      <c r="G37" s="49">
        <f>AVERAGE('22.07 NATEETE-BUSEGA'!G37,'23.07 NATEETE-BUSEGA'!G37,'24.07 NATEETE-BUSEGA'!G37,'25.07 NATEETE-BUSEGA'!G37,'26.07 NATEETE-BUSEGA'!G37,'27.07 NATEETE-BUSEGA'!G37,'28.07 BUSEGA-NATEETE'!G37)</f>
        <v>1.7142857142857142</v>
      </c>
      <c r="H37" s="49">
        <f>AVERAGE('22.07 NATEETE-BUSEGA'!H37,'23.07 NATEETE-BUSEGA'!H37,'24.07 NATEETE-BUSEGA'!H37,'25.07 NATEETE-BUSEGA'!H37,'26.07 NATEETE-BUSEGA'!H37,'27.07 NATEETE-BUSEGA'!H37,'28.07 BUSEGA-NATEETE'!H37)</f>
        <v>1.7142857142857142</v>
      </c>
      <c r="I37" s="49">
        <f>AVERAGE('22.07 NATEETE-BUSEGA'!I37,'23.07 NATEETE-BUSEGA'!I37,'24.07 NATEETE-BUSEGA'!I37,'25.07 NATEETE-BUSEGA'!I37,'26.07 NATEETE-BUSEGA'!I37,'27.07 NATEETE-BUSEGA'!I37,'28.07 BUSEGA-NATEETE'!I37)</f>
        <v>9.5714285714285712</v>
      </c>
      <c r="J37" s="49">
        <f>AVERAGE('22.07 NATEETE-BUSEGA'!J37,'23.07 NATEETE-BUSEGA'!J37,'24.07 NATEETE-BUSEGA'!J37,'25.07 NATEETE-BUSEGA'!J37,'26.07 NATEETE-BUSEGA'!J37,'27.07 NATEETE-BUSEGA'!J37,'28.07 BUSEGA-NATEETE'!J37)</f>
        <v>6.7142857142857144</v>
      </c>
      <c r="K37" s="49">
        <f>AVERAGE('22.07 NATEETE-BUSEGA'!K37,'23.07 NATEETE-BUSEGA'!K37,'24.07 NATEETE-BUSEGA'!K37,'25.07 NATEETE-BUSEGA'!K37,'26.07 NATEETE-BUSEGA'!K37,'27.07 NATEETE-BUSEGA'!K37,'28.07 BUSEGA-NATEETE'!K37)</f>
        <v>1.1428571428571428</v>
      </c>
      <c r="L37" s="49">
        <f>AVERAGE('22.07 NATEETE-BUSEGA'!L37,'23.07 NATEETE-BUSEGA'!L37,'24.07 NATEETE-BUSEGA'!L37,'25.07 NATEETE-BUSEGA'!L37,'26.07 NATEETE-BUSEGA'!L37,'27.07 NATEETE-BUSEGA'!L37,'28.07 BUSEGA-NATEETE'!L37)</f>
        <v>2.2857142857142856</v>
      </c>
      <c r="M37" s="49">
        <f>AVERAGE('22.07 NATEETE-BUSEGA'!M37,'23.07 NATEETE-BUSEGA'!M37,'24.07 NATEETE-BUSEGA'!M37,'25.07 NATEETE-BUSEGA'!M37,'26.07 NATEETE-BUSEGA'!M37,'27.07 NATEETE-BUSEGA'!M37,'28.07 BUSEGA-NATEETE'!M37)</f>
        <v>155.57142857142858</v>
      </c>
      <c r="N37" s="49">
        <f>AVERAGE('22.07 NATEETE-BUSEGA'!N37,'23.07 NATEETE-BUSEGA'!N37,'24.07 NATEETE-BUSEGA'!N37,'25.07 NATEETE-BUSEGA'!N37,'26.07 NATEETE-BUSEGA'!N37,'27.07 NATEETE-BUSEGA'!N37,'28.07 BUSEGA-NATEETE'!N37)</f>
        <v>7</v>
      </c>
      <c r="O37" s="15">
        <f t="shared" si="0"/>
        <v>130.57142857142856</v>
      </c>
      <c r="P37" s="15">
        <f t="shared" si="1"/>
        <v>286.14285714285711</v>
      </c>
      <c r="R37" s="37" t="s">
        <v>85</v>
      </c>
      <c r="S37" s="35">
        <f t="shared" ref="S37:AF37" si="29">SUM(S10:S12)</f>
        <v>517.85714285714289</v>
      </c>
      <c r="T37" s="16">
        <f t="shared" si="29"/>
        <v>95.285714285714278</v>
      </c>
      <c r="U37" s="16">
        <f t="shared" si="29"/>
        <v>69.857142857142861</v>
      </c>
      <c r="V37" s="16">
        <f t="shared" si="29"/>
        <v>718.57142857142856</v>
      </c>
      <c r="W37" s="16">
        <f t="shared" si="29"/>
        <v>21</v>
      </c>
      <c r="X37" s="16">
        <f t="shared" si="29"/>
        <v>19.428571428571431</v>
      </c>
      <c r="Y37" s="16">
        <f t="shared" si="29"/>
        <v>94.285714285714278</v>
      </c>
      <c r="Z37" s="16">
        <f t="shared" si="29"/>
        <v>45.857142857142861</v>
      </c>
      <c r="AA37" s="16">
        <f t="shared" si="29"/>
        <v>18.285714285714285</v>
      </c>
      <c r="AB37" s="16">
        <f t="shared" si="29"/>
        <v>18.857142857142858</v>
      </c>
      <c r="AC37" s="16">
        <f t="shared" si="29"/>
        <v>2428.1428571428569</v>
      </c>
      <c r="AD37" s="16">
        <f t="shared" si="29"/>
        <v>0.14285714285714285</v>
      </c>
      <c r="AE37" s="32">
        <f t="shared" si="29"/>
        <v>1619.4285714285716</v>
      </c>
      <c r="AF37" s="32">
        <f t="shared" si="29"/>
        <v>4047.5714285714284</v>
      </c>
    </row>
    <row r="38" spans="2:32" ht="23.1" customHeight="1" x14ac:dyDescent="0.25">
      <c r="B38" s="24" t="s">
        <v>65</v>
      </c>
      <c r="C38" s="49">
        <f>AVERAGE('22.07 NATEETE-BUSEGA'!C38,'23.07 NATEETE-BUSEGA'!C38,'24.07 NATEETE-BUSEGA'!C38,'25.07 NATEETE-BUSEGA'!C38,'26.07 NATEETE-BUSEGA'!C38,'27.07 NATEETE-BUSEGA'!C38,'28.07 BUSEGA-NATEETE'!C38)</f>
        <v>42.714285714285715</v>
      </c>
      <c r="D38" s="49">
        <f>AVERAGE('22.07 NATEETE-BUSEGA'!D38,'23.07 NATEETE-BUSEGA'!D38,'24.07 NATEETE-BUSEGA'!D38,'25.07 NATEETE-BUSEGA'!D38,'26.07 NATEETE-BUSEGA'!D38,'27.07 NATEETE-BUSEGA'!D38,'28.07 BUSEGA-NATEETE'!D38)</f>
        <v>11</v>
      </c>
      <c r="E38" s="49">
        <f>AVERAGE('22.07 NATEETE-BUSEGA'!E38,'23.07 NATEETE-BUSEGA'!E38,'24.07 NATEETE-BUSEGA'!E38,'25.07 NATEETE-BUSEGA'!E38,'26.07 NATEETE-BUSEGA'!E38,'27.07 NATEETE-BUSEGA'!E38,'28.07 BUSEGA-NATEETE'!E38)</f>
        <v>9</v>
      </c>
      <c r="F38" s="49">
        <f>AVERAGE('22.07 NATEETE-BUSEGA'!F38,'23.07 NATEETE-BUSEGA'!F38,'24.07 NATEETE-BUSEGA'!F38,'25.07 NATEETE-BUSEGA'!F38,'26.07 NATEETE-BUSEGA'!F38,'27.07 NATEETE-BUSEGA'!F38,'28.07 BUSEGA-NATEETE'!F38)</f>
        <v>46.428571428571431</v>
      </c>
      <c r="G38" s="49">
        <f>AVERAGE('22.07 NATEETE-BUSEGA'!G38,'23.07 NATEETE-BUSEGA'!G38,'24.07 NATEETE-BUSEGA'!G38,'25.07 NATEETE-BUSEGA'!G38,'26.07 NATEETE-BUSEGA'!G38,'27.07 NATEETE-BUSEGA'!G38,'28.07 BUSEGA-NATEETE'!G38)</f>
        <v>1</v>
      </c>
      <c r="H38" s="49">
        <f>AVERAGE('22.07 NATEETE-BUSEGA'!H38,'23.07 NATEETE-BUSEGA'!H38,'24.07 NATEETE-BUSEGA'!H38,'25.07 NATEETE-BUSEGA'!H38,'26.07 NATEETE-BUSEGA'!H38,'27.07 NATEETE-BUSEGA'!H38,'28.07 BUSEGA-NATEETE'!H38)</f>
        <v>0.5714285714285714</v>
      </c>
      <c r="I38" s="49">
        <f>AVERAGE('22.07 NATEETE-BUSEGA'!I38,'23.07 NATEETE-BUSEGA'!I38,'24.07 NATEETE-BUSEGA'!I38,'25.07 NATEETE-BUSEGA'!I38,'26.07 NATEETE-BUSEGA'!I38,'27.07 NATEETE-BUSEGA'!I38,'28.07 BUSEGA-NATEETE'!I38)</f>
        <v>10.142857142857142</v>
      </c>
      <c r="J38" s="49">
        <f>AVERAGE('22.07 NATEETE-BUSEGA'!J38,'23.07 NATEETE-BUSEGA'!J38,'24.07 NATEETE-BUSEGA'!J38,'25.07 NATEETE-BUSEGA'!J38,'26.07 NATEETE-BUSEGA'!J38,'27.07 NATEETE-BUSEGA'!J38,'28.07 BUSEGA-NATEETE'!J38)</f>
        <v>7</v>
      </c>
      <c r="K38" s="49">
        <f>AVERAGE('22.07 NATEETE-BUSEGA'!K38,'23.07 NATEETE-BUSEGA'!K38,'24.07 NATEETE-BUSEGA'!K38,'25.07 NATEETE-BUSEGA'!K38,'26.07 NATEETE-BUSEGA'!K38,'27.07 NATEETE-BUSEGA'!K38,'28.07 BUSEGA-NATEETE'!K38)</f>
        <v>2.7142857142857144</v>
      </c>
      <c r="L38" s="49">
        <f>AVERAGE('22.07 NATEETE-BUSEGA'!L38,'23.07 NATEETE-BUSEGA'!L38,'24.07 NATEETE-BUSEGA'!L38,'25.07 NATEETE-BUSEGA'!L38,'26.07 NATEETE-BUSEGA'!L38,'27.07 NATEETE-BUSEGA'!L38,'28.07 BUSEGA-NATEETE'!L38)</f>
        <v>2.8571428571428572</v>
      </c>
      <c r="M38" s="49">
        <f>AVERAGE('22.07 NATEETE-BUSEGA'!M38,'23.07 NATEETE-BUSEGA'!M38,'24.07 NATEETE-BUSEGA'!M38,'25.07 NATEETE-BUSEGA'!M38,'26.07 NATEETE-BUSEGA'!M38,'27.07 NATEETE-BUSEGA'!M38,'28.07 BUSEGA-NATEETE'!M38)</f>
        <v>166</v>
      </c>
      <c r="N38" s="49">
        <f>AVERAGE('22.07 NATEETE-BUSEGA'!N38,'23.07 NATEETE-BUSEGA'!N38,'24.07 NATEETE-BUSEGA'!N38,'25.07 NATEETE-BUSEGA'!N38,'26.07 NATEETE-BUSEGA'!N38,'27.07 NATEETE-BUSEGA'!N38,'28.07 BUSEGA-NATEETE'!N38)</f>
        <v>0.14285714285714285</v>
      </c>
      <c r="O38" s="15">
        <f t="shared" si="0"/>
        <v>133.57142857142856</v>
      </c>
      <c r="P38" s="15">
        <f t="shared" si="1"/>
        <v>299.57142857142861</v>
      </c>
      <c r="R38" s="28" t="s">
        <v>86</v>
      </c>
      <c r="S38" s="16">
        <f t="shared" ref="S38:AF38" si="30">SUM(S13:S18)</f>
        <v>1218.5714285714284</v>
      </c>
      <c r="T38" s="16">
        <f t="shared" si="30"/>
        <v>206</v>
      </c>
      <c r="U38" s="16">
        <f t="shared" si="30"/>
        <v>206.57142857142858</v>
      </c>
      <c r="V38" s="16">
        <f t="shared" si="30"/>
        <v>1327.2857142857144</v>
      </c>
      <c r="W38" s="16">
        <f t="shared" si="30"/>
        <v>36.428571428571423</v>
      </c>
      <c r="X38" s="16">
        <f t="shared" si="30"/>
        <v>31.285714285714285</v>
      </c>
      <c r="Y38" s="16">
        <f t="shared" si="30"/>
        <v>240.57142857142856</v>
      </c>
      <c r="Z38" s="16">
        <f t="shared" si="30"/>
        <v>149.14285714285714</v>
      </c>
      <c r="AA38" s="16">
        <f t="shared" si="30"/>
        <v>51.142857142857146</v>
      </c>
      <c r="AB38" s="16">
        <f t="shared" si="30"/>
        <v>67.571428571428584</v>
      </c>
      <c r="AC38" s="16">
        <f t="shared" si="30"/>
        <v>4109</v>
      </c>
      <c r="AD38" s="16">
        <f t="shared" si="30"/>
        <v>7.4285714285714297</v>
      </c>
      <c r="AE38" s="32">
        <f t="shared" si="30"/>
        <v>3542</v>
      </c>
      <c r="AF38" s="32">
        <f t="shared" si="30"/>
        <v>7651</v>
      </c>
    </row>
    <row r="39" spans="2:32" ht="23.1" customHeight="1" x14ac:dyDescent="0.25">
      <c r="B39" s="24" t="s">
        <v>66</v>
      </c>
      <c r="C39" s="49">
        <f>AVERAGE('22.07 NATEETE-BUSEGA'!C39,'23.07 NATEETE-BUSEGA'!C39,'24.07 NATEETE-BUSEGA'!C39,'25.07 NATEETE-BUSEGA'!C39,'26.07 NATEETE-BUSEGA'!C39,'27.07 NATEETE-BUSEGA'!C39,'28.07 BUSEGA-NATEETE'!C39)</f>
        <v>43.857142857142854</v>
      </c>
      <c r="D39" s="49">
        <f>AVERAGE('22.07 NATEETE-BUSEGA'!D39,'23.07 NATEETE-BUSEGA'!D39,'24.07 NATEETE-BUSEGA'!D39,'25.07 NATEETE-BUSEGA'!D39,'26.07 NATEETE-BUSEGA'!D39,'27.07 NATEETE-BUSEGA'!D39,'28.07 BUSEGA-NATEETE'!D39)</f>
        <v>9.5714285714285712</v>
      </c>
      <c r="E39" s="49">
        <f>AVERAGE('22.07 NATEETE-BUSEGA'!E39,'23.07 NATEETE-BUSEGA'!E39,'24.07 NATEETE-BUSEGA'!E39,'25.07 NATEETE-BUSEGA'!E39,'26.07 NATEETE-BUSEGA'!E39,'27.07 NATEETE-BUSEGA'!E39,'28.07 BUSEGA-NATEETE'!E39)</f>
        <v>8.4285714285714288</v>
      </c>
      <c r="F39" s="49">
        <f>AVERAGE('22.07 NATEETE-BUSEGA'!F39,'23.07 NATEETE-BUSEGA'!F39,'24.07 NATEETE-BUSEGA'!F39,'25.07 NATEETE-BUSEGA'!F39,'26.07 NATEETE-BUSEGA'!F39,'27.07 NATEETE-BUSEGA'!F39,'28.07 BUSEGA-NATEETE'!F39)</f>
        <v>49.428571428571431</v>
      </c>
      <c r="G39" s="49">
        <f>AVERAGE('22.07 NATEETE-BUSEGA'!G39,'23.07 NATEETE-BUSEGA'!G39,'24.07 NATEETE-BUSEGA'!G39,'25.07 NATEETE-BUSEGA'!G39,'26.07 NATEETE-BUSEGA'!G39,'27.07 NATEETE-BUSEGA'!G39,'28.07 BUSEGA-NATEETE'!G39)</f>
        <v>1.8571428571428572</v>
      </c>
      <c r="H39" s="49">
        <f>AVERAGE('22.07 NATEETE-BUSEGA'!H39,'23.07 NATEETE-BUSEGA'!H39,'24.07 NATEETE-BUSEGA'!H39,'25.07 NATEETE-BUSEGA'!H39,'26.07 NATEETE-BUSEGA'!H39,'27.07 NATEETE-BUSEGA'!H39,'28.07 BUSEGA-NATEETE'!H39)</f>
        <v>1.5714285714285714</v>
      </c>
      <c r="I39" s="49">
        <f>AVERAGE('22.07 NATEETE-BUSEGA'!I39,'23.07 NATEETE-BUSEGA'!I39,'24.07 NATEETE-BUSEGA'!I39,'25.07 NATEETE-BUSEGA'!I39,'26.07 NATEETE-BUSEGA'!I39,'27.07 NATEETE-BUSEGA'!I39,'28.07 BUSEGA-NATEETE'!I39)</f>
        <v>11.142857142857142</v>
      </c>
      <c r="J39" s="49">
        <f>AVERAGE('22.07 NATEETE-BUSEGA'!J39,'23.07 NATEETE-BUSEGA'!J39,'24.07 NATEETE-BUSEGA'!J39,'25.07 NATEETE-BUSEGA'!J39,'26.07 NATEETE-BUSEGA'!J39,'27.07 NATEETE-BUSEGA'!J39,'28.07 BUSEGA-NATEETE'!J39)</f>
        <v>8.4285714285714288</v>
      </c>
      <c r="K39" s="49">
        <f>AVERAGE('22.07 NATEETE-BUSEGA'!K39,'23.07 NATEETE-BUSEGA'!K39,'24.07 NATEETE-BUSEGA'!K39,'25.07 NATEETE-BUSEGA'!K39,'26.07 NATEETE-BUSEGA'!K39,'27.07 NATEETE-BUSEGA'!K39,'28.07 BUSEGA-NATEETE'!K39)</f>
        <v>1.2857142857142858</v>
      </c>
      <c r="L39" s="49">
        <f>AVERAGE('22.07 NATEETE-BUSEGA'!L39,'23.07 NATEETE-BUSEGA'!L39,'24.07 NATEETE-BUSEGA'!L39,'25.07 NATEETE-BUSEGA'!L39,'26.07 NATEETE-BUSEGA'!L39,'27.07 NATEETE-BUSEGA'!L39,'28.07 BUSEGA-NATEETE'!L39)</f>
        <v>3.5714285714285716</v>
      </c>
      <c r="M39" s="49">
        <f>AVERAGE('22.07 NATEETE-BUSEGA'!M39,'23.07 NATEETE-BUSEGA'!M39,'24.07 NATEETE-BUSEGA'!M39,'25.07 NATEETE-BUSEGA'!M39,'26.07 NATEETE-BUSEGA'!M39,'27.07 NATEETE-BUSEGA'!M39,'28.07 BUSEGA-NATEETE'!M39)</f>
        <v>154.71428571428572</v>
      </c>
      <c r="N39" s="49">
        <f>AVERAGE('22.07 NATEETE-BUSEGA'!N39,'23.07 NATEETE-BUSEGA'!N39,'24.07 NATEETE-BUSEGA'!N39,'25.07 NATEETE-BUSEGA'!N39,'26.07 NATEETE-BUSEGA'!N39,'27.07 NATEETE-BUSEGA'!N39,'28.07 BUSEGA-NATEETE'!N39)</f>
        <v>0</v>
      </c>
      <c r="O39" s="15">
        <f t="shared" si="0"/>
        <v>139.14285714285714</v>
      </c>
      <c r="P39" s="15">
        <f t="shared" si="1"/>
        <v>293.85714285714289</v>
      </c>
      <c r="R39" s="29" t="s">
        <v>87</v>
      </c>
      <c r="S39" s="16">
        <f t="shared" ref="S39:AF39" si="31">SUM(S19:S21)</f>
        <v>648.85714285714289</v>
      </c>
      <c r="T39" s="16">
        <f t="shared" si="31"/>
        <v>86.285714285714278</v>
      </c>
      <c r="U39" s="16">
        <f t="shared" si="31"/>
        <v>103.71428571428571</v>
      </c>
      <c r="V39" s="16">
        <f t="shared" si="31"/>
        <v>550.42857142857144</v>
      </c>
      <c r="W39" s="16">
        <f t="shared" si="31"/>
        <v>21.428571428571431</v>
      </c>
      <c r="X39" s="16">
        <f t="shared" si="31"/>
        <v>15</v>
      </c>
      <c r="Y39" s="16">
        <f t="shared" si="31"/>
        <v>103.85714285714286</v>
      </c>
      <c r="Z39" s="16">
        <f t="shared" si="31"/>
        <v>75.428571428571431</v>
      </c>
      <c r="AA39" s="16">
        <f t="shared" si="31"/>
        <v>25.999999999999996</v>
      </c>
      <c r="AB39" s="16">
        <f t="shared" si="31"/>
        <v>70.857142857142847</v>
      </c>
      <c r="AC39" s="16">
        <f t="shared" si="31"/>
        <v>2511.2857142857142</v>
      </c>
      <c r="AD39" s="16">
        <f t="shared" si="31"/>
        <v>0.2857142857142857</v>
      </c>
      <c r="AE39" s="32">
        <f t="shared" si="31"/>
        <v>1702.1428571428571</v>
      </c>
      <c r="AF39" s="32">
        <f t="shared" si="31"/>
        <v>4213.4285714285706</v>
      </c>
    </row>
    <row r="40" spans="2:32" ht="23.1" customHeight="1" x14ac:dyDescent="0.25">
      <c r="B40" s="24" t="s">
        <v>67</v>
      </c>
      <c r="C40" s="49">
        <f>AVERAGE('22.07 NATEETE-BUSEGA'!C40,'23.07 NATEETE-BUSEGA'!C40,'24.07 NATEETE-BUSEGA'!C40,'25.07 NATEETE-BUSEGA'!C40,'26.07 NATEETE-BUSEGA'!C40,'27.07 NATEETE-BUSEGA'!C40,'28.07 BUSEGA-NATEETE'!C40)</f>
        <v>57.142857142857146</v>
      </c>
      <c r="D40" s="49">
        <f>AVERAGE('22.07 NATEETE-BUSEGA'!D40,'23.07 NATEETE-BUSEGA'!D40,'24.07 NATEETE-BUSEGA'!D40,'25.07 NATEETE-BUSEGA'!D40,'26.07 NATEETE-BUSEGA'!D40,'27.07 NATEETE-BUSEGA'!D40,'28.07 BUSEGA-NATEETE'!D40)</f>
        <v>7.4285714285714288</v>
      </c>
      <c r="E40" s="49">
        <f>AVERAGE('22.07 NATEETE-BUSEGA'!E40,'23.07 NATEETE-BUSEGA'!E40,'24.07 NATEETE-BUSEGA'!E40,'25.07 NATEETE-BUSEGA'!E40,'26.07 NATEETE-BUSEGA'!E40,'27.07 NATEETE-BUSEGA'!E40,'28.07 BUSEGA-NATEETE'!E40)</f>
        <v>8.1428571428571423</v>
      </c>
      <c r="F40" s="49">
        <f>AVERAGE('22.07 NATEETE-BUSEGA'!F40,'23.07 NATEETE-BUSEGA'!F40,'24.07 NATEETE-BUSEGA'!F40,'25.07 NATEETE-BUSEGA'!F40,'26.07 NATEETE-BUSEGA'!F40,'27.07 NATEETE-BUSEGA'!F40,'28.07 BUSEGA-NATEETE'!F40)</f>
        <v>47.857142857142854</v>
      </c>
      <c r="G40" s="49">
        <f>AVERAGE('22.07 NATEETE-BUSEGA'!G40,'23.07 NATEETE-BUSEGA'!G40,'24.07 NATEETE-BUSEGA'!G40,'25.07 NATEETE-BUSEGA'!G40,'26.07 NATEETE-BUSEGA'!G40,'27.07 NATEETE-BUSEGA'!G40,'28.07 BUSEGA-NATEETE'!G40)</f>
        <v>2.2857142857142856</v>
      </c>
      <c r="H40" s="49">
        <f>AVERAGE('22.07 NATEETE-BUSEGA'!H40,'23.07 NATEETE-BUSEGA'!H40,'24.07 NATEETE-BUSEGA'!H40,'25.07 NATEETE-BUSEGA'!H40,'26.07 NATEETE-BUSEGA'!H40,'27.07 NATEETE-BUSEGA'!H40,'28.07 BUSEGA-NATEETE'!H40)</f>
        <v>1.2857142857142858</v>
      </c>
      <c r="I40" s="49">
        <f>AVERAGE('22.07 NATEETE-BUSEGA'!I40,'23.07 NATEETE-BUSEGA'!I40,'24.07 NATEETE-BUSEGA'!I40,'25.07 NATEETE-BUSEGA'!I40,'26.07 NATEETE-BUSEGA'!I40,'27.07 NATEETE-BUSEGA'!I40,'28.07 BUSEGA-NATEETE'!I40)</f>
        <v>9.7142857142857135</v>
      </c>
      <c r="J40" s="49">
        <f>AVERAGE('22.07 NATEETE-BUSEGA'!J40,'23.07 NATEETE-BUSEGA'!J40,'24.07 NATEETE-BUSEGA'!J40,'25.07 NATEETE-BUSEGA'!J40,'26.07 NATEETE-BUSEGA'!J40,'27.07 NATEETE-BUSEGA'!J40,'28.07 BUSEGA-NATEETE'!J40)</f>
        <v>6.1428571428571432</v>
      </c>
      <c r="K40" s="49">
        <f>AVERAGE('22.07 NATEETE-BUSEGA'!K40,'23.07 NATEETE-BUSEGA'!K40,'24.07 NATEETE-BUSEGA'!K40,'25.07 NATEETE-BUSEGA'!K40,'26.07 NATEETE-BUSEGA'!K40,'27.07 NATEETE-BUSEGA'!K40,'28.07 BUSEGA-NATEETE'!K40)</f>
        <v>1.8571428571428572</v>
      </c>
      <c r="L40" s="49">
        <f>AVERAGE('22.07 NATEETE-BUSEGA'!L40,'23.07 NATEETE-BUSEGA'!L40,'24.07 NATEETE-BUSEGA'!L40,'25.07 NATEETE-BUSEGA'!L40,'26.07 NATEETE-BUSEGA'!L40,'27.07 NATEETE-BUSEGA'!L40,'28.07 BUSEGA-NATEETE'!L40)</f>
        <v>3.1428571428571428</v>
      </c>
      <c r="M40" s="49">
        <f>AVERAGE('22.07 NATEETE-BUSEGA'!M40,'23.07 NATEETE-BUSEGA'!M40,'24.07 NATEETE-BUSEGA'!M40,'25.07 NATEETE-BUSEGA'!M40,'26.07 NATEETE-BUSEGA'!M40,'27.07 NATEETE-BUSEGA'!M40,'28.07 BUSEGA-NATEETE'!M40)</f>
        <v>147</v>
      </c>
      <c r="N40" s="49">
        <f>AVERAGE('22.07 NATEETE-BUSEGA'!N40,'23.07 NATEETE-BUSEGA'!N40,'24.07 NATEETE-BUSEGA'!N40,'25.07 NATEETE-BUSEGA'!N40,'26.07 NATEETE-BUSEGA'!N40,'27.07 NATEETE-BUSEGA'!N40,'28.07 BUSEGA-NATEETE'!N40)</f>
        <v>0</v>
      </c>
      <c r="O40" s="15">
        <f t="shared" si="0"/>
        <v>145</v>
      </c>
      <c r="P40" s="15">
        <f t="shared" si="1"/>
        <v>292</v>
      </c>
      <c r="R40" s="5" t="s">
        <v>17</v>
      </c>
      <c r="S40" s="16">
        <f t="shared" ref="S40:AF40" si="32">SUM(S10:S21)</f>
        <v>2385.2857142857142</v>
      </c>
      <c r="T40" s="16">
        <f t="shared" si="32"/>
        <v>387.57142857142861</v>
      </c>
      <c r="U40" s="16">
        <f t="shared" si="32"/>
        <v>380.14285714285717</v>
      </c>
      <c r="V40" s="16">
        <f t="shared" si="32"/>
        <v>2596.2857142857147</v>
      </c>
      <c r="W40" s="16">
        <f t="shared" si="32"/>
        <v>78.857142857142861</v>
      </c>
      <c r="X40" s="16">
        <f t="shared" si="32"/>
        <v>65.714285714285708</v>
      </c>
      <c r="Y40" s="16">
        <f t="shared" si="32"/>
        <v>438.71428571428578</v>
      </c>
      <c r="Z40" s="16">
        <f t="shared" si="32"/>
        <v>270.42857142857144</v>
      </c>
      <c r="AA40" s="16">
        <f t="shared" si="32"/>
        <v>95.428571428571431</v>
      </c>
      <c r="AB40" s="16">
        <f t="shared" si="32"/>
        <v>157.28571428571425</v>
      </c>
      <c r="AC40" s="16">
        <f t="shared" si="32"/>
        <v>9048.4285714285706</v>
      </c>
      <c r="AD40" s="16">
        <f t="shared" si="32"/>
        <v>7.8571428571428585</v>
      </c>
      <c r="AE40" s="32">
        <f t="shared" si="32"/>
        <v>6863.5714285714294</v>
      </c>
      <c r="AF40" s="32">
        <f t="shared" si="32"/>
        <v>15912</v>
      </c>
    </row>
    <row r="41" spans="2:32" ht="23.1" customHeight="1" x14ac:dyDescent="0.25">
      <c r="B41" s="23" t="s">
        <v>68</v>
      </c>
      <c r="C41" s="49">
        <f>AVERAGE('22.07 NATEETE-BUSEGA'!C41,'23.07 NATEETE-BUSEGA'!C41,'24.07 NATEETE-BUSEGA'!C41,'25.07 NATEETE-BUSEGA'!C41,'26.07 NATEETE-BUSEGA'!C41,'27.07 NATEETE-BUSEGA'!C41,'28.07 BUSEGA-NATEETE'!C41)</f>
        <v>62.571428571428569</v>
      </c>
      <c r="D41" s="49">
        <f>AVERAGE('22.07 NATEETE-BUSEGA'!D41,'23.07 NATEETE-BUSEGA'!D41,'24.07 NATEETE-BUSEGA'!D41,'25.07 NATEETE-BUSEGA'!D41,'26.07 NATEETE-BUSEGA'!D41,'27.07 NATEETE-BUSEGA'!D41,'28.07 BUSEGA-NATEETE'!D41)</f>
        <v>7.1428571428571432</v>
      </c>
      <c r="E41" s="49">
        <f>AVERAGE('22.07 NATEETE-BUSEGA'!E41,'23.07 NATEETE-BUSEGA'!E41,'24.07 NATEETE-BUSEGA'!E41,'25.07 NATEETE-BUSEGA'!E41,'26.07 NATEETE-BUSEGA'!E41,'27.07 NATEETE-BUSEGA'!E41,'28.07 BUSEGA-NATEETE'!E41)</f>
        <v>9.7142857142857135</v>
      </c>
      <c r="F41" s="49">
        <f>AVERAGE('22.07 NATEETE-BUSEGA'!F41,'23.07 NATEETE-BUSEGA'!F41,'24.07 NATEETE-BUSEGA'!F41,'25.07 NATEETE-BUSEGA'!F41,'26.07 NATEETE-BUSEGA'!F41,'27.07 NATEETE-BUSEGA'!F41,'28.07 BUSEGA-NATEETE'!F41)</f>
        <v>61.714285714285715</v>
      </c>
      <c r="G41" s="49">
        <f>AVERAGE('22.07 NATEETE-BUSEGA'!G41,'23.07 NATEETE-BUSEGA'!G41,'24.07 NATEETE-BUSEGA'!G41,'25.07 NATEETE-BUSEGA'!G41,'26.07 NATEETE-BUSEGA'!G41,'27.07 NATEETE-BUSEGA'!G41,'28.07 BUSEGA-NATEETE'!G41)</f>
        <v>0.42857142857142855</v>
      </c>
      <c r="H41" s="49">
        <f>AVERAGE('22.07 NATEETE-BUSEGA'!H41,'23.07 NATEETE-BUSEGA'!H41,'24.07 NATEETE-BUSEGA'!H41,'25.07 NATEETE-BUSEGA'!H41,'26.07 NATEETE-BUSEGA'!H41,'27.07 NATEETE-BUSEGA'!H41,'28.07 BUSEGA-NATEETE'!H41)</f>
        <v>1.5714285714285714</v>
      </c>
      <c r="I41" s="49">
        <f>AVERAGE('22.07 NATEETE-BUSEGA'!I41,'23.07 NATEETE-BUSEGA'!I41,'24.07 NATEETE-BUSEGA'!I41,'25.07 NATEETE-BUSEGA'!I41,'26.07 NATEETE-BUSEGA'!I41,'27.07 NATEETE-BUSEGA'!I41,'28.07 BUSEGA-NATEETE'!I41)</f>
        <v>11.428571428571429</v>
      </c>
      <c r="J41" s="49">
        <f>AVERAGE('22.07 NATEETE-BUSEGA'!J41,'23.07 NATEETE-BUSEGA'!J41,'24.07 NATEETE-BUSEGA'!J41,'25.07 NATEETE-BUSEGA'!J41,'26.07 NATEETE-BUSEGA'!J41,'27.07 NATEETE-BUSEGA'!J41,'28.07 BUSEGA-NATEETE'!J41)</f>
        <v>6.4285714285714288</v>
      </c>
      <c r="K41" s="49">
        <f>AVERAGE('22.07 NATEETE-BUSEGA'!K41,'23.07 NATEETE-BUSEGA'!K41,'24.07 NATEETE-BUSEGA'!K41,'25.07 NATEETE-BUSEGA'!K41,'26.07 NATEETE-BUSEGA'!K41,'27.07 NATEETE-BUSEGA'!K41,'28.07 BUSEGA-NATEETE'!K41)</f>
        <v>3.2857142857142856</v>
      </c>
      <c r="L41" s="49">
        <f>AVERAGE('22.07 NATEETE-BUSEGA'!L41,'23.07 NATEETE-BUSEGA'!L41,'24.07 NATEETE-BUSEGA'!L41,'25.07 NATEETE-BUSEGA'!L41,'26.07 NATEETE-BUSEGA'!L41,'27.07 NATEETE-BUSEGA'!L41,'28.07 BUSEGA-NATEETE'!L41)</f>
        <v>2.1428571428571428</v>
      </c>
      <c r="M41" s="49">
        <f>AVERAGE('22.07 NATEETE-BUSEGA'!M41,'23.07 NATEETE-BUSEGA'!M41,'24.07 NATEETE-BUSEGA'!M41,'25.07 NATEETE-BUSEGA'!M41,'26.07 NATEETE-BUSEGA'!M41,'27.07 NATEETE-BUSEGA'!M41,'28.07 BUSEGA-NATEETE'!M41)</f>
        <v>164.71428571428572</v>
      </c>
      <c r="N41" s="49">
        <f>AVERAGE('22.07 NATEETE-BUSEGA'!N41,'23.07 NATEETE-BUSEGA'!N41,'24.07 NATEETE-BUSEGA'!N41,'25.07 NATEETE-BUSEGA'!N41,'26.07 NATEETE-BUSEGA'!N41,'27.07 NATEETE-BUSEGA'!N41,'28.07 BUSEGA-NATEETE'!N41)</f>
        <v>0</v>
      </c>
      <c r="O41" s="15">
        <f t="shared" si="0"/>
        <v>166.42857142857139</v>
      </c>
      <c r="P41" s="15">
        <f t="shared" si="1"/>
        <v>331.14285714285711</v>
      </c>
      <c r="R41" s="5" t="s">
        <v>183</v>
      </c>
      <c r="S41" s="16">
        <f>SUM(S10:S33)</f>
        <v>4391.2857142857138</v>
      </c>
      <c r="T41" s="16">
        <f t="shared" ref="T41:AD41" si="33">SUM(T10:T33)</f>
        <v>618.57142857142867</v>
      </c>
      <c r="U41" s="16">
        <f t="shared" si="33"/>
        <v>574.14285714285711</v>
      </c>
      <c r="V41" s="16">
        <f t="shared" si="33"/>
        <v>3473.7857142857147</v>
      </c>
      <c r="W41" s="16">
        <f t="shared" si="33"/>
        <v>102.85714285714286</v>
      </c>
      <c r="X41" s="16">
        <f t="shared" si="33"/>
        <v>122.71428571428571</v>
      </c>
      <c r="Y41" s="16">
        <f t="shared" si="33"/>
        <v>591.21428571428578</v>
      </c>
      <c r="Z41" s="16">
        <f t="shared" si="33"/>
        <v>398.42857142857144</v>
      </c>
      <c r="AA41" s="16">
        <f t="shared" si="33"/>
        <v>152.42857142857144</v>
      </c>
      <c r="AB41" s="16">
        <f t="shared" si="33"/>
        <v>206.78571428571425</v>
      </c>
      <c r="AC41" s="16">
        <f t="shared" si="33"/>
        <v>15992.428571428571</v>
      </c>
      <c r="AD41" s="16">
        <f t="shared" si="33"/>
        <v>7.8571428571428585</v>
      </c>
      <c r="AE41" s="32">
        <f>SUM(AE10:AE33)</f>
        <v>12757.357142857143</v>
      </c>
      <c r="AF41" s="32">
        <f>SUM(AF10:AF33)</f>
        <v>35316.5</v>
      </c>
    </row>
    <row r="42" spans="2:32" ht="23.1" customHeight="1" x14ac:dyDescent="0.25">
      <c r="B42" s="24" t="s">
        <v>69</v>
      </c>
      <c r="C42" s="49">
        <f>AVERAGE('22.07 NATEETE-BUSEGA'!C42,'23.07 NATEETE-BUSEGA'!C42,'24.07 NATEETE-BUSEGA'!C42,'25.07 NATEETE-BUSEGA'!C42,'26.07 NATEETE-BUSEGA'!C42,'27.07 NATEETE-BUSEGA'!C42,'28.07 BUSEGA-NATEETE'!C42)</f>
        <v>53.714285714285715</v>
      </c>
      <c r="D42" s="49">
        <f>AVERAGE('22.07 NATEETE-BUSEGA'!D42,'23.07 NATEETE-BUSEGA'!D42,'24.07 NATEETE-BUSEGA'!D42,'25.07 NATEETE-BUSEGA'!D42,'26.07 NATEETE-BUSEGA'!D42,'27.07 NATEETE-BUSEGA'!D42,'28.07 BUSEGA-NATEETE'!D42)</f>
        <v>6.5714285714285712</v>
      </c>
      <c r="E42" s="49">
        <f>AVERAGE('22.07 NATEETE-BUSEGA'!E42,'23.07 NATEETE-BUSEGA'!E42,'24.07 NATEETE-BUSEGA'!E42,'25.07 NATEETE-BUSEGA'!E42,'26.07 NATEETE-BUSEGA'!E42,'27.07 NATEETE-BUSEGA'!E42,'28.07 BUSEGA-NATEETE'!E42)</f>
        <v>8.5714285714285712</v>
      </c>
      <c r="F42" s="49">
        <f>AVERAGE('22.07 NATEETE-BUSEGA'!F42,'23.07 NATEETE-BUSEGA'!F42,'24.07 NATEETE-BUSEGA'!F42,'25.07 NATEETE-BUSEGA'!F42,'26.07 NATEETE-BUSEGA'!F42,'27.07 NATEETE-BUSEGA'!F42,'28.07 BUSEGA-NATEETE'!F42)</f>
        <v>43.428571428571431</v>
      </c>
      <c r="G42" s="49">
        <f>AVERAGE('22.07 NATEETE-BUSEGA'!G42,'23.07 NATEETE-BUSEGA'!G42,'24.07 NATEETE-BUSEGA'!G42,'25.07 NATEETE-BUSEGA'!G42,'26.07 NATEETE-BUSEGA'!G42,'27.07 NATEETE-BUSEGA'!G42,'28.07 BUSEGA-NATEETE'!G42)</f>
        <v>1.2857142857142858</v>
      </c>
      <c r="H42" s="49">
        <f>AVERAGE('22.07 NATEETE-BUSEGA'!H42,'23.07 NATEETE-BUSEGA'!H42,'24.07 NATEETE-BUSEGA'!H42,'25.07 NATEETE-BUSEGA'!H42,'26.07 NATEETE-BUSEGA'!H42,'27.07 NATEETE-BUSEGA'!H42,'28.07 BUSEGA-NATEETE'!H42)</f>
        <v>0.5714285714285714</v>
      </c>
      <c r="I42" s="49">
        <f>AVERAGE('22.07 NATEETE-BUSEGA'!I42,'23.07 NATEETE-BUSEGA'!I42,'24.07 NATEETE-BUSEGA'!I42,'25.07 NATEETE-BUSEGA'!I42,'26.07 NATEETE-BUSEGA'!I42,'27.07 NATEETE-BUSEGA'!I42,'28.07 BUSEGA-NATEETE'!I42)</f>
        <v>15</v>
      </c>
      <c r="J42" s="49">
        <f>AVERAGE('22.07 NATEETE-BUSEGA'!J42,'23.07 NATEETE-BUSEGA'!J42,'24.07 NATEETE-BUSEGA'!J42,'25.07 NATEETE-BUSEGA'!J42,'26.07 NATEETE-BUSEGA'!J42,'27.07 NATEETE-BUSEGA'!J42,'28.07 BUSEGA-NATEETE'!J42)</f>
        <v>6.1428571428571432</v>
      </c>
      <c r="K42" s="49">
        <f>AVERAGE('22.07 NATEETE-BUSEGA'!K42,'23.07 NATEETE-BUSEGA'!K42,'24.07 NATEETE-BUSEGA'!K42,'25.07 NATEETE-BUSEGA'!K42,'26.07 NATEETE-BUSEGA'!K42,'27.07 NATEETE-BUSEGA'!K42,'28.07 BUSEGA-NATEETE'!K42)</f>
        <v>2.8571428571428572</v>
      </c>
      <c r="L42" s="49">
        <f>AVERAGE('22.07 NATEETE-BUSEGA'!L42,'23.07 NATEETE-BUSEGA'!L42,'24.07 NATEETE-BUSEGA'!L42,'25.07 NATEETE-BUSEGA'!L42,'26.07 NATEETE-BUSEGA'!L42,'27.07 NATEETE-BUSEGA'!L42,'28.07 BUSEGA-NATEETE'!L42)</f>
        <v>3.8571428571428572</v>
      </c>
      <c r="M42" s="49">
        <f>AVERAGE('22.07 NATEETE-BUSEGA'!M42,'23.07 NATEETE-BUSEGA'!M42,'24.07 NATEETE-BUSEGA'!M42,'25.07 NATEETE-BUSEGA'!M42,'26.07 NATEETE-BUSEGA'!M42,'27.07 NATEETE-BUSEGA'!M42,'28.07 BUSEGA-NATEETE'!M42)</f>
        <v>171.57142857142858</v>
      </c>
      <c r="N42" s="49">
        <f>AVERAGE('22.07 NATEETE-BUSEGA'!N42,'23.07 NATEETE-BUSEGA'!N42,'24.07 NATEETE-BUSEGA'!N42,'25.07 NATEETE-BUSEGA'!N42,'26.07 NATEETE-BUSEGA'!N42,'27.07 NATEETE-BUSEGA'!N42,'28.07 BUSEGA-NATEETE'!N42)</f>
        <v>0.14285714285714285</v>
      </c>
      <c r="O42" s="15">
        <f t="shared" si="0"/>
        <v>142.14285714285717</v>
      </c>
      <c r="P42" s="15">
        <f t="shared" si="1"/>
        <v>313.71428571428578</v>
      </c>
      <c r="R42" s="5" t="s">
        <v>160</v>
      </c>
      <c r="S42" s="48">
        <f>S41/S40</f>
        <v>1.840989399293286</v>
      </c>
      <c r="T42" s="48">
        <f t="shared" ref="T42:AF42" si="34">T41/T40</f>
        <v>1.5960191669738297</v>
      </c>
      <c r="U42" s="48">
        <f t="shared" si="34"/>
        <v>1.510334460729049</v>
      </c>
      <c r="V42" s="48">
        <f t="shared" si="34"/>
        <v>1.3379828326180256</v>
      </c>
      <c r="W42" s="48">
        <f t="shared" si="34"/>
        <v>1.3043478260869565</v>
      </c>
      <c r="X42" s="48">
        <f t="shared" si="34"/>
        <v>1.8673913043478261</v>
      </c>
      <c r="Y42" s="48">
        <f t="shared" si="34"/>
        <v>1.3476066427873656</v>
      </c>
      <c r="Z42" s="48">
        <f t="shared" si="34"/>
        <v>1.4733227680929741</v>
      </c>
      <c r="AA42" s="48">
        <f t="shared" si="34"/>
        <v>1.597305389221557</v>
      </c>
      <c r="AB42" s="48">
        <f t="shared" si="34"/>
        <v>1.3147138964577658</v>
      </c>
      <c r="AC42" s="48">
        <f t="shared" si="34"/>
        <v>1.767426072404048</v>
      </c>
      <c r="AD42" s="48">
        <f t="shared" si="34"/>
        <v>1</v>
      </c>
      <c r="AE42" s="53">
        <f t="shared" si="34"/>
        <v>1.8587053803725673</v>
      </c>
      <c r="AF42" s="53">
        <f t="shared" si="34"/>
        <v>2.219488436400201</v>
      </c>
    </row>
    <row r="43" spans="2:32" ht="23.1" customHeight="1" x14ac:dyDescent="0.25">
      <c r="B43" s="23" t="s">
        <v>70</v>
      </c>
      <c r="C43" s="49">
        <f>AVERAGE('22.07 NATEETE-BUSEGA'!C43,'23.07 NATEETE-BUSEGA'!C43,'24.07 NATEETE-BUSEGA'!C43,'25.07 NATEETE-BUSEGA'!C43,'26.07 NATEETE-BUSEGA'!C43,'27.07 NATEETE-BUSEGA'!C43,'28.07 BUSEGA-NATEETE'!C43)</f>
        <v>62</v>
      </c>
      <c r="D43" s="49">
        <f>AVERAGE('22.07 NATEETE-BUSEGA'!D43,'23.07 NATEETE-BUSEGA'!D43,'24.07 NATEETE-BUSEGA'!D43,'25.07 NATEETE-BUSEGA'!D43,'26.07 NATEETE-BUSEGA'!D43,'27.07 NATEETE-BUSEGA'!D43,'28.07 BUSEGA-NATEETE'!D43)</f>
        <v>5.4285714285714288</v>
      </c>
      <c r="E43" s="49">
        <f>AVERAGE('22.07 NATEETE-BUSEGA'!E43,'23.07 NATEETE-BUSEGA'!E43,'24.07 NATEETE-BUSEGA'!E43,'25.07 NATEETE-BUSEGA'!E43,'26.07 NATEETE-BUSEGA'!E43,'27.07 NATEETE-BUSEGA'!E43,'28.07 BUSEGA-NATEETE'!E43)</f>
        <v>9.5714285714285712</v>
      </c>
      <c r="F43" s="49">
        <f>AVERAGE('22.07 NATEETE-BUSEGA'!F43,'23.07 NATEETE-BUSEGA'!F43,'24.07 NATEETE-BUSEGA'!F43,'25.07 NATEETE-BUSEGA'!F43,'26.07 NATEETE-BUSEGA'!F43,'27.07 NATEETE-BUSEGA'!F43,'28.07 BUSEGA-NATEETE'!F43)</f>
        <v>48.142857142857146</v>
      </c>
      <c r="G43" s="49">
        <f>AVERAGE('22.07 NATEETE-BUSEGA'!G43,'23.07 NATEETE-BUSEGA'!G43,'24.07 NATEETE-BUSEGA'!G43,'25.07 NATEETE-BUSEGA'!G43,'26.07 NATEETE-BUSEGA'!G43,'27.07 NATEETE-BUSEGA'!G43,'28.07 BUSEGA-NATEETE'!G43)</f>
        <v>2</v>
      </c>
      <c r="H43" s="49">
        <f>AVERAGE('22.07 NATEETE-BUSEGA'!H43,'23.07 NATEETE-BUSEGA'!H43,'24.07 NATEETE-BUSEGA'!H43,'25.07 NATEETE-BUSEGA'!H43,'26.07 NATEETE-BUSEGA'!H43,'27.07 NATEETE-BUSEGA'!H43,'28.07 BUSEGA-NATEETE'!H43)</f>
        <v>1</v>
      </c>
      <c r="I43" s="49">
        <f>AVERAGE('22.07 NATEETE-BUSEGA'!I43,'23.07 NATEETE-BUSEGA'!I43,'24.07 NATEETE-BUSEGA'!I43,'25.07 NATEETE-BUSEGA'!I43,'26.07 NATEETE-BUSEGA'!I43,'27.07 NATEETE-BUSEGA'!I43,'28.07 BUSEGA-NATEETE'!I43)</f>
        <v>10.142857142857142</v>
      </c>
      <c r="J43" s="49">
        <f>AVERAGE('22.07 NATEETE-BUSEGA'!J43,'23.07 NATEETE-BUSEGA'!J43,'24.07 NATEETE-BUSEGA'!J43,'25.07 NATEETE-BUSEGA'!J43,'26.07 NATEETE-BUSEGA'!J43,'27.07 NATEETE-BUSEGA'!J43,'28.07 BUSEGA-NATEETE'!J43)</f>
        <v>8.4285714285714288</v>
      </c>
      <c r="K43" s="49">
        <f>AVERAGE('22.07 NATEETE-BUSEGA'!K43,'23.07 NATEETE-BUSEGA'!K43,'24.07 NATEETE-BUSEGA'!K43,'25.07 NATEETE-BUSEGA'!K43,'26.07 NATEETE-BUSEGA'!K43,'27.07 NATEETE-BUSEGA'!K43,'28.07 BUSEGA-NATEETE'!K43)</f>
        <v>2.1428571428571428</v>
      </c>
      <c r="L43" s="49">
        <f>AVERAGE('22.07 NATEETE-BUSEGA'!L43,'23.07 NATEETE-BUSEGA'!L43,'24.07 NATEETE-BUSEGA'!L43,'25.07 NATEETE-BUSEGA'!L43,'26.07 NATEETE-BUSEGA'!L43,'27.07 NATEETE-BUSEGA'!L43,'28.07 BUSEGA-NATEETE'!L43)</f>
        <v>2.5714285714285716</v>
      </c>
      <c r="M43" s="49">
        <f>AVERAGE('22.07 NATEETE-BUSEGA'!M43,'23.07 NATEETE-BUSEGA'!M43,'24.07 NATEETE-BUSEGA'!M43,'25.07 NATEETE-BUSEGA'!M43,'26.07 NATEETE-BUSEGA'!M43,'27.07 NATEETE-BUSEGA'!M43,'28.07 BUSEGA-NATEETE'!M43)</f>
        <v>143.71428571428572</v>
      </c>
      <c r="N43" s="49">
        <f>AVERAGE('22.07 NATEETE-BUSEGA'!N43,'23.07 NATEETE-BUSEGA'!N43,'24.07 NATEETE-BUSEGA'!N43,'25.07 NATEETE-BUSEGA'!N43,'26.07 NATEETE-BUSEGA'!N43,'27.07 NATEETE-BUSEGA'!N43,'28.07 BUSEGA-NATEETE'!N43)</f>
        <v>0</v>
      </c>
      <c r="O43" s="15">
        <f t="shared" si="0"/>
        <v>151.42857142857142</v>
      </c>
      <c r="P43" s="15">
        <f t="shared" si="1"/>
        <v>295.14285714285711</v>
      </c>
    </row>
    <row r="44" spans="2:32" ht="23.1" customHeight="1" x14ac:dyDescent="0.25">
      <c r="B44" s="25" t="s">
        <v>71</v>
      </c>
      <c r="C44" s="49">
        <f>AVERAGE('22.07 NATEETE-BUSEGA'!C44,'23.07 NATEETE-BUSEGA'!C44,'24.07 NATEETE-BUSEGA'!C44,'25.07 NATEETE-BUSEGA'!C44,'26.07 NATEETE-BUSEGA'!C44,'27.07 NATEETE-BUSEGA'!C44,'28.07 BUSEGA-NATEETE'!C44)</f>
        <v>57.142857142857146</v>
      </c>
      <c r="D44" s="49">
        <f>AVERAGE('22.07 NATEETE-BUSEGA'!D44,'23.07 NATEETE-BUSEGA'!D44,'24.07 NATEETE-BUSEGA'!D44,'25.07 NATEETE-BUSEGA'!D44,'26.07 NATEETE-BUSEGA'!D44,'27.07 NATEETE-BUSEGA'!D44,'28.07 BUSEGA-NATEETE'!D44)</f>
        <v>7.7142857142857144</v>
      </c>
      <c r="E44" s="49">
        <f>AVERAGE('22.07 NATEETE-BUSEGA'!E44,'23.07 NATEETE-BUSEGA'!E44,'24.07 NATEETE-BUSEGA'!E44,'25.07 NATEETE-BUSEGA'!E44,'26.07 NATEETE-BUSEGA'!E44,'27.07 NATEETE-BUSEGA'!E44,'28.07 BUSEGA-NATEETE'!E44)</f>
        <v>11.428571428571429</v>
      </c>
      <c r="F44" s="49">
        <f>AVERAGE('22.07 NATEETE-BUSEGA'!F44,'23.07 NATEETE-BUSEGA'!F44,'24.07 NATEETE-BUSEGA'!F44,'25.07 NATEETE-BUSEGA'!F44,'26.07 NATEETE-BUSEGA'!F44,'27.07 NATEETE-BUSEGA'!F44,'28.07 BUSEGA-NATEETE'!F44)</f>
        <v>61.142857142857146</v>
      </c>
      <c r="G44" s="49">
        <f>AVERAGE('22.07 NATEETE-BUSEGA'!G44,'23.07 NATEETE-BUSEGA'!G44,'24.07 NATEETE-BUSEGA'!G44,'25.07 NATEETE-BUSEGA'!G44,'26.07 NATEETE-BUSEGA'!G44,'27.07 NATEETE-BUSEGA'!G44,'28.07 BUSEGA-NATEETE'!G44)</f>
        <v>1.5714285714285714</v>
      </c>
      <c r="H44" s="49">
        <f>AVERAGE('22.07 NATEETE-BUSEGA'!H44,'23.07 NATEETE-BUSEGA'!H44,'24.07 NATEETE-BUSEGA'!H44,'25.07 NATEETE-BUSEGA'!H44,'26.07 NATEETE-BUSEGA'!H44,'27.07 NATEETE-BUSEGA'!H44,'28.07 BUSEGA-NATEETE'!H44)</f>
        <v>1.8571428571428572</v>
      </c>
      <c r="I44" s="49">
        <f>AVERAGE('22.07 NATEETE-BUSEGA'!I44,'23.07 NATEETE-BUSEGA'!I44,'24.07 NATEETE-BUSEGA'!I44,'25.07 NATEETE-BUSEGA'!I44,'26.07 NATEETE-BUSEGA'!I44,'27.07 NATEETE-BUSEGA'!I44,'28.07 BUSEGA-NATEETE'!I44)</f>
        <v>11.571428571428571</v>
      </c>
      <c r="J44" s="49">
        <f>AVERAGE('22.07 NATEETE-BUSEGA'!J44,'23.07 NATEETE-BUSEGA'!J44,'24.07 NATEETE-BUSEGA'!J44,'25.07 NATEETE-BUSEGA'!J44,'26.07 NATEETE-BUSEGA'!J44,'27.07 NATEETE-BUSEGA'!J44,'28.07 BUSEGA-NATEETE'!J44)</f>
        <v>6.5714285714285712</v>
      </c>
      <c r="K44" s="49">
        <f>AVERAGE('22.07 NATEETE-BUSEGA'!K44,'23.07 NATEETE-BUSEGA'!K44,'24.07 NATEETE-BUSEGA'!K44,'25.07 NATEETE-BUSEGA'!K44,'26.07 NATEETE-BUSEGA'!K44,'27.07 NATEETE-BUSEGA'!K44,'28.07 BUSEGA-NATEETE'!K44)</f>
        <v>2.4285714285714284</v>
      </c>
      <c r="L44" s="49">
        <f>AVERAGE('22.07 NATEETE-BUSEGA'!L44,'23.07 NATEETE-BUSEGA'!L44,'24.07 NATEETE-BUSEGA'!L44,'25.07 NATEETE-BUSEGA'!L44,'26.07 NATEETE-BUSEGA'!L44,'27.07 NATEETE-BUSEGA'!L44,'28.07 BUSEGA-NATEETE'!L44)</f>
        <v>4.5714285714285712</v>
      </c>
      <c r="M44" s="49">
        <f>AVERAGE('22.07 NATEETE-BUSEGA'!M44,'23.07 NATEETE-BUSEGA'!M44,'24.07 NATEETE-BUSEGA'!M44,'25.07 NATEETE-BUSEGA'!M44,'26.07 NATEETE-BUSEGA'!M44,'27.07 NATEETE-BUSEGA'!M44,'28.07 BUSEGA-NATEETE'!M44)</f>
        <v>146.57142857142858</v>
      </c>
      <c r="N44" s="49">
        <f>AVERAGE('22.07 NATEETE-BUSEGA'!N44,'23.07 NATEETE-BUSEGA'!N44,'24.07 NATEETE-BUSEGA'!N44,'25.07 NATEETE-BUSEGA'!N44,'26.07 NATEETE-BUSEGA'!N44,'27.07 NATEETE-BUSEGA'!N44,'28.07 BUSEGA-NATEETE'!N44)</f>
        <v>0</v>
      </c>
      <c r="O44" s="15">
        <f t="shared" si="0"/>
        <v>166.00000000000006</v>
      </c>
      <c r="P44" s="15">
        <f t="shared" si="1"/>
        <v>312.57142857142867</v>
      </c>
    </row>
    <row r="45" spans="2:32" ht="23.1" customHeight="1" x14ac:dyDescent="0.25">
      <c r="B45" s="23" t="s">
        <v>72</v>
      </c>
      <c r="C45" s="49">
        <f>AVERAGE('22.07 NATEETE-BUSEGA'!C45,'23.07 NATEETE-BUSEGA'!C45,'24.07 NATEETE-BUSEGA'!C45,'25.07 NATEETE-BUSEGA'!C45,'26.07 NATEETE-BUSEGA'!C45,'27.07 NATEETE-BUSEGA'!C45,'28.07 BUSEGA-NATEETE'!C45)</f>
        <v>56.285714285714285</v>
      </c>
      <c r="D45" s="49">
        <f>AVERAGE('22.07 NATEETE-BUSEGA'!D45,'23.07 NATEETE-BUSEGA'!D45,'24.07 NATEETE-BUSEGA'!D45,'25.07 NATEETE-BUSEGA'!D45,'26.07 NATEETE-BUSEGA'!D45,'27.07 NATEETE-BUSEGA'!D45,'28.07 BUSEGA-NATEETE'!D45)</f>
        <v>5.5714285714285712</v>
      </c>
      <c r="E45" s="49">
        <f>AVERAGE('22.07 NATEETE-BUSEGA'!E45,'23.07 NATEETE-BUSEGA'!E45,'24.07 NATEETE-BUSEGA'!E45,'25.07 NATEETE-BUSEGA'!E45,'26.07 NATEETE-BUSEGA'!E45,'27.07 NATEETE-BUSEGA'!E45,'28.07 BUSEGA-NATEETE'!E45)</f>
        <v>7.2857142857142856</v>
      </c>
      <c r="F45" s="49">
        <f>AVERAGE('22.07 NATEETE-BUSEGA'!F45,'23.07 NATEETE-BUSEGA'!F45,'24.07 NATEETE-BUSEGA'!F45,'25.07 NATEETE-BUSEGA'!F45,'26.07 NATEETE-BUSEGA'!F45,'27.07 NATEETE-BUSEGA'!F45,'28.07 BUSEGA-NATEETE'!F45)</f>
        <v>57.142857142857146</v>
      </c>
      <c r="G45" s="49">
        <f>AVERAGE('22.07 NATEETE-BUSEGA'!G45,'23.07 NATEETE-BUSEGA'!G45,'24.07 NATEETE-BUSEGA'!G45,'25.07 NATEETE-BUSEGA'!G45,'26.07 NATEETE-BUSEGA'!G45,'27.07 NATEETE-BUSEGA'!G45,'28.07 BUSEGA-NATEETE'!G45)</f>
        <v>2.8571428571428572</v>
      </c>
      <c r="H45" s="49">
        <f>AVERAGE('22.07 NATEETE-BUSEGA'!H45,'23.07 NATEETE-BUSEGA'!H45,'24.07 NATEETE-BUSEGA'!H45,'25.07 NATEETE-BUSEGA'!H45,'26.07 NATEETE-BUSEGA'!H45,'27.07 NATEETE-BUSEGA'!H45,'28.07 BUSEGA-NATEETE'!H45)</f>
        <v>1.5714285714285714</v>
      </c>
      <c r="I45" s="49">
        <f>AVERAGE('22.07 NATEETE-BUSEGA'!I45,'23.07 NATEETE-BUSEGA'!I45,'24.07 NATEETE-BUSEGA'!I45,'25.07 NATEETE-BUSEGA'!I45,'26.07 NATEETE-BUSEGA'!I45,'27.07 NATEETE-BUSEGA'!I45,'28.07 BUSEGA-NATEETE'!I45)</f>
        <v>13.285714285714286</v>
      </c>
      <c r="J45" s="49">
        <f>AVERAGE('22.07 NATEETE-BUSEGA'!J45,'23.07 NATEETE-BUSEGA'!J45,'24.07 NATEETE-BUSEGA'!J45,'25.07 NATEETE-BUSEGA'!J45,'26.07 NATEETE-BUSEGA'!J45,'27.07 NATEETE-BUSEGA'!J45,'28.07 BUSEGA-NATEETE'!J45)</f>
        <v>7</v>
      </c>
      <c r="K45" s="49">
        <f>AVERAGE('22.07 NATEETE-BUSEGA'!K45,'23.07 NATEETE-BUSEGA'!K45,'24.07 NATEETE-BUSEGA'!K45,'25.07 NATEETE-BUSEGA'!K45,'26.07 NATEETE-BUSEGA'!K45,'27.07 NATEETE-BUSEGA'!K45,'28.07 BUSEGA-NATEETE'!K45)</f>
        <v>1.8571428571428572</v>
      </c>
      <c r="L45" s="49">
        <f>AVERAGE('22.07 NATEETE-BUSEGA'!L45,'23.07 NATEETE-BUSEGA'!L45,'24.07 NATEETE-BUSEGA'!L45,'25.07 NATEETE-BUSEGA'!L45,'26.07 NATEETE-BUSEGA'!L45,'27.07 NATEETE-BUSEGA'!L45,'28.07 BUSEGA-NATEETE'!L45)</f>
        <v>3.5714285714285716</v>
      </c>
      <c r="M45" s="49">
        <f>AVERAGE('22.07 NATEETE-BUSEGA'!M45,'23.07 NATEETE-BUSEGA'!M45,'24.07 NATEETE-BUSEGA'!M45,'25.07 NATEETE-BUSEGA'!M45,'26.07 NATEETE-BUSEGA'!M45,'27.07 NATEETE-BUSEGA'!M45,'28.07 BUSEGA-NATEETE'!M45)</f>
        <v>127.28571428571429</v>
      </c>
      <c r="N45" s="49">
        <f>AVERAGE('22.07 NATEETE-BUSEGA'!N45,'23.07 NATEETE-BUSEGA'!N45,'24.07 NATEETE-BUSEGA'!N45,'25.07 NATEETE-BUSEGA'!N45,'26.07 NATEETE-BUSEGA'!N45,'27.07 NATEETE-BUSEGA'!N45,'28.07 BUSEGA-NATEETE'!N45)</f>
        <v>0</v>
      </c>
      <c r="O45" s="15">
        <f t="shared" si="0"/>
        <v>156.42857142857144</v>
      </c>
      <c r="P45" s="15">
        <f t="shared" si="1"/>
        <v>283.71428571428572</v>
      </c>
    </row>
    <row r="46" spans="2:32" ht="23.1" customHeight="1" x14ac:dyDescent="0.25">
      <c r="B46" s="24" t="s">
        <v>73</v>
      </c>
      <c r="C46" s="49">
        <f>AVERAGE('22.07 NATEETE-BUSEGA'!C46,'23.07 NATEETE-BUSEGA'!C46,'24.07 NATEETE-BUSEGA'!C46,'25.07 NATEETE-BUSEGA'!C46,'26.07 NATEETE-BUSEGA'!C46,'27.07 NATEETE-BUSEGA'!C46,'28.07 BUSEGA-NATEETE'!C46)</f>
        <v>51.428571428571431</v>
      </c>
      <c r="D46" s="49">
        <f>AVERAGE('22.07 NATEETE-BUSEGA'!D46,'23.07 NATEETE-BUSEGA'!D46,'24.07 NATEETE-BUSEGA'!D46,'25.07 NATEETE-BUSEGA'!D46,'26.07 NATEETE-BUSEGA'!D46,'27.07 NATEETE-BUSEGA'!D46,'28.07 BUSEGA-NATEETE'!D46)</f>
        <v>8</v>
      </c>
      <c r="E46" s="49">
        <f>AVERAGE('22.07 NATEETE-BUSEGA'!E46,'23.07 NATEETE-BUSEGA'!E46,'24.07 NATEETE-BUSEGA'!E46,'25.07 NATEETE-BUSEGA'!E46,'26.07 NATEETE-BUSEGA'!E46,'27.07 NATEETE-BUSEGA'!E46,'28.07 BUSEGA-NATEETE'!E46)</f>
        <v>8</v>
      </c>
      <c r="F46" s="49">
        <f>AVERAGE('22.07 NATEETE-BUSEGA'!F46,'23.07 NATEETE-BUSEGA'!F46,'24.07 NATEETE-BUSEGA'!F46,'25.07 NATEETE-BUSEGA'!F46,'26.07 NATEETE-BUSEGA'!F46,'27.07 NATEETE-BUSEGA'!F46,'28.07 BUSEGA-NATEETE'!F46)</f>
        <v>55.142857142857146</v>
      </c>
      <c r="G46" s="49">
        <f>AVERAGE('22.07 NATEETE-BUSEGA'!G46,'23.07 NATEETE-BUSEGA'!G46,'24.07 NATEETE-BUSEGA'!G46,'25.07 NATEETE-BUSEGA'!G46,'26.07 NATEETE-BUSEGA'!G46,'27.07 NATEETE-BUSEGA'!G46,'28.07 BUSEGA-NATEETE'!G46)</f>
        <v>2.5714285714285716</v>
      </c>
      <c r="H46" s="49">
        <f>AVERAGE('22.07 NATEETE-BUSEGA'!H46,'23.07 NATEETE-BUSEGA'!H46,'24.07 NATEETE-BUSEGA'!H46,'25.07 NATEETE-BUSEGA'!H46,'26.07 NATEETE-BUSEGA'!H46,'27.07 NATEETE-BUSEGA'!H46,'28.07 BUSEGA-NATEETE'!H46)</f>
        <v>0.7142857142857143</v>
      </c>
      <c r="I46" s="49">
        <f>AVERAGE('22.07 NATEETE-BUSEGA'!I46,'23.07 NATEETE-BUSEGA'!I46,'24.07 NATEETE-BUSEGA'!I46,'25.07 NATEETE-BUSEGA'!I46,'26.07 NATEETE-BUSEGA'!I46,'27.07 NATEETE-BUSEGA'!I46,'28.07 BUSEGA-NATEETE'!I46)</f>
        <v>10.142857142857142</v>
      </c>
      <c r="J46" s="49">
        <f>AVERAGE('22.07 NATEETE-BUSEGA'!J46,'23.07 NATEETE-BUSEGA'!J46,'24.07 NATEETE-BUSEGA'!J46,'25.07 NATEETE-BUSEGA'!J46,'26.07 NATEETE-BUSEGA'!J46,'27.07 NATEETE-BUSEGA'!J46,'28.07 BUSEGA-NATEETE'!J46)</f>
        <v>4.8571428571428568</v>
      </c>
      <c r="K46" s="49">
        <f>AVERAGE('22.07 NATEETE-BUSEGA'!K46,'23.07 NATEETE-BUSEGA'!K46,'24.07 NATEETE-BUSEGA'!K46,'25.07 NATEETE-BUSEGA'!K46,'26.07 NATEETE-BUSEGA'!K46,'27.07 NATEETE-BUSEGA'!K46,'28.07 BUSEGA-NATEETE'!K46)</f>
        <v>2.4285714285714284</v>
      </c>
      <c r="L46" s="49">
        <f>AVERAGE('22.07 NATEETE-BUSEGA'!L46,'23.07 NATEETE-BUSEGA'!L46,'24.07 NATEETE-BUSEGA'!L46,'25.07 NATEETE-BUSEGA'!L46,'26.07 NATEETE-BUSEGA'!L46,'27.07 NATEETE-BUSEGA'!L46,'28.07 BUSEGA-NATEETE'!L46)</f>
        <v>3.8571428571428572</v>
      </c>
      <c r="M46" s="49">
        <f>AVERAGE('22.07 NATEETE-BUSEGA'!M46,'23.07 NATEETE-BUSEGA'!M46,'24.07 NATEETE-BUSEGA'!M46,'25.07 NATEETE-BUSEGA'!M46,'26.07 NATEETE-BUSEGA'!M46,'27.07 NATEETE-BUSEGA'!M46,'28.07 BUSEGA-NATEETE'!M46)</f>
        <v>136.71428571428572</v>
      </c>
      <c r="N46" s="49">
        <f>AVERAGE('22.07 NATEETE-BUSEGA'!N46,'23.07 NATEETE-BUSEGA'!N46,'24.07 NATEETE-BUSEGA'!N46,'25.07 NATEETE-BUSEGA'!N46,'26.07 NATEETE-BUSEGA'!N46,'27.07 NATEETE-BUSEGA'!N46,'28.07 BUSEGA-NATEETE'!N46)</f>
        <v>0</v>
      </c>
      <c r="O46" s="15">
        <f t="shared" si="0"/>
        <v>147.14285714285714</v>
      </c>
      <c r="P46" s="15">
        <f t="shared" si="1"/>
        <v>283.85714285714289</v>
      </c>
      <c r="R46" s="8"/>
      <c r="T46"/>
    </row>
    <row r="47" spans="2:32" ht="23.1" customHeight="1" x14ac:dyDescent="0.25">
      <c r="B47" s="24" t="s">
        <v>74</v>
      </c>
      <c r="C47" s="49">
        <f>AVERAGE('22.07 NATEETE-BUSEGA'!C47,'23.07 NATEETE-BUSEGA'!C47,'24.07 NATEETE-BUSEGA'!C47,'25.07 NATEETE-BUSEGA'!C47,'26.07 NATEETE-BUSEGA'!C47,'27.07 NATEETE-BUSEGA'!C47,'28.07 BUSEGA-NATEETE'!C47)</f>
        <v>56.285714285714285</v>
      </c>
      <c r="D47" s="49">
        <f>AVERAGE('22.07 NATEETE-BUSEGA'!D47,'23.07 NATEETE-BUSEGA'!D47,'24.07 NATEETE-BUSEGA'!D47,'25.07 NATEETE-BUSEGA'!D47,'26.07 NATEETE-BUSEGA'!D47,'27.07 NATEETE-BUSEGA'!D47,'28.07 BUSEGA-NATEETE'!D47)</f>
        <v>7.5714285714285712</v>
      </c>
      <c r="E47" s="49">
        <f>AVERAGE('22.07 NATEETE-BUSEGA'!E47,'23.07 NATEETE-BUSEGA'!E47,'24.07 NATEETE-BUSEGA'!E47,'25.07 NATEETE-BUSEGA'!E47,'26.07 NATEETE-BUSEGA'!E47,'27.07 NATEETE-BUSEGA'!E47,'28.07 BUSEGA-NATEETE'!E47)</f>
        <v>10.142857142857142</v>
      </c>
      <c r="F47" s="49">
        <f>AVERAGE('22.07 NATEETE-BUSEGA'!F47,'23.07 NATEETE-BUSEGA'!F47,'24.07 NATEETE-BUSEGA'!F47,'25.07 NATEETE-BUSEGA'!F47,'26.07 NATEETE-BUSEGA'!F47,'27.07 NATEETE-BUSEGA'!F47,'28.07 BUSEGA-NATEETE'!F47)</f>
        <v>60</v>
      </c>
      <c r="G47" s="49">
        <f>AVERAGE('22.07 NATEETE-BUSEGA'!G47,'23.07 NATEETE-BUSEGA'!G47,'24.07 NATEETE-BUSEGA'!G47,'25.07 NATEETE-BUSEGA'!G47,'26.07 NATEETE-BUSEGA'!G47,'27.07 NATEETE-BUSEGA'!G47,'28.07 BUSEGA-NATEETE'!G47)</f>
        <v>4.4285714285714288</v>
      </c>
      <c r="H47" s="49">
        <f>AVERAGE('22.07 NATEETE-BUSEGA'!H47,'23.07 NATEETE-BUSEGA'!H47,'24.07 NATEETE-BUSEGA'!H47,'25.07 NATEETE-BUSEGA'!H47,'26.07 NATEETE-BUSEGA'!H47,'27.07 NATEETE-BUSEGA'!H47,'28.07 BUSEGA-NATEETE'!H47)</f>
        <v>1.2857142857142858</v>
      </c>
      <c r="I47" s="49">
        <f>AVERAGE('22.07 NATEETE-BUSEGA'!I47,'23.07 NATEETE-BUSEGA'!I47,'24.07 NATEETE-BUSEGA'!I47,'25.07 NATEETE-BUSEGA'!I47,'26.07 NATEETE-BUSEGA'!I47,'27.07 NATEETE-BUSEGA'!I47,'28.07 BUSEGA-NATEETE'!I47)</f>
        <v>8.2857142857142865</v>
      </c>
      <c r="J47" s="49">
        <f>AVERAGE('22.07 NATEETE-BUSEGA'!J47,'23.07 NATEETE-BUSEGA'!J47,'24.07 NATEETE-BUSEGA'!J47,'25.07 NATEETE-BUSEGA'!J47,'26.07 NATEETE-BUSEGA'!J47,'27.07 NATEETE-BUSEGA'!J47,'28.07 BUSEGA-NATEETE'!J47)</f>
        <v>5.2857142857142856</v>
      </c>
      <c r="K47" s="49">
        <f>AVERAGE('22.07 NATEETE-BUSEGA'!K47,'23.07 NATEETE-BUSEGA'!K47,'24.07 NATEETE-BUSEGA'!K47,'25.07 NATEETE-BUSEGA'!K47,'26.07 NATEETE-BUSEGA'!K47,'27.07 NATEETE-BUSEGA'!K47,'28.07 BUSEGA-NATEETE'!K47)</f>
        <v>1.5714285714285714</v>
      </c>
      <c r="L47" s="49">
        <f>AVERAGE('22.07 NATEETE-BUSEGA'!L47,'23.07 NATEETE-BUSEGA'!L47,'24.07 NATEETE-BUSEGA'!L47,'25.07 NATEETE-BUSEGA'!L47,'26.07 NATEETE-BUSEGA'!L47,'27.07 NATEETE-BUSEGA'!L47,'28.07 BUSEGA-NATEETE'!L47)</f>
        <v>3.7142857142857144</v>
      </c>
      <c r="M47" s="49">
        <f>AVERAGE('22.07 NATEETE-BUSEGA'!M47,'23.07 NATEETE-BUSEGA'!M47,'24.07 NATEETE-BUSEGA'!M47,'25.07 NATEETE-BUSEGA'!M47,'26.07 NATEETE-BUSEGA'!M47,'27.07 NATEETE-BUSEGA'!M47,'28.07 BUSEGA-NATEETE'!M47)</f>
        <v>173.57142857142858</v>
      </c>
      <c r="N47" s="49">
        <f>AVERAGE('22.07 NATEETE-BUSEGA'!N47,'23.07 NATEETE-BUSEGA'!N47,'24.07 NATEETE-BUSEGA'!N47,'25.07 NATEETE-BUSEGA'!N47,'26.07 NATEETE-BUSEGA'!N47,'27.07 NATEETE-BUSEGA'!N47,'28.07 BUSEGA-NATEETE'!N47)</f>
        <v>0</v>
      </c>
      <c r="O47" s="15">
        <f t="shared" si="0"/>
        <v>158.57142857142856</v>
      </c>
      <c r="P47" s="15">
        <f t="shared" si="1"/>
        <v>332.14285714285711</v>
      </c>
      <c r="R47" s="8"/>
      <c r="T47"/>
    </row>
    <row r="48" spans="2:32" ht="23.1" customHeight="1" x14ac:dyDescent="0.25">
      <c r="B48" s="24" t="s">
        <v>75</v>
      </c>
      <c r="C48" s="49">
        <f>AVERAGE('22.07 NATEETE-BUSEGA'!C48,'23.07 NATEETE-BUSEGA'!C48,'24.07 NATEETE-BUSEGA'!C48,'25.07 NATEETE-BUSEGA'!C48,'26.07 NATEETE-BUSEGA'!C48,'27.07 NATEETE-BUSEGA'!C48,'28.07 BUSEGA-NATEETE'!C48)</f>
        <v>51</v>
      </c>
      <c r="D48" s="49">
        <f>AVERAGE('22.07 NATEETE-BUSEGA'!D48,'23.07 NATEETE-BUSEGA'!D48,'24.07 NATEETE-BUSEGA'!D48,'25.07 NATEETE-BUSEGA'!D48,'26.07 NATEETE-BUSEGA'!D48,'27.07 NATEETE-BUSEGA'!D48,'28.07 BUSEGA-NATEETE'!D48)</f>
        <v>6</v>
      </c>
      <c r="E48" s="49">
        <f>AVERAGE('22.07 NATEETE-BUSEGA'!E48,'23.07 NATEETE-BUSEGA'!E48,'24.07 NATEETE-BUSEGA'!E48,'25.07 NATEETE-BUSEGA'!E48,'26.07 NATEETE-BUSEGA'!E48,'27.07 NATEETE-BUSEGA'!E48,'28.07 BUSEGA-NATEETE'!E48)</f>
        <v>9.1428571428571423</v>
      </c>
      <c r="F48" s="49">
        <f>AVERAGE('22.07 NATEETE-BUSEGA'!F48,'23.07 NATEETE-BUSEGA'!F48,'24.07 NATEETE-BUSEGA'!F48,'25.07 NATEETE-BUSEGA'!F48,'26.07 NATEETE-BUSEGA'!F48,'27.07 NATEETE-BUSEGA'!F48,'28.07 BUSEGA-NATEETE'!F48)</f>
        <v>53</v>
      </c>
      <c r="G48" s="49">
        <f>AVERAGE('22.07 NATEETE-BUSEGA'!G48,'23.07 NATEETE-BUSEGA'!G48,'24.07 NATEETE-BUSEGA'!G48,'25.07 NATEETE-BUSEGA'!G48,'26.07 NATEETE-BUSEGA'!G48,'27.07 NATEETE-BUSEGA'!G48,'28.07 BUSEGA-NATEETE'!G48)</f>
        <v>1.7142857142857142</v>
      </c>
      <c r="H48" s="49">
        <f>AVERAGE('22.07 NATEETE-BUSEGA'!H48,'23.07 NATEETE-BUSEGA'!H48,'24.07 NATEETE-BUSEGA'!H48,'25.07 NATEETE-BUSEGA'!H48,'26.07 NATEETE-BUSEGA'!H48,'27.07 NATEETE-BUSEGA'!H48,'28.07 BUSEGA-NATEETE'!H48)</f>
        <v>1.8571428571428572</v>
      </c>
      <c r="I48" s="49">
        <f>AVERAGE('22.07 NATEETE-BUSEGA'!I48,'23.07 NATEETE-BUSEGA'!I48,'24.07 NATEETE-BUSEGA'!I48,'25.07 NATEETE-BUSEGA'!I48,'26.07 NATEETE-BUSEGA'!I48,'27.07 NATEETE-BUSEGA'!I48,'28.07 BUSEGA-NATEETE'!I48)</f>
        <v>9.4285714285714288</v>
      </c>
      <c r="J48" s="49">
        <f>AVERAGE('22.07 NATEETE-BUSEGA'!J48,'23.07 NATEETE-BUSEGA'!J48,'24.07 NATEETE-BUSEGA'!J48,'25.07 NATEETE-BUSEGA'!J48,'26.07 NATEETE-BUSEGA'!J48,'27.07 NATEETE-BUSEGA'!J48,'28.07 BUSEGA-NATEETE'!J48)</f>
        <v>7.4285714285714288</v>
      </c>
      <c r="K48" s="49">
        <f>AVERAGE('22.07 NATEETE-BUSEGA'!K48,'23.07 NATEETE-BUSEGA'!K48,'24.07 NATEETE-BUSEGA'!K48,'25.07 NATEETE-BUSEGA'!K48,'26.07 NATEETE-BUSEGA'!K48,'27.07 NATEETE-BUSEGA'!K48,'28.07 BUSEGA-NATEETE'!K48)</f>
        <v>1.8571428571428572</v>
      </c>
      <c r="L48" s="49">
        <f>AVERAGE('22.07 NATEETE-BUSEGA'!L48,'23.07 NATEETE-BUSEGA'!L48,'24.07 NATEETE-BUSEGA'!L48,'25.07 NATEETE-BUSEGA'!L48,'26.07 NATEETE-BUSEGA'!L48,'27.07 NATEETE-BUSEGA'!L48,'28.07 BUSEGA-NATEETE'!L48)</f>
        <v>2.7142857142857144</v>
      </c>
      <c r="M48" s="49">
        <f>AVERAGE('22.07 NATEETE-BUSEGA'!M48,'23.07 NATEETE-BUSEGA'!M48,'24.07 NATEETE-BUSEGA'!M48,'25.07 NATEETE-BUSEGA'!M48,'26.07 NATEETE-BUSEGA'!M48,'27.07 NATEETE-BUSEGA'!M48,'28.07 BUSEGA-NATEETE'!M48)</f>
        <v>223.57142857142858</v>
      </c>
      <c r="N48" s="49">
        <f>AVERAGE('22.07 NATEETE-BUSEGA'!N48,'23.07 NATEETE-BUSEGA'!N48,'24.07 NATEETE-BUSEGA'!N48,'25.07 NATEETE-BUSEGA'!N48,'26.07 NATEETE-BUSEGA'!N48,'27.07 NATEETE-BUSEGA'!N48,'28.07 BUSEGA-NATEETE'!N48)</f>
        <v>0</v>
      </c>
      <c r="O48" s="15">
        <f t="shared" si="0"/>
        <v>144.14285714285714</v>
      </c>
      <c r="P48" s="15">
        <f t="shared" si="1"/>
        <v>367.71428571428572</v>
      </c>
      <c r="R48" s="8"/>
      <c r="T48"/>
    </row>
    <row r="49" spans="2:20" ht="23.1" customHeight="1" x14ac:dyDescent="0.25">
      <c r="B49" s="23" t="s">
        <v>76</v>
      </c>
      <c r="C49" s="49">
        <f>AVERAGE('22.07 NATEETE-BUSEGA'!C49,'23.07 NATEETE-BUSEGA'!C49,'24.07 NATEETE-BUSEGA'!C49,'25.07 NATEETE-BUSEGA'!C49,'26.07 NATEETE-BUSEGA'!C49,'27.07 NATEETE-BUSEGA'!C49,'28.07 BUSEGA-NATEETE'!C49)</f>
        <v>59.142857142857146</v>
      </c>
      <c r="D49" s="49">
        <f>AVERAGE('22.07 NATEETE-BUSEGA'!D49,'23.07 NATEETE-BUSEGA'!D49,'24.07 NATEETE-BUSEGA'!D49,'25.07 NATEETE-BUSEGA'!D49,'26.07 NATEETE-BUSEGA'!D49,'27.07 NATEETE-BUSEGA'!D49,'28.07 BUSEGA-NATEETE'!D49)</f>
        <v>9.1428571428571423</v>
      </c>
      <c r="E49" s="49">
        <f>AVERAGE('22.07 NATEETE-BUSEGA'!E49,'23.07 NATEETE-BUSEGA'!E49,'24.07 NATEETE-BUSEGA'!E49,'25.07 NATEETE-BUSEGA'!E49,'26.07 NATEETE-BUSEGA'!E49,'27.07 NATEETE-BUSEGA'!E49,'28.07 BUSEGA-NATEETE'!E49)</f>
        <v>11.142857142857142</v>
      </c>
      <c r="F49" s="49">
        <f>AVERAGE('22.07 NATEETE-BUSEGA'!F49,'23.07 NATEETE-BUSEGA'!F49,'24.07 NATEETE-BUSEGA'!F49,'25.07 NATEETE-BUSEGA'!F49,'26.07 NATEETE-BUSEGA'!F49,'27.07 NATEETE-BUSEGA'!F49,'28.07 BUSEGA-NATEETE'!F49)</f>
        <v>56.857142857142854</v>
      </c>
      <c r="G49" s="49">
        <f>AVERAGE('22.07 NATEETE-BUSEGA'!G49,'23.07 NATEETE-BUSEGA'!G49,'24.07 NATEETE-BUSEGA'!G49,'25.07 NATEETE-BUSEGA'!G49,'26.07 NATEETE-BUSEGA'!G49,'27.07 NATEETE-BUSEGA'!G49,'28.07 BUSEGA-NATEETE'!G49)</f>
        <v>1.8571428571428572</v>
      </c>
      <c r="H49" s="49">
        <f>AVERAGE('22.07 NATEETE-BUSEGA'!H49,'23.07 NATEETE-BUSEGA'!H49,'24.07 NATEETE-BUSEGA'!H49,'25.07 NATEETE-BUSEGA'!H49,'26.07 NATEETE-BUSEGA'!H49,'27.07 NATEETE-BUSEGA'!H49,'28.07 BUSEGA-NATEETE'!H49)</f>
        <v>1.4285714285714286</v>
      </c>
      <c r="I49" s="49">
        <f>AVERAGE('22.07 NATEETE-BUSEGA'!I49,'23.07 NATEETE-BUSEGA'!I49,'24.07 NATEETE-BUSEGA'!I49,'25.07 NATEETE-BUSEGA'!I49,'26.07 NATEETE-BUSEGA'!I49,'27.07 NATEETE-BUSEGA'!I49,'28.07 BUSEGA-NATEETE'!I49)</f>
        <v>9.4285714285714288</v>
      </c>
      <c r="J49" s="49">
        <f>AVERAGE('22.07 NATEETE-BUSEGA'!J49,'23.07 NATEETE-BUSEGA'!J49,'24.07 NATEETE-BUSEGA'!J49,'25.07 NATEETE-BUSEGA'!J49,'26.07 NATEETE-BUSEGA'!J49,'27.07 NATEETE-BUSEGA'!J49,'28.07 BUSEGA-NATEETE'!J49)</f>
        <v>6.1428571428571432</v>
      </c>
      <c r="K49" s="49">
        <f>AVERAGE('22.07 NATEETE-BUSEGA'!K49,'23.07 NATEETE-BUSEGA'!K49,'24.07 NATEETE-BUSEGA'!K49,'25.07 NATEETE-BUSEGA'!K49,'26.07 NATEETE-BUSEGA'!K49,'27.07 NATEETE-BUSEGA'!K49,'28.07 BUSEGA-NATEETE'!K49)</f>
        <v>2.1428571428571428</v>
      </c>
      <c r="L49" s="49">
        <f>AVERAGE('22.07 NATEETE-BUSEGA'!L49,'23.07 NATEETE-BUSEGA'!L49,'24.07 NATEETE-BUSEGA'!L49,'25.07 NATEETE-BUSEGA'!L49,'26.07 NATEETE-BUSEGA'!L49,'27.07 NATEETE-BUSEGA'!L49,'28.07 BUSEGA-NATEETE'!L49)</f>
        <v>3</v>
      </c>
      <c r="M49" s="49">
        <f>AVERAGE('22.07 NATEETE-BUSEGA'!M49,'23.07 NATEETE-BUSEGA'!M49,'24.07 NATEETE-BUSEGA'!M49,'25.07 NATEETE-BUSEGA'!M49,'26.07 NATEETE-BUSEGA'!M49,'27.07 NATEETE-BUSEGA'!M49,'28.07 BUSEGA-NATEETE'!M49)</f>
        <v>210.14285714285714</v>
      </c>
      <c r="N49" s="49">
        <f>AVERAGE('22.07 NATEETE-BUSEGA'!N49,'23.07 NATEETE-BUSEGA'!N49,'24.07 NATEETE-BUSEGA'!N49,'25.07 NATEETE-BUSEGA'!N49,'26.07 NATEETE-BUSEGA'!N49,'27.07 NATEETE-BUSEGA'!N49,'28.07 BUSEGA-NATEETE'!N49)</f>
        <v>0.14285714285714285</v>
      </c>
      <c r="O49" s="15">
        <f t="shared" si="0"/>
        <v>160.42857142857139</v>
      </c>
      <c r="P49" s="15">
        <f t="shared" si="1"/>
        <v>370.57142857142856</v>
      </c>
      <c r="R49" s="8"/>
      <c r="T49"/>
    </row>
    <row r="50" spans="2:20" ht="23.1" customHeight="1" x14ac:dyDescent="0.25">
      <c r="B50" s="24" t="s">
        <v>77</v>
      </c>
      <c r="C50" s="49">
        <f>AVERAGE('22.07 NATEETE-BUSEGA'!C50,'23.07 NATEETE-BUSEGA'!C50,'24.07 NATEETE-BUSEGA'!C50,'25.07 NATEETE-BUSEGA'!C50,'26.07 NATEETE-BUSEGA'!C50,'27.07 NATEETE-BUSEGA'!C50,'28.07 BUSEGA-NATEETE'!C50)</f>
        <v>53</v>
      </c>
      <c r="D50" s="49">
        <f>AVERAGE('22.07 NATEETE-BUSEGA'!D50,'23.07 NATEETE-BUSEGA'!D50,'24.07 NATEETE-BUSEGA'!D50,'25.07 NATEETE-BUSEGA'!D50,'26.07 NATEETE-BUSEGA'!D50,'27.07 NATEETE-BUSEGA'!D50,'28.07 BUSEGA-NATEETE'!D50)</f>
        <v>6</v>
      </c>
      <c r="E50" s="49">
        <f>AVERAGE('22.07 NATEETE-BUSEGA'!E50,'23.07 NATEETE-BUSEGA'!E50,'24.07 NATEETE-BUSEGA'!E50,'25.07 NATEETE-BUSEGA'!E50,'26.07 NATEETE-BUSEGA'!E50,'27.07 NATEETE-BUSEGA'!E50,'28.07 BUSEGA-NATEETE'!E50)</f>
        <v>7.4285714285714288</v>
      </c>
      <c r="F50" s="49">
        <f>AVERAGE('22.07 NATEETE-BUSEGA'!F50,'23.07 NATEETE-BUSEGA'!F50,'24.07 NATEETE-BUSEGA'!F50,'25.07 NATEETE-BUSEGA'!F50,'26.07 NATEETE-BUSEGA'!F50,'27.07 NATEETE-BUSEGA'!F50,'28.07 BUSEGA-NATEETE'!F50)</f>
        <v>43.428571428571431</v>
      </c>
      <c r="G50" s="49">
        <f>AVERAGE('22.07 NATEETE-BUSEGA'!G50,'23.07 NATEETE-BUSEGA'!G50,'24.07 NATEETE-BUSEGA'!G50,'25.07 NATEETE-BUSEGA'!G50,'26.07 NATEETE-BUSEGA'!G50,'27.07 NATEETE-BUSEGA'!G50,'28.07 BUSEGA-NATEETE'!G50)</f>
        <v>0.7142857142857143</v>
      </c>
      <c r="H50" s="49">
        <f>AVERAGE('22.07 NATEETE-BUSEGA'!H50,'23.07 NATEETE-BUSEGA'!H50,'24.07 NATEETE-BUSEGA'!H50,'25.07 NATEETE-BUSEGA'!H50,'26.07 NATEETE-BUSEGA'!H50,'27.07 NATEETE-BUSEGA'!H50,'28.07 BUSEGA-NATEETE'!H50)</f>
        <v>1</v>
      </c>
      <c r="I50" s="49">
        <f>AVERAGE('22.07 NATEETE-BUSEGA'!I50,'23.07 NATEETE-BUSEGA'!I50,'24.07 NATEETE-BUSEGA'!I50,'25.07 NATEETE-BUSEGA'!I50,'26.07 NATEETE-BUSEGA'!I50,'27.07 NATEETE-BUSEGA'!I50,'28.07 BUSEGA-NATEETE'!I50)</f>
        <v>10</v>
      </c>
      <c r="J50" s="49">
        <f>AVERAGE('22.07 NATEETE-BUSEGA'!J50,'23.07 NATEETE-BUSEGA'!J50,'24.07 NATEETE-BUSEGA'!J50,'25.07 NATEETE-BUSEGA'!J50,'26.07 NATEETE-BUSEGA'!J50,'27.07 NATEETE-BUSEGA'!J50,'28.07 BUSEGA-NATEETE'!J50)</f>
        <v>6.2857142857142856</v>
      </c>
      <c r="K50" s="49">
        <f>AVERAGE('22.07 NATEETE-BUSEGA'!K50,'23.07 NATEETE-BUSEGA'!K50,'24.07 NATEETE-BUSEGA'!K50,'25.07 NATEETE-BUSEGA'!K50,'26.07 NATEETE-BUSEGA'!K50,'27.07 NATEETE-BUSEGA'!K50,'28.07 BUSEGA-NATEETE'!K50)</f>
        <v>2.2857142857142856</v>
      </c>
      <c r="L50" s="49">
        <f>AVERAGE('22.07 NATEETE-BUSEGA'!L50,'23.07 NATEETE-BUSEGA'!L50,'24.07 NATEETE-BUSEGA'!L50,'25.07 NATEETE-BUSEGA'!L50,'26.07 NATEETE-BUSEGA'!L50,'27.07 NATEETE-BUSEGA'!L50,'28.07 BUSEGA-NATEETE'!L50)</f>
        <v>3.4285714285714284</v>
      </c>
      <c r="M50" s="49">
        <f>AVERAGE('22.07 NATEETE-BUSEGA'!M50,'23.07 NATEETE-BUSEGA'!M50,'24.07 NATEETE-BUSEGA'!M50,'25.07 NATEETE-BUSEGA'!M50,'26.07 NATEETE-BUSEGA'!M50,'27.07 NATEETE-BUSEGA'!M50,'28.07 BUSEGA-NATEETE'!M50)</f>
        <v>239.28571428571428</v>
      </c>
      <c r="N50" s="49">
        <f>AVERAGE('22.07 NATEETE-BUSEGA'!N50,'23.07 NATEETE-BUSEGA'!N50,'24.07 NATEETE-BUSEGA'!N50,'25.07 NATEETE-BUSEGA'!N50,'26.07 NATEETE-BUSEGA'!N50,'27.07 NATEETE-BUSEGA'!N50,'28.07 BUSEGA-NATEETE'!N50)</f>
        <v>0</v>
      </c>
      <c r="O50" s="15">
        <f t="shared" si="0"/>
        <v>133.57142857142856</v>
      </c>
      <c r="P50" s="15">
        <f t="shared" si="1"/>
        <v>372.85714285714283</v>
      </c>
      <c r="R50" s="8"/>
      <c r="T50"/>
    </row>
    <row r="51" spans="2:20" ht="23.1" customHeight="1" x14ac:dyDescent="0.25">
      <c r="B51" s="24" t="s">
        <v>78</v>
      </c>
      <c r="C51" s="49">
        <f>AVERAGE('22.07 NATEETE-BUSEGA'!C51,'23.07 NATEETE-BUSEGA'!C51,'24.07 NATEETE-BUSEGA'!C51,'25.07 NATEETE-BUSEGA'!C51,'26.07 NATEETE-BUSEGA'!C51,'27.07 NATEETE-BUSEGA'!C51,'28.07 BUSEGA-NATEETE'!C51)</f>
        <v>53.571428571428569</v>
      </c>
      <c r="D51" s="49">
        <f>AVERAGE('22.07 NATEETE-BUSEGA'!D51,'23.07 NATEETE-BUSEGA'!D51,'24.07 NATEETE-BUSEGA'!D51,'25.07 NATEETE-BUSEGA'!D51,'26.07 NATEETE-BUSEGA'!D51,'27.07 NATEETE-BUSEGA'!D51,'28.07 BUSEGA-NATEETE'!D51)</f>
        <v>8</v>
      </c>
      <c r="E51" s="49">
        <f>AVERAGE('22.07 NATEETE-BUSEGA'!E51,'23.07 NATEETE-BUSEGA'!E51,'24.07 NATEETE-BUSEGA'!E51,'25.07 NATEETE-BUSEGA'!E51,'26.07 NATEETE-BUSEGA'!E51,'27.07 NATEETE-BUSEGA'!E51,'28.07 BUSEGA-NATEETE'!E51)</f>
        <v>8.4285714285714288</v>
      </c>
      <c r="F51" s="49">
        <f>AVERAGE('22.07 NATEETE-BUSEGA'!F51,'23.07 NATEETE-BUSEGA'!F51,'24.07 NATEETE-BUSEGA'!F51,'25.07 NATEETE-BUSEGA'!F51,'26.07 NATEETE-BUSEGA'!F51,'27.07 NATEETE-BUSEGA'!F51,'28.07 BUSEGA-NATEETE'!F51)</f>
        <v>43.142857142857146</v>
      </c>
      <c r="G51" s="49">
        <f>AVERAGE('22.07 NATEETE-BUSEGA'!G51,'23.07 NATEETE-BUSEGA'!G51,'24.07 NATEETE-BUSEGA'!G51,'25.07 NATEETE-BUSEGA'!G51,'26.07 NATEETE-BUSEGA'!G51,'27.07 NATEETE-BUSEGA'!G51,'28.07 BUSEGA-NATEETE'!G51)</f>
        <v>2.5714285714285716</v>
      </c>
      <c r="H51" s="49">
        <f>AVERAGE('22.07 NATEETE-BUSEGA'!H51,'23.07 NATEETE-BUSEGA'!H51,'24.07 NATEETE-BUSEGA'!H51,'25.07 NATEETE-BUSEGA'!H51,'26.07 NATEETE-BUSEGA'!H51,'27.07 NATEETE-BUSEGA'!H51,'28.07 BUSEGA-NATEETE'!H51)</f>
        <v>2.8571428571428572</v>
      </c>
      <c r="I51" s="49">
        <f>AVERAGE('22.07 NATEETE-BUSEGA'!I51,'23.07 NATEETE-BUSEGA'!I51,'24.07 NATEETE-BUSEGA'!I51,'25.07 NATEETE-BUSEGA'!I51,'26.07 NATEETE-BUSEGA'!I51,'27.07 NATEETE-BUSEGA'!I51,'28.07 BUSEGA-NATEETE'!I51)</f>
        <v>9.1428571428571423</v>
      </c>
      <c r="J51" s="49">
        <f>AVERAGE('22.07 NATEETE-BUSEGA'!J51,'23.07 NATEETE-BUSEGA'!J51,'24.07 NATEETE-BUSEGA'!J51,'25.07 NATEETE-BUSEGA'!J51,'26.07 NATEETE-BUSEGA'!J51,'27.07 NATEETE-BUSEGA'!J51,'28.07 BUSEGA-NATEETE'!J51)</f>
        <v>6.2857142857142856</v>
      </c>
      <c r="K51" s="49">
        <f>AVERAGE('22.07 NATEETE-BUSEGA'!K51,'23.07 NATEETE-BUSEGA'!K51,'24.07 NATEETE-BUSEGA'!K51,'25.07 NATEETE-BUSEGA'!K51,'26.07 NATEETE-BUSEGA'!K51,'27.07 NATEETE-BUSEGA'!K51,'28.07 BUSEGA-NATEETE'!K51)</f>
        <v>2.1428571428571428</v>
      </c>
      <c r="L51" s="49">
        <f>AVERAGE('22.07 NATEETE-BUSEGA'!L51,'23.07 NATEETE-BUSEGA'!L51,'24.07 NATEETE-BUSEGA'!L51,'25.07 NATEETE-BUSEGA'!L51,'26.07 NATEETE-BUSEGA'!L51,'27.07 NATEETE-BUSEGA'!L51,'28.07 BUSEGA-NATEETE'!L51)</f>
        <v>3.4285714285714284</v>
      </c>
      <c r="M51" s="49">
        <f>AVERAGE('22.07 NATEETE-BUSEGA'!M51,'23.07 NATEETE-BUSEGA'!M51,'24.07 NATEETE-BUSEGA'!M51,'25.07 NATEETE-BUSEGA'!M51,'26.07 NATEETE-BUSEGA'!M51,'27.07 NATEETE-BUSEGA'!M51,'28.07 BUSEGA-NATEETE'!M51)</f>
        <v>245</v>
      </c>
      <c r="N51" s="49">
        <f>AVERAGE('22.07 NATEETE-BUSEGA'!N51,'23.07 NATEETE-BUSEGA'!N51,'24.07 NATEETE-BUSEGA'!N51,'25.07 NATEETE-BUSEGA'!N51,'26.07 NATEETE-BUSEGA'!N51,'27.07 NATEETE-BUSEGA'!N51,'28.07 BUSEGA-NATEETE'!N51)</f>
        <v>0</v>
      </c>
      <c r="O51" s="15">
        <f t="shared" si="0"/>
        <v>139.57142857142856</v>
      </c>
      <c r="P51" s="15">
        <f t="shared" si="1"/>
        <v>384.57142857142856</v>
      </c>
      <c r="R51" s="8"/>
      <c r="T51"/>
    </row>
    <row r="52" spans="2:20" ht="23.1" customHeight="1" x14ac:dyDescent="0.25">
      <c r="B52" s="24" t="s">
        <v>79</v>
      </c>
      <c r="C52" s="49">
        <f>AVERAGE('22.07 NATEETE-BUSEGA'!C52,'23.07 NATEETE-BUSEGA'!C52,'24.07 NATEETE-BUSEGA'!C52,'25.07 NATEETE-BUSEGA'!C52,'26.07 NATEETE-BUSEGA'!C52,'27.07 NATEETE-BUSEGA'!C52,'28.07 BUSEGA-NATEETE'!C52)</f>
        <v>50.428571428571431</v>
      </c>
      <c r="D52" s="49">
        <f>AVERAGE('22.07 NATEETE-BUSEGA'!D52,'23.07 NATEETE-BUSEGA'!D52,'24.07 NATEETE-BUSEGA'!D52,'25.07 NATEETE-BUSEGA'!D52,'26.07 NATEETE-BUSEGA'!D52,'27.07 NATEETE-BUSEGA'!D52,'28.07 BUSEGA-NATEETE'!D52)</f>
        <v>8.8571428571428577</v>
      </c>
      <c r="E52" s="49">
        <f>AVERAGE('22.07 NATEETE-BUSEGA'!E52,'23.07 NATEETE-BUSEGA'!E52,'24.07 NATEETE-BUSEGA'!E52,'25.07 NATEETE-BUSEGA'!E52,'26.07 NATEETE-BUSEGA'!E52,'27.07 NATEETE-BUSEGA'!E52,'28.07 BUSEGA-NATEETE'!E52)</f>
        <v>9.5714285714285712</v>
      </c>
      <c r="F52" s="49">
        <f>AVERAGE('22.07 NATEETE-BUSEGA'!F52,'23.07 NATEETE-BUSEGA'!F52,'24.07 NATEETE-BUSEGA'!F52,'25.07 NATEETE-BUSEGA'!F52,'26.07 NATEETE-BUSEGA'!F52,'27.07 NATEETE-BUSEGA'!F52,'28.07 BUSEGA-NATEETE'!F52)</f>
        <v>41.857142857142854</v>
      </c>
      <c r="G52" s="49">
        <f>AVERAGE('22.07 NATEETE-BUSEGA'!G52,'23.07 NATEETE-BUSEGA'!G52,'24.07 NATEETE-BUSEGA'!G52,'25.07 NATEETE-BUSEGA'!G52,'26.07 NATEETE-BUSEGA'!G52,'27.07 NATEETE-BUSEGA'!G52,'28.07 BUSEGA-NATEETE'!G52)</f>
        <v>1.7142857142857142</v>
      </c>
      <c r="H52" s="49">
        <f>AVERAGE('22.07 NATEETE-BUSEGA'!H52,'23.07 NATEETE-BUSEGA'!H52,'24.07 NATEETE-BUSEGA'!H52,'25.07 NATEETE-BUSEGA'!H52,'26.07 NATEETE-BUSEGA'!H52,'27.07 NATEETE-BUSEGA'!H52,'28.07 BUSEGA-NATEETE'!H52)</f>
        <v>1</v>
      </c>
      <c r="I52" s="49">
        <f>AVERAGE('22.07 NATEETE-BUSEGA'!I52,'23.07 NATEETE-BUSEGA'!I52,'24.07 NATEETE-BUSEGA'!I52,'25.07 NATEETE-BUSEGA'!I52,'26.07 NATEETE-BUSEGA'!I52,'27.07 NATEETE-BUSEGA'!I52,'28.07 BUSEGA-NATEETE'!I52)</f>
        <v>8.4285714285714288</v>
      </c>
      <c r="J52" s="49">
        <f>AVERAGE('22.07 NATEETE-BUSEGA'!J52,'23.07 NATEETE-BUSEGA'!J52,'24.07 NATEETE-BUSEGA'!J52,'25.07 NATEETE-BUSEGA'!J52,'26.07 NATEETE-BUSEGA'!J52,'27.07 NATEETE-BUSEGA'!J52,'28.07 BUSEGA-NATEETE'!J52)</f>
        <v>8.2857142857142865</v>
      </c>
      <c r="K52" s="49">
        <f>AVERAGE('22.07 NATEETE-BUSEGA'!K52,'23.07 NATEETE-BUSEGA'!K52,'24.07 NATEETE-BUSEGA'!K52,'25.07 NATEETE-BUSEGA'!K52,'26.07 NATEETE-BUSEGA'!K52,'27.07 NATEETE-BUSEGA'!K52,'28.07 BUSEGA-NATEETE'!K52)</f>
        <v>2.1428571428571428</v>
      </c>
      <c r="L52" s="49">
        <f>AVERAGE('22.07 NATEETE-BUSEGA'!L52,'23.07 NATEETE-BUSEGA'!L52,'24.07 NATEETE-BUSEGA'!L52,'25.07 NATEETE-BUSEGA'!L52,'26.07 NATEETE-BUSEGA'!L52,'27.07 NATEETE-BUSEGA'!L52,'28.07 BUSEGA-NATEETE'!L52)</f>
        <v>2.5714285714285716</v>
      </c>
      <c r="M52" s="49">
        <f>AVERAGE('22.07 NATEETE-BUSEGA'!M52,'23.07 NATEETE-BUSEGA'!M52,'24.07 NATEETE-BUSEGA'!M52,'25.07 NATEETE-BUSEGA'!M52,'26.07 NATEETE-BUSEGA'!M52,'27.07 NATEETE-BUSEGA'!M52,'28.07 BUSEGA-NATEETE'!M52)</f>
        <v>215.71428571428572</v>
      </c>
      <c r="N52" s="49">
        <f>AVERAGE('22.07 NATEETE-BUSEGA'!N52,'23.07 NATEETE-BUSEGA'!N52,'24.07 NATEETE-BUSEGA'!N52,'25.07 NATEETE-BUSEGA'!N52,'26.07 NATEETE-BUSEGA'!N52,'27.07 NATEETE-BUSEGA'!N52,'28.07 BUSEGA-NATEETE'!N52)</f>
        <v>0.14285714285714285</v>
      </c>
      <c r="O52" s="15">
        <f t="shared" si="0"/>
        <v>135</v>
      </c>
      <c r="P52" s="15">
        <f t="shared" si="1"/>
        <v>350.71428571428572</v>
      </c>
      <c r="R52" s="8"/>
      <c r="T52"/>
    </row>
    <row r="53" spans="2:20" ht="23.1" customHeight="1" x14ac:dyDescent="0.25">
      <c r="B53" s="23" t="s">
        <v>80</v>
      </c>
      <c r="C53" s="49">
        <f>AVERAGE('22.07 NATEETE-BUSEGA'!C53,'23.07 NATEETE-BUSEGA'!C53,'24.07 NATEETE-BUSEGA'!C53,'25.07 NATEETE-BUSEGA'!C53,'26.07 NATEETE-BUSEGA'!C53,'27.07 NATEETE-BUSEGA'!C53,'28.07 BUSEGA-NATEETE'!C53)</f>
        <v>52.142857142857146</v>
      </c>
      <c r="D53" s="49">
        <f>AVERAGE('22.07 NATEETE-BUSEGA'!D53,'23.07 NATEETE-BUSEGA'!D53,'24.07 NATEETE-BUSEGA'!D53,'25.07 NATEETE-BUSEGA'!D53,'26.07 NATEETE-BUSEGA'!D53,'27.07 NATEETE-BUSEGA'!D53,'28.07 BUSEGA-NATEETE'!D53)</f>
        <v>7.2857142857142856</v>
      </c>
      <c r="E53" s="49">
        <f>AVERAGE('22.07 NATEETE-BUSEGA'!E53,'23.07 NATEETE-BUSEGA'!E53,'24.07 NATEETE-BUSEGA'!E53,'25.07 NATEETE-BUSEGA'!E53,'26.07 NATEETE-BUSEGA'!E53,'27.07 NATEETE-BUSEGA'!E53,'28.07 BUSEGA-NATEETE'!E53)</f>
        <v>6.2857142857142856</v>
      </c>
      <c r="F53" s="49">
        <f>AVERAGE('22.07 NATEETE-BUSEGA'!F53,'23.07 NATEETE-BUSEGA'!F53,'24.07 NATEETE-BUSEGA'!F53,'25.07 NATEETE-BUSEGA'!F53,'26.07 NATEETE-BUSEGA'!F53,'27.07 NATEETE-BUSEGA'!F53,'28.07 BUSEGA-NATEETE'!F53)</f>
        <v>39.285714285714285</v>
      </c>
      <c r="G53" s="49">
        <f>AVERAGE('22.07 NATEETE-BUSEGA'!G53,'23.07 NATEETE-BUSEGA'!G53,'24.07 NATEETE-BUSEGA'!G53,'25.07 NATEETE-BUSEGA'!G53,'26.07 NATEETE-BUSEGA'!G53,'27.07 NATEETE-BUSEGA'!G53,'28.07 BUSEGA-NATEETE'!G53)</f>
        <v>1.2857142857142858</v>
      </c>
      <c r="H53" s="49">
        <f>AVERAGE('22.07 NATEETE-BUSEGA'!H53,'23.07 NATEETE-BUSEGA'!H53,'24.07 NATEETE-BUSEGA'!H53,'25.07 NATEETE-BUSEGA'!H53,'26.07 NATEETE-BUSEGA'!H53,'27.07 NATEETE-BUSEGA'!H53,'28.07 BUSEGA-NATEETE'!H53)</f>
        <v>0.14285714285714285</v>
      </c>
      <c r="I53" s="49">
        <f>AVERAGE('22.07 NATEETE-BUSEGA'!I53,'23.07 NATEETE-BUSEGA'!I53,'24.07 NATEETE-BUSEGA'!I53,'25.07 NATEETE-BUSEGA'!I53,'26.07 NATEETE-BUSEGA'!I53,'27.07 NATEETE-BUSEGA'!I53,'28.07 BUSEGA-NATEETE'!I53)</f>
        <v>8.5714285714285712</v>
      </c>
      <c r="J53" s="49">
        <f>AVERAGE('22.07 NATEETE-BUSEGA'!J53,'23.07 NATEETE-BUSEGA'!J53,'24.07 NATEETE-BUSEGA'!J53,'25.07 NATEETE-BUSEGA'!J53,'26.07 NATEETE-BUSEGA'!J53,'27.07 NATEETE-BUSEGA'!J53,'28.07 BUSEGA-NATEETE'!J53)</f>
        <v>4.7142857142857144</v>
      </c>
      <c r="K53" s="49">
        <f>AVERAGE('22.07 NATEETE-BUSEGA'!K53,'23.07 NATEETE-BUSEGA'!K53,'24.07 NATEETE-BUSEGA'!K53,'25.07 NATEETE-BUSEGA'!K53,'26.07 NATEETE-BUSEGA'!K53,'27.07 NATEETE-BUSEGA'!K53,'28.07 BUSEGA-NATEETE'!K53)</f>
        <v>2</v>
      </c>
      <c r="L53" s="49">
        <f>AVERAGE('22.07 NATEETE-BUSEGA'!L53,'23.07 NATEETE-BUSEGA'!L53,'24.07 NATEETE-BUSEGA'!L53,'25.07 NATEETE-BUSEGA'!L53,'26.07 NATEETE-BUSEGA'!L53,'27.07 NATEETE-BUSEGA'!L53,'28.07 BUSEGA-NATEETE'!L53)</f>
        <v>2.1428571428571428</v>
      </c>
      <c r="M53" s="49">
        <f>AVERAGE('22.07 NATEETE-BUSEGA'!M53,'23.07 NATEETE-BUSEGA'!M53,'24.07 NATEETE-BUSEGA'!M53,'25.07 NATEETE-BUSEGA'!M53,'26.07 NATEETE-BUSEGA'!M53,'27.07 NATEETE-BUSEGA'!M53,'28.07 BUSEGA-NATEETE'!M53)</f>
        <v>214.28571428571428</v>
      </c>
      <c r="N53" s="49">
        <f>AVERAGE('22.07 NATEETE-BUSEGA'!N53,'23.07 NATEETE-BUSEGA'!N53,'24.07 NATEETE-BUSEGA'!N53,'25.07 NATEETE-BUSEGA'!N53,'26.07 NATEETE-BUSEGA'!N53,'27.07 NATEETE-BUSEGA'!N53,'28.07 BUSEGA-NATEETE'!N53)</f>
        <v>0</v>
      </c>
      <c r="O53" s="15">
        <f t="shared" si="0"/>
        <v>123.85714285714285</v>
      </c>
      <c r="P53" s="15">
        <f t="shared" si="1"/>
        <v>338.14285714285711</v>
      </c>
      <c r="R53" s="8"/>
      <c r="T53"/>
    </row>
    <row r="54" spans="2:20" ht="23.1" customHeight="1" x14ac:dyDescent="0.25">
      <c r="B54" s="23" t="s">
        <v>81</v>
      </c>
      <c r="C54" s="49">
        <f>AVERAGE('22.07 NATEETE-BUSEGA'!C54,'23.07 NATEETE-BUSEGA'!C54,'24.07 NATEETE-BUSEGA'!C54,'25.07 NATEETE-BUSEGA'!C54,'26.07 NATEETE-BUSEGA'!C54,'27.07 NATEETE-BUSEGA'!C54,'28.07 BUSEGA-NATEETE'!C54)</f>
        <v>50.571428571428569</v>
      </c>
      <c r="D54" s="49">
        <f>AVERAGE('22.07 NATEETE-BUSEGA'!D54,'23.07 NATEETE-BUSEGA'!D54,'24.07 NATEETE-BUSEGA'!D54,'25.07 NATEETE-BUSEGA'!D54,'26.07 NATEETE-BUSEGA'!D54,'27.07 NATEETE-BUSEGA'!D54,'28.07 BUSEGA-NATEETE'!D54)</f>
        <v>6.2857142857142856</v>
      </c>
      <c r="E54" s="49">
        <f>AVERAGE('22.07 NATEETE-BUSEGA'!E54,'23.07 NATEETE-BUSEGA'!E54,'24.07 NATEETE-BUSEGA'!E54,'25.07 NATEETE-BUSEGA'!E54,'26.07 NATEETE-BUSEGA'!E54,'27.07 NATEETE-BUSEGA'!E54,'28.07 BUSEGA-NATEETE'!E54)</f>
        <v>7.1428571428571432</v>
      </c>
      <c r="F54" s="49">
        <f>AVERAGE('22.07 NATEETE-BUSEGA'!F54,'23.07 NATEETE-BUSEGA'!F54,'24.07 NATEETE-BUSEGA'!F54,'25.07 NATEETE-BUSEGA'!F54,'26.07 NATEETE-BUSEGA'!F54,'27.07 NATEETE-BUSEGA'!F54,'28.07 BUSEGA-NATEETE'!F54)</f>
        <v>37.571428571428569</v>
      </c>
      <c r="G54" s="49">
        <f>AVERAGE('22.07 NATEETE-BUSEGA'!G54,'23.07 NATEETE-BUSEGA'!G54,'24.07 NATEETE-BUSEGA'!G54,'25.07 NATEETE-BUSEGA'!G54,'26.07 NATEETE-BUSEGA'!G54,'27.07 NATEETE-BUSEGA'!G54,'28.07 BUSEGA-NATEETE'!G54)</f>
        <v>1.5714285714285714</v>
      </c>
      <c r="H54" s="49">
        <f>AVERAGE('22.07 NATEETE-BUSEGA'!H54,'23.07 NATEETE-BUSEGA'!H54,'24.07 NATEETE-BUSEGA'!H54,'25.07 NATEETE-BUSEGA'!H54,'26.07 NATEETE-BUSEGA'!H54,'27.07 NATEETE-BUSEGA'!H54,'28.07 BUSEGA-NATEETE'!H54)</f>
        <v>1.1428571428571428</v>
      </c>
      <c r="I54" s="49">
        <f>AVERAGE('22.07 NATEETE-BUSEGA'!I54,'23.07 NATEETE-BUSEGA'!I54,'24.07 NATEETE-BUSEGA'!I54,'25.07 NATEETE-BUSEGA'!I54,'26.07 NATEETE-BUSEGA'!I54,'27.07 NATEETE-BUSEGA'!I54,'28.07 BUSEGA-NATEETE'!I54)</f>
        <v>8.4285714285714288</v>
      </c>
      <c r="J54" s="49">
        <f>AVERAGE('22.07 NATEETE-BUSEGA'!J54,'23.07 NATEETE-BUSEGA'!J54,'24.07 NATEETE-BUSEGA'!J54,'25.07 NATEETE-BUSEGA'!J54,'26.07 NATEETE-BUSEGA'!J54,'27.07 NATEETE-BUSEGA'!J54,'28.07 BUSEGA-NATEETE'!J54)</f>
        <v>8.8571428571428577</v>
      </c>
      <c r="K54" s="49">
        <f>AVERAGE('22.07 NATEETE-BUSEGA'!K54,'23.07 NATEETE-BUSEGA'!K54,'24.07 NATEETE-BUSEGA'!K54,'25.07 NATEETE-BUSEGA'!K54,'26.07 NATEETE-BUSEGA'!K54,'27.07 NATEETE-BUSEGA'!K54,'28.07 BUSEGA-NATEETE'!K54)</f>
        <v>2.1428571428571428</v>
      </c>
      <c r="L54" s="49">
        <f>AVERAGE('22.07 NATEETE-BUSEGA'!L54,'23.07 NATEETE-BUSEGA'!L54,'24.07 NATEETE-BUSEGA'!L54,'25.07 NATEETE-BUSEGA'!L54,'26.07 NATEETE-BUSEGA'!L54,'27.07 NATEETE-BUSEGA'!L54,'28.07 BUSEGA-NATEETE'!L54)</f>
        <v>3.5714285714285716</v>
      </c>
      <c r="M54" s="49">
        <f>AVERAGE('22.07 NATEETE-BUSEGA'!M54,'23.07 NATEETE-BUSEGA'!M54,'24.07 NATEETE-BUSEGA'!M54,'25.07 NATEETE-BUSEGA'!M54,'26.07 NATEETE-BUSEGA'!M54,'27.07 NATEETE-BUSEGA'!M54,'28.07 BUSEGA-NATEETE'!M54)</f>
        <v>242.71428571428572</v>
      </c>
      <c r="N54" s="49">
        <f>AVERAGE('22.07 NATEETE-BUSEGA'!N54,'23.07 NATEETE-BUSEGA'!N54,'24.07 NATEETE-BUSEGA'!N54,'25.07 NATEETE-BUSEGA'!N54,'26.07 NATEETE-BUSEGA'!N54,'27.07 NATEETE-BUSEGA'!N54,'28.07 BUSEGA-NATEETE'!N54)</f>
        <v>0</v>
      </c>
      <c r="O54" s="15">
        <f t="shared" si="0"/>
        <v>127.28571428571428</v>
      </c>
      <c r="P54" s="15">
        <f t="shared" si="1"/>
        <v>370</v>
      </c>
      <c r="R54" s="8"/>
      <c r="T54"/>
    </row>
    <row r="55" spans="2:20" ht="23.1" customHeight="1" x14ac:dyDescent="0.25">
      <c r="B55" s="23" t="s">
        <v>82</v>
      </c>
      <c r="C55" s="49">
        <f>AVERAGE('22.07 NATEETE-BUSEGA'!C55,'23.07 NATEETE-BUSEGA'!C55,'24.07 NATEETE-BUSEGA'!C55,'25.07 NATEETE-BUSEGA'!C55,'26.07 NATEETE-BUSEGA'!C55,'27.07 NATEETE-BUSEGA'!C55,'28.07 BUSEGA-NATEETE'!C55)</f>
        <v>55.142857142857146</v>
      </c>
      <c r="D55" s="49">
        <f>AVERAGE('22.07 NATEETE-BUSEGA'!D55,'23.07 NATEETE-BUSEGA'!D55,'24.07 NATEETE-BUSEGA'!D55,'25.07 NATEETE-BUSEGA'!D55,'26.07 NATEETE-BUSEGA'!D55,'27.07 NATEETE-BUSEGA'!D55,'28.07 BUSEGA-NATEETE'!D55)</f>
        <v>5.4285714285714288</v>
      </c>
      <c r="E55" s="49">
        <f>AVERAGE('22.07 NATEETE-BUSEGA'!E55,'23.07 NATEETE-BUSEGA'!E55,'24.07 NATEETE-BUSEGA'!E55,'25.07 NATEETE-BUSEGA'!E55,'26.07 NATEETE-BUSEGA'!E55,'27.07 NATEETE-BUSEGA'!E55,'28.07 BUSEGA-NATEETE'!E55)</f>
        <v>8.7142857142857135</v>
      </c>
      <c r="F55" s="49">
        <f>AVERAGE('22.07 NATEETE-BUSEGA'!F55,'23.07 NATEETE-BUSEGA'!F55,'24.07 NATEETE-BUSEGA'!F55,'25.07 NATEETE-BUSEGA'!F55,'26.07 NATEETE-BUSEGA'!F55,'27.07 NATEETE-BUSEGA'!F55,'28.07 BUSEGA-NATEETE'!F55)</f>
        <v>44.714285714285715</v>
      </c>
      <c r="G55" s="49">
        <f>AVERAGE('22.07 NATEETE-BUSEGA'!G55,'23.07 NATEETE-BUSEGA'!G55,'24.07 NATEETE-BUSEGA'!G55,'25.07 NATEETE-BUSEGA'!G55,'26.07 NATEETE-BUSEGA'!G55,'27.07 NATEETE-BUSEGA'!G55,'28.07 BUSEGA-NATEETE'!G55)</f>
        <v>1.1428571428571428</v>
      </c>
      <c r="H55" s="49">
        <f>AVERAGE('22.07 NATEETE-BUSEGA'!H55,'23.07 NATEETE-BUSEGA'!H55,'24.07 NATEETE-BUSEGA'!H55,'25.07 NATEETE-BUSEGA'!H55,'26.07 NATEETE-BUSEGA'!H55,'27.07 NATEETE-BUSEGA'!H55,'28.07 BUSEGA-NATEETE'!H55)</f>
        <v>0.8571428571428571</v>
      </c>
      <c r="I55" s="49">
        <f>AVERAGE('22.07 NATEETE-BUSEGA'!I55,'23.07 NATEETE-BUSEGA'!I55,'24.07 NATEETE-BUSEGA'!I55,'25.07 NATEETE-BUSEGA'!I55,'26.07 NATEETE-BUSEGA'!I55,'27.07 NATEETE-BUSEGA'!I55,'28.07 BUSEGA-NATEETE'!I55)</f>
        <v>8.7142857142857135</v>
      </c>
      <c r="J55" s="49">
        <f>AVERAGE('22.07 NATEETE-BUSEGA'!J55,'23.07 NATEETE-BUSEGA'!J55,'24.07 NATEETE-BUSEGA'!J55,'25.07 NATEETE-BUSEGA'!J55,'26.07 NATEETE-BUSEGA'!J55,'27.07 NATEETE-BUSEGA'!J55,'28.07 BUSEGA-NATEETE'!J55)</f>
        <v>6.2857142857142856</v>
      </c>
      <c r="K55" s="49">
        <f>AVERAGE('22.07 NATEETE-BUSEGA'!K55,'23.07 NATEETE-BUSEGA'!K55,'24.07 NATEETE-BUSEGA'!K55,'25.07 NATEETE-BUSEGA'!K55,'26.07 NATEETE-BUSEGA'!K55,'27.07 NATEETE-BUSEGA'!K55,'28.07 BUSEGA-NATEETE'!K55)</f>
        <v>1.8571428571428572</v>
      </c>
      <c r="L55" s="49">
        <f>AVERAGE('22.07 NATEETE-BUSEGA'!L55,'23.07 NATEETE-BUSEGA'!L55,'24.07 NATEETE-BUSEGA'!L55,'25.07 NATEETE-BUSEGA'!L55,'26.07 NATEETE-BUSEGA'!L55,'27.07 NATEETE-BUSEGA'!L55,'28.07 BUSEGA-NATEETE'!L55)</f>
        <v>3</v>
      </c>
      <c r="M55" s="49">
        <f>AVERAGE('22.07 NATEETE-BUSEGA'!M55,'23.07 NATEETE-BUSEGA'!M55,'24.07 NATEETE-BUSEGA'!M55,'25.07 NATEETE-BUSEGA'!M55,'26.07 NATEETE-BUSEGA'!M55,'27.07 NATEETE-BUSEGA'!M55,'28.07 BUSEGA-NATEETE'!M55)</f>
        <v>208.42857142857142</v>
      </c>
      <c r="N55" s="49">
        <f>AVERAGE('22.07 NATEETE-BUSEGA'!N55,'23.07 NATEETE-BUSEGA'!N55,'24.07 NATEETE-BUSEGA'!N55,'25.07 NATEETE-BUSEGA'!N55,'26.07 NATEETE-BUSEGA'!N55,'27.07 NATEETE-BUSEGA'!N55,'28.07 BUSEGA-NATEETE'!N55)</f>
        <v>0</v>
      </c>
      <c r="O55" s="15">
        <f t="shared" si="0"/>
        <v>135.85714285714286</v>
      </c>
      <c r="P55" s="15">
        <f t="shared" si="1"/>
        <v>344.28571428571428</v>
      </c>
      <c r="R55" s="8"/>
      <c r="T55"/>
    </row>
    <row r="56" spans="2:20" ht="23.1" customHeight="1" x14ac:dyDescent="0.25">
      <c r="B56" s="23" t="s">
        <v>83</v>
      </c>
      <c r="C56" s="49">
        <f>AVERAGE('22.07 NATEETE-BUSEGA'!C56,'23.07 NATEETE-BUSEGA'!C56,'24.07 NATEETE-BUSEGA'!C56,'25.07 NATEETE-BUSEGA'!C56,'26.07 NATEETE-BUSEGA'!C56,'27.07 NATEETE-BUSEGA'!C56,'28.07 BUSEGA-NATEETE'!C56)</f>
        <v>60.142857142857146</v>
      </c>
      <c r="D56" s="49">
        <f>AVERAGE('22.07 NATEETE-BUSEGA'!D56,'23.07 NATEETE-BUSEGA'!D56,'24.07 NATEETE-BUSEGA'!D56,'25.07 NATEETE-BUSEGA'!D56,'26.07 NATEETE-BUSEGA'!D56,'27.07 NATEETE-BUSEGA'!D56,'28.07 BUSEGA-NATEETE'!D56)</f>
        <v>7.1428571428571432</v>
      </c>
      <c r="E56" s="49">
        <f>AVERAGE('22.07 NATEETE-BUSEGA'!E56,'23.07 NATEETE-BUSEGA'!E56,'24.07 NATEETE-BUSEGA'!E56,'25.07 NATEETE-BUSEGA'!E56,'26.07 NATEETE-BUSEGA'!E56,'27.07 NATEETE-BUSEGA'!E56,'28.07 BUSEGA-NATEETE'!E56)</f>
        <v>8.8571428571428577</v>
      </c>
      <c r="F56" s="49">
        <f>AVERAGE('22.07 NATEETE-BUSEGA'!F56,'23.07 NATEETE-BUSEGA'!F56,'24.07 NATEETE-BUSEGA'!F56,'25.07 NATEETE-BUSEGA'!F56,'26.07 NATEETE-BUSEGA'!F56,'27.07 NATEETE-BUSEGA'!F56,'28.07 BUSEGA-NATEETE'!F56)</f>
        <v>35.428571428571431</v>
      </c>
      <c r="G56" s="49">
        <f>AVERAGE('22.07 NATEETE-BUSEGA'!G56,'23.07 NATEETE-BUSEGA'!G56,'24.07 NATEETE-BUSEGA'!G56,'25.07 NATEETE-BUSEGA'!G56,'26.07 NATEETE-BUSEGA'!G56,'27.07 NATEETE-BUSEGA'!G56,'28.07 BUSEGA-NATEETE'!G56)</f>
        <v>1</v>
      </c>
      <c r="H56" s="49">
        <f>AVERAGE('22.07 NATEETE-BUSEGA'!H56,'23.07 NATEETE-BUSEGA'!H56,'24.07 NATEETE-BUSEGA'!H56,'25.07 NATEETE-BUSEGA'!H56,'26.07 NATEETE-BUSEGA'!H56,'27.07 NATEETE-BUSEGA'!H56,'28.07 BUSEGA-NATEETE'!H56)</f>
        <v>2.1428571428571428</v>
      </c>
      <c r="I56" s="49">
        <f>AVERAGE('22.07 NATEETE-BUSEGA'!I56,'23.07 NATEETE-BUSEGA'!I56,'24.07 NATEETE-BUSEGA'!I56,'25.07 NATEETE-BUSEGA'!I56,'26.07 NATEETE-BUSEGA'!I56,'27.07 NATEETE-BUSEGA'!I56,'28.07 BUSEGA-NATEETE'!I56)</f>
        <v>6.1428571428571432</v>
      </c>
      <c r="J56" s="49">
        <f>AVERAGE('22.07 NATEETE-BUSEGA'!J56,'23.07 NATEETE-BUSEGA'!J56,'24.07 NATEETE-BUSEGA'!J56,'25.07 NATEETE-BUSEGA'!J56,'26.07 NATEETE-BUSEGA'!J56,'27.07 NATEETE-BUSEGA'!J56,'28.07 BUSEGA-NATEETE'!J56)</f>
        <v>5.8571428571428568</v>
      </c>
      <c r="K56" s="49">
        <f>AVERAGE('22.07 NATEETE-BUSEGA'!K56,'23.07 NATEETE-BUSEGA'!K56,'24.07 NATEETE-BUSEGA'!K56,'25.07 NATEETE-BUSEGA'!K56,'26.07 NATEETE-BUSEGA'!K56,'27.07 NATEETE-BUSEGA'!K56,'28.07 BUSEGA-NATEETE'!K56)</f>
        <v>3.1428571428571428</v>
      </c>
      <c r="L56" s="49">
        <f>AVERAGE('22.07 NATEETE-BUSEGA'!L56,'23.07 NATEETE-BUSEGA'!L56,'24.07 NATEETE-BUSEGA'!L56,'25.07 NATEETE-BUSEGA'!L56,'26.07 NATEETE-BUSEGA'!L56,'27.07 NATEETE-BUSEGA'!L56,'28.07 BUSEGA-NATEETE'!L56)</f>
        <v>35.857142857142854</v>
      </c>
      <c r="M56" s="49">
        <f>AVERAGE('22.07 NATEETE-BUSEGA'!M56,'23.07 NATEETE-BUSEGA'!M56,'24.07 NATEETE-BUSEGA'!M56,'25.07 NATEETE-BUSEGA'!M56,'26.07 NATEETE-BUSEGA'!M56,'27.07 NATEETE-BUSEGA'!M56,'28.07 BUSEGA-NATEETE'!M56)</f>
        <v>189.28571428571428</v>
      </c>
      <c r="N56" s="49">
        <f>AVERAGE('22.07 NATEETE-BUSEGA'!N56,'23.07 NATEETE-BUSEGA'!N56,'24.07 NATEETE-BUSEGA'!N56,'25.07 NATEETE-BUSEGA'!N56,'26.07 NATEETE-BUSEGA'!N56,'27.07 NATEETE-BUSEGA'!N56,'28.07 BUSEGA-NATEETE'!N56)</f>
        <v>0</v>
      </c>
      <c r="O56" s="15">
        <f t="shared" si="0"/>
        <v>165.71428571428572</v>
      </c>
      <c r="P56" s="15">
        <f t="shared" si="1"/>
        <v>355</v>
      </c>
      <c r="R56" s="8"/>
      <c r="T56"/>
    </row>
    <row r="57" spans="2:20" ht="23.1" customHeight="1" x14ac:dyDescent="0.25">
      <c r="B57" s="23" t="s">
        <v>84</v>
      </c>
      <c r="C57" s="49">
        <f>AVERAGE('22.07 NATEETE-BUSEGA'!C57,'23.07 NATEETE-BUSEGA'!C57,'24.07 NATEETE-BUSEGA'!C57,'25.07 NATEETE-BUSEGA'!C57,'26.07 NATEETE-BUSEGA'!C57,'27.07 NATEETE-BUSEGA'!C57,'28.07 BUSEGA-NATEETE'!C57)</f>
        <v>56</v>
      </c>
      <c r="D57" s="49">
        <f>AVERAGE('22.07 NATEETE-BUSEGA'!D57,'23.07 NATEETE-BUSEGA'!D57,'24.07 NATEETE-BUSEGA'!D57,'25.07 NATEETE-BUSEGA'!D57,'26.07 NATEETE-BUSEGA'!D57,'27.07 NATEETE-BUSEGA'!D57,'28.07 BUSEGA-NATEETE'!D57)</f>
        <v>6.5714285714285712</v>
      </c>
      <c r="E57" s="49">
        <f>AVERAGE('22.07 NATEETE-BUSEGA'!E57,'23.07 NATEETE-BUSEGA'!E57,'24.07 NATEETE-BUSEGA'!E57,'25.07 NATEETE-BUSEGA'!E57,'26.07 NATEETE-BUSEGA'!E57,'27.07 NATEETE-BUSEGA'!E57,'28.07 BUSEGA-NATEETE'!E57)</f>
        <v>8.8571428571428577</v>
      </c>
      <c r="F57" s="49">
        <f>AVERAGE('22.07 NATEETE-BUSEGA'!F57,'23.07 NATEETE-BUSEGA'!F57,'24.07 NATEETE-BUSEGA'!F57,'25.07 NATEETE-BUSEGA'!F57,'26.07 NATEETE-BUSEGA'!F57,'27.07 NATEETE-BUSEGA'!F57,'28.07 BUSEGA-NATEETE'!F57)</f>
        <v>40</v>
      </c>
      <c r="G57" s="49">
        <f>AVERAGE('22.07 NATEETE-BUSEGA'!G57,'23.07 NATEETE-BUSEGA'!G57,'24.07 NATEETE-BUSEGA'!G57,'25.07 NATEETE-BUSEGA'!G57,'26.07 NATEETE-BUSEGA'!G57,'27.07 NATEETE-BUSEGA'!G57,'28.07 BUSEGA-NATEETE'!G57)</f>
        <v>0.8571428571428571</v>
      </c>
      <c r="H57" s="49">
        <f>AVERAGE('22.07 NATEETE-BUSEGA'!H57,'23.07 NATEETE-BUSEGA'!H57,'24.07 NATEETE-BUSEGA'!H57,'25.07 NATEETE-BUSEGA'!H57,'26.07 NATEETE-BUSEGA'!H57,'27.07 NATEETE-BUSEGA'!H57,'28.07 BUSEGA-NATEETE'!H57)</f>
        <v>0.5714285714285714</v>
      </c>
      <c r="I57" s="49">
        <f>AVERAGE('22.07 NATEETE-BUSEGA'!I57,'23.07 NATEETE-BUSEGA'!I57,'24.07 NATEETE-BUSEGA'!I57,'25.07 NATEETE-BUSEGA'!I57,'26.07 NATEETE-BUSEGA'!I57,'27.07 NATEETE-BUSEGA'!I57,'28.07 BUSEGA-NATEETE'!I57)</f>
        <v>7.1428571428571432</v>
      </c>
      <c r="J57" s="49">
        <f>AVERAGE('22.07 NATEETE-BUSEGA'!J57,'23.07 NATEETE-BUSEGA'!J57,'24.07 NATEETE-BUSEGA'!J57,'25.07 NATEETE-BUSEGA'!J57,'26.07 NATEETE-BUSEGA'!J57,'27.07 NATEETE-BUSEGA'!J57,'28.07 BUSEGA-NATEETE'!J57)</f>
        <v>5.1428571428571432</v>
      </c>
      <c r="K57" s="49">
        <f>AVERAGE('22.07 NATEETE-BUSEGA'!K57,'23.07 NATEETE-BUSEGA'!K57,'24.07 NATEETE-BUSEGA'!K57,'25.07 NATEETE-BUSEGA'!K57,'26.07 NATEETE-BUSEGA'!K57,'27.07 NATEETE-BUSEGA'!K57,'28.07 BUSEGA-NATEETE'!K57)</f>
        <v>2.2857142857142856</v>
      </c>
      <c r="L57" s="49">
        <f>AVERAGE('22.07 NATEETE-BUSEGA'!L57,'23.07 NATEETE-BUSEGA'!L57,'24.07 NATEETE-BUSEGA'!L57,'25.07 NATEETE-BUSEGA'!L57,'26.07 NATEETE-BUSEGA'!L57,'27.07 NATEETE-BUSEGA'!L57,'28.07 BUSEGA-NATEETE'!L57)</f>
        <v>3.5714285714285716</v>
      </c>
      <c r="M57" s="49">
        <f>AVERAGE('22.07 NATEETE-BUSEGA'!M57,'23.07 NATEETE-BUSEGA'!M57,'24.07 NATEETE-BUSEGA'!M57,'25.07 NATEETE-BUSEGA'!M57,'26.07 NATEETE-BUSEGA'!M57,'27.07 NATEETE-BUSEGA'!M57,'28.07 BUSEGA-NATEETE'!M57)</f>
        <v>212.57142857142858</v>
      </c>
      <c r="N57" s="49">
        <f>AVERAGE('22.07 NATEETE-BUSEGA'!N57,'23.07 NATEETE-BUSEGA'!N57,'24.07 NATEETE-BUSEGA'!N57,'25.07 NATEETE-BUSEGA'!N57,'26.07 NATEETE-BUSEGA'!N57,'27.07 NATEETE-BUSEGA'!N57,'28.07 BUSEGA-NATEETE'!N57)</f>
        <v>0</v>
      </c>
      <c r="O57" s="15">
        <f t="shared" si="0"/>
        <v>131</v>
      </c>
      <c r="P57" s="15">
        <f t="shared" si="1"/>
        <v>343.57142857142856</v>
      </c>
      <c r="R57" s="8"/>
      <c r="T57"/>
    </row>
    <row r="58" spans="2:20" ht="23.1" customHeight="1" x14ac:dyDescent="0.25">
      <c r="B58" s="23" t="s">
        <v>99</v>
      </c>
      <c r="C58" s="49">
        <f>AVERAGE('26.07 NATEETE-BUSEGA'!C58,'27.07 NATEETE-BUSEGA'!C58)</f>
        <v>57</v>
      </c>
      <c r="D58" s="49">
        <f>AVERAGE('26.07 NATEETE-BUSEGA'!D58,'27.07 NATEETE-BUSEGA'!D58)</f>
        <v>3.5</v>
      </c>
      <c r="E58" s="49">
        <f>AVERAGE('26.07 NATEETE-BUSEGA'!E58,'27.07 NATEETE-BUSEGA'!E58)</f>
        <v>9</v>
      </c>
      <c r="F58" s="49">
        <f>AVERAGE('26.07 NATEETE-BUSEGA'!F58,'27.07 NATEETE-BUSEGA'!F58)</f>
        <v>27.5</v>
      </c>
      <c r="G58" s="49">
        <f>AVERAGE('26.07 NATEETE-BUSEGA'!G58,'27.07 NATEETE-BUSEGA'!G58)</f>
        <v>0.5</v>
      </c>
      <c r="H58" s="49">
        <f>AVERAGE('26.07 NATEETE-BUSEGA'!H58,'27.07 NATEETE-BUSEGA'!H58)</f>
        <v>0</v>
      </c>
      <c r="I58" s="49">
        <f>AVERAGE('26.07 NATEETE-BUSEGA'!I58,'27.07 NATEETE-BUSEGA'!I58)</f>
        <v>12.5</v>
      </c>
      <c r="J58" s="49">
        <f>AVERAGE('26.07 NATEETE-BUSEGA'!J58,'27.07 NATEETE-BUSEGA'!J58)</f>
        <v>7</v>
      </c>
      <c r="K58" s="49">
        <f>AVERAGE('26.07 NATEETE-BUSEGA'!K58,'27.07 NATEETE-BUSEGA'!K58)</f>
        <v>2</v>
      </c>
      <c r="L58" s="49">
        <f>AVERAGE('26.07 NATEETE-BUSEGA'!L58,'27.07 NATEETE-BUSEGA'!L58)</f>
        <v>3.5</v>
      </c>
      <c r="M58" s="49">
        <f>AVERAGE('26.07 NATEETE-BUSEGA'!M58,'27.07 NATEETE-BUSEGA'!M58)</f>
        <v>285</v>
      </c>
      <c r="N58" s="49">
        <f>AVERAGE('26.07 NATEETE-BUSEGA'!N58,'27.07 NATEETE-BUSEGA'!N58)</f>
        <v>0</v>
      </c>
      <c r="O58" s="15">
        <f t="shared" si="0"/>
        <v>122.5</v>
      </c>
      <c r="P58" s="15">
        <f t="shared" si="1"/>
        <v>407.5</v>
      </c>
      <c r="R58" s="8"/>
      <c r="T58"/>
    </row>
    <row r="59" spans="2:20" ht="23.1" customHeight="1" x14ac:dyDescent="0.25">
      <c r="B59" s="23" t="s">
        <v>100</v>
      </c>
      <c r="C59" s="49">
        <f>AVERAGE('26.07 NATEETE-BUSEGA'!C59,'27.07 NATEETE-BUSEGA'!C59)</f>
        <v>62</v>
      </c>
      <c r="D59" s="49">
        <f>AVERAGE('26.07 NATEETE-BUSEGA'!D59,'27.07 NATEETE-BUSEGA'!D59)</f>
        <v>2.5</v>
      </c>
      <c r="E59" s="49">
        <f>AVERAGE('26.07 NATEETE-BUSEGA'!E59,'27.07 NATEETE-BUSEGA'!E59)</f>
        <v>7</v>
      </c>
      <c r="F59" s="49">
        <f>AVERAGE('26.07 NATEETE-BUSEGA'!F59,'27.07 NATEETE-BUSEGA'!F59)</f>
        <v>32</v>
      </c>
      <c r="G59" s="49">
        <f>AVERAGE('26.07 NATEETE-BUSEGA'!G59,'27.07 NATEETE-BUSEGA'!G59)</f>
        <v>1.5</v>
      </c>
      <c r="H59" s="49">
        <f>AVERAGE('26.07 NATEETE-BUSEGA'!H59,'27.07 NATEETE-BUSEGA'!H59)</f>
        <v>0.5</v>
      </c>
      <c r="I59" s="49">
        <f>AVERAGE('26.07 NATEETE-BUSEGA'!I59,'27.07 NATEETE-BUSEGA'!I59)</f>
        <v>7</v>
      </c>
      <c r="J59" s="49">
        <f>AVERAGE('26.07 NATEETE-BUSEGA'!J59,'27.07 NATEETE-BUSEGA'!J59)</f>
        <v>10</v>
      </c>
      <c r="K59" s="49">
        <f>AVERAGE('26.07 NATEETE-BUSEGA'!K59,'27.07 NATEETE-BUSEGA'!K59)</f>
        <v>2</v>
      </c>
      <c r="L59" s="49">
        <f>AVERAGE('26.07 NATEETE-BUSEGA'!L59,'27.07 NATEETE-BUSEGA'!L59)</f>
        <v>2.5</v>
      </c>
      <c r="M59" s="49">
        <f>AVERAGE('26.07 NATEETE-BUSEGA'!M59,'27.07 NATEETE-BUSEGA'!M59)</f>
        <v>288.5</v>
      </c>
      <c r="N59" s="49">
        <f>AVERAGE('26.07 NATEETE-BUSEGA'!N59,'27.07 NATEETE-BUSEGA'!N59)</f>
        <v>0</v>
      </c>
      <c r="O59" s="15">
        <f t="shared" si="0"/>
        <v>127</v>
      </c>
      <c r="P59" s="15">
        <f t="shared" si="1"/>
        <v>415.5</v>
      </c>
      <c r="R59" s="8"/>
      <c r="T59"/>
    </row>
    <row r="60" spans="2:20" ht="23.1" customHeight="1" x14ac:dyDescent="0.25">
      <c r="B60" s="23" t="s">
        <v>101</v>
      </c>
      <c r="C60" s="49">
        <f>AVERAGE('26.07 NATEETE-BUSEGA'!C60,'27.07 NATEETE-BUSEGA'!C60)</f>
        <v>65.5</v>
      </c>
      <c r="D60" s="49">
        <f>AVERAGE('26.07 NATEETE-BUSEGA'!D60,'27.07 NATEETE-BUSEGA'!D60)</f>
        <v>8.5</v>
      </c>
      <c r="E60" s="49">
        <f>AVERAGE('26.07 NATEETE-BUSEGA'!E60,'27.07 NATEETE-BUSEGA'!E60)</f>
        <v>6.5</v>
      </c>
      <c r="F60" s="49">
        <f>AVERAGE('26.07 NATEETE-BUSEGA'!F60,'27.07 NATEETE-BUSEGA'!F60)</f>
        <v>19.5</v>
      </c>
      <c r="G60" s="49">
        <f>AVERAGE('26.07 NATEETE-BUSEGA'!G60,'27.07 NATEETE-BUSEGA'!G60)</f>
        <v>0</v>
      </c>
      <c r="H60" s="49">
        <f>AVERAGE('26.07 NATEETE-BUSEGA'!H60,'27.07 NATEETE-BUSEGA'!H60)</f>
        <v>0.5</v>
      </c>
      <c r="I60" s="49">
        <f>AVERAGE('26.07 NATEETE-BUSEGA'!I60,'27.07 NATEETE-BUSEGA'!I60)</f>
        <v>1</v>
      </c>
      <c r="J60" s="49">
        <f>AVERAGE('26.07 NATEETE-BUSEGA'!J60,'27.07 NATEETE-BUSEGA'!J60)</f>
        <v>2</v>
      </c>
      <c r="K60" s="49">
        <f>AVERAGE('26.07 NATEETE-BUSEGA'!K60,'27.07 NATEETE-BUSEGA'!K60)</f>
        <v>0.5</v>
      </c>
      <c r="L60" s="49">
        <f>AVERAGE('26.07 NATEETE-BUSEGA'!L60,'27.07 NATEETE-BUSEGA'!L60)</f>
        <v>2</v>
      </c>
      <c r="M60" s="49">
        <f>AVERAGE('26.07 NATEETE-BUSEGA'!M60,'27.07 NATEETE-BUSEGA'!M60)</f>
        <v>272</v>
      </c>
      <c r="N60" s="49">
        <f>AVERAGE('26.07 NATEETE-BUSEGA'!N60,'27.07 NATEETE-BUSEGA'!N60)</f>
        <v>0</v>
      </c>
      <c r="O60" s="15">
        <f t="shared" si="0"/>
        <v>106</v>
      </c>
      <c r="P60" s="15">
        <f t="shared" si="1"/>
        <v>378</v>
      </c>
      <c r="R60" s="8"/>
      <c r="T60"/>
    </row>
    <row r="61" spans="2:20" ht="23.1" customHeight="1" x14ac:dyDescent="0.25">
      <c r="B61" s="23" t="s">
        <v>102</v>
      </c>
      <c r="C61" s="49">
        <f>AVERAGE('26.07 NATEETE-BUSEGA'!C61,'27.07 NATEETE-BUSEGA'!C61)</f>
        <v>54</v>
      </c>
      <c r="D61" s="49">
        <f>AVERAGE('26.07 NATEETE-BUSEGA'!D61,'27.07 NATEETE-BUSEGA'!D61)</f>
        <v>6</v>
      </c>
      <c r="E61" s="49">
        <f>AVERAGE('26.07 NATEETE-BUSEGA'!E61,'27.07 NATEETE-BUSEGA'!E61)</f>
        <v>3.5</v>
      </c>
      <c r="F61" s="49">
        <f>AVERAGE('26.07 NATEETE-BUSEGA'!F61,'27.07 NATEETE-BUSEGA'!F61)</f>
        <v>38.5</v>
      </c>
      <c r="G61" s="49">
        <f>AVERAGE('26.07 NATEETE-BUSEGA'!G61,'27.07 NATEETE-BUSEGA'!G61)</f>
        <v>0.5</v>
      </c>
      <c r="H61" s="49">
        <f>AVERAGE('26.07 NATEETE-BUSEGA'!H61,'27.07 NATEETE-BUSEGA'!H61)</f>
        <v>2</v>
      </c>
      <c r="I61" s="49">
        <f>AVERAGE('26.07 NATEETE-BUSEGA'!I61,'27.07 NATEETE-BUSEGA'!I61)</f>
        <v>1.5</v>
      </c>
      <c r="J61" s="49">
        <f>AVERAGE('26.07 NATEETE-BUSEGA'!J61,'27.07 NATEETE-BUSEGA'!J61)</f>
        <v>2</v>
      </c>
      <c r="K61" s="49">
        <f>AVERAGE('26.07 NATEETE-BUSEGA'!K61,'27.07 NATEETE-BUSEGA'!K61)</f>
        <v>0.5</v>
      </c>
      <c r="L61" s="49">
        <f>AVERAGE('26.07 NATEETE-BUSEGA'!L61,'27.07 NATEETE-BUSEGA'!L61)</f>
        <v>2</v>
      </c>
      <c r="M61" s="49">
        <f>AVERAGE('26.07 NATEETE-BUSEGA'!M61,'27.07 NATEETE-BUSEGA'!M61)</f>
        <v>298</v>
      </c>
      <c r="N61" s="49">
        <f>AVERAGE('26.07 NATEETE-BUSEGA'!N61,'27.07 NATEETE-BUSEGA'!N61)</f>
        <v>0</v>
      </c>
      <c r="O61" s="15">
        <f t="shared" si="0"/>
        <v>110.5</v>
      </c>
      <c r="P61" s="15">
        <f t="shared" si="1"/>
        <v>408.5</v>
      </c>
      <c r="R61" s="8"/>
      <c r="T61"/>
    </row>
    <row r="62" spans="2:20" ht="23.1" customHeight="1" x14ac:dyDescent="0.25">
      <c r="B62" s="23" t="s">
        <v>107</v>
      </c>
      <c r="C62" s="49">
        <f>AVERAGE('26.07 NATEETE-BUSEGA'!C62,'27.07 NATEETE-BUSEGA'!C62)</f>
        <v>66</v>
      </c>
      <c r="D62" s="49">
        <f>AVERAGE('26.07 NATEETE-BUSEGA'!D62,'27.07 NATEETE-BUSEGA'!D62)</f>
        <v>9</v>
      </c>
      <c r="E62" s="49">
        <f>AVERAGE('26.07 NATEETE-BUSEGA'!E62,'27.07 NATEETE-BUSEGA'!E62)</f>
        <v>9.5</v>
      </c>
      <c r="F62" s="49">
        <f>AVERAGE('26.07 NATEETE-BUSEGA'!F62,'27.07 NATEETE-BUSEGA'!F62)</f>
        <v>26.5</v>
      </c>
      <c r="G62" s="49">
        <f>AVERAGE('26.07 NATEETE-BUSEGA'!G62,'27.07 NATEETE-BUSEGA'!G62)</f>
        <v>1.5</v>
      </c>
      <c r="H62" s="49">
        <f>AVERAGE('26.07 NATEETE-BUSEGA'!H62,'27.07 NATEETE-BUSEGA'!H62)</f>
        <v>3</v>
      </c>
      <c r="I62" s="49">
        <f>AVERAGE('26.07 NATEETE-BUSEGA'!I62,'27.07 NATEETE-BUSEGA'!I62)</f>
        <v>5</v>
      </c>
      <c r="J62" s="49">
        <f>AVERAGE('26.07 NATEETE-BUSEGA'!J62,'27.07 NATEETE-BUSEGA'!J62)</f>
        <v>5.5</v>
      </c>
      <c r="K62" s="49">
        <f>AVERAGE('26.07 NATEETE-BUSEGA'!K62,'27.07 NATEETE-BUSEGA'!K62)</f>
        <v>4.5</v>
      </c>
      <c r="L62" s="49">
        <f>AVERAGE('26.07 NATEETE-BUSEGA'!L62,'27.07 NATEETE-BUSEGA'!L62)</f>
        <v>2</v>
      </c>
      <c r="M62" s="49">
        <f>AVERAGE('26.07 NATEETE-BUSEGA'!M62,'27.07 NATEETE-BUSEGA'!M62)</f>
        <v>268.5</v>
      </c>
      <c r="N62" s="49">
        <f>AVERAGE('26.07 NATEETE-BUSEGA'!N62,'27.07 NATEETE-BUSEGA'!N62)</f>
        <v>0</v>
      </c>
      <c r="O62" s="15">
        <f t="shared" si="0"/>
        <v>132.5</v>
      </c>
      <c r="P62" s="15">
        <f t="shared" si="1"/>
        <v>401</v>
      </c>
      <c r="R62" s="8"/>
      <c r="T62"/>
    </row>
    <row r="63" spans="2:20" ht="23.1" customHeight="1" x14ac:dyDescent="0.25">
      <c r="B63" s="23" t="s">
        <v>108</v>
      </c>
      <c r="C63" s="49">
        <f>AVERAGE('26.07 NATEETE-BUSEGA'!C63,'27.07 NATEETE-BUSEGA'!C63)</f>
        <v>61.5</v>
      </c>
      <c r="D63" s="49">
        <f>AVERAGE('26.07 NATEETE-BUSEGA'!D63,'27.07 NATEETE-BUSEGA'!D63)</f>
        <v>10.5</v>
      </c>
      <c r="E63" s="49">
        <f>AVERAGE('26.07 NATEETE-BUSEGA'!E63,'27.07 NATEETE-BUSEGA'!E63)</f>
        <v>10</v>
      </c>
      <c r="F63" s="49">
        <f>AVERAGE('26.07 NATEETE-BUSEGA'!F63,'27.07 NATEETE-BUSEGA'!F63)</f>
        <v>22.5</v>
      </c>
      <c r="G63" s="49">
        <f>AVERAGE('26.07 NATEETE-BUSEGA'!G63,'27.07 NATEETE-BUSEGA'!G63)</f>
        <v>0.5</v>
      </c>
      <c r="H63" s="49">
        <f>AVERAGE('26.07 NATEETE-BUSEGA'!H63,'27.07 NATEETE-BUSEGA'!H63)</f>
        <v>1.5</v>
      </c>
      <c r="I63" s="49">
        <f>AVERAGE('26.07 NATEETE-BUSEGA'!I63,'27.07 NATEETE-BUSEGA'!I63)</f>
        <v>3.5</v>
      </c>
      <c r="J63" s="49">
        <f>AVERAGE('26.07 NATEETE-BUSEGA'!J63,'27.07 NATEETE-BUSEGA'!J63)</f>
        <v>3.5</v>
      </c>
      <c r="K63" s="49">
        <f>AVERAGE('26.07 NATEETE-BUSEGA'!K63,'27.07 NATEETE-BUSEGA'!K63)</f>
        <v>3.5</v>
      </c>
      <c r="L63" s="49">
        <f>AVERAGE('26.07 NATEETE-BUSEGA'!L63,'27.07 NATEETE-BUSEGA'!L63)</f>
        <v>1</v>
      </c>
      <c r="M63" s="49">
        <f>AVERAGE('26.07 NATEETE-BUSEGA'!M63,'27.07 NATEETE-BUSEGA'!M63)</f>
        <v>281.5</v>
      </c>
      <c r="N63" s="49">
        <f>AVERAGE('26.07 NATEETE-BUSEGA'!N63,'27.07 NATEETE-BUSEGA'!N63)</f>
        <v>0</v>
      </c>
      <c r="O63" s="15">
        <f t="shared" si="0"/>
        <v>118</v>
      </c>
      <c r="P63" s="15">
        <f t="shared" si="1"/>
        <v>399.5</v>
      </c>
      <c r="R63" s="8"/>
      <c r="T63"/>
    </row>
    <row r="64" spans="2:20" ht="23.1" customHeight="1" x14ac:dyDescent="0.25">
      <c r="B64" s="23" t="s">
        <v>109</v>
      </c>
      <c r="C64" s="49">
        <f>AVERAGE('26.07 NATEETE-BUSEGA'!C64,'27.07 NATEETE-BUSEGA'!C64)</f>
        <v>71</v>
      </c>
      <c r="D64" s="49">
        <f>AVERAGE('26.07 NATEETE-BUSEGA'!D64,'27.07 NATEETE-BUSEGA'!D64)</f>
        <v>4</v>
      </c>
      <c r="E64" s="49">
        <f>AVERAGE('26.07 NATEETE-BUSEGA'!E64,'27.07 NATEETE-BUSEGA'!E64)</f>
        <v>2.5</v>
      </c>
      <c r="F64" s="49">
        <f>AVERAGE('26.07 NATEETE-BUSEGA'!F64,'27.07 NATEETE-BUSEGA'!F64)</f>
        <v>32</v>
      </c>
      <c r="G64" s="49">
        <f>AVERAGE('26.07 NATEETE-BUSEGA'!G64,'27.07 NATEETE-BUSEGA'!G64)</f>
        <v>4</v>
      </c>
      <c r="H64" s="49">
        <f>AVERAGE('26.07 NATEETE-BUSEGA'!H64,'27.07 NATEETE-BUSEGA'!H64)</f>
        <v>0.5</v>
      </c>
      <c r="I64" s="49">
        <f>AVERAGE('26.07 NATEETE-BUSEGA'!I64,'27.07 NATEETE-BUSEGA'!I64)</f>
        <v>3</v>
      </c>
      <c r="J64" s="49">
        <f>AVERAGE('26.07 NATEETE-BUSEGA'!J64,'27.07 NATEETE-BUSEGA'!J64)</f>
        <v>4</v>
      </c>
      <c r="K64" s="49">
        <f>AVERAGE('26.07 NATEETE-BUSEGA'!K64,'27.07 NATEETE-BUSEGA'!K64)</f>
        <v>1.5</v>
      </c>
      <c r="L64" s="49">
        <f>AVERAGE('26.07 NATEETE-BUSEGA'!L64,'27.07 NATEETE-BUSEGA'!L64)</f>
        <v>1.5</v>
      </c>
      <c r="M64" s="49">
        <f>AVERAGE('26.07 NATEETE-BUSEGA'!M64,'27.07 NATEETE-BUSEGA'!M64)</f>
        <v>304</v>
      </c>
      <c r="N64" s="49">
        <f>AVERAGE('26.07 NATEETE-BUSEGA'!N64,'27.07 NATEETE-BUSEGA'!N64)</f>
        <v>0</v>
      </c>
      <c r="O64" s="15">
        <f t="shared" si="0"/>
        <v>124</v>
      </c>
      <c r="P64" s="15">
        <f t="shared" si="1"/>
        <v>428</v>
      </c>
      <c r="R64" s="8"/>
      <c r="T64"/>
    </row>
    <row r="65" spans="2:20" ht="23.1" customHeight="1" x14ac:dyDescent="0.25">
      <c r="B65" s="23" t="s">
        <v>158</v>
      </c>
      <c r="C65" s="49">
        <f>AVERAGE('26.07 NATEETE-BUSEGA'!C65,'27.07 NATEETE-BUSEGA'!C65)</f>
        <v>81</v>
      </c>
      <c r="D65" s="49">
        <f>AVERAGE('26.07 NATEETE-BUSEGA'!D65,'27.07 NATEETE-BUSEGA'!D65)</f>
        <v>10</v>
      </c>
      <c r="E65" s="49">
        <f>AVERAGE('26.07 NATEETE-BUSEGA'!E65,'27.07 NATEETE-BUSEGA'!E65)</f>
        <v>4</v>
      </c>
      <c r="F65" s="49">
        <f>AVERAGE('26.07 NATEETE-BUSEGA'!F65,'27.07 NATEETE-BUSEGA'!F65)</f>
        <v>22</v>
      </c>
      <c r="G65" s="49">
        <f>AVERAGE('26.07 NATEETE-BUSEGA'!G65,'27.07 NATEETE-BUSEGA'!G65)</f>
        <v>2.5</v>
      </c>
      <c r="H65" s="49">
        <f>AVERAGE('26.07 NATEETE-BUSEGA'!H65,'27.07 NATEETE-BUSEGA'!H65)</f>
        <v>0.5</v>
      </c>
      <c r="I65" s="49">
        <f>AVERAGE('26.07 NATEETE-BUSEGA'!I65,'27.07 NATEETE-BUSEGA'!I65)</f>
        <v>6.5</v>
      </c>
      <c r="J65" s="49">
        <f>AVERAGE('26.07 NATEETE-BUSEGA'!J65,'27.07 NATEETE-BUSEGA'!J65)</f>
        <v>4</v>
      </c>
      <c r="K65" s="49">
        <f>AVERAGE('26.07 NATEETE-BUSEGA'!K65,'27.07 NATEETE-BUSEGA'!K65)</f>
        <v>3</v>
      </c>
      <c r="L65" s="49">
        <f>AVERAGE('26.07 NATEETE-BUSEGA'!L65,'27.07 NATEETE-BUSEGA'!L65)</f>
        <v>1</v>
      </c>
      <c r="M65" s="49">
        <f>AVERAGE('26.07 NATEETE-BUSEGA'!M65,'27.07 NATEETE-BUSEGA'!M65)</f>
        <v>298.5</v>
      </c>
      <c r="N65" s="49">
        <f>AVERAGE('26.07 NATEETE-BUSEGA'!N65,'27.07 NATEETE-BUSEGA'!N65)</f>
        <v>0</v>
      </c>
      <c r="O65" s="15">
        <f t="shared" si="0"/>
        <v>134.5</v>
      </c>
      <c r="P65" s="15">
        <f t="shared" si="1"/>
        <v>433</v>
      </c>
      <c r="R65" s="8"/>
      <c r="T65"/>
    </row>
    <row r="66" spans="2:20" ht="23.1" customHeight="1" x14ac:dyDescent="0.25">
      <c r="B66" s="23" t="s">
        <v>103</v>
      </c>
      <c r="C66" s="49">
        <f>AVERAGE('26.07 NATEETE-BUSEGA'!C66,'27.07 NATEETE-BUSEGA'!C66)</f>
        <v>61.5</v>
      </c>
      <c r="D66" s="49">
        <f>AVERAGE('26.07 NATEETE-BUSEGA'!D66,'27.07 NATEETE-BUSEGA'!D66)</f>
        <v>9</v>
      </c>
      <c r="E66" s="49">
        <f>AVERAGE('26.07 NATEETE-BUSEGA'!E66,'27.07 NATEETE-BUSEGA'!E66)</f>
        <v>7</v>
      </c>
      <c r="F66" s="49">
        <f>AVERAGE('26.07 NATEETE-BUSEGA'!F66,'27.07 NATEETE-BUSEGA'!F66)</f>
        <v>41</v>
      </c>
      <c r="G66" s="49">
        <f>AVERAGE('26.07 NATEETE-BUSEGA'!G66,'27.07 NATEETE-BUSEGA'!G66)</f>
        <v>1</v>
      </c>
      <c r="H66" s="49">
        <f>AVERAGE('26.07 NATEETE-BUSEGA'!H66,'27.07 NATEETE-BUSEGA'!H66)</f>
        <v>1.5</v>
      </c>
      <c r="I66" s="49">
        <f>AVERAGE('26.07 NATEETE-BUSEGA'!I66,'27.07 NATEETE-BUSEGA'!I66)</f>
        <v>2.5</v>
      </c>
      <c r="J66" s="49">
        <f>AVERAGE('26.07 NATEETE-BUSEGA'!J66,'27.07 NATEETE-BUSEGA'!J66)</f>
        <v>2</v>
      </c>
      <c r="K66" s="49">
        <f>AVERAGE('26.07 NATEETE-BUSEGA'!K66,'27.07 NATEETE-BUSEGA'!K66)</f>
        <v>3</v>
      </c>
      <c r="L66" s="49">
        <f>AVERAGE('26.07 NATEETE-BUSEGA'!L66,'27.07 NATEETE-BUSEGA'!L66)</f>
        <v>1</v>
      </c>
      <c r="M66" s="49">
        <f>AVERAGE('26.07 NATEETE-BUSEGA'!M66,'27.07 NATEETE-BUSEGA'!M66)</f>
        <v>319.5</v>
      </c>
      <c r="N66" s="49">
        <f>AVERAGE('26.07 NATEETE-BUSEGA'!N66,'27.07 NATEETE-BUSEGA'!N66)</f>
        <v>0</v>
      </c>
      <c r="O66" s="15">
        <f t="shared" si="0"/>
        <v>129.5</v>
      </c>
      <c r="P66" s="15">
        <f t="shared" si="1"/>
        <v>449</v>
      </c>
      <c r="R66" s="8"/>
      <c r="T66"/>
    </row>
    <row r="67" spans="2:20" ht="23.1" customHeight="1" x14ac:dyDescent="0.25">
      <c r="B67" s="23" t="s">
        <v>104</v>
      </c>
      <c r="C67" s="49">
        <f>AVERAGE('26.07 NATEETE-BUSEGA'!C67,'27.07 NATEETE-BUSEGA'!C67)</f>
        <v>58.5</v>
      </c>
      <c r="D67" s="49">
        <f>AVERAGE('26.07 NATEETE-BUSEGA'!D67,'27.07 NATEETE-BUSEGA'!D67)</f>
        <v>5.5</v>
      </c>
      <c r="E67" s="49">
        <f>AVERAGE('26.07 NATEETE-BUSEGA'!E67,'27.07 NATEETE-BUSEGA'!E67)</f>
        <v>1.5</v>
      </c>
      <c r="F67" s="49">
        <f>AVERAGE('26.07 NATEETE-BUSEGA'!F67,'27.07 NATEETE-BUSEGA'!F67)</f>
        <v>26.5</v>
      </c>
      <c r="G67" s="49">
        <f>AVERAGE('26.07 NATEETE-BUSEGA'!G67,'27.07 NATEETE-BUSEGA'!G67)</f>
        <v>0</v>
      </c>
      <c r="H67" s="49">
        <f>AVERAGE('26.07 NATEETE-BUSEGA'!H67,'27.07 NATEETE-BUSEGA'!H67)</f>
        <v>1.5</v>
      </c>
      <c r="I67" s="49">
        <f>AVERAGE('26.07 NATEETE-BUSEGA'!I67,'27.07 NATEETE-BUSEGA'!I67)</f>
        <v>1</v>
      </c>
      <c r="J67" s="49">
        <f>AVERAGE('26.07 NATEETE-BUSEGA'!J67,'27.07 NATEETE-BUSEGA'!J67)</f>
        <v>2.5</v>
      </c>
      <c r="K67" s="49">
        <f>AVERAGE('26.07 NATEETE-BUSEGA'!K67,'27.07 NATEETE-BUSEGA'!K67)</f>
        <v>1.5</v>
      </c>
      <c r="L67" s="49">
        <f>AVERAGE('26.07 NATEETE-BUSEGA'!L67,'27.07 NATEETE-BUSEGA'!L67)</f>
        <v>1.5</v>
      </c>
      <c r="M67" s="49">
        <f>AVERAGE('26.07 NATEETE-BUSEGA'!M67,'27.07 NATEETE-BUSEGA'!M67)</f>
        <v>309</v>
      </c>
      <c r="N67" s="49">
        <f>AVERAGE('26.07 NATEETE-BUSEGA'!N67,'27.07 NATEETE-BUSEGA'!N67)</f>
        <v>0</v>
      </c>
      <c r="O67" s="15">
        <f t="shared" si="0"/>
        <v>100</v>
      </c>
      <c r="P67" s="15">
        <f t="shared" si="1"/>
        <v>409</v>
      </c>
      <c r="R67" s="8"/>
      <c r="T67"/>
    </row>
    <row r="68" spans="2:20" ht="23.1" customHeight="1" x14ac:dyDescent="0.25">
      <c r="B68" s="23" t="s">
        <v>105</v>
      </c>
      <c r="C68" s="49">
        <f>AVERAGE('26.07 NATEETE-BUSEGA'!C68,'27.07 NATEETE-BUSEGA'!C68)</f>
        <v>58.5</v>
      </c>
      <c r="D68" s="49">
        <f>AVERAGE('26.07 NATEETE-BUSEGA'!D68,'27.07 NATEETE-BUSEGA'!D68)</f>
        <v>8</v>
      </c>
      <c r="E68" s="49">
        <f>AVERAGE('26.07 NATEETE-BUSEGA'!E68,'27.07 NATEETE-BUSEGA'!E68)</f>
        <v>5.5</v>
      </c>
      <c r="F68" s="49">
        <f>AVERAGE('26.07 NATEETE-BUSEGA'!F68,'27.07 NATEETE-BUSEGA'!F68)</f>
        <v>26.5</v>
      </c>
      <c r="G68" s="49">
        <f>AVERAGE('26.07 NATEETE-BUSEGA'!G68,'27.07 NATEETE-BUSEGA'!G68)</f>
        <v>1</v>
      </c>
      <c r="H68" s="49">
        <f>AVERAGE('26.07 NATEETE-BUSEGA'!H68,'27.07 NATEETE-BUSEGA'!H68)</f>
        <v>2.5</v>
      </c>
      <c r="I68" s="49">
        <f>AVERAGE('26.07 NATEETE-BUSEGA'!I68,'27.07 NATEETE-BUSEGA'!I68)</f>
        <v>4</v>
      </c>
      <c r="J68" s="49">
        <f>AVERAGE('26.07 NATEETE-BUSEGA'!J68,'27.07 NATEETE-BUSEGA'!J68)</f>
        <v>3</v>
      </c>
      <c r="K68" s="49">
        <f>AVERAGE('26.07 NATEETE-BUSEGA'!K68,'27.07 NATEETE-BUSEGA'!K68)</f>
        <v>2.5</v>
      </c>
      <c r="L68" s="49">
        <f>AVERAGE('26.07 NATEETE-BUSEGA'!L68,'27.07 NATEETE-BUSEGA'!L68)</f>
        <v>1.5</v>
      </c>
      <c r="M68" s="49">
        <f>AVERAGE('26.07 NATEETE-BUSEGA'!M68,'27.07 NATEETE-BUSEGA'!M68)</f>
        <v>297.5</v>
      </c>
      <c r="N68" s="49">
        <f>AVERAGE('26.07 NATEETE-BUSEGA'!N68,'27.07 NATEETE-BUSEGA'!N68)</f>
        <v>0</v>
      </c>
      <c r="O68" s="15">
        <f t="shared" si="0"/>
        <v>113</v>
      </c>
      <c r="P68" s="15">
        <f t="shared" si="1"/>
        <v>410.5</v>
      </c>
      <c r="R68" s="8"/>
      <c r="T68"/>
    </row>
    <row r="69" spans="2:20" ht="23.1" customHeight="1" x14ac:dyDescent="0.25">
      <c r="B69" s="23" t="s">
        <v>106</v>
      </c>
      <c r="C69" s="49">
        <f>AVERAGE('26.07 NATEETE-BUSEGA'!C69,'27.07 NATEETE-BUSEGA'!C69)</f>
        <v>46</v>
      </c>
      <c r="D69" s="49">
        <f>AVERAGE('26.07 NATEETE-BUSEGA'!D69,'27.07 NATEETE-BUSEGA'!D69)</f>
        <v>8</v>
      </c>
      <c r="E69" s="49">
        <f>AVERAGE('26.07 NATEETE-BUSEGA'!E69,'27.07 NATEETE-BUSEGA'!E69)</f>
        <v>2.5</v>
      </c>
      <c r="F69" s="49">
        <f>AVERAGE('26.07 NATEETE-BUSEGA'!F69,'27.07 NATEETE-BUSEGA'!F69)</f>
        <v>21</v>
      </c>
      <c r="G69" s="49">
        <f>AVERAGE('26.07 NATEETE-BUSEGA'!G69,'27.07 NATEETE-BUSEGA'!G69)</f>
        <v>0.5</v>
      </c>
      <c r="H69" s="49">
        <f>AVERAGE('26.07 NATEETE-BUSEGA'!H69,'27.07 NATEETE-BUSEGA'!H69)</f>
        <v>1</v>
      </c>
      <c r="I69" s="49">
        <f>AVERAGE('26.07 NATEETE-BUSEGA'!I69,'27.07 NATEETE-BUSEGA'!I69)</f>
        <v>4.5</v>
      </c>
      <c r="J69" s="49">
        <f>AVERAGE('26.07 NATEETE-BUSEGA'!J69,'27.07 NATEETE-BUSEGA'!J69)</f>
        <v>2</v>
      </c>
      <c r="K69" s="49">
        <f>AVERAGE('26.07 NATEETE-BUSEGA'!K69,'27.07 NATEETE-BUSEGA'!K69)</f>
        <v>2.5</v>
      </c>
      <c r="L69" s="49">
        <f>AVERAGE('26.07 NATEETE-BUSEGA'!L69,'27.07 NATEETE-BUSEGA'!L69)</f>
        <v>1.5</v>
      </c>
      <c r="M69" s="49">
        <f>AVERAGE('26.07 NATEETE-BUSEGA'!M69,'27.07 NATEETE-BUSEGA'!M69)</f>
        <v>302</v>
      </c>
      <c r="N69" s="49">
        <f>AVERAGE('26.07 NATEETE-BUSEGA'!N69,'27.07 NATEETE-BUSEGA'!N69)</f>
        <v>0</v>
      </c>
      <c r="O69" s="15">
        <f t="shared" si="0"/>
        <v>89.5</v>
      </c>
      <c r="P69" s="15">
        <f t="shared" si="1"/>
        <v>391.5</v>
      </c>
      <c r="R69" s="8"/>
      <c r="T69"/>
    </row>
    <row r="70" spans="2:20" ht="23.1" customHeight="1" x14ac:dyDescent="0.25">
      <c r="B70" s="23" t="s">
        <v>110</v>
      </c>
      <c r="C70" s="49">
        <f>AVERAGE('26.07 NATEETE-BUSEGA'!C70,'27.07 NATEETE-BUSEGA'!C70)</f>
        <v>70</v>
      </c>
      <c r="D70" s="49">
        <f>AVERAGE('26.07 NATEETE-BUSEGA'!D70,'27.07 NATEETE-BUSEGA'!D70)</f>
        <v>8</v>
      </c>
      <c r="E70" s="49">
        <f>AVERAGE('26.07 NATEETE-BUSEGA'!E70,'27.07 NATEETE-BUSEGA'!E70)</f>
        <v>4.5</v>
      </c>
      <c r="F70" s="49">
        <f>AVERAGE('26.07 NATEETE-BUSEGA'!F70,'27.07 NATEETE-BUSEGA'!F70)</f>
        <v>39.5</v>
      </c>
      <c r="G70" s="49">
        <f>AVERAGE('26.07 NATEETE-BUSEGA'!G70,'27.07 NATEETE-BUSEGA'!G70)</f>
        <v>0.5</v>
      </c>
      <c r="H70" s="49">
        <f>AVERAGE('26.07 NATEETE-BUSEGA'!H70,'27.07 NATEETE-BUSEGA'!H70)</f>
        <v>1</v>
      </c>
      <c r="I70" s="49">
        <f>AVERAGE('26.07 NATEETE-BUSEGA'!I70,'27.07 NATEETE-BUSEGA'!I70)</f>
        <v>4</v>
      </c>
      <c r="J70" s="49">
        <f>AVERAGE('26.07 NATEETE-BUSEGA'!J70,'27.07 NATEETE-BUSEGA'!J70)</f>
        <v>4</v>
      </c>
      <c r="K70" s="49">
        <f>AVERAGE('26.07 NATEETE-BUSEGA'!K70,'27.07 NATEETE-BUSEGA'!K70)</f>
        <v>2</v>
      </c>
      <c r="L70" s="49">
        <f>AVERAGE('26.07 NATEETE-BUSEGA'!L70,'27.07 NATEETE-BUSEGA'!L70)</f>
        <v>1.5</v>
      </c>
      <c r="M70" s="49">
        <f>AVERAGE('26.07 NATEETE-BUSEGA'!M70,'27.07 NATEETE-BUSEGA'!M70)</f>
        <v>270</v>
      </c>
      <c r="N70" s="49">
        <f>AVERAGE('26.07 NATEETE-BUSEGA'!N70,'27.07 NATEETE-BUSEGA'!N70)</f>
        <v>0</v>
      </c>
      <c r="O70" s="15">
        <f t="shared" si="0"/>
        <v>135</v>
      </c>
      <c r="P70" s="15">
        <f t="shared" si="1"/>
        <v>405</v>
      </c>
      <c r="R70" s="8"/>
      <c r="T70"/>
    </row>
    <row r="71" spans="2:20" ht="23.1" customHeight="1" x14ac:dyDescent="0.25">
      <c r="B71" s="23" t="s">
        <v>111</v>
      </c>
      <c r="C71" s="49">
        <f>AVERAGE('26.07 NATEETE-BUSEGA'!C71,'27.07 NATEETE-BUSEGA'!C71)</f>
        <v>45</v>
      </c>
      <c r="D71" s="49">
        <f>AVERAGE('26.07 NATEETE-BUSEGA'!D71,'27.07 NATEETE-BUSEGA'!D71)</f>
        <v>5</v>
      </c>
      <c r="E71" s="49">
        <f>AVERAGE('26.07 NATEETE-BUSEGA'!E71,'27.07 NATEETE-BUSEGA'!E71)</f>
        <v>1</v>
      </c>
      <c r="F71" s="49">
        <f>AVERAGE('26.07 NATEETE-BUSEGA'!F71,'27.07 NATEETE-BUSEGA'!F71)</f>
        <v>37.5</v>
      </c>
      <c r="G71" s="49">
        <f>AVERAGE('26.07 NATEETE-BUSEGA'!G71,'27.07 NATEETE-BUSEGA'!G71)</f>
        <v>0</v>
      </c>
      <c r="H71" s="49">
        <f>AVERAGE('26.07 NATEETE-BUSEGA'!H71,'27.07 NATEETE-BUSEGA'!H71)</f>
        <v>0.5</v>
      </c>
      <c r="I71" s="49">
        <f>AVERAGE('26.07 NATEETE-BUSEGA'!I71,'27.07 NATEETE-BUSEGA'!I71)</f>
        <v>7.5</v>
      </c>
      <c r="J71" s="49">
        <f>AVERAGE('26.07 NATEETE-BUSEGA'!J71,'27.07 NATEETE-BUSEGA'!J71)</f>
        <v>4</v>
      </c>
      <c r="K71" s="49">
        <f>AVERAGE('26.07 NATEETE-BUSEGA'!K71,'27.07 NATEETE-BUSEGA'!K71)</f>
        <v>1.5</v>
      </c>
      <c r="L71" s="49">
        <f>AVERAGE('26.07 NATEETE-BUSEGA'!L71,'27.07 NATEETE-BUSEGA'!L71)</f>
        <v>3</v>
      </c>
      <c r="M71" s="49">
        <f>AVERAGE('26.07 NATEETE-BUSEGA'!M71,'27.07 NATEETE-BUSEGA'!M71)</f>
        <v>251.5</v>
      </c>
      <c r="N71" s="49">
        <f>AVERAGE('26.07 NATEETE-BUSEGA'!N71,'27.07 NATEETE-BUSEGA'!N71)</f>
        <v>0</v>
      </c>
      <c r="O71" s="15">
        <f t="shared" si="0"/>
        <v>105</v>
      </c>
      <c r="P71" s="15">
        <f t="shared" si="1"/>
        <v>356.5</v>
      </c>
      <c r="R71" s="8"/>
      <c r="T71"/>
    </row>
    <row r="72" spans="2:20" ht="23.1" customHeight="1" x14ac:dyDescent="0.25">
      <c r="B72" s="23" t="s">
        <v>112</v>
      </c>
      <c r="C72" s="49">
        <f>AVERAGE('26.07 NATEETE-BUSEGA'!C72,'27.07 NATEETE-BUSEGA'!C72)</f>
        <v>71.5</v>
      </c>
      <c r="D72" s="49">
        <f>AVERAGE('26.07 NATEETE-BUSEGA'!D72,'27.07 NATEETE-BUSEGA'!D72)</f>
        <v>9.5</v>
      </c>
      <c r="E72" s="49">
        <f>AVERAGE('26.07 NATEETE-BUSEGA'!E72,'27.07 NATEETE-BUSEGA'!E72)</f>
        <v>2.5</v>
      </c>
      <c r="F72" s="49">
        <f>AVERAGE('26.07 NATEETE-BUSEGA'!F72,'27.07 NATEETE-BUSEGA'!F72)</f>
        <v>36.5</v>
      </c>
      <c r="G72" s="49">
        <f>AVERAGE('26.07 NATEETE-BUSEGA'!G72,'27.07 NATEETE-BUSEGA'!G72)</f>
        <v>0.5</v>
      </c>
      <c r="H72" s="49">
        <f>AVERAGE('26.07 NATEETE-BUSEGA'!H72,'27.07 NATEETE-BUSEGA'!H72)</f>
        <v>3</v>
      </c>
      <c r="I72" s="49">
        <f>AVERAGE('26.07 NATEETE-BUSEGA'!I72,'27.07 NATEETE-BUSEGA'!I72)</f>
        <v>5</v>
      </c>
      <c r="J72" s="49">
        <f>AVERAGE('26.07 NATEETE-BUSEGA'!J72,'27.07 NATEETE-BUSEGA'!J72)</f>
        <v>4</v>
      </c>
      <c r="K72" s="49">
        <f>AVERAGE('26.07 NATEETE-BUSEGA'!K72,'27.07 NATEETE-BUSEGA'!K72)</f>
        <v>1</v>
      </c>
      <c r="L72" s="49">
        <f>AVERAGE('26.07 NATEETE-BUSEGA'!L72,'27.07 NATEETE-BUSEGA'!L72)</f>
        <v>1</v>
      </c>
      <c r="M72" s="49">
        <f>AVERAGE('26.07 NATEETE-BUSEGA'!M72,'27.07 NATEETE-BUSEGA'!M72)</f>
        <v>254.5</v>
      </c>
      <c r="N72" s="49">
        <f>AVERAGE('26.07 NATEETE-BUSEGA'!N72,'27.07 NATEETE-BUSEGA'!N72)</f>
        <v>0</v>
      </c>
      <c r="O72" s="15">
        <f t="shared" si="0"/>
        <v>134.5</v>
      </c>
      <c r="P72" s="15">
        <f t="shared" si="1"/>
        <v>389</v>
      </c>
      <c r="R72" s="8"/>
      <c r="T72"/>
    </row>
    <row r="73" spans="2:20" ht="23.1" customHeight="1" x14ac:dyDescent="0.25">
      <c r="B73" s="23" t="s">
        <v>113</v>
      </c>
      <c r="C73" s="49">
        <f>AVERAGE('26.07 NATEETE-BUSEGA'!C73,'27.07 NATEETE-BUSEGA'!C73)</f>
        <v>103.5</v>
      </c>
      <c r="D73" s="49">
        <f>AVERAGE('26.07 NATEETE-BUSEGA'!D73,'27.07 NATEETE-BUSEGA'!D73)</f>
        <v>7</v>
      </c>
      <c r="E73" s="49">
        <f>AVERAGE('26.07 NATEETE-BUSEGA'!E73,'27.07 NATEETE-BUSEGA'!E73)</f>
        <v>8.5</v>
      </c>
      <c r="F73" s="49">
        <f>AVERAGE('26.07 NATEETE-BUSEGA'!F73,'27.07 NATEETE-BUSEGA'!F73)</f>
        <v>32</v>
      </c>
      <c r="G73" s="49">
        <f>AVERAGE('26.07 NATEETE-BUSEGA'!G73,'27.07 NATEETE-BUSEGA'!G73)</f>
        <v>0</v>
      </c>
      <c r="H73" s="49">
        <f>AVERAGE('26.07 NATEETE-BUSEGA'!H73,'27.07 NATEETE-BUSEGA'!H73)</f>
        <v>2.5</v>
      </c>
      <c r="I73" s="49">
        <f>AVERAGE('26.07 NATEETE-BUSEGA'!I73,'27.07 NATEETE-BUSEGA'!I73)</f>
        <v>4.5</v>
      </c>
      <c r="J73" s="49">
        <f>AVERAGE('26.07 NATEETE-BUSEGA'!J73,'27.07 NATEETE-BUSEGA'!J73)</f>
        <v>4</v>
      </c>
      <c r="K73" s="49">
        <f>AVERAGE('26.07 NATEETE-BUSEGA'!K73,'27.07 NATEETE-BUSEGA'!K73)</f>
        <v>1.5</v>
      </c>
      <c r="L73" s="49">
        <f>AVERAGE('26.07 NATEETE-BUSEGA'!L73,'27.07 NATEETE-BUSEGA'!L73)</f>
        <v>0</v>
      </c>
      <c r="M73" s="49">
        <f>AVERAGE('26.07 NATEETE-BUSEGA'!M73,'27.07 NATEETE-BUSEGA'!M73)</f>
        <v>215</v>
      </c>
      <c r="N73" s="49">
        <f>AVERAGE('26.07 NATEETE-BUSEGA'!N73,'27.07 NATEETE-BUSEGA'!N73)</f>
        <v>0</v>
      </c>
      <c r="O73" s="15">
        <f t="shared" si="0"/>
        <v>163.5</v>
      </c>
      <c r="P73" s="15">
        <f t="shared" si="1"/>
        <v>378.5</v>
      </c>
      <c r="R73" s="8"/>
      <c r="T73"/>
    </row>
    <row r="74" spans="2:20" ht="23.1" customHeight="1" x14ac:dyDescent="0.25">
      <c r="B74" s="23" t="s">
        <v>114</v>
      </c>
      <c r="C74" s="49">
        <f>AVERAGE('26.07 NATEETE-BUSEGA'!C74,'27.07 NATEETE-BUSEGA'!C74)</f>
        <v>81</v>
      </c>
      <c r="D74" s="49">
        <f>AVERAGE('26.07 NATEETE-BUSEGA'!D74,'27.07 NATEETE-BUSEGA'!D74)</f>
        <v>10</v>
      </c>
      <c r="E74" s="49">
        <f>AVERAGE('26.07 NATEETE-BUSEGA'!E74,'27.07 NATEETE-BUSEGA'!E74)</f>
        <v>5.5</v>
      </c>
      <c r="F74" s="49">
        <f>AVERAGE('26.07 NATEETE-BUSEGA'!F74,'27.07 NATEETE-BUSEGA'!F74)</f>
        <v>25</v>
      </c>
      <c r="G74" s="49">
        <f>AVERAGE('26.07 NATEETE-BUSEGA'!G74,'27.07 NATEETE-BUSEGA'!G74)</f>
        <v>1.5</v>
      </c>
      <c r="H74" s="49">
        <f>AVERAGE('26.07 NATEETE-BUSEGA'!H74,'27.07 NATEETE-BUSEGA'!H74)</f>
        <v>1</v>
      </c>
      <c r="I74" s="49">
        <f>AVERAGE('26.07 NATEETE-BUSEGA'!I74,'27.07 NATEETE-BUSEGA'!I74)</f>
        <v>2</v>
      </c>
      <c r="J74" s="49">
        <f>AVERAGE('26.07 NATEETE-BUSEGA'!J74,'27.07 NATEETE-BUSEGA'!J74)</f>
        <v>1.5</v>
      </c>
      <c r="K74" s="49">
        <f>AVERAGE('26.07 NATEETE-BUSEGA'!K74,'27.07 NATEETE-BUSEGA'!K74)</f>
        <v>0</v>
      </c>
      <c r="L74" s="49">
        <f>AVERAGE('26.07 NATEETE-BUSEGA'!L74,'27.07 NATEETE-BUSEGA'!L74)</f>
        <v>0.5</v>
      </c>
      <c r="M74" s="49">
        <f>AVERAGE('26.07 NATEETE-BUSEGA'!M74,'27.07 NATEETE-BUSEGA'!M74)</f>
        <v>197.5</v>
      </c>
      <c r="N74" s="49">
        <f>AVERAGE('26.07 NATEETE-BUSEGA'!N74,'27.07 NATEETE-BUSEGA'!N74)</f>
        <v>0</v>
      </c>
      <c r="O74" s="15">
        <f t="shared" ref="O74:O105" si="35">SUM(C74:L74,N74)</f>
        <v>128</v>
      </c>
      <c r="P74" s="15">
        <f t="shared" ref="P74:P105" si="36">SUM(C74:N74)</f>
        <v>325.5</v>
      </c>
      <c r="R74" s="8"/>
      <c r="T74"/>
    </row>
    <row r="75" spans="2:20" ht="23.1" customHeight="1" x14ac:dyDescent="0.25">
      <c r="B75" s="23" t="s">
        <v>115</v>
      </c>
      <c r="C75" s="49">
        <f>AVERAGE('26.07 NATEETE-BUSEGA'!C75,'27.07 NATEETE-BUSEGA'!C75)</f>
        <v>68.5</v>
      </c>
      <c r="D75" s="49">
        <f>AVERAGE('26.07 NATEETE-BUSEGA'!D75,'27.07 NATEETE-BUSEGA'!D75)</f>
        <v>13</v>
      </c>
      <c r="E75" s="49">
        <f>AVERAGE('26.07 NATEETE-BUSEGA'!E75,'27.07 NATEETE-BUSEGA'!E75)</f>
        <v>4</v>
      </c>
      <c r="F75" s="49">
        <f>AVERAGE('26.07 NATEETE-BUSEGA'!F75,'27.07 NATEETE-BUSEGA'!F75)</f>
        <v>28.5</v>
      </c>
      <c r="G75" s="49">
        <f>AVERAGE('26.07 NATEETE-BUSEGA'!G75,'27.07 NATEETE-BUSEGA'!G75)</f>
        <v>0</v>
      </c>
      <c r="H75" s="49">
        <f>AVERAGE('26.07 NATEETE-BUSEGA'!H75,'27.07 NATEETE-BUSEGA'!H75)</f>
        <v>2</v>
      </c>
      <c r="I75" s="49">
        <f>AVERAGE('26.07 NATEETE-BUSEGA'!I75,'27.07 NATEETE-BUSEGA'!I75)</f>
        <v>2.5</v>
      </c>
      <c r="J75" s="49">
        <f>AVERAGE('26.07 NATEETE-BUSEGA'!J75,'27.07 NATEETE-BUSEGA'!J75)</f>
        <v>3.5</v>
      </c>
      <c r="K75" s="49">
        <f>AVERAGE('26.07 NATEETE-BUSEGA'!K75,'27.07 NATEETE-BUSEGA'!K75)</f>
        <v>2</v>
      </c>
      <c r="L75" s="49">
        <f>AVERAGE('26.07 NATEETE-BUSEGA'!L75,'27.07 NATEETE-BUSEGA'!L75)</f>
        <v>1.5</v>
      </c>
      <c r="M75" s="49">
        <f>AVERAGE('26.07 NATEETE-BUSEGA'!M75,'27.07 NATEETE-BUSEGA'!M75)</f>
        <v>176</v>
      </c>
      <c r="N75" s="49">
        <f>AVERAGE('26.07 NATEETE-BUSEGA'!N75,'27.07 NATEETE-BUSEGA'!N75)</f>
        <v>0</v>
      </c>
      <c r="O75" s="15">
        <f t="shared" si="35"/>
        <v>125.5</v>
      </c>
      <c r="P75" s="15">
        <f t="shared" si="36"/>
        <v>301.5</v>
      </c>
      <c r="R75" s="8"/>
      <c r="T75"/>
    </row>
    <row r="76" spans="2:20" ht="23.1" customHeight="1" x14ac:dyDescent="0.25">
      <c r="B76" s="23" t="s">
        <v>116</v>
      </c>
      <c r="C76" s="49">
        <f>AVERAGE('26.07 NATEETE-BUSEGA'!C76,'27.07 NATEETE-BUSEGA'!C76)</f>
        <v>60</v>
      </c>
      <c r="D76" s="49">
        <f>AVERAGE('26.07 NATEETE-BUSEGA'!D76,'27.07 NATEETE-BUSEGA'!D76)</f>
        <v>6.5</v>
      </c>
      <c r="E76" s="49">
        <f>AVERAGE('26.07 NATEETE-BUSEGA'!E76,'27.07 NATEETE-BUSEGA'!E76)</f>
        <v>5</v>
      </c>
      <c r="F76" s="49">
        <f>AVERAGE('26.07 NATEETE-BUSEGA'!F76,'27.07 NATEETE-BUSEGA'!F76)</f>
        <v>28.5</v>
      </c>
      <c r="G76" s="49">
        <f>AVERAGE('26.07 NATEETE-BUSEGA'!G76,'27.07 NATEETE-BUSEGA'!G76)</f>
        <v>0.5</v>
      </c>
      <c r="H76" s="49">
        <f>AVERAGE('26.07 NATEETE-BUSEGA'!H76,'27.07 NATEETE-BUSEGA'!H76)</f>
        <v>1</v>
      </c>
      <c r="I76" s="49">
        <f>AVERAGE('26.07 NATEETE-BUSEGA'!I76,'27.07 NATEETE-BUSEGA'!I76)</f>
        <v>2</v>
      </c>
      <c r="J76" s="49">
        <f>AVERAGE('26.07 NATEETE-BUSEGA'!J76,'27.07 NATEETE-BUSEGA'!J76)</f>
        <v>3.5</v>
      </c>
      <c r="K76" s="49">
        <f>AVERAGE('26.07 NATEETE-BUSEGA'!K76,'27.07 NATEETE-BUSEGA'!K76)</f>
        <v>1.5</v>
      </c>
      <c r="L76" s="49">
        <f>AVERAGE('26.07 NATEETE-BUSEGA'!L76,'27.07 NATEETE-BUSEGA'!L76)</f>
        <v>2</v>
      </c>
      <c r="M76" s="49">
        <f>AVERAGE('26.07 NATEETE-BUSEGA'!M76,'27.07 NATEETE-BUSEGA'!M76)</f>
        <v>165.5</v>
      </c>
      <c r="N76" s="49">
        <f>AVERAGE('26.07 NATEETE-BUSEGA'!N76,'27.07 NATEETE-BUSEGA'!N76)</f>
        <v>0</v>
      </c>
      <c r="O76" s="15">
        <f t="shared" si="35"/>
        <v>110.5</v>
      </c>
      <c r="P76" s="15">
        <f t="shared" si="36"/>
        <v>276</v>
      </c>
      <c r="R76" s="8"/>
      <c r="T76"/>
    </row>
    <row r="77" spans="2:20" ht="23.1" customHeight="1" x14ac:dyDescent="0.25">
      <c r="B77" s="23" t="s">
        <v>117</v>
      </c>
      <c r="C77" s="49">
        <f>AVERAGE('26.07 NATEETE-BUSEGA'!C77,'27.07 NATEETE-BUSEGA'!C77)</f>
        <v>51</v>
      </c>
      <c r="D77" s="49">
        <f>AVERAGE('26.07 NATEETE-BUSEGA'!D77,'27.07 NATEETE-BUSEGA'!D77)</f>
        <v>4.5</v>
      </c>
      <c r="E77" s="49">
        <f>AVERAGE('26.07 NATEETE-BUSEGA'!E77,'27.07 NATEETE-BUSEGA'!E77)</f>
        <v>5</v>
      </c>
      <c r="F77" s="49">
        <f>AVERAGE('26.07 NATEETE-BUSEGA'!F77,'27.07 NATEETE-BUSEGA'!F77)</f>
        <v>19.5</v>
      </c>
      <c r="G77" s="49">
        <f>AVERAGE('26.07 NATEETE-BUSEGA'!G77,'27.07 NATEETE-BUSEGA'!G77)</f>
        <v>1</v>
      </c>
      <c r="H77" s="49">
        <f>AVERAGE('26.07 NATEETE-BUSEGA'!H77,'27.07 NATEETE-BUSEGA'!H77)</f>
        <v>2.5</v>
      </c>
      <c r="I77" s="49">
        <f>AVERAGE('26.07 NATEETE-BUSEGA'!I77,'27.07 NATEETE-BUSEGA'!I77)</f>
        <v>1</v>
      </c>
      <c r="J77" s="49">
        <f>AVERAGE('26.07 NATEETE-BUSEGA'!J77,'27.07 NATEETE-BUSEGA'!J77)</f>
        <v>2</v>
      </c>
      <c r="K77" s="49">
        <f>AVERAGE('26.07 NATEETE-BUSEGA'!K77,'27.07 NATEETE-BUSEGA'!K77)</f>
        <v>0.5</v>
      </c>
      <c r="L77" s="49">
        <f>AVERAGE('26.07 NATEETE-BUSEGA'!L77,'27.07 NATEETE-BUSEGA'!L77)</f>
        <v>0</v>
      </c>
      <c r="M77" s="49">
        <f>AVERAGE('26.07 NATEETE-BUSEGA'!M77,'27.07 NATEETE-BUSEGA'!M77)</f>
        <v>171</v>
      </c>
      <c r="N77" s="49">
        <f>AVERAGE('26.07 NATEETE-BUSEGA'!N77,'27.07 NATEETE-BUSEGA'!N77)</f>
        <v>0</v>
      </c>
      <c r="O77" s="15">
        <f t="shared" si="35"/>
        <v>87</v>
      </c>
      <c r="P77" s="15">
        <f t="shared" si="36"/>
        <v>258</v>
      </c>
      <c r="R77" s="8"/>
      <c r="T77"/>
    </row>
    <row r="78" spans="2:20" ht="23.1" customHeight="1" x14ac:dyDescent="0.25">
      <c r="B78" s="24" t="s">
        <v>118</v>
      </c>
      <c r="C78" s="49">
        <f>AVERAGE('26.07 NATEETE-BUSEGA'!C78,'27.07 NATEETE-BUSEGA'!C78)</f>
        <v>52.5</v>
      </c>
      <c r="D78" s="49">
        <f>AVERAGE('26.07 NATEETE-BUSEGA'!D78,'27.07 NATEETE-BUSEGA'!D78)</f>
        <v>4</v>
      </c>
      <c r="E78" s="49">
        <f>AVERAGE('26.07 NATEETE-BUSEGA'!E78,'27.07 NATEETE-BUSEGA'!E78)</f>
        <v>4</v>
      </c>
      <c r="F78" s="49">
        <f>AVERAGE('26.07 NATEETE-BUSEGA'!F78,'27.07 NATEETE-BUSEGA'!F78)</f>
        <v>22.5</v>
      </c>
      <c r="G78" s="49">
        <f>AVERAGE('26.07 NATEETE-BUSEGA'!G78,'27.07 NATEETE-BUSEGA'!G78)</f>
        <v>0</v>
      </c>
      <c r="H78" s="49">
        <f>AVERAGE('26.07 NATEETE-BUSEGA'!H78,'27.07 NATEETE-BUSEGA'!H78)</f>
        <v>1</v>
      </c>
      <c r="I78" s="49">
        <f>AVERAGE('26.07 NATEETE-BUSEGA'!I78,'27.07 NATEETE-BUSEGA'!I78)</f>
        <v>1</v>
      </c>
      <c r="J78" s="49">
        <f>AVERAGE('26.07 NATEETE-BUSEGA'!J78,'27.07 NATEETE-BUSEGA'!J78)</f>
        <v>0.5</v>
      </c>
      <c r="K78" s="49">
        <f>AVERAGE('26.07 NATEETE-BUSEGA'!K78,'27.07 NATEETE-BUSEGA'!K78)</f>
        <v>0</v>
      </c>
      <c r="L78" s="49">
        <f>AVERAGE('26.07 NATEETE-BUSEGA'!L78,'27.07 NATEETE-BUSEGA'!L78)</f>
        <v>0</v>
      </c>
      <c r="M78" s="49">
        <f>AVERAGE('26.07 NATEETE-BUSEGA'!M78,'27.07 NATEETE-BUSEGA'!M78)</f>
        <v>107.5</v>
      </c>
      <c r="N78" s="49">
        <f>AVERAGE('26.07 NATEETE-BUSEGA'!N78,'27.07 NATEETE-BUSEGA'!N78)</f>
        <v>0</v>
      </c>
      <c r="O78" s="15">
        <f t="shared" si="35"/>
        <v>85.5</v>
      </c>
      <c r="P78" s="15">
        <f t="shared" si="36"/>
        <v>193</v>
      </c>
      <c r="R78" s="8"/>
      <c r="T78"/>
    </row>
    <row r="79" spans="2:20" ht="23.1" customHeight="1" x14ac:dyDescent="0.25">
      <c r="B79" s="23" t="s">
        <v>119</v>
      </c>
      <c r="C79" s="49">
        <f>AVERAGE('26.07 NATEETE-BUSEGA'!C79,'27.07 NATEETE-BUSEGA'!C79)</f>
        <v>47.5</v>
      </c>
      <c r="D79" s="49">
        <f>AVERAGE('26.07 NATEETE-BUSEGA'!D79,'27.07 NATEETE-BUSEGA'!D79)</f>
        <v>5</v>
      </c>
      <c r="E79" s="49">
        <f>AVERAGE('26.07 NATEETE-BUSEGA'!E79,'27.07 NATEETE-BUSEGA'!E79)</f>
        <v>4.5</v>
      </c>
      <c r="F79" s="49">
        <f>AVERAGE('26.07 NATEETE-BUSEGA'!F79,'27.07 NATEETE-BUSEGA'!F79)</f>
        <v>15</v>
      </c>
      <c r="G79" s="49">
        <f>AVERAGE('26.07 NATEETE-BUSEGA'!G79,'27.07 NATEETE-BUSEGA'!G79)</f>
        <v>0.5</v>
      </c>
      <c r="H79" s="49">
        <f>AVERAGE('26.07 NATEETE-BUSEGA'!H79,'27.07 NATEETE-BUSEGA'!H79)</f>
        <v>4</v>
      </c>
      <c r="I79" s="49">
        <f>AVERAGE('26.07 NATEETE-BUSEGA'!I79,'27.07 NATEETE-BUSEGA'!I79)</f>
        <v>1</v>
      </c>
      <c r="J79" s="49">
        <f>AVERAGE('26.07 NATEETE-BUSEGA'!J79,'27.07 NATEETE-BUSEGA'!J79)</f>
        <v>2.5</v>
      </c>
      <c r="K79" s="49">
        <f>AVERAGE('26.07 NATEETE-BUSEGA'!K79,'27.07 NATEETE-BUSEGA'!K79)</f>
        <v>0.5</v>
      </c>
      <c r="L79" s="49">
        <f>AVERAGE('26.07 NATEETE-BUSEGA'!L79,'27.07 NATEETE-BUSEGA'!L79)</f>
        <v>1</v>
      </c>
      <c r="M79" s="49">
        <f>AVERAGE('26.07 NATEETE-BUSEGA'!M79,'27.07 NATEETE-BUSEGA'!M79)</f>
        <v>100</v>
      </c>
      <c r="N79" s="49">
        <f>AVERAGE('26.07 NATEETE-BUSEGA'!N79,'27.07 NATEETE-BUSEGA'!N79)</f>
        <v>0</v>
      </c>
      <c r="O79" s="15">
        <f t="shared" si="35"/>
        <v>81.5</v>
      </c>
      <c r="P79" s="15">
        <f t="shared" si="36"/>
        <v>181.5</v>
      </c>
      <c r="R79" s="8"/>
      <c r="T79"/>
    </row>
    <row r="80" spans="2:20" ht="23.1" customHeight="1" x14ac:dyDescent="0.25">
      <c r="B80" s="25" t="s">
        <v>120</v>
      </c>
      <c r="C80" s="49">
        <f>AVERAGE('26.07 NATEETE-BUSEGA'!C80,'27.07 NATEETE-BUSEGA'!C80)</f>
        <v>36.5</v>
      </c>
      <c r="D80" s="49">
        <f>AVERAGE('26.07 NATEETE-BUSEGA'!D80,'27.07 NATEETE-BUSEGA'!D80)</f>
        <v>6.5</v>
      </c>
      <c r="E80" s="49">
        <f>AVERAGE('26.07 NATEETE-BUSEGA'!E80,'27.07 NATEETE-BUSEGA'!E80)</f>
        <v>7.5</v>
      </c>
      <c r="F80" s="49">
        <f>AVERAGE('26.07 NATEETE-BUSEGA'!F80,'27.07 NATEETE-BUSEGA'!F80)</f>
        <v>7.5</v>
      </c>
      <c r="G80" s="49">
        <f>AVERAGE('26.07 NATEETE-BUSEGA'!G80,'27.07 NATEETE-BUSEGA'!G80)</f>
        <v>0</v>
      </c>
      <c r="H80" s="49">
        <f>AVERAGE('26.07 NATEETE-BUSEGA'!H80,'27.07 NATEETE-BUSEGA'!H80)</f>
        <v>2</v>
      </c>
      <c r="I80" s="49">
        <f>AVERAGE('26.07 NATEETE-BUSEGA'!I80,'27.07 NATEETE-BUSEGA'!I80)</f>
        <v>2</v>
      </c>
      <c r="J80" s="49">
        <f>AVERAGE('26.07 NATEETE-BUSEGA'!J80,'27.07 NATEETE-BUSEGA'!J80)</f>
        <v>2</v>
      </c>
      <c r="K80" s="49">
        <f>AVERAGE('26.07 NATEETE-BUSEGA'!K80,'27.07 NATEETE-BUSEGA'!K80)</f>
        <v>1.5</v>
      </c>
      <c r="L80" s="49">
        <f>AVERAGE('26.07 NATEETE-BUSEGA'!L80,'27.07 NATEETE-BUSEGA'!L80)</f>
        <v>0</v>
      </c>
      <c r="M80" s="49">
        <f>AVERAGE('26.07 NATEETE-BUSEGA'!M80,'27.07 NATEETE-BUSEGA'!M80)</f>
        <v>97</v>
      </c>
      <c r="N80" s="49">
        <f>AVERAGE('26.07 NATEETE-BUSEGA'!N80,'27.07 NATEETE-BUSEGA'!N80)</f>
        <v>0</v>
      </c>
      <c r="O80" s="15">
        <f t="shared" si="35"/>
        <v>65.5</v>
      </c>
      <c r="P80" s="15">
        <f t="shared" si="36"/>
        <v>162.5</v>
      </c>
      <c r="R80" s="8"/>
      <c r="T80"/>
    </row>
    <row r="81" spans="2:20" ht="23.1" customHeight="1" x14ac:dyDescent="0.25">
      <c r="B81" s="23" t="s">
        <v>121</v>
      </c>
      <c r="C81" s="49">
        <f>AVERAGE('26.07 NATEETE-BUSEGA'!C81,'27.07 NATEETE-BUSEGA'!C81)</f>
        <v>32</v>
      </c>
      <c r="D81" s="49">
        <f>AVERAGE('26.07 NATEETE-BUSEGA'!D81,'27.07 NATEETE-BUSEGA'!D81)</f>
        <v>5.5</v>
      </c>
      <c r="E81" s="49">
        <f>AVERAGE('26.07 NATEETE-BUSEGA'!E81,'27.07 NATEETE-BUSEGA'!E81)</f>
        <v>3</v>
      </c>
      <c r="F81" s="49">
        <f>AVERAGE('26.07 NATEETE-BUSEGA'!F81,'27.07 NATEETE-BUSEGA'!F81)</f>
        <v>14</v>
      </c>
      <c r="G81" s="49">
        <f>AVERAGE('26.07 NATEETE-BUSEGA'!G81,'27.07 NATEETE-BUSEGA'!G81)</f>
        <v>0</v>
      </c>
      <c r="H81" s="49">
        <f>AVERAGE('26.07 NATEETE-BUSEGA'!H81,'27.07 NATEETE-BUSEGA'!H81)</f>
        <v>0.5</v>
      </c>
      <c r="I81" s="49">
        <f>AVERAGE('26.07 NATEETE-BUSEGA'!I81,'27.07 NATEETE-BUSEGA'!I81)</f>
        <v>2.5</v>
      </c>
      <c r="J81" s="49">
        <f>AVERAGE('26.07 NATEETE-BUSEGA'!J81,'27.07 NATEETE-BUSEGA'!J81)</f>
        <v>1</v>
      </c>
      <c r="K81" s="49">
        <f>AVERAGE('26.07 NATEETE-BUSEGA'!K81,'27.07 NATEETE-BUSEGA'!K81)</f>
        <v>0.5</v>
      </c>
      <c r="L81" s="49">
        <f>AVERAGE('26.07 NATEETE-BUSEGA'!L81,'27.07 NATEETE-BUSEGA'!L81)</f>
        <v>0</v>
      </c>
      <c r="M81" s="49">
        <f>AVERAGE('26.07 NATEETE-BUSEGA'!M81,'27.07 NATEETE-BUSEGA'!M81)</f>
        <v>90.5</v>
      </c>
      <c r="N81" s="49">
        <f>AVERAGE('26.07 NATEETE-BUSEGA'!N81,'27.07 NATEETE-BUSEGA'!N81)</f>
        <v>0</v>
      </c>
      <c r="O81" s="15">
        <f t="shared" si="35"/>
        <v>59</v>
      </c>
      <c r="P81" s="15">
        <f t="shared" si="36"/>
        <v>149.5</v>
      </c>
      <c r="R81" s="8"/>
      <c r="T81"/>
    </row>
    <row r="82" spans="2:20" ht="23.1" customHeight="1" x14ac:dyDescent="0.25">
      <c r="B82" s="24" t="s">
        <v>122</v>
      </c>
      <c r="C82" s="49">
        <f>AVERAGE('26.07 NATEETE-BUSEGA'!C82,'27.07 NATEETE-BUSEGA'!C82)</f>
        <v>45.5</v>
      </c>
      <c r="D82" s="49">
        <f>AVERAGE('26.07 NATEETE-BUSEGA'!D82,'27.07 NATEETE-BUSEGA'!D82)</f>
        <v>4</v>
      </c>
      <c r="E82" s="49">
        <f>AVERAGE('26.07 NATEETE-BUSEGA'!E82,'27.07 NATEETE-BUSEGA'!E82)</f>
        <v>3.5</v>
      </c>
      <c r="F82" s="49">
        <f>AVERAGE('26.07 NATEETE-BUSEGA'!F82,'27.07 NATEETE-BUSEGA'!F82)</f>
        <v>13.5</v>
      </c>
      <c r="G82" s="49">
        <f>AVERAGE('26.07 NATEETE-BUSEGA'!G82,'27.07 NATEETE-BUSEGA'!G82)</f>
        <v>0.5</v>
      </c>
      <c r="H82" s="49">
        <f>AVERAGE('26.07 NATEETE-BUSEGA'!H82,'27.07 NATEETE-BUSEGA'!H82)</f>
        <v>0.5</v>
      </c>
      <c r="I82" s="49">
        <f>AVERAGE('26.07 NATEETE-BUSEGA'!I82,'27.07 NATEETE-BUSEGA'!I82)</f>
        <v>2</v>
      </c>
      <c r="J82" s="49">
        <f>AVERAGE('26.07 NATEETE-BUSEGA'!J82,'27.07 NATEETE-BUSEGA'!J82)</f>
        <v>2</v>
      </c>
      <c r="K82" s="49">
        <f>AVERAGE('26.07 NATEETE-BUSEGA'!K82,'27.07 NATEETE-BUSEGA'!K82)</f>
        <v>0.5</v>
      </c>
      <c r="L82" s="49">
        <f>AVERAGE('26.07 NATEETE-BUSEGA'!L82,'27.07 NATEETE-BUSEGA'!L82)</f>
        <v>0</v>
      </c>
      <c r="M82" s="49">
        <f>AVERAGE('26.07 NATEETE-BUSEGA'!M82,'27.07 NATEETE-BUSEGA'!M82)</f>
        <v>67.5</v>
      </c>
      <c r="N82" s="49">
        <f>AVERAGE('26.07 NATEETE-BUSEGA'!N82,'27.07 NATEETE-BUSEGA'!N82)</f>
        <v>0</v>
      </c>
      <c r="O82" s="15">
        <f t="shared" si="35"/>
        <v>72</v>
      </c>
      <c r="P82" s="15">
        <f t="shared" si="36"/>
        <v>139.5</v>
      </c>
      <c r="R82" s="8"/>
      <c r="T82"/>
    </row>
    <row r="83" spans="2:20" ht="23.1" customHeight="1" x14ac:dyDescent="0.25">
      <c r="B83" s="23" t="s">
        <v>123</v>
      </c>
      <c r="C83" s="49">
        <f>AVERAGE('26.07 NATEETE-BUSEGA'!C83,'27.07 NATEETE-BUSEGA'!C83)</f>
        <v>40.5</v>
      </c>
      <c r="D83" s="49">
        <f>AVERAGE('26.07 NATEETE-BUSEGA'!D83,'27.07 NATEETE-BUSEGA'!D83)</f>
        <v>5.5</v>
      </c>
      <c r="E83" s="49">
        <f>AVERAGE('26.07 NATEETE-BUSEGA'!E83,'27.07 NATEETE-BUSEGA'!E83)</f>
        <v>4</v>
      </c>
      <c r="F83" s="49">
        <f>AVERAGE('26.07 NATEETE-BUSEGA'!F83,'27.07 NATEETE-BUSEGA'!F83)</f>
        <v>5.5</v>
      </c>
      <c r="G83" s="49">
        <f>AVERAGE('26.07 NATEETE-BUSEGA'!G83,'27.07 NATEETE-BUSEGA'!G83)</f>
        <v>0</v>
      </c>
      <c r="H83" s="49">
        <f>AVERAGE('26.07 NATEETE-BUSEGA'!H83,'27.07 NATEETE-BUSEGA'!H83)</f>
        <v>1.5</v>
      </c>
      <c r="I83" s="49">
        <f>AVERAGE('26.07 NATEETE-BUSEGA'!I83,'27.07 NATEETE-BUSEGA'!I83)</f>
        <v>3.5</v>
      </c>
      <c r="J83" s="49">
        <f>AVERAGE('26.07 NATEETE-BUSEGA'!J83,'27.07 NATEETE-BUSEGA'!J83)</f>
        <v>1.5</v>
      </c>
      <c r="K83" s="49">
        <f>AVERAGE('26.07 NATEETE-BUSEGA'!K83,'27.07 NATEETE-BUSEGA'!K83)</f>
        <v>0</v>
      </c>
      <c r="L83" s="49">
        <f>AVERAGE('26.07 NATEETE-BUSEGA'!L83,'27.07 NATEETE-BUSEGA'!L83)</f>
        <v>0</v>
      </c>
      <c r="M83" s="49">
        <f>AVERAGE('26.07 NATEETE-BUSEGA'!M83,'27.07 NATEETE-BUSEGA'!M83)</f>
        <v>61.5</v>
      </c>
      <c r="N83" s="49">
        <f>AVERAGE('26.07 NATEETE-BUSEGA'!N83,'27.07 NATEETE-BUSEGA'!N83)</f>
        <v>0</v>
      </c>
      <c r="O83" s="15">
        <f t="shared" si="35"/>
        <v>62</v>
      </c>
      <c r="P83" s="15">
        <f t="shared" si="36"/>
        <v>123.5</v>
      </c>
      <c r="R83" s="8"/>
      <c r="T83"/>
    </row>
    <row r="84" spans="2:20" ht="23.1" customHeight="1" x14ac:dyDescent="0.25">
      <c r="B84" s="25" t="s">
        <v>124</v>
      </c>
      <c r="C84" s="49">
        <f>AVERAGE('26.07 NATEETE-BUSEGA'!C84,'27.07 NATEETE-BUSEGA'!C84)</f>
        <v>21.5</v>
      </c>
      <c r="D84" s="49">
        <f>AVERAGE('26.07 NATEETE-BUSEGA'!D84,'27.07 NATEETE-BUSEGA'!D84)</f>
        <v>2</v>
      </c>
      <c r="E84" s="49">
        <f>AVERAGE('26.07 NATEETE-BUSEGA'!E84,'27.07 NATEETE-BUSEGA'!E84)</f>
        <v>3</v>
      </c>
      <c r="F84" s="49">
        <f>AVERAGE('26.07 NATEETE-BUSEGA'!F84,'27.07 NATEETE-BUSEGA'!F84)</f>
        <v>3.5</v>
      </c>
      <c r="G84" s="49">
        <f>AVERAGE('26.07 NATEETE-BUSEGA'!G84,'27.07 NATEETE-BUSEGA'!G84)</f>
        <v>0</v>
      </c>
      <c r="H84" s="49">
        <f>AVERAGE('26.07 NATEETE-BUSEGA'!H84,'27.07 NATEETE-BUSEGA'!H84)</f>
        <v>1</v>
      </c>
      <c r="I84" s="49">
        <f>AVERAGE('26.07 NATEETE-BUSEGA'!I84,'27.07 NATEETE-BUSEGA'!I84)</f>
        <v>2.5</v>
      </c>
      <c r="J84" s="49">
        <f>AVERAGE('26.07 NATEETE-BUSEGA'!J84,'27.07 NATEETE-BUSEGA'!J84)</f>
        <v>2.5</v>
      </c>
      <c r="K84" s="49">
        <f>AVERAGE('26.07 NATEETE-BUSEGA'!K84,'27.07 NATEETE-BUSEGA'!K84)</f>
        <v>0</v>
      </c>
      <c r="L84" s="49">
        <f>AVERAGE('26.07 NATEETE-BUSEGA'!L84,'27.07 NATEETE-BUSEGA'!L84)</f>
        <v>1</v>
      </c>
      <c r="M84" s="49">
        <f>AVERAGE('26.07 NATEETE-BUSEGA'!M84,'27.07 NATEETE-BUSEGA'!M84)</f>
        <v>56.5</v>
      </c>
      <c r="N84" s="49">
        <f>AVERAGE('26.07 NATEETE-BUSEGA'!N84,'27.07 NATEETE-BUSEGA'!N84)</f>
        <v>0</v>
      </c>
      <c r="O84" s="15">
        <f t="shared" si="35"/>
        <v>37</v>
      </c>
      <c r="P84" s="15">
        <f t="shared" si="36"/>
        <v>93.5</v>
      </c>
      <c r="R84" s="8"/>
      <c r="T84"/>
    </row>
    <row r="85" spans="2:20" ht="23.1" customHeight="1" x14ac:dyDescent="0.25">
      <c r="B85" s="23" t="s">
        <v>125</v>
      </c>
      <c r="C85" s="49">
        <f>AVERAGE('26.07 NATEETE-BUSEGA'!C85,'27.07 NATEETE-BUSEGA'!C85)</f>
        <v>33.5</v>
      </c>
      <c r="D85" s="49">
        <f>AVERAGE('26.07 NATEETE-BUSEGA'!D85,'27.07 NATEETE-BUSEGA'!D85)</f>
        <v>1</v>
      </c>
      <c r="E85" s="49">
        <f>AVERAGE('26.07 NATEETE-BUSEGA'!E85,'27.07 NATEETE-BUSEGA'!E85)</f>
        <v>2</v>
      </c>
      <c r="F85" s="49">
        <f>AVERAGE('26.07 NATEETE-BUSEGA'!F85,'27.07 NATEETE-BUSEGA'!F85)</f>
        <v>3</v>
      </c>
      <c r="G85" s="49">
        <f>AVERAGE('26.07 NATEETE-BUSEGA'!G85,'27.07 NATEETE-BUSEGA'!G85)</f>
        <v>0</v>
      </c>
      <c r="H85" s="49">
        <f>AVERAGE('26.07 NATEETE-BUSEGA'!H85,'27.07 NATEETE-BUSEGA'!H85)</f>
        <v>0.5</v>
      </c>
      <c r="I85" s="49">
        <f>AVERAGE('26.07 NATEETE-BUSEGA'!I85,'27.07 NATEETE-BUSEGA'!I85)</f>
        <v>2.5</v>
      </c>
      <c r="J85" s="49">
        <f>AVERAGE('26.07 NATEETE-BUSEGA'!J85,'27.07 NATEETE-BUSEGA'!J85)</f>
        <v>1</v>
      </c>
      <c r="K85" s="49">
        <f>AVERAGE('26.07 NATEETE-BUSEGA'!K85,'27.07 NATEETE-BUSEGA'!K85)</f>
        <v>0.5</v>
      </c>
      <c r="L85" s="49">
        <f>AVERAGE('26.07 NATEETE-BUSEGA'!L85,'27.07 NATEETE-BUSEGA'!L85)</f>
        <v>1</v>
      </c>
      <c r="M85" s="49">
        <f>AVERAGE('26.07 NATEETE-BUSEGA'!M85,'27.07 NATEETE-BUSEGA'!M85)</f>
        <v>42</v>
      </c>
      <c r="N85" s="49">
        <f>AVERAGE('26.07 NATEETE-BUSEGA'!N85,'27.07 NATEETE-BUSEGA'!N85)</f>
        <v>0</v>
      </c>
      <c r="O85" s="15">
        <f t="shared" si="35"/>
        <v>45</v>
      </c>
      <c r="P85" s="15">
        <f t="shared" si="36"/>
        <v>87</v>
      </c>
      <c r="R85" s="8"/>
      <c r="T85"/>
    </row>
    <row r="86" spans="2:20" ht="23.1" customHeight="1" x14ac:dyDescent="0.25">
      <c r="B86" s="24" t="s">
        <v>126</v>
      </c>
      <c r="C86" s="49">
        <f>AVERAGE('26.07 NATEETE-BUSEGA'!C86,'27.07 NATEETE-BUSEGA'!C86)</f>
        <v>15.5</v>
      </c>
      <c r="D86" s="49">
        <f>AVERAGE('26.07 NATEETE-BUSEGA'!D86,'27.07 NATEETE-BUSEGA'!D86)</f>
        <v>0.5</v>
      </c>
      <c r="E86" s="49">
        <f>AVERAGE('26.07 NATEETE-BUSEGA'!E86,'27.07 NATEETE-BUSEGA'!E86)</f>
        <v>2</v>
      </c>
      <c r="F86" s="49">
        <f>AVERAGE('26.07 NATEETE-BUSEGA'!F86,'27.07 NATEETE-BUSEGA'!F86)</f>
        <v>2</v>
      </c>
      <c r="G86" s="49">
        <f>AVERAGE('26.07 NATEETE-BUSEGA'!G86,'27.07 NATEETE-BUSEGA'!G86)</f>
        <v>0</v>
      </c>
      <c r="H86" s="49">
        <f>AVERAGE('26.07 NATEETE-BUSEGA'!H86,'27.07 NATEETE-BUSEGA'!H86)</f>
        <v>1</v>
      </c>
      <c r="I86" s="49">
        <f>AVERAGE('26.07 NATEETE-BUSEGA'!I86,'27.07 NATEETE-BUSEGA'!I86)</f>
        <v>3</v>
      </c>
      <c r="J86" s="49">
        <f>AVERAGE('26.07 NATEETE-BUSEGA'!J86,'27.07 NATEETE-BUSEGA'!J86)</f>
        <v>2</v>
      </c>
      <c r="K86" s="49">
        <f>AVERAGE('26.07 NATEETE-BUSEGA'!K86,'27.07 NATEETE-BUSEGA'!K86)</f>
        <v>0</v>
      </c>
      <c r="L86" s="49">
        <f>AVERAGE('26.07 NATEETE-BUSEGA'!L86,'27.07 NATEETE-BUSEGA'!L86)</f>
        <v>0</v>
      </c>
      <c r="M86" s="49">
        <f>AVERAGE('26.07 NATEETE-BUSEGA'!M86,'27.07 NATEETE-BUSEGA'!M86)</f>
        <v>39.5</v>
      </c>
      <c r="N86" s="49">
        <f>AVERAGE('26.07 NATEETE-BUSEGA'!N86,'27.07 NATEETE-BUSEGA'!N86)</f>
        <v>0</v>
      </c>
      <c r="O86" s="15">
        <f t="shared" si="35"/>
        <v>26</v>
      </c>
      <c r="P86" s="15">
        <f t="shared" si="36"/>
        <v>65.5</v>
      </c>
      <c r="R86" s="8"/>
      <c r="T86"/>
    </row>
    <row r="87" spans="2:20" ht="23.1" customHeight="1" x14ac:dyDescent="0.25">
      <c r="B87" s="23" t="s">
        <v>127</v>
      </c>
      <c r="C87" s="49">
        <f>AVERAGE('26.07 NATEETE-BUSEGA'!C87,'27.07 NATEETE-BUSEGA'!C87)</f>
        <v>20.5</v>
      </c>
      <c r="D87" s="49">
        <f>AVERAGE('26.07 NATEETE-BUSEGA'!D87,'27.07 NATEETE-BUSEGA'!D87)</f>
        <v>2</v>
      </c>
      <c r="E87" s="49">
        <f>AVERAGE('26.07 NATEETE-BUSEGA'!E87,'27.07 NATEETE-BUSEGA'!E87)</f>
        <v>0.5</v>
      </c>
      <c r="F87" s="49">
        <f>AVERAGE('26.07 NATEETE-BUSEGA'!F87,'27.07 NATEETE-BUSEGA'!F87)</f>
        <v>2</v>
      </c>
      <c r="G87" s="49">
        <f>AVERAGE('26.07 NATEETE-BUSEGA'!G87,'27.07 NATEETE-BUSEGA'!G87)</f>
        <v>0</v>
      </c>
      <c r="H87" s="49">
        <f>AVERAGE('26.07 NATEETE-BUSEGA'!H87,'27.07 NATEETE-BUSEGA'!H87)</f>
        <v>0.5</v>
      </c>
      <c r="I87" s="49">
        <f>AVERAGE('26.07 NATEETE-BUSEGA'!I87,'27.07 NATEETE-BUSEGA'!I87)</f>
        <v>2</v>
      </c>
      <c r="J87" s="49">
        <f>AVERAGE('26.07 NATEETE-BUSEGA'!J87,'27.07 NATEETE-BUSEGA'!J87)</f>
        <v>2</v>
      </c>
      <c r="K87" s="49">
        <f>AVERAGE('26.07 NATEETE-BUSEGA'!K87,'27.07 NATEETE-BUSEGA'!K87)</f>
        <v>0.5</v>
      </c>
      <c r="L87" s="49">
        <f>AVERAGE('26.07 NATEETE-BUSEGA'!L87,'27.07 NATEETE-BUSEGA'!L87)</f>
        <v>3</v>
      </c>
      <c r="M87" s="49">
        <f>AVERAGE('26.07 NATEETE-BUSEGA'!M87,'27.07 NATEETE-BUSEGA'!M87)</f>
        <v>44</v>
      </c>
      <c r="N87" s="49">
        <f>AVERAGE('26.07 NATEETE-BUSEGA'!N87,'27.07 NATEETE-BUSEGA'!N87)</f>
        <v>0</v>
      </c>
      <c r="O87" s="15">
        <f t="shared" si="35"/>
        <v>33</v>
      </c>
      <c r="P87" s="15">
        <f t="shared" si="36"/>
        <v>77</v>
      </c>
      <c r="R87" s="8"/>
      <c r="T87"/>
    </row>
    <row r="88" spans="2:20" ht="23.1" customHeight="1" x14ac:dyDescent="0.25">
      <c r="B88" s="25" t="s">
        <v>128</v>
      </c>
      <c r="C88" s="49">
        <f>AVERAGE('26.07 NATEETE-BUSEGA'!C88,'27.07 NATEETE-BUSEGA'!C88)</f>
        <v>13.5</v>
      </c>
      <c r="D88" s="49">
        <f>AVERAGE('26.07 NATEETE-BUSEGA'!D88,'27.07 NATEETE-BUSEGA'!D88)</f>
        <v>2</v>
      </c>
      <c r="E88" s="49">
        <f>AVERAGE('26.07 NATEETE-BUSEGA'!E88,'27.07 NATEETE-BUSEGA'!E88)</f>
        <v>1.5</v>
      </c>
      <c r="F88" s="49">
        <f>AVERAGE('26.07 NATEETE-BUSEGA'!F88,'27.07 NATEETE-BUSEGA'!F88)</f>
        <v>0.5</v>
      </c>
      <c r="G88" s="49">
        <f>AVERAGE('26.07 NATEETE-BUSEGA'!G88,'27.07 NATEETE-BUSEGA'!G88)</f>
        <v>0</v>
      </c>
      <c r="H88" s="49">
        <f>AVERAGE('26.07 NATEETE-BUSEGA'!H88,'27.07 NATEETE-BUSEGA'!H88)</f>
        <v>1</v>
      </c>
      <c r="I88" s="49">
        <f>AVERAGE('26.07 NATEETE-BUSEGA'!I88,'27.07 NATEETE-BUSEGA'!I88)</f>
        <v>0.5</v>
      </c>
      <c r="J88" s="49">
        <f>AVERAGE('26.07 NATEETE-BUSEGA'!J88,'27.07 NATEETE-BUSEGA'!J88)</f>
        <v>2.5</v>
      </c>
      <c r="K88" s="49">
        <f>AVERAGE('26.07 NATEETE-BUSEGA'!K88,'27.07 NATEETE-BUSEGA'!K88)</f>
        <v>0.5</v>
      </c>
      <c r="L88" s="49">
        <f>AVERAGE('26.07 NATEETE-BUSEGA'!L88,'27.07 NATEETE-BUSEGA'!L88)</f>
        <v>0</v>
      </c>
      <c r="M88" s="49">
        <f>AVERAGE('26.07 NATEETE-BUSEGA'!M88,'27.07 NATEETE-BUSEGA'!M88)</f>
        <v>44.5</v>
      </c>
      <c r="N88" s="49">
        <f>AVERAGE('26.07 NATEETE-BUSEGA'!N88,'27.07 NATEETE-BUSEGA'!N88)</f>
        <v>0</v>
      </c>
      <c r="O88" s="15">
        <f t="shared" si="35"/>
        <v>22</v>
      </c>
      <c r="P88" s="15">
        <f t="shared" si="36"/>
        <v>66.5</v>
      </c>
      <c r="R88" s="8"/>
      <c r="T88"/>
    </row>
    <row r="89" spans="2:20" ht="23.1" customHeight="1" x14ac:dyDescent="0.25">
      <c r="B89" s="23" t="s">
        <v>129</v>
      </c>
      <c r="C89" s="49">
        <f>AVERAGE('26.07 NATEETE-BUSEGA'!C89,'27.07 NATEETE-BUSEGA'!C89)</f>
        <v>14.5</v>
      </c>
      <c r="D89" s="49">
        <f>AVERAGE('26.07 NATEETE-BUSEGA'!D89,'27.07 NATEETE-BUSEGA'!D89)</f>
        <v>1.5</v>
      </c>
      <c r="E89" s="49">
        <f>AVERAGE('26.07 NATEETE-BUSEGA'!E89,'27.07 NATEETE-BUSEGA'!E89)</f>
        <v>1.5</v>
      </c>
      <c r="F89" s="49">
        <f>AVERAGE('26.07 NATEETE-BUSEGA'!F89,'27.07 NATEETE-BUSEGA'!F89)</f>
        <v>0.5</v>
      </c>
      <c r="G89" s="49">
        <f>AVERAGE('26.07 NATEETE-BUSEGA'!G89,'27.07 NATEETE-BUSEGA'!G89)</f>
        <v>0</v>
      </c>
      <c r="H89" s="49">
        <f>AVERAGE('26.07 NATEETE-BUSEGA'!H89,'27.07 NATEETE-BUSEGA'!H89)</f>
        <v>0</v>
      </c>
      <c r="I89" s="49">
        <f>AVERAGE('26.07 NATEETE-BUSEGA'!I89,'27.07 NATEETE-BUSEGA'!I89)</f>
        <v>2.5</v>
      </c>
      <c r="J89" s="49">
        <f>AVERAGE('26.07 NATEETE-BUSEGA'!J89,'27.07 NATEETE-BUSEGA'!J89)</f>
        <v>4</v>
      </c>
      <c r="K89" s="49">
        <f>AVERAGE('26.07 NATEETE-BUSEGA'!K89,'27.07 NATEETE-BUSEGA'!K89)</f>
        <v>0</v>
      </c>
      <c r="L89" s="49">
        <f>AVERAGE('26.07 NATEETE-BUSEGA'!L89,'27.07 NATEETE-BUSEGA'!L89)</f>
        <v>1</v>
      </c>
      <c r="M89" s="49">
        <f>AVERAGE('26.07 NATEETE-BUSEGA'!M89,'27.07 NATEETE-BUSEGA'!M89)</f>
        <v>45.5</v>
      </c>
      <c r="N89" s="49">
        <f>AVERAGE('26.07 NATEETE-BUSEGA'!N89,'27.07 NATEETE-BUSEGA'!N89)</f>
        <v>0</v>
      </c>
      <c r="O89" s="15">
        <f t="shared" si="35"/>
        <v>25.5</v>
      </c>
      <c r="P89" s="15">
        <f t="shared" si="36"/>
        <v>71</v>
      </c>
      <c r="R89" s="8"/>
      <c r="T89"/>
    </row>
    <row r="90" spans="2:20" ht="23.1" customHeight="1" x14ac:dyDescent="0.25">
      <c r="B90" s="24" t="s">
        <v>130</v>
      </c>
      <c r="C90" s="49">
        <f>AVERAGE('26.07 NATEETE-BUSEGA'!C90,'27.07 NATEETE-BUSEGA'!C90)</f>
        <v>14.5</v>
      </c>
      <c r="D90" s="49">
        <f>AVERAGE('26.07 NATEETE-BUSEGA'!D90,'27.07 NATEETE-BUSEGA'!D90)</f>
        <v>1.5</v>
      </c>
      <c r="E90" s="49">
        <f>AVERAGE('26.07 NATEETE-BUSEGA'!E90,'27.07 NATEETE-BUSEGA'!E90)</f>
        <v>3</v>
      </c>
      <c r="F90" s="49">
        <f>AVERAGE('26.07 NATEETE-BUSEGA'!F90,'27.07 NATEETE-BUSEGA'!F90)</f>
        <v>0.5</v>
      </c>
      <c r="G90" s="49">
        <f>AVERAGE('26.07 NATEETE-BUSEGA'!G90,'27.07 NATEETE-BUSEGA'!G90)</f>
        <v>0</v>
      </c>
      <c r="H90" s="49">
        <f>AVERAGE('26.07 NATEETE-BUSEGA'!H90,'27.07 NATEETE-BUSEGA'!H90)</f>
        <v>0</v>
      </c>
      <c r="I90" s="49">
        <f>AVERAGE('26.07 NATEETE-BUSEGA'!I90,'27.07 NATEETE-BUSEGA'!I90)</f>
        <v>2</v>
      </c>
      <c r="J90" s="49">
        <f>AVERAGE('26.07 NATEETE-BUSEGA'!J90,'27.07 NATEETE-BUSEGA'!J90)</f>
        <v>2</v>
      </c>
      <c r="K90" s="49">
        <f>AVERAGE('26.07 NATEETE-BUSEGA'!K90,'27.07 NATEETE-BUSEGA'!K90)</f>
        <v>0.5</v>
      </c>
      <c r="L90" s="49">
        <f>AVERAGE('26.07 NATEETE-BUSEGA'!L90,'27.07 NATEETE-BUSEGA'!L90)</f>
        <v>0.5</v>
      </c>
      <c r="M90" s="49">
        <f>AVERAGE('26.07 NATEETE-BUSEGA'!M90,'27.07 NATEETE-BUSEGA'!M90)</f>
        <v>42</v>
      </c>
      <c r="N90" s="49">
        <f>AVERAGE('26.07 NATEETE-BUSEGA'!N90,'27.07 NATEETE-BUSEGA'!N90)</f>
        <v>0</v>
      </c>
      <c r="O90" s="15">
        <f t="shared" si="35"/>
        <v>24.5</v>
      </c>
      <c r="P90" s="15">
        <f t="shared" si="36"/>
        <v>66.5</v>
      </c>
      <c r="R90" s="8"/>
      <c r="T90"/>
    </row>
    <row r="91" spans="2:20" ht="23.1" customHeight="1" x14ac:dyDescent="0.25">
      <c r="B91" s="23" t="s">
        <v>131</v>
      </c>
      <c r="C91" s="49">
        <f>AVERAGE('26.07 NATEETE-BUSEGA'!C91,'27.07 NATEETE-BUSEGA'!C91)</f>
        <v>15.5</v>
      </c>
      <c r="D91" s="49">
        <f>AVERAGE('26.07 NATEETE-BUSEGA'!D91,'27.07 NATEETE-BUSEGA'!D91)</f>
        <v>2.5</v>
      </c>
      <c r="E91" s="49">
        <f>AVERAGE('26.07 NATEETE-BUSEGA'!E91,'27.07 NATEETE-BUSEGA'!E91)</f>
        <v>1.5</v>
      </c>
      <c r="F91" s="49">
        <f>AVERAGE('26.07 NATEETE-BUSEGA'!F91,'27.07 NATEETE-BUSEGA'!F91)</f>
        <v>1</v>
      </c>
      <c r="G91" s="49">
        <f>AVERAGE('26.07 NATEETE-BUSEGA'!G91,'27.07 NATEETE-BUSEGA'!G91)</f>
        <v>0</v>
      </c>
      <c r="H91" s="49">
        <f>AVERAGE('26.07 NATEETE-BUSEGA'!H91,'27.07 NATEETE-BUSEGA'!H91)</f>
        <v>1</v>
      </c>
      <c r="I91" s="49">
        <f>AVERAGE('26.07 NATEETE-BUSEGA'!I91,'27.07 NATEETE-BUSEGA'!I91)</f>
        <v>0</v>
      </c>
      <c r="J91" s="49">
        <f>AVERAGE('26.07 NATEETE-BUSEGA'!J91,'27.07 NATEETE-BUSEGA'!J91)</f>
        <v>2</v>
      </c>
      <c r="K91" s="49">
        <f>AVERAGE('26.07 NATEETE-BUSEGA'!K91,'27.07 NATEETE-BUSEGA'!K91)</f>
        <v>1</v>
      </c>
      <c r="L91" s="49">
        <f>AVERAGE('26.07 NATEETE-BUSEGA'!L91,'27.07 NATEETE-BUSEGA'!L91)</f>
        <v>0</v>
      </c>
      <c r="M91" s="49">
        <f>AVERAGE('26.07 NATEETE-BUSEGA'!M91,'27.07 NATEETE-BUSEGA'!M91)</f>
        <v>50</v>
      </c>
      <c r="N91" s="49">
        <f>AVERAGE('26.07 NATEETE-BUSEGA'!N91,'27.07 NATEETE-BUSEGA'!N91)</f>
        <v>0</v>
      </c>
      <c r="O91" s="15">
        <f t="shared" si="35"/>
        <v>24.5</v>
      </c>
      <c r="P91" s="15">
        <f t="shared" si="36"/>
        <v>74.5</v>
      </c>
      <c r="R91" s="8"/>
      <c r="T91"/>
    </row>
    <row r="92" spans="2:20" ht="23.1" customHeight="1" x14ac:dyDescent="0.25">
      <c r="B92" s="25" t="s">
        <v>132</v>
      </c>
      <c r="C92" s="49">
        <f>AVERAGE('26.07 NATEETE-BUSEGA'!C92,'27.07 NATEETE-BUSEGA'!C92)</f>
        <v>17</v>
      </c>
      <c r="D92" s="49">
        <f>AVERAGE('26.07 NATEETE-BUSEGA'!D92,'27.07 NATEETE-BUSEGA'!D92)</f>
        <v>1</v>
      </c>
      <c r="E92" s="49">
        <f>AVERAGE('26.07 NATEETE-BUSEGA'!E92,'27.07 NATEETE-BUSEGA'!E92)</f>
        <v>1</v>
      </c>
      <c r="F92" s="49">
        <f>AVERAGE('26.07 NATEETE-BUSEGA'!F92,'27.07 NATEETE-BUSEGA'!F92)</f>
        <v>3</v>
      </c>
      <c r="G92" s="49">
        <f>AVERAGE('26.07 NATEETE-BUSEGA'!G92,'27.07 NATEETE-BUSEGA'!G92)</f>
        <v>0</v>
      </c>
      <c r="H92" s="49">
        <f>AVERAGE('26.07 NATEETE-BUSEGA'!H92,'27.07 NATEETE-BUSEGA'!H92)</f>
        <v>0</v>
      </c>
      <c r="I92" s="49">
        <f>AVERAGE('26.07 NATEETE-BUSEGA'!I92,'27.07 NATEETE-BUSEGA'!I92)</f>
        <v>1.5</v>
      </c>
      <c r="J92" s="49">
        <f>AVERAGE('26.07 NATEETE-BUSEGA'!J92,'27.07 NATEETE-BUSEGA'!J92)</f>
        <v>0.5</v>
      </c>
      <c r="K92" s="49">
        <f>AVERAGE('26.07 NATEETE-BUSEGA'!K92,'27.07 NATEETE-BUSEGA'!K92)</f>
        <v>1.5</v>
      </c>
      <c r="L92" s="49">
        <f>AVERAGE('26.07 NATEETE-BUSEGA'!L92,'27.07 NATEETE-BUSEGA'!L92)</f>
        <v>0</v>
      </c>
      <c r="M92" s="49">
        <f>AVERAGE('26.07 NATEETE-BUSEGA'!M92,'27.07 NATEETE-BUSEGA'!M92)</f>
        <v>40.5</v>
      </c>
      <c r="N92" s="49">
        <f>AVERAGE('26.07 NATEETE-BUSEGA'!N92,'27.07 NATEETE-BUSEGA'!N92)</f>
        <v>0</v>
      </c>
      <c r="O92" s="15">
        <f t="shared" si="35"/>
        <v>25.5</v>
      </c>
      <c r="P92" s="15">
        <f t="shared" si="36"/>
        <v>66</v>
      </c>
      <c r="R92" s="8"/>
      <c r="T92"/>
    </row>
    <row r="93" spans="2:20" ht="23.1" customHeight="1" x14ac:dyDescent="0.25">
      <c r="B93" s="23" t="s">
        <v>133</v>
      </c>
      <c r="C93" s="49">
        <f>AVERAGE('26.07 NATEETE-BUSEGA'!C93,'27.07 NATEETE-BUSEGA'!C93)</f>
        <v>24.5</v>
      </c>
      <c r="D93" s="49">
        <f>AVERAGE('26.07 NATEETE-BUSEGA'!D93,'27.07 NATEETE-BUSEGA'!D93)</f>
        <v>2.5</v>
      </c>
      <c r="E93" s="49">
        <f>AVERAGE('26.07 NATEETE-BUSEGA'!E93,'27.07 NATEETE-BUSEGA'!E93)</f>
        <v>3</v>
      </c>
      <c r="F93" s="49">
        <f>AVERAGE('26.07 NATEETE-BUSEGA'!F93,'27.07 NATEETE-BUSEGA'!F93)</f>
        <v>1</v>
      </c>
      <c r="G93" s="49">
        <f>AVERAGE('26.07 NATEETE-BUSEGA'!G93,'27.07 NATEETE-BUSEGA'!G93)</f>
        <v>0</v>
      </c>
      <c r="H93" s="49">
        <f>AVERAGE('26.07 NATEETE-BUSEGA'!H93,'27.07 NATEETE-BUSEGA'!H93)</f>
        <v>1</v>
      </c>
      <c r="I93" s="49">
        <f>AVERAGE('26.07 NATEETE-BUSEGA'!I93,'27.07 NATEETE-BUSEGA'!I93)</f>
        <v>1.5</v>
      </c>
      <c r="J93" s="49">
        <f>AVERAGE('26.07 NATEETE-BUSEGA'!J93,'27.07 NATEETE-BUSEGA'!J93)</f>
        <v>1</v>
      </c>
      <c r="K93" s="49">
        <f>AVERAGE('26.07 NATEETE-BUSEGA'!K93,'27.07 NATEETE-BUSEGA'!K93)</f>
        <v>0.5</v>
      </c>
      <c r="L93" s="49">
        <f>AVERAGE('26.07 NATEETE-BUSEGA'!L93,'27.07 NATEETE-BUSEGA'!L93)</f>
        <v>0</v>
      </c>
      <c r="M93" s="49">
        <f>AVERAGE('26.07 NATEETE-BUSEGA'!M93,'27.07 NATEETE-BUSEGA'!M93)</f>
        <v>43.5</v>
      </c>
      <c r="N93" s="49">
        <f>AVERAGE('26.07 NATEETE-BUSEGA'!N93,'27.07 NATEETE-BUSEGA'!N93)</f>
        <v>0</v>
      </c>
      <c r="O93" s="15">
        <f t="shared" si="35"/>
        <v>35</v>
      </c>
      <c r="P93" s="15">
        <f t="shared" si="36"/>
        <v>78.5</v>
      </c>
      <c r="R93" s="8"/>
      <c r="T93"/>
    </row>
    <row r="94" spans="2:20" ht="23.1" customHeight="1" x14ac:dyDescent="0.25">
      <c r="B94" s="24" t="s">
        <v>134</v>
      </c>
      <c r="C94" s="49">
        <f>AVERAGE('26.07 NATEETE-BUSEGA'!C94,'27.07 NATEETE-BUSEGA'!C94)</f>
        <v>16.5</v>
      </c>
      <c r="D94" s="49">
        <f>AVERAGE('26.07 NATEETE-BUSEGA'!D94,'27.07 NATEETE-BUSEGA'!D94)</f>
        <v>1</v>
      </c>
      <c r="E94" s="49">
        <f>AVERAGE('26.07 NATEETE-BUSEGA'!E94,'27.07 NATEETE-BUSEGA'!E94)</f>
        <v>2</v>
      </c>
      <c r="F94" s="49">
        <f>AVERAGE('26.07 NATEETE-BUSEGA'!F94,'27.07 NATEETE-BUSEGA'!F94)</f>
        <v>3</v>
      </c>
      <c r="G94" s="49">
        <f>AVERAGE('26.07 NATEETE-BUSEGA'!G94,'27.07 NATEETE-BUSEGA'!G94)</f>
        <v>0</v>
      </c>
      <c r="H94" s="49">
        <f>AVERAGE('26.07 NATEETE-BUSEGA'!H94,'27.07 NATEETE-BUSEGA'!H94)</f>
        <v>0.5</v>
      </c>
      <c r="I94" s="49">
        <f>AVERAGE('26.07 NATEETE-BUSEGA'!I94,'27.07 NATEETE-BUSEGA'!I94)</f>
        <v>2</v>
      </c>
      <c r="J94" s="49">
        <f>AVERAGE('26.07 NATEETE-BUSEGA'!J94,'27.07 NATEETE-BUSEGA'!J94)</f>
        <v>3</v>
      </c>
      <c r="K94" s="49">
        <f>AVERAGE('26.07 NATEETE-BUSEGA'!K94,'27.07 NATEETE-BUSEGA'!K94)</f>
        <v>0</v>
      </c>
      <c r="L94" s="49">
        <f>AVERAGE('26.07 NATEETE-BUSEGA'!L94,'27.07 NATEETE-BUSEGA'!L94)</f>
        <v>0</v>
      </c>
      <c r="M94" s="49">
        <f>AVERAGE('26.07 NATEETE-BUSEGA'!M94,'27.07 NATEETE-BUSEGA'!M94)</f>
        <v>38.5</v>
      </c>
      <c r="N94" s="49">
        <f>AVERAGE('26.07 NATEETE-BUSEGA'!N94,'27.07 NATEETE-BUSEGA'!N94)</f>
        <v>0</v>
      </c>
      <c r="O94" s="15">
        <f t="shared" si="35"/>
        <v>28</v>
      </c>
      <c r="P94" s="15">
        <f t="shared" si="36"/>
        <v>66.5</v>
      </c>
      <c r="R94" s="8"/>
      <c r="T94"/>
    </row>
    <row r="95" spans="2:20" ht="23.1" customHeight="1" x14ac:dyDescent="0.25">
      <c r="B95" s="23" t="s">
        <v>135</v>
      </c>
      <c r="C95" s="49">
        <f>AVERAGE('26.07 NATEETE-BUSEGA'!C95,'27.07 NATEETE-BUSEGA'!C95)</f>
        <v>11</v>
      </c>
      <c r="D95" s="49">
        <f>AVERAGE('26.07 NATEETE-BUSEGA'!D95,'27.07 NATEETE-BUSEGA'!D95)</f>
        <v>2.5</v>
      </c>
      <c r="E95" s="49">
        <f>AVERAGE('26.07 NATEETE-BUSEGA'!E95,'27.07 NATEETE-BUSEGA'!E95)</f>
        <v>2.5</v>
      </c>
      <c r="F95" s="49">
        <f>AVERAGE('26.07 NATEETE-BUSEGA'!F95,'27.07 NATEETE-BUSEGA'!F95)</f>
        <v>4.5</v>
      </c>
      <c r="G95" s="49">
        <f>AVERAGE('26.07 NATEETE-BUSEGA'!G95,'27.07 NATEETE-BUSEGA'!G95)</f>
        <v>0</v>
      </c>
      <c r="H95" s="49">
        <f>AVERAGE('26.07 NATEETE-BUSEGA'!H95,'27.07 NATEETE-BUSEGA'!H95)</f>
        <v>0</v>
      </c>
      <c r="I95" s="49">
        <f>AVERAGE('26.07 NATEETE-BUSEGA'!I95,'27.07 NATEETE-BUSEGA'!I95)</f>
        <v>1</v>
      </c>
      <c r="J95" s="49">
        <f>AVERAGE('26.07 NATEETE-BUSEGA'!J95,'27.07 NATEETE-BUSEGA'!J95)</f>
        <v>0</v>
      </c>
      <c r="K95" s="49">
        <f>AVERAGE('26.07 NATEETE-BUSEGA'!K95,'27.07 NATEETE-BUSEGA'!K95)</f>
        <v>1.5</v>
      </c>
      <c r="L95" s="49">
        <f>AVERAGE('26.07 NATEETE-BUSEGA'!L95,'27.07 NATEETE-BUSEGA'!L95)</f>
        <v>0</v>
      </c>
      <c r="M95" s="49">
        <f>AVERAGE('26.07 NATEETE-BUSEGA'!M95,'27.07 NATEETE-BUSEGA'!M95)</f>
        <v>32.5</v>
      </c>
      <c r="N95" s="49">
        <f>AVERAGE('26.07 NATEETE-BUSEGA'!N95,'27.07 NATEETE-BUSEGA'!N95)</f>
        <v>0</v>
      </c>
      <c r="O95" s="15">
        <f t="shared" si="35"/>
        <v>23</v>
      </c>
      <c r="P95" s="15">
        <f t="shared" si="36"/>
        <v>55.5</v>
      </c>
      <c r="R95" s="8"/>
      <c r="T95"/>
    </row>
    <row r="96" spans="2:20" ht="23.1" customHeight="1" x14ac:dyDescent="0.25">
      <c r="B96" s="25" t="s">
        <v>136</v>
      </c>
      <c r="C96" s="49">
        <f>AVERAGE('26.07 NATEETE-BUSEGA'!C96,'27.07 NATEETE-BUSEGA'!C96)</f>
        <v>25</v>
      </c>
      <c r="D96" s="49">
        <f>AVERAGE('26.07 NATEETE-BUSEGA'!D96,'27.07 NATEETE-BUSEGA'!D96)</f>
        <v>1</v>
      </c>
      <c r="E96" s="49">
        <f>AVERAGE('26.07 NATEETE-BUSEGA'!E96,'27.07 NATEETE-BUSEGA'!E96)</f>
        <v>3.5</v>
      </c>
      <c r="F96" s="49">
        <f>AVERAGE('26.07 NATEETE-BUSEGA'!F96,'27.07 NATEETE-BUSEGA'!F96)</f>
        <v>5</v>
      </c>
      <c r="G96" s="49">
        <f>AVERAGE('26.07 NATEETE-BUSEGA'!G96,'27.07 NATEETE-BUSEGA'!G96)</f>
        <v>0</v>
      </c>
      <c r="H96" s="49">
        <f>AVERAGE('26.07 NATEETE-BUSEGA'!H96,'27.07 NATEETE-BUSEGA'!H96)</f>
        <v>0</v>
      </c>
      <c r="I96" s="49">
        <f>AVERAGE('26.07 NATEETE-BUSEGA'!I96,'27.07 NATEETE-BUSEGA'!I96)</f>
        <v>1.5</v>
      </c>
      <c r="J96" s="49">
        <f>AVERAGE('26.07 NATEETE-BUSEGA'!J96,'27.07 NATEETE-BUSEGA'!J96)</f>
        <v>1</v>
      </c>
      <c r="K96" s="49">
        <f>AVERAGE('26.07 NATEETE-BUSEGA'!K96,'27.07 NATEETE-BUSEGA'!K96)</f>
        <v>0</v>
      </c>
      <c r="L96" s="49">
        <f>AVERAGE('26.07 NATEETE-BUSEGA'!L96,'27.07 NATEETE-BUSEGA'!L96)</f>
        <v>0</v>
      </c>
      <c r="M96" s="49">
        <f>AVERAGE('26.07 NATEETE-BUSEGA'!M96,'27.07 NATEETE-BUSEGA'!M96)</f>
        <v>36</v>
      </c>
      <c r="N96" s="49">
        <f>AVERAGE('26.07 NATEETE-BUSEGA'!N96,'27.07 NATEETE-BUSEGA'!N96)</f>
        <v>0</v>
      </c>
      <c r="O96" s="15">
        <f t="shared" si="35"/>
        <v>37</v>
      </c>
      <c r="P96" s="15">
        <f t="shared" si="36"/>
        <v>73</v>
      </c>
      <c r="R96" s="8"/>
      <c r="T96"/>
    </row>
    <row r="97" spans="2:20" ht="23.1" customHeight="1" x14ac:dyDescent="0.25">
      <c r="B97" s="23" t="s">
        <v>137</v>
      </c>
      <c r="C97" s="49">
        <f>AVERAGE('26.07 NATEETE-BUSEGA'!C97,'27.07 NATEETE-BUSEGA'!C97)</f>
        <v>23</v>
      </c>
      <c r="D97" s="49">
        <f>AVERAGE('26.07 NATEETE-BUSEGA'!D97,'27.07 NATEETE-BUSEGA'!D97)</f>
        <v>1</v>
      </c>
      <c r="E97" s="49">
        <f>AVERAGE('26.07 NATEETE-BUSEGA'!E97,'27.07 NATEETE-BUSEGA'!E97)</f>
        <v>1.5</v>
      </c>
      <c r="F97" s="49">
        <f>AVERAGE('26.07 NATEETE-BUSEGA'!F97,'27.07 NATEETE-BUSEGA'!F97)</f>
        <v>3.5</v>
      </c>
      <c r="G97" s="49">
        <f>AVERAGE('26.07 NATEETE-BUSEGA'!G97,'27.07 NATEETE-BUSEGA'!G97)</f>
        <v>1</v>
      </c>
      <c r="H97" s="49">
        <f>AVERAGE('26.07 NATEETE-BUSEGA'!H97,'27.07 NATEETE-BUSEGA'!H97)</f>
        <v>1</v>
      </c>
      <c r="I97" s="49">
        <f>AVERAGE('26.07 NATEETE-BUSEGA'!I97,'27.07 NATEETE-BUSEGA'!I97)</f>
        <v>2.5</v>
      </c>
      <c r="J97" s="49">
        <f>AVERAGE('26.07 NATEETE-BUSEGA'!J97,'27.07 NATEETE-BUSEGA'!J97)</f>
        <v>0.5</v>
      </c>
      <c r="K97" s="49">
        <f>AVERAGE('26.07 NATEETE-BUSEGA'!K97,'27.07 NATEETE-BUSEGA'!K97)</f>
        <v>0</v>
      </c>
      <c r="L97" s="49">
        <f>AVERAGE('26.07 NATEETE-BUSEGA'!L97,'27.07 NATEETE-BUSEGA'!L97)</f>
        <v>0</v>
      </c>
      <c r="M97" s="49">
        <f>AVERAGE('26.07 NATEETE-BUSEGA'!M97,'27.07 NATEETE-BUSEGA'!M97)</f>
        <v>46</v>
      </c>
      <c r="N97" s="49">
        <f>AVERAGE('26.07 NATEETE-BUSEGA'!N97,'27.07 NATEETE-BUSEGA'!N97)</f>
        <v>0</v>
      </c>
      <c r="O97" s="15">
        <f t="shared" si="35"/>
        <v>34</v>
      </c>
      <c r="P97" s="15">
        <f t="shared" si="36"/>
        <v>80</v>
      </c>
      <c r="R97" s="8"/>
      <c r="T97"/>
    </row>
    <row r="98" spans="2:20" ht="23.1" customHeight="1" x14ac:dyDescent="0.25">
      <c r="B98" s="24" t="s">
        <v>138</v>
      </c>
      <c r="C98" s="49">
        <f>AVERAGE('26.07 NATEETE-BUSEGA'!C98,'27.07 NATEETE-BUSEGA'!C98)</f>
        <v>16</v>
      </c>
      <c r="D98" s="49">
        <f>AVERAGE('26.07 NATEETE-BUSEGA'!D98,'27.07 NATEETE-BUSEGA'!D98)</f>
        <v>2.5</v>
      </c>
      <c r="E98" s="49">
        <f>AVERAGE('26.07 NATEETE-BUSEGA'!E98,'27.07 NATEETE-BUSEGA'!E98)</f>
        <v>2.5</v>
      </c>
      <c r="F98" s="49">
        <f>AVERAGE('26.07 NATEETE-BUSEGA'!F98,'27.07 NATEETE-BUSEGA'!F98)</f>
        <v>4</v>
      </c>
      <c r="G98" s="49">
        <f>AVERAGE('26.07 NATEETE-BUSEGA'!G98,'27.07 NATEETE-BUSEGA'!G98)</f>
        <v>0</v>
      </c>
      <c r="H98" s="49">
        <f>AVERAGE('26.07 NATEETE-BUSEGA'!H98,'27.07 NATEETE-BUSEGA'!H98)</f>
        <v>1</v>
      </c>
      <c r="I98" s="49">
        <f>AVERAGE('26.07 NATEETE-BUSEGA'!I98,'27.07 NATEETE-BUSEGA'!I98)</f>
        <v>3.5</v>
      </c>
      <c r="J98" s="49">
        <f>AVERAGE('26.07 NATEETE-BUSEGA'!J98,'27.07 NATEETE-BUSEGA'!J98)</f>
        <v>0.5</v>
      </c>
      <c r="K98" s="49">
        <f>AVERAGE('26.07 NATEETE-BUSEGA'!K98,'27.07 NATEETE-BUSEGA'!K98)</f>
        <v>0</v>
      </c>
      <c r="L98" s="49">
        <f>AVERAGE('26.07 NATEETE-BUSEGA'!L98,'27.07 NATEETE-BUSEGA'!L98)</f>
        <v>0</v>
      </c>
      <c r="M98" s="49">
        <f>AVERAGE('26.07 NATEETE-BUSEGA'!M98,'27.07 NATEETE-BUSEGA'!M98)</f>
        <v>42.5</v>
      </c>
      <c r="N98" s="49">
        <f>AVERAGE('26.07 NATEETE-BUSEGA'!N98,'27.07 NATEETE-BUSEGA'!N98)</f>
        <v>0</v>
      </c>
      <c r="O98" s="15">
        <f t="shared" si="35"/>
        <v>30</v>
      </c>
      <c r="P98" s="15">
        <f t="shared" si="36"/>
        <v>72.5</v>
      </c>
      <c r="R98" s="8"/>
      <c r="T98"/>
    </row>
    <row r="99" spans="2:20" ht="23.1" customHeight="1" x14ac:dyDescent="0.25">
      <c r="B99" s="23" t="s">
        <v>139</v>
      </c>
      <c r="C99" s="49">
        <f>AVERAGE('26.07 NATEETE-BUSEGA'!C99,'27.07 NATEETE-BUSEGA'!C99)</f>
        <v>21.5</v>
      </c>
      <c r="D99" s="49">
        <f>AVERAGE('26.07 NATEETE-BUSEGA'!D99,'27.07 NATEETE-BUSEGA'!D99)</f>
        <v>1</v>
      </c>
      <c r="E99" s="49">
        <f>AVERAGE('26.07 NATEETE-BUSEGA'!E99,'27.07 NATEETE-BUSEGA'!E99)</f>
        <v>2.5</v>
      </c>
      <c r="F99" s="49">
        <f>AVERAGE('26.07 NATEETE-BUSEGA'!F99,'27.07 NATEETE-BUSEGA'!F99)</f>
        <v>12</v>
      </c>
      <c r="G99" s="49">
        <f>AVERAGE('26.07 NATEETE-BUSEGA'!G99,'27.07 NATEETE-BUSEGA'!G99)</f>
        <v>0</v>
      </c>
      <c r="H99" s="49">
        <f>AVERAGE('26.07 NATEETE-BUSEGA'!H99,'27.07 NATEETE-BUSEGA'!H99)</f>
        <v>1.5</v>
      </c>
      <c r="I99" s="49">
        <f>AVERAGE('26.07 NATEETE-BUSEGA'!I99,'27.07 NATEETE-BUSEGA'!I99)</f>
        <v>2</v>
      </c>
      <c r="J99" s="49">
        <f>AVERAGE('26.07 NATEETE-BUSEGA'!J99,'27.07 NATEETE-BUSEGA'!J99)</f>
        <v>1.5</v>
      </c>
      <c r="K99" s="49">
        <f>AVERAGE('26.07 NATEETE-BUSEGA'!K99,'27.07 NATEETE-BUSEGA'!K99)</f>
        <v>0</v>
      </c>
      <c r="L99" s="49">
        <f>AVERAGE('26.07 NATEETE-BUSEGA'!L99,'27.07 NATEETE-BUSEGA'!L99)</f>
        <v>0</v>
      </c>
      <c r="M99" s="49">
        <f>AVERAGE('26.07 NATEETE-BUSEGA'!M99,'27.07 NATEETE-BUSEGA'!M99)</f>
        <v>42</v>
      </c>
      <c r="N99" s="49">
        <f>AVERAGE('26.07 NATEETE-BUSEGA'!N99,'27.07 NATEETE-BUSEGA'!N99)</f>
        <v>0</v>
      </c>
      <c r="O99" s="15">
        <f t="shared" si="35"/>
        <v>42</v>
      </c>
      <c r="P99" s="15">
        <f t="shared" si="36"/>
        <v>84</v>
      </c>
      <c r="R99" s="8"/>
      <c r="T99"/>
    </row>
    <row r="100" spans="2:20" ht="23.1" customHeight="1" x14ac:dyDescent="0.25">
      <c r="B100" s="25" t="s">
        <v>140</v>
      </c>
      <c r="C100" s="49">
        <f>AVERAGE('26.07 NATEETE-BUSEGA'!C100,'27.07 NATEETE-BUSEGA'!C100)</f>
        <v>21.5</v>
      </c>
      <c r="D100" s="49">
        <f>AVERAGE('26.07 NATEETE-BUSEGA'!D100,'27.07 NATEETE-BUSEGA'!D100)</f>
        <v>1.5</v>
      </c>
      <c r="E100" s="49">
        <f>AVERAGE('26.07 NATEETE-BUSEGA'!E100,'27.07 NATEETE-BUSEGA'!E100)</f>
        <v>2.5</v>
      </c>
      <c r="F100" s="49">
        <f>AVERAGE('26.07 NATEETE-BUSEGA'!F100,'27.07 NATEETE-BUSEGA'!F100)</f>
        <v>12</v>
      </c>
      <c r="G100" s="49">
        <f>AVERAGE('26.07 NATEETE-BUSEGA'!G100,'27.07 NATEETE-BUSEGA'!G100)</f>
        <v>0</v>
      </c>
      <c r="H100" s="49">
        <f>AVERAGE('26.07 NATEETE-BUSEGA'!H100,'27.07 NATEETE-BUSEGA'!H100)</f>
        <v>1.5</v>
      </c>
      <c r="I100" s="49">
        <f>AVERAGE('26.07 NATEETE-BUSEGA'!I100,'27.07 NATEETE-BUSEGA'!I100)</f>
        <v>3.5</v>
      </c>
      <c r="J100" s="49">
        <f>AVERAGE('26.07 NATEETE-BUSEGA'!J100,'27.07 NATEETE-BUSEGA'!J100)</f>
        <v>1</v>
      </c>
      <c r="K100" s="49">
        <f>AVERAGE('26.07 NATEETE-BUSEGA'!K100,'27.07 NATEETE-BUSEGA'!K100)</f>
        <v>1</v>
      </c>
      <c r="L100" s="49">
        <f>AVERAGE('26.07 NATEETE-BUSEGA'!L100,'27.07 NATEETE-BUSEGA'!L100)</f>
        <v>2.5</v>
      </c>
      <c r="M100" s="49">
        <f>AVERAGE('26.07 NATEETE-BUSEGA'!M100,'27.07 NATEETE-BUSEGA'!M100)</f>
        <v>50.5</v>
      </c>
      <c r="N100" s="49">
        <f>AVERAGE('26.07 NATEETE-BUSEGA'!N100,'27.07 NATEETE-BUSEGA'!N100)</f>
        <v>0</v>
      </c>
      <c r="O100" s="15">
        <f t="shared" si="35"/>
        <v>47</v>
      </c>
      <c r="P100" s="15">
        <f t="shared" si="36"/>
        <v>97.5</v>
      </c>
      <c r="R100" s="8"/>
      <c r="T100"/>
    </row>
    <row r="101" spans="2:20" ht="23.1" customHeight="1" x14ac:dyDescent="0.25">
      <c r="B101" s="23" t="s">
        <v>141</v>
      </c>
      <c r="C101" s="49">
        <f>AVERAGE('26.07 NATEETE-BUSEGA'!C101,'27.07 NATEETE-BUSEGA'!C101)</f>
        <v>15</v>
      </c>
      <c r="D101" s="49">
        <f>AVERAGE('26.07 NATEETE-BUSEGA'!D101,'27.07 NATEETE-BUSEGA'!D101)</f>
        <v>3</v>
      </c>
      <c r="E101" s="49">
        <f>AVERAGE('26.07 NATEETE-BUSEGA'!E101,'27.07 NATEETE-BUSEGA'!E101)</f>
        <v>4.5</v>
      </c>
      <c r="F101" s="49">
        <f>AVERAGE('26.07 NATEETE-BUSEGA'!F101,'27.07 NATEETE-BUSEGA'!F101)</f>
        <v>17</v>
      </c>
      <c r="G101" s="49">
        <f>AVERAGE('26.07 NATEETE-BUSEGA'!G101,'27.07 NATEETE-BUSEGA'!G101)</f>
        <v>0</v>
      </c>
      <c r="H101" s="49">
        <f>AVERAGE('26.07 NATEETE-BUSEGA'!H101,'27.07 NATEETE-BUSEGA'!H101)</f>
        <v>2</v>
      </c>
      <c r="I101" s="49">
        <f>AVERAGE('26.07 NATEETE-BUSEGA'!I101,'27.07 NATEETE-BUSEGA'!I101)</f>
        <v>3</v>
      </c>
      <c r="J101" s="49">
        <f>AVERAGE('26.07 NATEETE-BUSEGA'!J101,'27.07 NATEETE-BUSEGA'!J101)</f>
        <v>2.5</v>
      </c>
      <c r="K101" s="49">
        <f>AVERAGE('26.07 NATEETE-BUSEGA'!K101,'27.07 NATEETE-BUSEGA'!K101)</f>
        <v>2</v>
      </c>
      <c r="L101" s="49">
        <f>AVERAGE('26.07 NATEETE-BUSEGA'!L101,'27.07 NATEETE-BUSEGA'!L101)</f>
        <v>2</v>
      </c>
      <c r="M101" s="49">
        <f>AVERAGE('26.07 NATEETE-BUSEGA'!M101,'27.07 NATEETE-BUSEGA'!M101)</f>
        <v>68</v>
      </c>
      <c r="N101" s="49">
        <f>AVERAGE('26.07 NATEETE-BUSEGA'!N101,'27.07 NATEETE-BUSEGA'!N101)</f>
        <v>0</v>
      </c>
      <c r="O101" s="15">
        <f t="shared" si="35"/>
        <v>51</v>
      </c>
      <c r="P101" s="15">
        <f t="shared" si="36"/>
        <v>119</v>
      </c>
      <c r="R101" s="8"/>
      <c r="T101"/>
    </row>
    <row r="102" spans="2:20" ht="23.1" customHeight="1" x14ac:dyDescent="0.25">
      <c r="B102" s="24" t="s">
        <v>142</v>
      </c>
      <c r="C102" s="49">
        <f>AVERAGE('26.07 NATEETE-BUSEGA'!C102,'27.07 NATEETE-BUSEGA'!C102)</f>
        <v>21</v>
      </c>
      <c r="D102" s="49">
        <f>AVERAGE('26.07 NATEETE-BUSEGA'!D102,'27.07 NATEETE-BUSEGA'!D102)</f>
        <v>5.5</v>
      </c>
      <c r="E102" s="49">
        <f>AVERAGE('26.07 NATEETE-BUSEGA'!E102,'27.07 NATEETE-BUSEGA'!E102)</f>
        <v>5</v>
      </c>
      <c r="F102" s="49">
        <f>AVERAGE('26.07 NATEETE-BUSEGA'!F102,'27.07 NATEETE-BUSEGA'!F102)</f>
        <v>24.5</v>
      </c>
      <c r="G102" s="49">
        <f>AVERAGE('26.07 NATEETE-BUSEGA'!G102,'27.07 NATEETE-BUSEGA'!G102)</f>
        <v>1.5</v>
      </c>
      <c r="H102" s="49">
        <f>AVERAGE('26.07 NATEETE-BUSEGA'!H102,'27.07 NATEETE-BUSEGA'!H102)</f>
        <v>0</v>
      </c>
      <c r="I102" s="49">
        <f>AVERAGE('26.07 NATEETE-BUSEGA'!I102,'27.07 NATEETE-BUSEGA'!I102)</f>
        <v>4</v>
      </c>
      <c r="J102" s="49">
        <f>AVERAGE('26.07 NATEETE-BUSEGA'!J102,'27.07 NATEETE-BUSEGA'!J102)</f>
        <v>1</v>
      </c>
      <c r="K102" s="49">
        <f>AVERAGE('26.07 NATEETE-BUSEGA'!K102,'27.07 NATEETE-BUSEGA'!K102)</f>
        <v>1.5</v>
      </c>
      <c r="L102" s="49">
        <f>AVERAGE('26.07 NATEETE-BUSEGA'!L102,'27.07 NATEETE-BUSEGA'!L102)</f>
        <v>2</v>
      </c>
      <c r="M102" s="49">
        <f>AVERAGE('26.07 NATEETE-BUSEGA'!M102,'27.07 NATEETE-BUSEGA'!M102)</f>
        <v>78.5</v>
      </c>
      <c r="N102" s="49">
        <f>AVERAGE('26.07 NATEETE-BUSEGA'!N102,'27.07 NATEETE-BUSEGA'!N102)</f>
        <v>0</v>
      </c>
      <c r="O102" s="15">
        <f t="shared" si="35"/>
        <v>66</v>
      </c>
      <c r="P102" s="15">
        <f t="shared" si="36"/>
        <v>144.5</v>
      </c>
      <c r="R102" s="8"/>
      <c r="T102"/>
    </row>
    <row r="103" spans="2:20" ht="23.1" customHeight="1" x14ac:dyDescent="0.25">
      <c r="B103" s="23" t="s">
        <v>143</v>
      </c>
      <c r="C103" s="49">
        <f>AVERAGE('26.07 NATEETE-BUSEGA'!C103,'27.07 NATEETE-BUSEGA'!C103)</f>
        <v>27.5</v>
      </c>
      <c r="D103" s="49">
        <f>AVERAGE('26.07 NATEETE-BUSEGA'!D103,'27.07 NATEETE-BUSEGA'!D103)</f>
        <v>4</v>
      </c>
      <c r="E103" s="49">
        <f>AVERAGE('26.07 NATEETE-BUSEGA'!E103,'27.07 NATEETE-BUSEGA'!E103)</f>
        <v>5</v>
      </c>
      <c r="F103" s="49">
        <f>AVERAGE('26.07 NATEETE-BUSEGA'!F103,'27.07 NATEETE-BUSEGA'!F103)</f>
        <v>33.5</v>
      </c>
      <c r="G103" s="49">
        <f>AVERAGE('26.07 NATEETE-BUSEGA'!G103,'27.07 NATEETE-BUSEGA'!G103)</f>
        <v>1</v>
      </c>
      <c r="H103" s="49">
        <f>AVERAGE('26.07 NATEETE-BUSEGA'!H103,'27.07 NATEETE-BUSEGA'!H103)</f>
        <v>2</v>
      </c>
      <c r="I103" s="49">
        <f>AVERAGE('26.07 NATEETE-BUSEGA'!I103,'27.07 NATEETE-BUSEGA'!I103)</f>
        <v>6</v>
      </c>
      <c r="J103" s="49">
        <f>AVERAGE('26.07 NATEETE-BUSEGA'!J103,'27.07 NATEETE-BUSEGA'!J103)</f>
        <v>4</v>
      </c>
      <c r="K103" s="49">
        <f>AVERAGE('26.07 NATEETE-BUSEGA'!K103,'27.07 NATEETE-BUSEGA'!K103)</f>
        <v>1</v>
      </c>
      <c r="L103" s="49">
        <f>AVERAGE('26.07 NATEETE-BUSEGA'!L103,'27.07 NATEETE-BUSEGA'!L103)</f>
        <v>0.5</v>
      </c>
      <c r="M103" s="49">
        <f>AVERAGE('26.07 NATEETE-BUSEGA'!M103,'27.07 NATEETE-BUSEGA'!M103)</f>
        <v>91</v>
      </c>
      <c r="N103" s="49">
        <f>AVERAGE('26.07 NATEETE-BUSEGA'!N103,'27.07 NATEETE-BUSEGA'!N103)</f>
        <v>0</v>
      </c>
      <c r="O103" s="15">
        <f t="shared" si="35"/>
        <v>84.5</v>
      </c>
      <c r="P103" s="15">
        <f t="shared" si="36"/>
        <v>175.5</v>
      </c>
      <c r="R103" s="8"/>
      <c r="T103"/>
    </row>
    <row r="104" spans="2:20" ht="23.1" customHeight="1" x14ac:dyDescent="0.25">
      <c r="B104" s="25" t="s">
        <v>144</v>
      </c>
      <c r="C104" s="49">
        <f>AVERAGE('26.07 NATEETE-BUSEGA'!C104,'27.07 NATEETE-BUSEGA'!C104)</f>
        <v>33</v>
      </c>
      <c r="D104" s="49">
        <f>AVERAGE('26.07 NATEETE-BUSEGA'!D104,'27.07 NATEETE-BUSEGA'!D104)</f>
        <v>5.5</v>
      </c>
      <c r="E104" s="49">
        <f>AVERAGE('26.07 NATEETE-BUSEGA'!E104,'27.07 NATEETE-BUSEGA'!E104)</f>
        <v>4.5</v>
      </c>
      <c r="F104" s="49">
        <f>AVERAGE('26.07 NATEETE-BUSEGA'!F104,'27.07 NATEETE-BUSEGA'!F104)</f>
        <v>43</v>
      </c>
      <c r="G104" s="49">
        <f>AVERAGE('26.07 NATEETE-BUSEGA'!G104,'27.07 NATEETE-BUSEGA'!G104)</f>
        <v>1</v>
      </c>
      <c r="H104" s="49">
        <f>AVERAGE('26.07 NATEETE-BUSEGA'!H104,'27.07 NATEETE-BUSEGA'!H104)</f>
        <v>1</v>
      </c>
      <c r="I104" s="49">
        <f>AVERAGE('26.07 NATEETE-BUSEGA'!I104,'27.07 NATEETE-BUSEGA'!I104)</f>
        <v>5</v>
      </c>
      <c r="J104" s="49">
        <f>AVERAGE('26.07 NATEETE-BUSEGA'!J104,'27.07 NATEETE-BUSEGA'!J104)</f>
        <v>5</v>
      </c>
      <c r="K104" s="49">
        <f>AVERAGE('26.07 NATEETE-BUSEGA'!K104,'27.07 NATEETE-BUSEGA'!K104)</f>
        <v>0</v>
      </c>
      <c r="L104" s="49">
        <f>AVERAGE('26.07 NATEETE-BUSEGA'!L104,'27.07 NATEETE-BUSEGA'!L104)</f>
        <v>1.5</v>
      </c>
      <c r="M104" s="49">
        <f>AVERAGE('26.07 NATEETE-BUSEGA'!M104,'27.07 NATEETE-BUSEGA'!M104)</f>
        <v>91</v>
      </c>
      <c r="N104" s="49">
        <f>AVERAGE('26.07 NATEETE-BUSEGA'!N104,'27.07 NATEETE-BUSEGA'!N104)</f>
        <v>0</v>
      </c>
      <c r="O104" s="15">
        <f t="shared" si="35"/>
        <v>99.5</v>
      </c>
      <c r="P104" s="15">
        <f t="shared" si="36"/>
        <v>190.5</v>
      </c>
      <c r="R104" s="8"/>
      <c r="T104"/>
    </row>
    <row r="105" spans="2:20" ht="23.1" customHeight="1" x14ac:dyDescent="0.25">
      <c r="B105" s="23" t="s">
        <v>145</v>
      </c>
      <c r="C105" s="49">
        <f>AVERAGE('26.07 NATEETE-BUSEGA'!C105,'27.07 NATEETE-BUSEGA'!C105)</f>
        <v>37</v>
      </c>
      <c r="D105" s="49">
        <f>AVERAGE('26.07 NATEETE-BUSEGA'!D105,'27.07 NATEETE-BUSEGA'!D105)</f>
        <v>7.5</v>
      </c>
      <c r="E105" s="49">
        <f>AVERAGE('26.07 NATEETE-BUSEGA'!E105,'27.07 NATEETE-BUSEGA'!E105)</f>
        <v>8</v>
      </c>
      <c r="F105" s="49">
        <f>AVERAGE('26.07 NATEETE-BUSEGA'!F105,'27.07 NATEETE-BUSEGA'!F105)</f>
        <v>38</v>
      </c>
      <c r="G105" s="49">
        <f>AVERAGE('26.07 NATEETE-BUSEGA'!G105,'27.07 NATEETE-BUSEGA'!G105)</f>
        <v>1</v>
      </c>
      <c r="H105" s="49">
        <f>AVERAGE('26.07 NATEETE-BUSEGA'!H105,'27.07 NATEETE-BUSEGA'!H105)</f>
        <v>2.5</v>
      </c>
      <c r="I105" s="49">
        <f>AVERAGE('26.07 NATEETE-BUSEGA'!I105,'27.07 NATEETE-BUSEGA'!I105)</f>
        <v>8</v>
      </c>
      <c r="J105" s="49">
        <f>AVERAGE('26.07 NATEETE-BUSEGA'!J105,'27.07 NATEETE-BUSEGA'!J105)</f>
        <v>5</v>
      </c>
      <c r="K105" s="49">
        <f>AVERAGE('26.07 NATEETE-BUSEGA'!K105,'27.07 NATEETE-BUSEGA'!K105)</f>
        <v>5</v>
      </c>
      <c r="L105" s="49">
        <f>AVERAGE('26.07 NATEETE-BUSEGA'!L105,'27.07 NATEETE-BUSEGA'!L105)</f>
        <v>3</v>
      </c>
      <c r="M105" s="49">
        <f>AVERAGE('26.07 NATEETE-BUSEGA'!M105,'27.07 NATEETE-BUSEGA'!M105)</f>
        <v>130.5</v>
      </c>
      <c r="N105" s="49">
        <f>AVERAGE('26.07 NATEETE-BUSEGA'!N105,'27.07 NATEETE-BUSEGA'!N105)</f>
        <v>0</v>
      </c>
      <c r="O105" s="15">
        <f t="shared" si="35"/>
        <v>115</v>
      </c>
      <c r="P105" s="15">
        <f t="shared" si="36"/>
        <v>245.5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4391.2857142857147</v>
      </c>
      <c r="D106" s="16">
        <f t="shared" ref="D106:P106" si="37">SUM(D10:D105)</f>
        <v>618.57142857142856</v>
      </c>
      <c r="E106" s="16">
        <f t="shared" si="37"/>
        <v>574.14285714285722</v>
      </c>
      <c r="F106" s="16">
        <f t="shared" si="37"/>
        <v>3473.7857142857138</v>
      </c>
      <c r="G106" s="16">
        <f t="shared" si="37"/>
        <v>102.85714285714283</v>
      </c>
      <c r="H106" s="16">
        <f t="shared" si="37"/>
        <v>122.71428571428569</v>
      </c>
      <c r="I106" s="16">
        <f t="shared" si="37"/>
        <v>591.21428571428589</v>
      </c>
      <c r="J106" s="16">
        <f t="shared" si="37"/>
        <v>398.42857142857139</v>
      </c>
      <c r="K106" s="16">
        <f t="shared" si="37"/>
        <v>152.42857142857144</v>
      </c>
      <c r="L106" s="16">
        <f t="shared" si="37"/>
        <v>206.78571428571428</v>
      </c>
      <c r="M106" s="16">
        <f t="shared" si="37"/>
        <v>15992.428571428569</v>
      </c>
      <c r="N106" s="16">
        <f t="shared" si="37"/>
        <v>7.8571428571428585</v>
      </c>
      <c r="O106" s="16">
        <f t="shared" si="37"/>
        <v>10640.071428571428</v>
      </c>
      <c r="P106" s="16">
        <f t="shared" si="37"/>
        <v>26632.500000000004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0.16488447251612556</v>
      </c>
      <c r="D107" s="43">
        <f t="shared" si="38"/>
        <v>2.3226187123680783E-2</v>
      </c>
      <c r="E107" s="43">
        <f t="shared" si="38"/>
        <v>2.1557978302557294E-2</v>
      </c>
      <c r="F107" s="43">
        <f t="shared" si="38"/>
        <v>0.13043408295449971</v>
      </c>
      <c r="G107" s="43">
        <f t="shared" si="38"/>
        <v>3.8620911614434552E-3</v>
      </c>
      <c r="H107" s="43">
        <f t="shared" si="38"/>
        <v>4.6076893162221222E-3</v>
      </c>
      <c r="I107" s="43">
        <f t="shared" si="38"/>
        <v>2.2198978155046872E-2</v>
      </c>
      <c r="J107" s="43">
        <f t="shared" si="38"/>
        <v>1.4960239235091386E-2</v>
      </c>
      <c r="K107" s="43">
        <f t="shared" si="38"/>
        <v>5.7234045406391225E-3</v>
      </c>
      <c r="L107" s="43">
        <f t="shared" si="38"/>
        <v>7.7644124391519475E-3</v>
      </c>
      <c r="M107" s="43">
        <f t="shared" si="38"/>
        <v>0.60048544340293131</v>
      </c>
      <c r="N107" s="43">
        <f t="shared" si="38"/>
        <v>2.9502085261026408E-4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0.41271205214787771</v>
      </c>
      <c r="D108" s="44">
        <f t="shared" ref="D108:N108" si="39">D106/$O$106</f>
        <v>5.8136022180302234E-2</v>
      </c>
      <c r="E108" s="44">
        <f t="shared" si="39"/>
        <v>5.3960432596451433E-2</v>
      </c>
      <c r="F108" s="44">
        <f t="shared" si="39"/>
        <v>0.32648142802478497</v>
      </c>
      <c r="G108" s="44">
        <f t="shared" si="39"/>
        <v>9.6669598082719625E-3</v>
      </c>
      <c r="H108" s="44">
        <f t="shared" si="39"/>
        <v>1.1533220104591135E-2</v>
      </c>
      <c r="I108" s="44">
        <f t="shared" si="39"/>
        <v>5.556487939796325E-2</v>
      </c>
      <c r="J108" s="44">
        <f t="shared" si="39"/>
        <v>3.7446042923986816E-2</v>
      </c>
      <c r="K108" s="44">
        <f t="shared" si="39"/>
        <v>1.4325897382536371E-2</v>
      </c>
      <c r="L108" s="44">
        <f t="shared" si="39"/>
        <v>1.9434617114546762E-2</v>
      </c>
      <c r="M108" s="44"/>
      <c r="N108" s="44">
        <f t="shared" si="39"/>
        <v>7.3844831868744183E-4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B1:AF174"/>
  <sheetViews>
    <sheetView view="pageBreakPreview" topLeftCell="L43" zoomScale="60" workbookViewId="0">
      <selection activeCell="AE57" sqref="AE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4" t="str">
        <f>'28.07 NATEETE-BUSEGA'!C3:G3</f>
        <v>MCC - C1 - STN10 - MASAKA ROAD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5" t="s">
        <v>169</v>
      </c>
      <c r="E5" s="66"/>
      <c r="F5" s="41" t="s">
        <v>1</v>
      </c>
      <c r="G5" s="62" t="str">
        <f>'28.07 NATEETE-BUSEGA'!G5:H5</f>
        <v>GOD'S MERCY SUPERMARKET</v>
      </c>
      <c r="H5" s="63"/>
      <c r="I5" s="14"/>
      <c r="J5" s="2" t="s">
        <v>5</v>
      </c>
      <c r="K5" s="62" t="str">
        <f>'28.07 NATEETE-BUSEGA'!K5:L5</f>
        <v>BONIFACE/IVAN</v>
      </c>
      <c r="L5" s="63"/>
      <c r="M5" s="10"/>
      <c r="N5" s="10"/>
      <c r="O5" s="3"/>
      <c r="P5" s="3"/>
    </row>
    <row r="6" spans="2:32" ht="23.25" customHeight="1" x14ac:dyDescent="0.25">
      <c r="C6" s="2" t="s">
        <v>4</v>
      </c>
      <c r="D6" s="62" t="str">
        <f>'28.07 NATEETE-BUSEGA'!D6:E6</f>
        <v>BUSEGA</v>
      </c>
      <c r="E6" s="63"/>
      <c r="F6" s="2" t="s">
        <v>2</v>
      </c>
      <c r="G6" s="62" t="str">
        <f>'28.07 NATEETE-BUSEGA'!G6:H6</f>
        <v>NATEETE</v>
      </c>
      <c r="H6" s="63"/>
      <c r="J6" s="2" t="s">
        <v>21</v>
      </c>
      <c r="K6" s="62" t="str">
        <f>'28.07 NATEETE-BUSEGA'!K6:L6</f>
        <v>BEATRACE</v>
      </c>
      <c r="L6" s="6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AVERAGE('22.07 BUSEGA-NATEETE'!C10,'23.07 BUSEGA-NATEETE'!C10,'24.07 BUSEGA-NATEETE'!C10,'25.07 BUSEGA-NATEETE'!C10,'26.07 BUSEGA-NATEETE'!C10,'27.07 52BUSEGA-NATEETEh'!C10,'28.07 NATEETE-BUSEGA'!C10)</f>
        <v>73.714285714285708</v>
      </c>
      <c r="D10" s="49">
        <f>AVERAGE('22.07 BUSEGA-NATEETE'!D10,'23.07 BUSEGA-NATEETE'!D10,'24.07 BUSEGA-NATEETE'!D10,'25.07 BUSEGA-NATEETE'!D10,'26.07 BUSEGA-NATEETE'!D10,'27.07 52BUSEGA-NATEETEh'!D10,'28.07 NATEETE-BUSEGA'!D10)</f>
        <v>8.1428571428571423</v>
      </c>
      <c r="E10" s="49">
        <f>AVERAGE('22.07 BUSEGA-NATEETE'!E10,'23.07 BUSEGA-NATEETE'!E10,'24.07 BUSEGA-NATEETE'!E10,'25.07 BUSEGA-NATEETE'!E10,'26.07 BUSEGA-NATEETE'!E10,'27.07 52BUSEGA-NATEETEh'!E10,'28.07 NATEETE-BUSEGA'!E10)</f>
        <v>5.4285714285714288</v>
      </c>
      <c r="F10" s="49">
        <f>AVERAGE('22.07 BUSEGA-NATEETE'!F10,'23.07 BUSEGA-NATEETE'!F10,'24.07 BUSEGA-NATEETE'!F10,'25.07 BUSEGA-NATEETE'!F10,'26.07 BUSEGA-NATEETE'!F10,'27.07 52BUSEGA-NATEETEh'!F10,'28.07 NATEETE-BUSEGA'!F10)</f>
        <v>51.857142857142854</v>
      </c>
      <c r="G10" s="49">
        <f>AVERAGE('22.07 BUSEGA-NATEETE'!G10,'23.07 BUSEGA-NATEETE'!G10,'24.07 BUSEGA-NATEETE'!G10,'25.07 BUSEGA-NATEETE'!G10,'26.07 BUSEGA-NATEETE'!G10,'27.07 52BUSEGA-NATEETEh'!G10,'28.07 NATEETE-BUSEGA'!G10)</f>
        <v>2</v>
      </c>
      <c r="H10" s="49">
        <f>AVERAGE('22.07 BUSEGA-NATEETE'!H10,'23.07 BUSEGA-NATEETE'!H10,'24.07 BUSEGA-NATEETE'!H10,'25.07 BUSEGA-NATEETE'!H10,'26.07 BUSEGA-NATEETE'!H10,'27.07 52BUSEGA-NATEETEh'!H10,'28.07 NATEETE-BUSEGA'!H10)</f>
        <v>1.1428571428571428</v>
      </c>
      <c r="I10" s="49">
        <f>AVERAGE('22.07 BUSEGA-NATEETE'!I10,'23.07 BUSEGA-NATEETE'!I10,'24.07 BUSEGA-NATEETE'!I10,'25.07 BUSEGA-NATEETE'!I10,'26.07 BUSEGA-NATEETE'!I10,'27.07 52BUSEGA-NATEETEh'!I10,'28.07 NATEETE-BUSEGA'!I10)</f>
        <v>6.1428571428571432</v>
      </c>
      <c r="J10" s="49">
        <f>AVERAGE('22.07 BUSEGA-NATEETE'!J10,'23.07 BUSEGA-NATEETE'!J10,'24.07 BUSEGA-NATEETE'!J10,'25.07 BUSEGA-NATEETE'!J10,'26.07 BUSEGA-NATEETE'!J10,'27.07 52BUSEGA-NATEETEh'!J10,'28.07 NATEETE-BUSEGA'!J10)</f>
        <v>4.5714285714285712</v>
      </c>
      <c r="K10" s="49">
        <f>AVERAGE('22.07 BUSEGA-NATEETE'!K10,'23.07 BUSEGA-NATEETE'!K10,'24.07 BUSEGA-NATEETE'!K10,'25.07 BUSEGA-NATEETE'!K10,'26.07 BUSEGA-NATEETE'!K10,'27.07 52BUSEGA-NATEETEh'!K10,'28.07 NATEETE-BUSEGA'!K10)</f>
        <v>0.42857142857142855</v>
      </c>
      <c r="L10" s="49">
        <f>AVERAGE('22.07 BUSEGA-NATEETE'!L10,'23.07 BUSEGA-NATEETE'!L10,'24.07 BUSEGA-NATEETE'!L10,'25.07 BUSEGA-NATEETE'!L10,'26.07 BUSEGA-NATEETE'!L10,'27.07 52BUSEGA-NATEETEh'!L10,'28.07 NATEETE-BUSEGA'!L10)</f>
        <v>1</v>
      </c>
      <c r="M10" s="49">
        <f>AVERAGE('22.07 BUSEGA-NATEETE'!M10,'23.07 BUSEGA-NATEETE'!M10,'24.07 BUSEGA-NATEETE'!M10,'25.07 BUSEGA-NATEETE'!M10,'26.07 BUSEGA-NATEETE'!M10,'27.07 52BUSEGA-NATEETEh'!M10,'28.07 NATEETE-BUSEGA'!M10)</f>
        <v>241.71428571428572</v>
      </c>
      <c r="N10" s="49">
        <f>AVERAGE('22.07 BUSEGA-NATEETE'!N10,'23.07 BUSEGA-NATEETE'!N10,'24.07 BUSEGA-NATEETE'!N10,'25.07 BUSEGA-NATEETE'!N10,'26.07 BUSEGA-NATEETE'!N10,'27.07 52BUSEGA-NATEETEh'!N10,'28.07 NATEETE-BUSEGA'!N10)</f>
        <v>0</v>
      </c>
      <c r="O10" s="15">
        <f t="shared" ref="O10:O73" si="0">SUM(C10:L10,N10)</f>
        <v>154.42857142857142</v>
      </c>
      <c r="P10" s="15">
        <f t="shared" ref="P10:P73" si="1">SUM(C10:N10)</f>
        <v>396.14285714285711</v>
      </c>
      <c r="R10" s="1" t="s">
        <v>6</v>
      </c>
      <c r="S10" s="17">
        <f t="shared" ref="S10:AF10" si="2">SUM(C10:C13)</f>
        <v>320.99999999999994</v>
      </c>
      <c r="T10" s="17">
        <f t="shared" si="2"/>
        <v>32.428571428571423</v>
      </c>
      <c r="U10" s="17">
        <f t="shared" si="2"/>
        <v>29.571428571428569</v>
      </c>
      <c r="V10" s="17">
        <f t="shared" si="2"/>
        <v>235.71428571428569</v>
      </c>
      <c r="W10" s="17">
        <f t="shared" si="2"/>
        <v>11.571428571428571</v>
      </c>
      <c r="X10" s="17">
        <f t="shared" si="2"/>
        <v>3.4285714285714284</v>
      </c>
      <c r="Y10" s="17">
        <f t="shared" si="2"/>
        <v>24.285714285714288</v>
      </c>
      <c r="Z10" s="17">
        <f t="shared" si="2"/>
        <v>18.857142857142858</v>
      </c>
      <c r="AA10" s="17">
        <f t="shared" si="2"/>
        <v>3.1428571428571428</v>
      </c>
      <c r="AB10" s="17">
        <f t="shared" si="2"/>
        <v>5.1428571428571423</v>
      </c>
      <c r="AC10" s="17">
        <f t="shared" si="2"/>
        <v>888.57142857142856</v>
      </c>
      <c r="AD10" s="17">
        <f t="shared" si="2"/>
        <v>0</v>
      </c>
      <c r="AE10" s="31">
        <f t="shared" si="2"/>
        <v>685.14285714285722</v>
      </c>
      <c r="AF10" s="31">
        <f t="shared" si="2"/>
        <v>1573.7142857142858</v>
      </c>
    </row>
    <row r="11" spans="2:32" s="6" customFormat="1" ht="23.1" customHeight="1" x14ac:dyDescent="0.25">
      <c r="B11" s="23" t="s">
        <v>38</v>
      </c>
      <c r="C11" s="49">
        <f>AVERAGE('22.07 BUSEGA-NATEETE'!C11,'23.07 BUSEGA-NATEETE'!C11,'24.07 BUSEGA-NATEETE'!C11,'25.07 BUSEGA-NATEETE'!C11,'26.07 BUSEGA-NATEETE'!C11,'27.07 52BUSEGA-NATEETEh'!C11,'28.07 NATEETE-BUSEGA'!C11)</f>
        <v>81.142857142857139</v>
      </c>
      <c r="D11" s="49">
        <f>AVERAGE('22.07 BUSEGA-NATEETE'!D11,'23.07 BUSEGA-NATEETE'!D11,'24.07 BUSEGA-NATEETE'!D11,'25.07 BUSEGA-NATEETE'!D11,'26.07 BUSEGA-NATEETE'!D11,'27.07 52BUSEGA-NATEETEh'!D11,'28.07 NATEETE-BUSEGA'!D11)</f>
        <v>5.2857142857142856</v>
      </c>
      <c r="E11" s="49">
        <f>AVERAGE('22.07 BUSEGA-NATEETE'!E11,'23.07 BUSEGA-NATEETE'!E11,'24.07 BUSEGA-NATEETE'!E11,'25.07 BUSEGA-NATEETE'!E11,'26.07 BUSEGA-NATEETE'!E11,'27.07 52BUSEGA-NATEETEh'!E11,'28.07 NATEETE-BUSEGA'!E11)</f>
        <v>8.5714285714285712</v>
      </c>
      <c r="F11" s="49">
        <f>AVERAGE('22.07 BUSEGA-NATEETE'!F11,'23.07 BUSEGA-NATEETE'!F11,'24.07 BUSEGA-NATEETE'!F11,'25.07 BUSEGA-NATEETE'!F11,'26.07 BUSEGA-NATEETE'!F11,'27.07 52BUSEGA-NATEETEh'!F11,'28.07 NATEETE-BUSEGA'!F11)</f>
        <v>55.428571428571431</v>
      </c>
      <c r="G11" s="49">
        <f>AVERAGE('22.07 BUSEGA-NATEETE'!G11,'23.07 BUSEGA-NATEETE'!G11,'24.07 BUSEGA-NATEETE'!G11,'25.07 BUSEGA-NATEETE'!G11,'26.07 BUSEGA-NATEETE'!G11,'27.07 52BUSEGA-NATEETEh'!G11,'28.07 NATEETE-BUSEGA'!G11)</f>
        <v>2.7142857142857144</v>
      </c>
      <c r="H11" s="49">
        <f>AVERAGE('22.07 BUSEGA-NATEETE'!H11,'23.07 BUSEGA-NATEETE'!H11,'24.07 BUSEGA-NATEETE'!H11,'25.07 BUSEGA-NATEETE'!H11,'26.07 BUSEGA-NATEETE'!H11,'27.07 52BUSEGA-NATEETEh'!H11,'28.07 NATEETE-BUSEGA'!H11)</f>
        <v>1.2857142857142858</v>
      </c>
      <c r="I11" s="49">
        <f>AVERAGE('22.07 BUSEGA-NATEETE'!I11,'23.07 BUSEGA-NATEETE'!I11,'24.07 BUSEGA-NATEETE'!I11,'25.07 BUSEGA-NATEETE'!I11,'26.07 BUSEGA-NATEETE'!I11,'27.07 52BUSEGA-NATEETEh'!I11,'28.07 NATEETE-BUSEGA'!I11)</f>
        <v>5.2857142857142856</v>
      </c>
      <c r="J11" s="49">
        <f>AVERAGE('22.07 BUSEGA-NATEETE'!J11,'23.07 BUSEGA-NATEETE'!J11,'24.07 BUSEGA-NATEETE'!J11,'25.07 BUSEGA-NATEETE'!J11,'26.07 BUSEGA-NATEETE'!J11,'27.07 52BUSEGA-NATEETEh'!J11,'28.07 NATEETE-BUSEGA'!J11)</f>
        <v>4.5714285714285712</v>
      </c>
      <c r="K11" s="49">
        <f>AVERAGE('22.07 BUSEGA-NATEETE'!K11,'23.07 BUSEGA-NATEETE'!K11,'24.07 BUSEGA-NATEETE'!K11,'25.07 BUSEGA-NATEETE'!K11,'26.07 BUSEGA-NATEETE'!K11,'27.07 52BUSEGA-NATEETEh'!K11,'28.07 NATEETE-BUSEGA'!K11)</f>
        <v>0.42857142857142855</v>
      </c>
      <c r="L11" s="49">
        <f>AVERAGE('22.07 BUSEGA-NATEETE'!L11,'23.07 BUSEGA-NATEETE'!L11,'24.07 BUSEGA-NATEETE'!L11,'25.07 BUSEGA-NATEETE'!L11,'26.07 BUSEGA-NATEETE'!L11,'27.07 52BUSEGA-NATEETEh'!L11,'28.07 NATEETE-BUSEGA'!L11)</f>
        <v>0.7142857142857143</v>
      </c>
      <c r="M11" s="49">
        <f>AVERAGE('22.07 BUSEGA-NATEETE'!M11,'23.07 BUSEGA-NATEETE'!M11,'24.07 BUSEGA-NATEETE'!M11,'25.07 BUSEGA-NATEETE'!M11,'26.07 BUSEGA-NATEETE'!M11,'27.07 52BUSEGA-NATEETEh'!M11,'28.07 NATEETE-BUSEGA'!M11)</f>
        <v>209.57142857142858</v>
      </c>
      <c r="N11" s="49">
        <f>AVERAGE('22.07 BUSEGA-NATEETE'!N11,'23.07 BUSEGA-NATEETE'!N11,'24.07 BUSEGA-NATEETE'!N11,'25.07 BUSEGA-NATEETE'!N11,'26.07 BUSEGA-NATEETE'!N11,'27.07 52BUSEGA-NATEETEh'!N11,'28.07 NATEETE-BUSEGA'!N11)</f>
        <v>0</v>
      </c>
      <c r="O11" s="15">
        <f t="shared" si="0"/>
        <v>165.42857142857144</v>
      </c>
      <c r="P11" s="15">
        <f t="shared" si="1"/>
        <v>375</v>
      </c>
      <c r="R11" s="1" t="s">
        <v>7</v>
      </c>
      <c r="S11" s="17">
        <f t="shared" ref="S11:AF11" si="3">SUM(C14:C17)</f>
        <v>311.42857142857144</v>
      </c>
      <c r="T11" s="17">
        <f t="shared" si="3"/>
        <v>38.714285714285715</v>
      </c>
      <c r="U11" s="17">
        <f t="shared" si="3"/>
        <v>30.571428571428569</v>
      </c>
      <c r="V11" s="17">
        <f t="shared" si="3"/>
        <v>251.42857142857144</v>
      </c>
      <c r="W11" s="17">
        <f t="shared" si="3"/>
        <v>8.1428571428571423</v>
      </c>
      <c r="X11" s="17">
        <f t="shared" si="3"/>
        <v>3.2857142857142856</v>
      </c>
      <c r="Y11" s="17">
        <f t="shared" si="3"/>
        <v>30</v>
      </c>
      <c r="Z11" s="17">
        <f t="shared" si="3"/>
        <v>22.428571428571431</v>
      </c>
      <c r="AA11" s="17">
        <f t="shared" si="3"/>
        <v>6.7142857142857144</v>
      </c>
      <c r="AB11" s="17">
        <f t="shared" si="3"/>
        <v>6.1428571428571423</v>
      </c>
      <c r="AC11" s="17">
        <f t="shared" si="3"/>
        <v>1052.4285714285713</v>
      </c>
      <c r="AD11" s="17">
        <f t="shared" si="3"/>
        <v>0</v>
      </c>
      <c r="AE11" s="31">
        <f t="shared" si="3"/>
        <v>708.85714285714289</v>
      </c>
      <c r="AF11" s="31">
        <f t="shared" si="3"/>
        <v>1761.285714285714</v>
      </c>
    </row>
    <row r="12" spans="2:32" ht="23.1" customHeight="1" x14ac:dyDescent="0.25">
      <c r="B12" s="23" t="s">
        <v>39</v>
      </c>
      <c r="C12" s="49">
        <f>AVERAGE('22.07 BUSEGA-NATEETE'!C12,'23.07 BUSEGA-NATEETE'!C12,'24.07 BUSEGA-NATEETE'!C12,'25.07 BUSEGA-NATEETE'!C12,'26.07 BUSEGA-NATEETE'!C12,'27.07 52BUSEGA-NATEETEh'!C12,'28.07 NATEETE-BUSEGA'!C12)</f>
        <v>79.571428571428569</v>
      </c>
      <c r="D12" s="49">
        <f>AVERAGE('22.07 BUSEGA-NATEETE'!D12,'23.07 BUSEGA-NATEETE'!D12,'24.07 BUSEGA-NATEETE'!D12,'25.07 BUSEGA-NATEETE'!D12,'26.07 BUSEGA-NATEETE'!D12,'27.07 52BUSEGA-NATEETEh'!D12,'28.07 NATEETE-BUSEGA'!D12)</f>
        <v>8.4285714285714288</v>
      </c>
      <c r="E12" s="49">
        <f>AVERAGE('22.07 BUSEGA-NATEETE'!E12,'23.07 BUSEGA-NATEETE'!E12,'24.07 BUSEGA-NATEETE'!E12,'25.07 BUSEGA-NATEETE'!E12,'26.07 BUSEGA-NATEETE'!E12,'27.07 52BUSEGA-NATEETEh'!E12,'28.07 NATEETE-BUSEGA'!E12)</f>
        <v>6.8571428571428568</v>
      </c>
      <c r="F12" s="49">
        <f>AVERAGE('22.07 BUSEGA-NATEETE'!F12,'23.07 BUSEGA-NATEETE'!F12,'24.07 BUSEGA-NATEETE'!F12,'25.07 BUSEGA-NATEETE'!F12,'26.07 BUSEGA-NATEETE'!F12,'27.07 52BUSEGA-NATEETEh'!F12,'28.07 NATEETE-BUSEGA'!F12)</f>
        <v>63.571428571428569</v>
      </c>
      <c r="G12" s="49">
        <f>AVERAGE('22.07 BUSEGA-NATEETE'!G12,'23.07 BUSEGA-NATEETE'!G12,'24.07 BUSEGA-NATEETE'!G12,'25.07 BUSEGA-NATEETE'!G12,'26.07 BUSEGA-NATEETE'!G12,'27.07 52BUSEGA-NATEETEh'!G12,'28.07 NATEETE-BUSEGA'!G12)</f>
        <v>3.7142857142857144</v>
      </c>
      <c r="H12" s="49">
        <f>AVERAGE('22.07 BUSEGA-NATEETE'!H12,'23.07 BUSEGA-NATEETE'!H12,'24.07 BUSEGA-NATEETE'!H12,'25.07 BUSEGA-NATEETE'!H12,'26.07 BUSEGA-NATEETE'!H12,'27.07 52BUSEGA-NATEETEh'!H12,'28.07 NATEETE-BUSEGA'!H12)</f>
        <v>0.5714285714285714</v>
      </c>
      <c r="I12" s="49">
        <f>AVERAGE('22.07 BUSEGA-NATEETE'!I12,'23.07 BUSEGA-NATEETE'!I12,'24.07 BUSEGA-NATEETE'!I12,'25.07 BUSEGA-NATEETE'!I12,'26.07 BUSEGA-NATEETE'!I12,'27.07 52BUSEGA-NATEETEh'!I12,'28.07 NATEETE-BUSEGA'!I12)</f>
        <v>6</v>
      </c>
      <c r="J12" s="49">
        <f>AVERAGE('22.07 BUSEGA-NATEETE'!J12,'23.07 BUSEGA-NATEETE'!J12,'24.07 BUSEGA-NATEETE'!J12,'25.07 BUSEGA-NATEETE'!J12,'26.07 BUSEGA-NATEETE'!J12,'27.07 52BUSEGA-NATEETEh'!J12,'28.07 NATEETE-BUSEGA'!J12)</f>
        <v>5.7142857142857144</v>
      </c>
      <c r="K12" s="49">
        <f>AVERAGE('22.07 BUSEGA-NATEETE'!K12,'23.07 BUSEGA-NATEETE'!K12,'24.07 BUSEGA-NATEETE'!K12,'25.07 BUSEGA-NATEETE'!K12,'26.07 BUSEGA-NATEETE'!K12,'27.07 52BUSEGA-NATEETEh'!K12,'28.07 NATEETE-BUSEGA'!K12)</f>
        <v>0.7142857142857143</v>
      </c>
      <c r="L12" s="49">
        <f>AVERAGE('22.07 BUSEGA-NATEETE'!L12,'23.07 BUSEGA-NATEETE'!L12,'24.07 BUSEGA-NATEETE'!L12,'25.07 BUSEGA-NATEETE'!L12,'26.07 BUSEGA-NATEETE'!L12,'27.07 52BUSEGA-NATEETEh'!L12,'28.07 NATEETE-BUSEGA'!L12)</f>
        <v>1.5714285714285714</v>
      </c>
      <c r="M12" s="49">
        <f>AVERAGE('22.07 BUSEGA-NATEETE'!M12,'23.07 BUSEGA-NATEETE'!M12,'24.07 BUSEGA-NATEETE'!M12,'25.07 BUSEGA-NATEETE'!M12,'26.07 BUSEGA-NATEETE'!M12,'27.07 52BUSEGA-NATEETEh'!M12,'28.07 NATEETE-BUSEGA'!M12)</f>
        <v>195.71428571428572</v>
      </c>
      <c r="N12" s="49">
        <f>AVERAGE('22.07 BUSEGA-NATEETE'!N12,'23.07 BUSEGA-NATEETE'!N12,'24.07 BUSEGA-NATEETE'!N12,'25.07 BUSEGA-NATEETE'!N12,'26.07 BUSEGA-NATEETE'!N12,'27.07 52BUSEGA-NATEETEh'!N12,'28.07 NATEETE-BUSEGA'!N12)</f>
        <v>0</v>
      </c>
      <c r="O12" s="15">
        <f t="shared" si="0"/>
        <v>176.71428571428578</v>
      </c>
      <c r="P12" s="15">
        <f t="shared" si="1"/>
        <v>372.4285714285715</v>
      </c>
      <c r="R12" s="1" t="s">
        <v>8</v>
      </c>
      <c r="S12" s="17">
        <f t="shared" ref="S12:AF12" si="4">SUM(C18:C21)</f>
        <v>333.28571428571433</v>
      </c>
      <c r="T12" s="17">
        <f t="shared" si="4"/>
        <v>39.571428571428569</v>
      </c>
      <c r="U12" s="17">
        <f t="shared" si="4"/>
        <v>33.571428571428569</v>
      </c>
      <c r="V12" s="17">
        <f t="shared" si="4"/>
        <v>266.85714285714283</v>
      </c>
      <c r="W12" s="17">
        <f t="shared" si="4"/>
        <v>6.5714285714285712</v>
      </c>
      <c r="X12" s="17">
        <f t="shared" si="4"/>
        <v>3.5714285714285712</v>
      </c>
      <c r="Y12" s="17">
        <f t="shared" si="4"/>
        <v>33.142857142857146</v>
      </c>
      <c r="Z12" s="17">
        <f t="shared" si="4"/>
        <v>22.142857142857142</v>
      </c>
      <c r="AA12" s="17">
        <f t="shared" si="4"/>
        <v>6.4285714285714288</v>
      </c>
      <c r="AB12" s="17">
        <f t="shared" si="4"/>
        <v>6.4285714285714288</v>
      </c>
      <c r="AC12" s="17">
        <f t="shared" si="4"/>
        <v>968.28571428571422</v>
      </c>
      <c r="AD12" s="17">
        <f t="shared" si="4"/>
        <v>0</v>
      </c>
      <c r="AE12" s="31">
        <f t="shared" si="4"/>
        <v>751.57142857142856</v>
      </c>
      <c r="AF12" s="31">
        <f t="shared" si="4"/>
        <v>1719.8571428571429</v>
      </c>
    </row>
    <row r="13" spans="2:32" ht="23.1" customHeight="1" x14ac:dyDescent="0.25">
      <c r="B13" s="23" t="s">
        <v>40</v>
      </c>
      <c r="C13" s="49">
        <f>AVERAGE('22.07 BUSEGA-NATEETE'!C13,'23.07 BUSEGA-NATEETE'!C13,'24.07 BUSEGA-NATEETE'!C13,'25.07 BUSEGA-NATEETE'!C13,'26.07 BUSEGA-NATEETE'!C13,'27.07 52BUSEGA-NATEETEh'!C13,'28.07 NATEETE-BUSEGA'!C13)</f>
        <v>86.571428571428569</v>
      </c>
      <c r="D13" s="49">
        <f>AVERAGE('22.07 BUSEGA-NATEETE'!D13,'23.07 BUSEGA-NATEETE'!D13,'24.07 BUSEGA-NATEETE'!D13,'25.07 BUSEGA-NATEETE'!D13,'26.07 BUSEGA-NATEETE'!D13,'27.07 52BUSEGA-NATEETEh'!D13,'28.07 NATEETE-BUSEGA'!D13)</f>
        <v>10.571428571428571</v>
      </c>
      <c r="E13" s="49">
        <f>AVERAGE('22.07 BUSEGA-NATEETE'!E13,'23.07 BUSEGA-NATEETE'!E13,'24.07 BUSEGA-NATEETE'!E13,'25.07 BUSEGA-NATEETE'!E13,'26.07 BUSEGA-NATEETE'!E13,'27.07 52BUSEGA-NATEETEh'!E13,'28.07 NATEETE-BUSEGA'!E13)</f>
        <v>8.7142857142857135</v>
      </c>
      <c r="F13" s="49">
        <f>AVERAGE('22.07 BUSEGA-NATEETE'!F13,'23.07 BUSEGA-NATEETE'!F13,'24.07 BUSEGA-NATEETE'!F13,'25.07 BUSEGA-NATEETE'!F13,'26.07 BUSEGA-NATEETE'!F13,'27.07 52BUSEGA-NATEETEh'!F13,'28.07 NATEETE-BUSEGA'!F13)</f>
        <v>64.857142857142861</v>
      </c>
      <c r="G13" s="49">
        <f>AVERAGE('22.07 BUSEGA-NATEETE'!G13,'23.07 BUSEGA-NATEETE'!G13,'24.07 BUSEGA-NATEETE'!G13,'25.07 BUSEGA-NATEETE'!G13,'26.07 BUSEGA-NATEETE'!G13,'27.07 52BUSEGA-NATEETEh'!G13,'28.07 NATEETE-BUSEGA'!G13)</f>
        <v>3.1428571428571428</v>
      </c>
      <c r="H13" s="49">
        <f>AVERAGE('22.07 BUSEGA-NATEETE'!H13,'23.07 BUSEGA-NATEETE'!H13,'24.07 BUSEGA-NATEETE'!H13,'25.07 BUSEGA-NATEETE'!H13,'26.07 BUSEGA-NATEETE'!H13,'27.07 52BUSEGA-NATEETEh'!H13,'28.07 NATEETE-BUSEGA'!H13)</f>
        <v>0.42857142857142855</v>
      </c>
      <c r="I13" s="49">
        <f>AVERAGE('22.07 BUSEGA-NATEETE'!I13,'23.07 BUSEGA-NATEETE'!I13,'24.07 BUSEGA-NATEETE'!I13,'25.07 BUSEGA-NATEETE'!I13,'26.07 BUSEGA-NATEETE'!I13,'27.07 52BUSEGA-NATEETEh'!I13,'28.07 NATEETE-BUSEGA'!I13)</f>
        <v>6.8571428571428568</v>
      </c>
      <c r="J13" s="49">
        <f>AVERAGE('22.07 BUSEGA-NATEETE'!J13,'23.07 BUSEGA-NATEETE'!J13,'24.07 BUSEGA-NATEETE'!J13,'25.07 BUSEGA-NATEETE'!J13,'26.07 BUSEGA-NATEETE'!J13,'27.07 52BUSEGA-NATEETEh'!J13,'28.07 NATEETE-BUSEGA'!J13)</f>
        <v>4</v>
      </c>
      <c r="K13" s="49">
        <f>AVERAGE('22.07 BUSEGA-NATEETE'!K13,'23.07 BUSEGA-NATEETE'!K13,'24.07 BUSEGA-NATEETE'!K13,'25.07 BUSEGA-NATEETE'!K13,'26.07 BUSEGA-NATEETE'!K13,'27.07 52BUSEGA-NATEETEh'!K13,'28.07 NATEETE-BUSEGA'!K13)</f>
        <v>1.5714285714285714</v>
      </c>
      <c r="L13" s="49">
        <f>AVERAGE('22.07 BUSEGA-NATEETE'!L13,'23.07 BUSEGA-NATEETE'!L13,'24.07 BUSEGA-NATEETE'!L13,'25.07 BUSEGA-NATEETE'!L13,'26.07 BUSEGA-NATEETE'!L13,'27.07 52BUSEGA-NATEETEh'!L13,'28.07 NATEETE-BUSEGA'!L13)</f>
        <v>1.8571428571428572</v>
      </c>
      <c r="M13" s="49">
        <f>AVERAGE('22.07 BUSEGA-NATEETE'!M13,'23.07 BUSEGA-NATEETE'!M13,'24.07 BUSEGA-NATEETE'!M13,'25.07 BUSEGA-NATEETE'!M13,'26.07 BUSEGA-NATEETE'!M13,'27.07 52BUSEGA-NATEETEh'!M13,'28.07 NATEETE-BUSEGA'!M13)</f>
        <v>241.57142857142858</v>
      </c>
      <c r="N13" s="49">
        <f>AVERAGE('22.07 BUSEGA-NATEETE'!N13,'23.07 BUSEGA-NATEETE'!N13,'24.07 BUSEGA-NATEETE'!N13,'25.07 BUSEGA-NATEETE'!N13,'26.07 BUSEGA-NATEETE'!N13,'27.07 52BUSEGA-NATEETEh'!N13,'28.07 NATEETE-BUSEGA'!N13)</f>
        <v>0</v>
      </c>
      <c r="O13" s="15">
        <f t="shared" si="0"/>
        <v>188.57142857142858</v>
      </c>
      <c r="P13" s="15">
        <f t="shared" si="1"/>
        <v>430.14285714285717</v>
      </c>
      <c r="R13" s="1" t="s">
        <v>9</v>
      </c>
      <c r="S13" s="17">
        <f t="shared" ref="S13:AF13" si="5">SUM(C22:C25)</f>
        <v>291</v>
      </c>
      <c r="T13" s="17">
        <f t="shared" si="5"/>
        <v>33.857142857142861</v>
      </c>
      <c r="U13" s="17">
        <f t="shared" si="5"/>
        <v>30.714285714285715</v>
      </c>
      <c r="V13" s="17">
        <f t="shared" si="5"/>
        <v>248.57142857142858</v>
      </c>
      <c r="W13" s="17">
        <f t="shared" si="5"/>
        <v>3.8571428571428572</v>
      </c>
      <c r="X13" s="17">
        <f t="shared" si="5"/>
        <v>3.1428571428571423</v>
      </c>
      <c r="Y13" s="17">
        <f t="shared" si="5"/>
        <v>33.857142857142861</v>
      </c>
      <c r="Z13" s="17">
        <f t="shared" si="5"/>
        <v>27.857142857142858</v>
      </c>
      <c r="AA13" s="17">
        <f t="shared" si="5"/>
        <v>5.4285714285714288</v>
      </c>
      <c r="AB13" s="17">
        <f t="shared" si="5"/>
        <v>8.5714285714285712</v>
      </c>
      <c r="AC13" s="17">
        <f t="shared" si="5"/>
        <v>928.57142857142856</v>
      </c>
      <c r="AD13" s="17">
        <f t="shared" si="5"/>
        <v>0</v>
      </c>
      <c r="AE13" s="31">
        <f t="shared" si="5"/>
        <v>686.85714285714278</v>
      </c>
      <c r="AF13" s="31">
        <f t="shared" si="5"/>
        <v>1615.4285714285713</v>
      </c>
    </row>
    <row r="14" spans="2:32" ht="23.1" customHeight="1" x14ac:dyDescent="0.25">
      <c r="B14" s="23" t="s">
        <v>41</v>
      </c>
      <c r="C14" s="49">
        <f>AVERAGE('22.07 BUSEGA-NATEETE'!C14,'23.07 BUSEGA-NATEETE'!C14,'24.07 BUSEGA-NATEETE'!C14,'25.07 BUSEGA-NATEETE'!C14,'26.07 BUSEGA-NATEETE'!C14,'27.07 52BUSEGA-NATEETEh'!C14,'28.07 NATEETE-BUSEGA'!C14)</f>
        <v>78</v>
      </c>
      <c r="D14" s="49">
        <f>AVERAGE('22.07 BUSEGA-NATEETE'!D14,'23.07 BUSEGA-NATEETE'!D14,'24.07 BUSEGA-NATEETE'!D14,'25.07 BUSEGA-NATEETE'!D14,'26.07 BUSEGA-NATEETE'!D14,'27.07 52BUSEGA-NATEETEh'!D14,'28.07 NATEETE-BUSEGA'!D14)</f>
        <v>9.1428571428571423</v>
      </c>
      <c r="E14" s="49">
        <f>AVERAGE('22.07 BUSEGA-NATEETE'!E14,'23.07 BUSEGA-NATEETE'!E14,'24.07 BUSEGA-NATEETE'!E14,'25.07 BUSEGA-NATEETE'!E14,'26.07 BUSEGA-NATEETE'!E14,'27.07 52BUSEGA-NATEETEh'!E14,'28.07 NATEETE-BUSEGA'!E14)</f>
        <v>7</v>
      </c>
      <c r="F14" s="49">
        <f>AVERAGE('22.07 BUSEGA-NATEETE'!F14,'23.07 BUSEGA-NATEETE'!F14,'24.07 BUSEGA-NATEETE'!F14,'25.07 BUSEGA-NATEETE'!F14,'26.07 BUSEGA-NATEETE'!F14,'27.07 52BUSEGA-NATEETEh'!F14,'28.07 NATEETE-BUSEGA'!F14)</f>
        <v>60.142857142857146</v>
      </c>
      <c r="G14" s="49">
        <f>AVERAGE('22.07 BUSEGA-NATEETE'!G14,'23.07 BUSEGA-NATEETE'!G14,'24.07 BUSEGA-NATEETE'!G14,'25.07 BUSEGA-NATEETE'!G14,'26.07 BUSEGA-NATEETE'!G14,'27.07 52BUSEGA-NATEETEh'!G14,'28.07 NATEETE-BUSEGA'!G14)</f>
        <v>3</v>
      </c>
      <c r="H14" s="49">
        <f>AVERAGE('22.07 BUSEGA-NATEETE'!H14,'23.07 BUSEGA-NATEETE'!H14,'24.07 BUSEGA-NATEETE'!H14,'25.07 BUSEGA-NATEETE'!H14,'26.07 BUSEGA-NATEETE'!H14,'27.07 52BUSEGA-NATEETEh'!H14,'28.07 NATEETE-BUSEGA'!H14)</f>
        <v>1.4285714285714286</v>
      </c>
      <c r="I14" s="49">
        <f>AVERAGE('22.07 BUSEGA-NATEETE'!I14,'23.07 BUSEGA-NATEETE'!I14,'24.07 BUSEGA-NATEETE'!I14,'25.07 BUSEGA-NATEETE'!I14,'26.07 BUSEGA-NATEETE'!I14,'27.07 52BUSEGA-NATEETEh'!I14,'28.07 NATEETE-BUSEGA'!I14)</f>
        <v>7.4285714285714288</v>
      </c>
      <c r="J14" s="49">
        <f>AVERAGE('22.07 BUSEGA-NATEETE'!J14,'23.07 BUSEGA-NATEETE'!J14,'24.07 BUSEGA-NATEETE'!J14,'25.07 BUSEGA-NATEETE'!J14,'26.07 BUSEGA-NATEETE'!J14,'27.07 52BUSEGA-NATEETEh'!J14,'28.07 NATEETE-BUSEGA'!J14)</f>
        <v>6.1428571428571432</v>
      </c>
      <c r="K14" s="49">
        <f>AVERAGE('22.07 BUSEGA-NATEETE'!K14,'23.07 BUSEGA-NATEETE'!K14,'24.07 BUSEGA-NATEETE'!K14,'25.07 BUSEGA-NATEETE'!K14,'26.07 BUSEGA-NATEETE'!K14,'27.07 52BUSEGA-NATEETEh'!K14,'28.07 NATEETE-BUSEGA'!K14)</f>
        <v>1</v>
      </c>
      <c r="L14" s="49">
        <f>AVERAGE('22.07 BUSEGA-NATEETE'!L14,'23.07 BUSEGA-NATEETE'!L14,'24.07 BUSEGA-NATEETE'!L14,'25.07 BUSEGA-NATEETE'!L14,'26.07 BUSEGA-NATEETE'!L14,'27.07 52BUSEGA-NATEETEh'!L14,'28.07 NATEETE-BUSEGA'!L14)</f>
        <v>1.5714285714285714</v>
      </c>
      <c r="M14" s="49">
        <f>AVERAGE('22.07 BUSEGA-NATEETE'!M14,'23.07 BUSEGA-NATEETE'!M14,'24.07 BUSEGA-NATEETE'!M14,'25.07 BUSEGA-NATEETE'!M14,'26.07 BUSEGA-NATEETE'!M14,'27.07 52BUSEGA-NATEETEh'!M14,'28.07 NATEETE-BUSEGA'!M14)</f>
        <v>245.85714285714286</v>
      </c>
      <c r="N14" s="49">
        <f>AVERAGE('22.07 BUSEGA-NATEETE'!N14,'23.07 BUSEGA-NATEETE'!N14,'24.07 BUSEGA-NATEETE'!N14,'25.07 BUSEGA-NATEETE'!N14,'26.07 BUSEGA-NATEETE'!N14,'27.07 52BUSEGA-NATEETEh'!N14,'28.07 NATEETE-BUSEGA'!N14)</f>
        <v>0</v>
      </c>
      <c r="O14" s="15">
        <f t="shared" si="0"/>
        <v>174.85714285714283</v>
      </c>
      <c r="P14" s="15">
        <f t="shared" si="1"/>
        <v>420.71428571428567</v>
      </c>
      <c r="R14" s="1" t="s">
        <v>10</v>
      </c>
      <c r="S14" s="17">
        <f t="shared" ref="S14:AF14" si="6">SUM(C26:C29)</f>
        <v>279.28571428571428</v>
      </c>
      <c r="T14" s="17">
        <f t="shared" si="6"/>
        <v>48</v>
      </c>
      <c r="U14" s="17">
        <f t="shared" si="6"/>
        <v>39.571428571428569</v>
      </c>
      <c r="V14" s="17">
        <f t="shared" si="6"/>
        <v>259.42857142857144</v>
      </c>
      <c r="W14" s="17">
        <f t="shared" si="6"/>
        <v>3.1428571428571423</v>
      </c>
      <c r="X14" s="17">
        <f t="shared" si="6"/>
        <v>3.4285714285714288</v>
      </c>
      <c r="Y14" s="17">
        <f t="shared" si="6"/>
        <v>34.571428571428569</v>
      </c>
      <c r="Z14" s="17">
        <f t="shared" si="6"/>
        <v>21.428571428571431</v>
      </c>
      <c r="AA14" s="17">
        <f t="shared" si="6"/>
        <v>6.4285714285714288</v>
      </c>
      <c r="AB14" s="17">
        <f t="shared" si="6"/>
        <v>8.1428571428571423</v>
      </c>
      <c r="AC14" s="17">
        <f t="shared" si="6"/>
        <v>803.42857142857144</v>
      </c>
      <c r="AD14" s="17">
        <f t="shared" si="6"/>
        <v>0</v>
      </c>
      <c r="AE14" s="31">
        <f t="shared" si="6"/>
        <v>703.42857142857144</v>
      </c>
      <c r="AF14" s="31">
        <f t="shared" si="6"/>
        <v>1506.8571428571429</v>
      </c>
    </row>
    <row r="15" spans="2:32" ht="23.1" customHeight="1" x14ac:dyDescent="0.25">
      <c r="B15" s="23" t="s">
        <v>42</v>
      </c>
      <c r="C15" s="49">
        <f>AVERAGE('22.07 BUSEGA-NATEETE'!C15,'23.07 BUSEGA-NATEETE'!C15,'24.07 BUSEGA-NATEETE'!C15,'25.07 BUSEGA-NATEETE'!C15,'26.07 BUSEGA-NATEETE'!C15,'27.07 52BUSEGA-NATEETEh'!C15,'28.07 NATEETE-BUSEGA'!C15)</f>
        <v>74.714285714285708</v>
      </c>
      <c r="D15" s="49">
        <f>AVERAGE('22.07 BUSEGA-NATEETE'!D15,'23.07 BUSEGA-NATEETE'!D15,'24.07 BUSEGA-NATEETE'!D15,'25.07 BUSEGA-NATEETE'!D15,'26.07 BUSEGA-NATEETE'!D15,'27.07 52BUSEGA-NATEETEh'!D15,'28.07 NATEETE-BUSEGA'!D15)</f>
        <v>8.4285714285714288</v>
      </c>
      <c r="E15" s="49">
        <f>AVERAGE('22.07 BUSEGA-NATEETE'!E15,'23.07 BUSEGA-NATEETE'!E15,'24.07 BUSEGA-NATEETE'!E15,'25.07 BUSEGA-NATEETE'!E15,'26.07 BUSEGA-NATEETE'!E15,'27.07 52BUSEGA-NATEETEh'!E15,'28.07 NATEETE-BUSEGA'!E15)</f>
        <v>7.8571428571428568</v>
      </c>
      <c r="F15" s="49">
        <f>AVERAGE('22.07 BUSEGA-NATEETE'!F15,'23.07 BUSEGA-NATEETE'!F15,'24.07 BUSEGA-NATEETE'!F15,'25.07 BUSEGA-NATEETE'!F15,'26.07 BUSEGA-NATEETE'!F15,'27.07 52BUSEGA-NATEETEh'!F15,'28.07 NATEETE-BUSEGA'!F15)</f>
        <v>59.142857142857146</v>
      </c>
      <c r="G15" s="49">
        <f>AVERAGE('22.07 BUSEGA-NATEETE'!G15,'23.07 BUSEGA-NATEETE'!G15,'24.07 BUSEGA-NATEETE'!G15,'25.07 BUSEGA-NATEETE'!G15,'26.07 BUSEGA-NATEETE'!G15,'27.07 52BUSEGA-NATEETEh'!G15,'28.07 NATEETE-BUSEGA'!G15)</f>
        <v>2.5714285714285716</v>
      </c>
      <c r="H15" s="49">
        <f>AVERAGE('22.07 BUSEGA-NATEETE'!H15,'23.07 BUSEGA-NATEETE'!H15,'24.07 BUSEGA-NATEETE'!H15,'25.07 BUSEGA-NATEETE'!H15,'26.07 BUSEGA-NATEETE'!H15,'27.07 52BUSEGA-NATEETEh'!H15,'28.07 NATEETE-BUSEGA'!H15)</f>
        <v>0.5714285714285714</v>
      </c>
      <c r="I15" s="49">
        <f>AVERAGE('22.07 BUSEGA-NATEETE'!I15,'23.07 BUSEGA-NATEETE'!I15,'24.07 BUSEGA-NATEETE'!I15,'25.07 BUSEGA-NATEETE'!I15,'26.07 BUSEGA-NATEETE'!I15,'27.07 52BUSEGA-NATEETEh'!I15,'28.07 NATEETE-BUSEGA'!I15)</f>
        <v>8.4285714285714288</v>
      </c>
      <c r="J15" s="49">
        <f>AVERAGE('22.07 BUSEGA-NATEETE'!J15,'23.07 BUSEGA-NATEETE'!J15,'24.07 BUSEGA-NATEETE'!J15,'25.07 BUSEGA-NATEETE'!J15,'26.07 BUSEGA-NATEETE'!J15,'27.07 52BUSEGA-NATEETEh'!J15,'28.07 NATEETE-BUSEGA'!J15)</f>
        <v>6</v>
      </c>
      <c r="K15" s="49">
        <f>AVERAGE('22.07 BUSEGA-NATEETE'!K15,'23.07 BUSEGA-NATEETE'!K15,'24.07 BUSEGA-NATEETE'!K15,'25.07 BUSEGA-NATEETE'!K15,'26.07 BUSEGA-NATEETE'!K15,'27.07 52BUSEGA-NATEETEh'!K15,'28.07 NATEETE-BUSEGA'!K15)</f>
        <v>1.1428571428571428</v>
      </c>
      <c r="L15" s="49">
        <f>AVERAGE('22.07 BUSEGA-NATEETE'!L15,'23.07 BUSEGA-NATEETE'!L15,'24.07 BUSEGA-NATEETE'!L15,'25.07 BUSEGA-NATEETE'!L15,'26.07 BUSEGA-NATEETE'!L15,'27.07 52BUSEGA-NATEETEh'!L15,'28.07 NATEETE-BUSEGA'!L15)</f>
        <v>0.8571428571428571</v>
      </c>
      <c r="M15" s="49">
        <f>AVERAGE('22.07 BUSEGA-NATEETE'!M15,'23.07 BUSEGA-NATEETE'!M15,'24.07 BUSEGA-NATEETE'!M15,'25.07 BUSEGA-NATEETE'!M15,'26.07 BUSEGA-NATEETE'!M15,'27.07 52BUSEGA-NATEETEh'!M15,'28.07 NATEETE-BUSEGA'!M15)</f>
        <v>220</v>
      </c>
      <c r="N15" s="49">
        <f>AVERAGE('22.07 BUSEGA-NATEETE'!N15,'23.07 BUSEGA-NATEETE'!N15,'24.07 BUSEGA-NATEETE'!N15,'25.07 BUSEGA-NATEETE'!N15,'26.07 BUSEGA-NATEETE'!N15,'27.07 52BUSEGA-NATEETEh'!N15,'28.07 NATEETE-BUSEGA'!N15)</f>
        <v>0</v>
      </c>
      <c r="O15" s="15">
        <f t="shared" si="0"/>
        <v>169.71428571428572</v>
      </c>
      <c r="P15" s="15">
        <f t="shared" si="1"/>
        <v>389.71428571428572</v>
      </c>
      <c r="R15" s="1" t="s">
        <v>11</v>
      </c>
      <c r="S15" s="17">
        <f t="shared" ref="S15:AF15" si="7">SUM(C30:C33)</f>
        <v>258.14285714285711</v>
      </c>
      <c r="T15" s="17">
        <f t="shared" si="7"/>
        <v>43.142857142857146</v>
      </c>
      <c r="U15" s="17">
        <f t="shared" si="7"/>
        <v>37.428571428571431</v>
      </c>
      <c r="V15" s="17">
        <f t="shared" si="7"/>
        <v>249.14285714285711</v>
      </c>
      <c r="W15" s="17">
        <f t="shared" si="7"/>
        <v>4.4285714285714288</v>
      </c>
      <c r="X15" s="17">
        <f t="shared" si="7"/>
        <v>5.7142857142857135</v>
      </c>
      <c r="Y15" s="17">
        <f t="shared" si="7"/>
        <v>44.428571428571431</v>
      </c>
      <c r="Z15" s="17">
        <f t="shared" si="7"/>
        <v>19.714285714285715</v>
      </c>
      <c r="AA15" s="17">
        <f t="shared" si="7"/>
        <v>7.2857142857142856</v>
      </c>
      <c r="AB15" s="17">
        <f t="shared" si="7"/>
        <v>10.571428571428571</v>
      </c>
      <c r="AC15" s="17">
        <f t="shared" si="7"/>
        <v>766</v>
      </c>
      <c r="AD15" s="17">
        <f t="shared" si="7"/>
        <v>0</v>
      </c>
      <c r="AE15" s="31">
        <f t="shared" si="7"/>
        <v>680</v>
      </c>
      <c r="AF15" s="31">
        <f t="shared" si="7"/>
        <v>1446</v>
      </c>
    </row>
    <row r="16" spans="2:32" ht="23.1" customHeight="1" x14ac:dyDescent="0.25">
      <c r="B16" s="23" t="s">
        <v>43</v>
      </c>
      <c r="C16" s="49">
        <f>AVERAGE('22.07 BUSEGA-NATEETE'!C16,'23.07 BUSEGA-NATEETE'!C16,'24.07 BUSEGA-NATEETE'!C16,'25.07 BUSEGA-NATEETE'!C16,'26.07 BUSEGA-NATEETE'!C16,'27.07 52BUSEGA-NATEETEh'!C16,'28.07 NATEETE-BUSEGA'!C16)</f>
        <v>85.571428571428569</v>
      </c>
      <c r="D16" s="49">
        <f>AVERAGE('22.07 BUSEGA-NATEETE'!D16,'23.07 BUSEGA-NATEETE'!D16,'24.07 BUSEGA-NATEETE'!D16,'25.07 BUSEGA-NATEETE'!D16,'26.07 BUSEGA-NATEETE'!D16,'27.07 52BUSEGA-NATEETEh'!D16,'28.07 NATEETE-BUSEGA'!D16)</f>
        <v>9.8571428571428577</v>
      </c>
      <c r="E16" s="49">
        <f>AVERAGE('22.07 BUSEGA-NATEETE'!E16,'23.07 BUSEGA-NATEETE'!E16,'24.07 BUSEGA-NATEETE'!E16,'25.07 BUSEGA-NATEETE'!E16,'26.07 BUSEGA-NATEETE'!E16,'27.07 52BUSEGA-NATEETEh'!E16,'28.07 NATEETE-BUSEGA'!E16)</f>
        <v>8.1428571428571423</v>
      </c>
      <c r="F16" s="49">
        <f>AVERAGE('22.07 BUSEGA-NATEETE'!F16,'23.07 BUSEGA-NATEETE'!F16,'24.07 BUSEGA-NATEETE'!F16,'25.07 BUSEGA-NATEETE'!F16,'26.07 BUSEGA-NATEETE'!F16,'27.07 52BUSEGA-NATEETEh'!F16,'28.07 NATEETE-BUSEGA'!F16)</f>
        <v>68.714285714285708</v>
      </c>
      <c r="G16" s="49">
        <f>AVERAGE('22.07 BUSEGA-NATEETE'!G16,'23.07 BUSEGA-NATEETE'!G16,'24.07 BUSEGA-NATEETE'!G16,'25.07 BUSEGA-NATEETE'!G16,'26.07 BUSEGA-NATEETE'!G16,'27.07 52BUSEGA-NATEETEh'!G16,'28.07 NATEETE-BUSEGA'!G16)</f>
        <v>1.1428571428571428</v>
      </c>
      <c r="H16" s="49">
        <f>AVERAGE('22.07 BUSEGA-NATEETE'!H16,'23.07 BUSEGA-NATEETE'!H16,'24.07 BUSEGA-NATEETE'!H16,'25.07 BUSEGA-NATEETE'!H16,'26.07 BUSEGA-NATEETE'!H16,'27.07 52BUSEGA-NATEETEh'!H16,'28.07 NATEETE-BUSEGA'!H16)</f>
        <v>0.42857142857142855</v>
      </c>
      <c r="I16" s="49">
        <f>AVERAGE('22.07 BUSEGA-NATEETE'!I16,'23.07 BUSEGA-NATEETE'!I16,'24.07 BUSEGA-NATEETE'!I16,'25.07 BUSEGA-NATEETE'!I16,'26.07 BUSEGA-NATEETE'!I16,'27.07 52BUSEGA-NATEETEh'!I16,'28.07 NATEETE-BUSEGA'!I16)</f>
        <v>6.5714285714285712</v>
      </c>
      <c r="J16" s="49">
        <f>AVERAGE('22.07 BUSEGA-NATEETE'!J16,'23.07 BUSEGA-NATEETE'!J16,'24.07 BUSEGA-NATEETE'!J16,'25.07 BUSEGA-NATEETE'!J16,'26.07 BUSEGA-NATEETE'!J16,'27.07 52BUSEGA-NATEETEh'!J16,'28.07 NATEETE-BUSEGA'!J16)</f>
        <v>4.8571428571428568</v>
      </c>
      <c r="K16" s="49">
        <f>AVERAGE('22.07 BUSEGA-NATEETE'!K16,'23.07 BUSEGA-NATEETE'!K16,'24.07 BUSEGA-NATEETE'!K16,'25.07 BUSEGA-NATEETE'!K16,'26.07 BUSEGA-NATEETE'!K16,'27.07 52BUSEGA-NATEETEh'!K16,'28.07 NATEETE-BUSEGA'!K16)</f>
        <v>1.2857142857142858</v>
      </c>
      <c r="L16" s="49">
        <f>AVERAGE('22.07 BUSEGA-NATEETE'!L16,'23.07 BUSEGA-NATEETE'!L16,'24.07 BUSEGA-NATEETE'!L16,'25.07 BUSEGA-NATEETE'!L16,'26.07 BUSEGA-NATEETE'!L16,'27.07 52BUSEGA-NATEETEh'!L16,'28.07 NATEETE-BUSEGA'!L16)</f>
        <v>1.8571428571428572</v>
      </c>
      <c r="M16" s="49">
        <f>AVERAGE('22.07 BUSEGA-NATEETE'!M16,'23.07 BUSEGA-NATEETE'!M16,'24.07 BUSEGA-NATEETE'!M16,'25.07 BUSEGA-NATEETE'!M16,'26.07 BUSEGA-NATEETE'!M16,'27.07 52BUSEGA-NATEETEh'!M16,'28.07 NATEETE-BUSEGA'!M16)</f>
        <v>287.28571428571428</v>
      </c>
      <c r="N16" s="49">
        <f>AVERAGE('22.07 BUSEGA-NATEETE'!N16,'23.07 BUSEGA-NATEETE'!N16,'24.07 BUSEGA-NATEETE'!N16,'25.07 BUSEGA-NATEETE'!N16,'26.07 BUSEGA-NATEETE'!N16,'27.07 52BUSEGA-NATEETEh'!N16,'28.07 NATEETE-BUSEGA'!N16)</f>
        <v>0</v>
      </c>
      <c r="O16" s="15">
        <f t="shared" si="0"/>
        <v>188.42857142857142</v>
      </c>
      <c r="P16" s="15">
        <f t="shared" si="1"/>
        <v>475.71428571428567</v>
      </c>
      <c r="R16" s="1" t="s">
        <v>12</v>
      </c>
      <c r="S16" s="17">
        <f t="shared" ref="S16:AF16" si="8">SUM(C34:C37)</f>
        <v>260.42857142857144</v>
      </c>
      <c r="T16" s="17">
        <f t="shared" si="8"/>
        <v>32</v>
      </c>
      <c r="U16" s="17">
        <f t="shared" si="8"/>
        <v>32</v>
      </c>
      <c r="V16" s="17">
        <f t="shared" si="8"/>
        <v>245.57142857142856</v>
      </c>
      <c r="W16" s="17">
        <f t="shared" si="8"/>
        <v>4.8571428571428568</v>
      </c>
      <c r="X16" s="17">
        <f t="shared" si="8"/>
        <v>6.8571428571428568</v>
      </c>
      <c r="Y16" s="17">
        <f t="shared" si="8"/>
        <v>33.428571428571431</v>
      </c>
      <c r="Z16" s="17">
        <f t="shared" si="8"/>
        <v>24.285714285714285</v>
      </c>
      <c r="AA16" s="17">
        <f t="shared" si="8"/>
        <v>10.857142857142858</v>
      </c>
      <c r="AB16" s="17">
        <f t="shared" si="8"/>
        <v>11</v>
      </c>
      <c r="AC16" s="17">
        <f t="shared" si="8"/>
        <v>779.71428571428578</v>
      </c>
      <c r="AD16" s="17">
        <f t="shared" si="8"/>
        <v>0</v>
      </c>
      <c r="AE16" s="31">
        <f t="shared" si="8"/>
        <v>661.28571428571422</v>
      </c>
      <c r="AF16" s="31">
        <f t="shared" si="8"/>
        <v>1441</v>
      </c>
    </row>
    <row r="17" spans="2:32" ht="23.1" customHeight="1" x14ac:dyDescent="0.25">
      <c r="B17" s="23" t="s">
        <v>44</v>
      </c>
      <c r="C17" s="49">
        <f>AVERAGE('22.07 BUSEGA-NATEETE'!C17,'23.07 BUSEGA-NATEETE'!C17,'24.07 BUSEGA-NATEETE'!C17,'25.07 BUSEGA-NATEETE'!C17,'26.07 BUSEGA-NATEETE'!C17,'27.07 52BUSEGA-NATEETEh'!C17,'28.07 NATEETE-BUSEGA'!C17)</f>
        <v>73.142857142857139</v>
      </c>
      <c r="D17" s="49">
        <f>AVERAGE('22.07 BUSEGA-NATEETE'!D17,'23.07 BUSEGA-NATEETE'!D17,'24.07 BUSEGA-NATEETE'!D17,'25.07 BUSEGA-NATEETE'!D17,'26.07 BUSEGA-NATEETE'!D17,'27.07 52BUSEGA-NATEETEh'!D17,'28.07 NATEETE-BUSEGA'!D17)</f>
        <v>11.285714285714286</v>
      </c>
      <c r="E17" s="49">
        <f>AVERAGE('22.07 BUSEGA-NATEETE'!E17,'23.07 BUSEGA-NATEETE'!E17,'24.07 BUSEGA-NATEETE'!E17,'25.07 BUSEGA-NATEETE'!E17,'26.07 BUSEGA-NATEETE'!E17,'27.07 52BUSEGA-NATEETEh'!E17,'28.07 NATEETE-BUSEGA'!E17)</f>
        <v>7.5714285714285712</v>
      </c>
      <c r="F17" s="49">
        <f>AVERAGE('22.07 BUSEGA-NATEETE'!F17,'23.07 BUSEGA-NATEETE'!F17,'24.07 BUSEGA-NATEETE'!F17,'25.07 BUSEGA-NATEETE'!F17,'26.07 BUSEGA-NATEETE'!F17,'27.07 52BUSEGA-NATEETEh'!F17,'28.07 NATEETE-BUSEGA'!F17)</f>
        <v>63.428571428571431</v>
      </c>
      <c r="G17" s="49">
        <f>AVERAGE('22.07 BUSEGA-NATEETE'!G17,'23.07 BUSEGA-NATEETE'!G17,'24.07 BUSEGA-NATEETE'!G17,'25.07 BUSEGA-NATEETE'!G17,'26.07 BUSEGA-NATEETE'!G17,'27.07 52BUSEGA-NATEETEh'!G17,'28.07 NATEETE-BUSEGA'!G17)</f>
        <v>1.4285714285714286</v>
      </c>
      <c r="H17" s="49">
        <f>AVERAGE('22.07 BUSEGA-NATEETE'!H17,'23.07 BUSEGA-NATEETE'!H17,'24.07 BUSEGA-NATEETE'!H17,'25.07 BUSEGA-NATEETE'!H17,'26.07 BUSEGA-NATEETE'!H17,'27.07 52BUSEGA-NATEETEh'!H17,'28.07 NATEETE-BUSEGA'!H17)</f>
        <v>0.8571428571428571</v>
      </c>
      <c r="I17" s="49">
        <f>AVERAGE('22.07 BUSEGA-NATEETE'!I17,'23.07 BUSEGA-NATEETE'!I17,'24.07 BUSEGA-NATEETE'!I17,'25.07 BUSEGA-NATEETE'!I17,'26.07 BUSEGA-NATEETE'!I17,'27.07 52BUSEGA-NATEETEh'!I17,'28.07 NATEETE-BUSEGA'!I17)</f>
        <v>7.5714285714285712</v>
      </c>
      <c r="J17" s="49">
        <f>AVERAGE('22.07 BUSEGA-NATEETE'!J17,'23.07 BUSEGA-NATEETE'!J17,'24.07 BUSEGA-NATEETE'!J17,'25.07 BUSEGA-NATEETE'!J17,'26.07 BUSEGA-NATEETE'!J17,'27.07 52BUSEGA-NATEETEh'!J17,'28.07 NATEETE-BUSEGA'!J17)</f>
        <v>5.4285714285714288</v>
      </c>
      <c r="K17" s="49">
        <f>AVERAGE('22.07 BUSEGA-NATEETE'!K17,'23.07 BUSEGA-NATEETE'!K17,'24.07 BUSEGA-NATEETE'!K17,'25.07 BUSEGA-NATEETE'!K17,'26.07 BUSEGA-NATEETE'!K17,'27.07 52BUSEGA-NATEETEh'!K17,'28.07 NATEETE-BUSEGA'!K17)</f>
        <v>3.2857142857142856</v>
      </c>
      <c r="L17" s="49">
        <f>AVERAGE('22.07 BUSEGA-NATEETE'!L17,'23.07 BUSEGA-NATEETE'!L17,'24.07 BUSEGA-NATEETE'!L17,'25.07 BUSEGA-NATEETE'!L17,'26.07 BUSEGA-NATEETE'!L17,'27.07 52BUSEGA-NATEETEh'!L17,'28.07 NATEETE-BUSEGA'!L17)</f>
        <v>1.8571428571428572</v>
      </c>
      <c r="M17" s="49">
        <f>AVERAGE('22.07 BUSEGA-NATEETE'!M17,'23.07 BUSEGA-NATEETE'!M17,'24.07 BUSEGA-NATEETE'!M17,'25.07 BUSEGA-NATEETE'!M17,'26.07 BUSEGA-NATEETE'!M17,'27.07 52BUSEGA-NATEETEh'!M17,'28.07 NATEETE-BUSEGA'!M17)</f>
        <v>299.28571428571428</v>
      </c>
      <c r="N17" s="49">
        <f>AVERAGE('22.07 BUSEGA-NATEETE'!N17,'23.07 BUSEGA-NATEETE'!N17,'24.07 BUSEGA-NATEETE'!N17,'25.07 BUSEGA-NATEETE'!N17,'26.07 BUSEGA-NATEETE'!N17,'27.07 52BUSEGA-NATEETEh'!N17,'28.07 NATEETE-BUSEGA'!N17)</f>
        <v>0</v>
      </c>
      <c r="O17" s="15">
        <f t="shared" si="0"/>
        <v>175.85714285714286</v>
      </c>
      <c r="P17" s="15">
        <f t="shared" si="1"/>
        <v>475.14285714285711</v>
      </c>
      <c r="R17" s="1" t="s">
        <v>13</v>
      </c>
      <c r="S17" s="17">
        <f t="shared" ref="S17:AF17" si="9">SUM(C38:C41)</f>
        <v>238</v>
      </c>
      <c r="T17" s="17">
        <f t="shared" si="9"/>
        <v>30.857142857142858</v>
      </c>
      <c r="U17" s="17">
        <f t="shared" si="9"/>
        <v>31.428571428571427</v>
      </c>
      <c r="V17" s="17">
        <f t="shared" si="9"/>
        <v>240.71428571428572</v>
      </c>
      <c r="W17" s="17">
        <f t="shared" si="9"/>
        <v>5.1428571428571432</v>
      </c>
      <c r="X17" s="17">
        <f t="shared" si="9"/>
        <v>7.1428571428571423</v>
      </c>
      <c r="Y17" s="17">
        <f t="shared" si="9"/>
        <v>35.428571428571431</v>
      </c>
      <c r="Z17" s="17">
        <f t="shared" si="9"/>
        <v>28.428571428571431</v>
      </c>
      <c r="AA17" s="17">
        <f t="shared" si="9"/>
        <v>8</v>
      </c>
      <c r="AB17" s="17">
        <f t="shared" si="9"/>
        <v>10.571428571428571</v>
      </c>
      <c r="AC17" s="17">
        <f t="shared" si="9"/>
        <v>685.71428571428567</v>
      </c>
      <c r="AD17" s="17">
        <f t="shared" si="9"/>
        <v>0</v>
      </c>
      <c r="AE17" s="31">
        <f t="shared" si="9"/>
        <v>635.71428571428578</v>
      </c>
      <c r="AF17" s="31">
        <f t="shared" si="9"/>
        <v>1321.4285714285716</v>
      </c>
    </row>
    <row r="18" spans="2:32" ht="23.1" customHeight="1" x14ac:dyDescent="0.25">
      <c r="B18" s="23" t="s">
        <v>45</v>
      </c>
      <c r="C18" s="49">
        <f>AVERAGE('22.07 BUSEGA-NATEETE'!C18,'23.07 BUSEGA-NATEETE'!C18,'24.07 BUSEGA-NATEETE'!C18,'25.07 BUSEGA-NATEETE'!C18,'26.07 BUSEGA-NATEETE'!C18,'27.07 52BUSEGA-NATEETEh'!C18,'28.07 NATEETE-BUSEGA'!C18)</f>
        <v>82.857142857142861</v>
      </c>
      <c r="D18" s="49">
        <f>AVERAGE('22.07 BUSEGA-NATEETE'!D18,'23.07 BUSEGA-NATEETE'!D18,'24.07 BUSEGA-NATEETE'!D18,'25.07 BUSEGA-NATEETE'!D18,'26.07 BUSEGA-NATEETE'!D18,'27.07 52BUSEGA-NATEETEh'!D18,'28.07 NATEETE-BUSEGA'!D18)</f>
        <v>9.5714285714285712</v>
      </c>
      <c r="E18" s="49">
        <f>AVERAGE('22.07 BUSEGA-NATEETE'!E18,'23.07 BUSEGA-NATEETE'!E18,'24.07 BUSEGA-NATEETE'!E18,'25.07 BUSEGA-NATEETE'!E18,'26.07 BUSEGA-NATEETE'!E18,'27.07 52BUSEGA-NATEETEh'!E18,'28.07 NATEETE-BUSEGA'!E18)</f>
        <v>9</v>
      </c>
      <c r="F18" s="49">
        <f>AVERAGE('22.07 BUSEGA-NATEETE'!F18,'23.07 BUSEGA-NATEETE'!F18,'24.07 BUSEGA-NATEETE'!F18,'25.07 BUSEGA-NATEETE'!F18,'26.07 BUSEGA-NATEETE'!F18,'27.07 52BUSEGA-NATEETEh'!F18,'28.07 NATEETE-BUSEGA'!F18)</f>
        <v>73.142857142857139</v>
      </c>
      <c r="G18" s="49">
        <f>AVERAGE('22.07 BUSEGA-NATEETE'!G18,'23.07 BUSEGA-NATEETE'!G18,'24.07 BUSEGA-NATEETE'!G18,'25.07 BUSEGA-NATEETE'!G18,'26.07 BUSEGA-NATEETE'!G18,'27.07 52BUSEGA-NATEETEh'!G18,'28.07 NATEETE-BUSEGA'!G18)</f>
        <v>1.5714285714285714</v>
      </c>
      <c r="H18" s="49">
        <f>AVERAGE('22.07 BUSEGA-NATEETE'!H18,'23.07 BUSEGA-NATEETE'!H18,'24.07 BUSEGA-NATEETE'!H18,'25.07 BUSEGA-NATEETE'!H18,'26.07 BUSEGA-NATEETE'!H18,'27.07 52BUSEGA-NATEETEh'!H18,'28.07 NATEETE-BUSEGA'!H18)</f>
        <v>0.8571428571428571</v>
      </c>
      <c r="I18" s="49">
        <f>AVERAGE('22.07 BUSEGA-NATEETE'!I18,'23.07 BUSEGA-NATEETE'!I18,'24.07 BUSEGA-NATEETE'!I18,'25.07 BUSEGA-NATEETE'!I18,'26.07 BUSEGA-NATEETE'!I18,'27.07 52BUSEGA-NATEETEh'!I18,'28.07 NATEETE-BUSEGA'!I18)</f>
        <v>8.5714285714285712</v>
      </c>
      <c r="J18" s="49">
        <f>AVERAGE('22.07 BUSEGA-NATEETE'!J18,'23.07 BUSEGA-NATEETE'!J18,'24.07 BUSEGA-NATEETE'!J18,'25.07 BUSEGA-NATEETE'!J18,'26.07 BUSEGA-NATEETE'!J18,'27.07 52BUSEGA-NATEETEh'!J18,'28.07 NATEETE-BUSEGA'!J18)</f>
        <v>6.1428571428571432</v>
      </c>
      <c r="K18" s="49">
        <f>AVERAGE('22.07 BUSEGA-NATEETE'!K18,'23.07 BUSEGA-NATEETE'!K18,'24.07 BUSEGA-NATEETE'!K18,'25.07 BUSEGA-NATEETE'!K18,'26.07 BUSEGA-NATEETE'!K18,'27.07 52BUSEGA-NATEETEh'!K18,'28.07 NATEETE-BUSEGA'!K18)</f>
        <v>1.4285714285714286</v>
      </c>
      <c r="L18" s="49">
        <f>AVERAGE('22.07 BUSEGA-NATEETE'!L18,'23.07 BUSEGA-NATEETE'!L18,'24.07 BUSEGA-NATEETE'!L18,'25.07 BUSEGA-NATEETE'!L18,'26.07 BUSEGA-NATEETE'!L18,'27.07 52BUSEGA-NATEETEh'!L18,'28.07 NATEETE-BUSEGA'!L18)</f>
        <v>1.7142857142857142</v>
      </c>
      <c r="M18" s="49">
        <f>AVERAGE('22.07 BUSEGA-NATEETE'!M18,'23.07 BUSEGA-NATEETE'!M18,'24.07 BUSEGA-NATEETE'!M18,'25.07 BUSEGA-NATEETE'!M18,'26.07 BUSEGA-NATEETE'!M18,'27.07 52BUSEGA-NATEETEh'!M18,'28.07 NATEETE-BUSEGA'!M18)</f>
        <v>280.71428571428572</v>
      </c>
      <c r="N18" s="49">
        <f>AVERAGE('22.07 BUSEGA-NATEETE'!N18,'23.07 BUSEGA-NATEETE'!N18,'24.07 BUSEGA-NATEETE'!N18,'25.07 BUSEGA-NATEETE'!N18,'26.07 BUSEGA-NATEETE'!N18,'27.07 52BUSEGA-NATEETEh'!N18,'28.07 NATEETE-BUSEGA'!N18)</f>
        <v>0</v>
      </c>
      <c r="O18" s="15">
        <f t="shared" si="0"/>
        <v>194.85714285714286</v>
      </c>
      <c r="P18" s="15">
        <f t="shared" si="1"/>
        <v>475.57142857142856</v>
      </c>
      <c r="R18" s="1" t="s">
        <v>14</v>
      </c>
      <c r="S18" s="17">
        <f t="shared" ref="S18:AF18" si="10">SUM(C42:C45)</f>
        <v>244.57142857142856</v>
      </c>
      <c r="T18" s="17">
        <f t="shared" si="10"/>
        <v>31.571428571428569</v>
      </c>
      <c r="U18" s="17">
        <f t="shared" si="10"/>
        <v>43.285714285714278</v>
      </c>
      <c r="V18" s="17">
        <f t="shared" si="10"/>
        <v>233.14285714285714</v>
      </c>
      <c r="W18" s="17">
        <f t="shared" si="10"/>
        <v>9.571428571428573</v>
      </c>
      <c r="X18" s="17">
        <f t="shared" si="10"/>
        <v>8.7142857142857135</v>
      </c>
      <c r="Y18" s="17">
        <f t="shared" si="10"/>
        <v>41.285714285714292</v>
      </c>
      <c r="Z18" s="17">
        <f t="shared" si="10"/>
        <v>32.428571428571431</v>
      </c>
      <c r="AA18" s="17">
        <f t="shared" si="10"/>
        <v>12.571428571428573</v>
      </c>
      <c r="AB18" s="17">
        <f t="shared" si="10"/>
        <v>37.142857142857139</v>
      </c>
      <c r="AC18" s="17">
        <f t="shared" si="10"/>
        <v>643.28571428571422</v>
      </c>
      <c r="AD18" s="17">
        <f t="shared" si="10"/>
        <v>0</v>
      </c>
      <c r="AE18" s="31">
        <f t="shared" si="10"/>
        <v>694.28571428571433</v>
      </c>
      <c r="AF18" s="31">
        <f t="shared" si="10"/>
        <v>1337.5714285714287</v>
      </c>
    </row>
    <row r="19" spans="2:32" ht="23.1" customHeight="1" x14ac:dyDescent="0.25">
      <c r="B19" s="23" t="s">
        <v>46</v>
      </c>
      <c r="C19" s="49">
        <f>AVERAGE('22.07 BUSEGA-NATEETE'!C19,'23.07 BUSEGA-NATEETE'!C19,'24.07 BUSEGA-NATEETE'!C19,'25.07 BUSEGA-NATEETE'!C19,'26.07 BUSEGA-NATEETE'!C19,'27.07 52BUSEGA-NATEETEh'!C19,'28.07 NATEETE-BUSEGA'!C19)</f>
        <v>82.142857142857139</v>
      </c>
      <c r="D19" s="49">
        <f>AVERAGE('22.07 BUSEGA-NATEETE'!D19,'23.07 BUSEGA-NATEETE'!D19,'24.07 BUSEGA-NATEETE'!D19,'25.07 BUSEGA-NATEETE'!D19,'26.07 BUSEGA-NATEETE'!D19,'27.07 52BUSEGA-NATEETEh'!D19,'28.07 NATEETE-BUSEGA'!D19)</f>
        <v>9.4285714285714288</v>
      </c>
      <c r="E19" s="49">
        <f>AVERAGE('22.07 BUSEGA-NATEETE'!E19,'23.07 BUSEGA-NATEETE'!E19,'24.07 BUSEGA-NATEETE'!E19,'25.07 BUSEGA-NATEETE'!E19,'26.07 BUSEGA-NATEETE'!E19,'27.07 52BUSEGA-NATEETEh'!E19,'28.07 NATEETE-BUSEGA'!E19)</f>
        <v>9.4285714285714288</v>
      </c>
      <c r="F19" s="49">
        <f>AVERAGE('22.07 BUSEGA-NATEETE'!F19,'23.07 BUSEGA-NATEETE'!F19,'24.07 BUSEGA-NATEETE'!F19,'25.07 BUSEGA-NATEETE'!F19,'26.07 BUSEGA-NATEETE'!F19,'27.07 52BUSEGA-NATEETEh'!F19,'28.07 NATEETE-BUSEGA'!F19)</f>
        <v>64</v>
      </c>
      <c r="G19" s="49">
        <f>AVERAGE('22.07 BUSEGA-NATEETE'!G19,'23.07 BUSEGA-NATEETE'!G19,'24.07 BUSEGA-NATEETE'!G19,'25.07 BUSEGA-NATEETE'!G19,'26.07 BUSEGA-NATEETE'!G19,'27.07 52BUSEGA-NATEETEh'!G19,'28.07 NATEETE-BUSEGA'!G19)</f>
        <v>3</v>
      </c>
      <c r="H19" s="49">
        <f>AVERAGE('22.07 BUSEGA-NATEETE'!H19,'23.07 BUSEGA-NATEETE'!H19,'24.07 BUSEGA-NATEETE'!H19,'25.07 BUSEGA-NATEETE'!H19,'26.07 BUSEGA-NATEETE'!H19,'27.07 52BUSEGA-NATEETEh'!H19,'28.07 NATEETE-BUSEGA'!H19)</f>
        <v>0.8571428571428571</v>
      </c>
      <c r="I19" s="49">
        <f>AVERAGE('22.07 BUSEGA-NATEETE'!I19,'23.07 BUSEGA-NATEETE'!I19,'24.07 BUSEGA-NATEETE'!I19,'25.07 BUSEGA-NATEETE'!I19,'26.07 BUSEGA-NATEETE'!I19,'27.07 52BUSEGA-NATEETEh'!I19,'28.07 NATEETE-BUSEGA'!I19)</f>
        <v>9.1428571428571423</v>
      </c>
      <c r="J19" s="49">
        <f>AVERAGE('22.07 BUSEGA-NATEETE'!J19,'23.07 BUSEGA-NATEETE'!J19,'24.07 BUSEGA-NATEETE'!J19,'25.07 BUSEGA-NATEETE'!J19,'26.07 BUSEGA-NATEETE'!J19,'27.07 52BUSEGA-NATEETEh'!J19,'28.07 NATEETE-BUSEGA'!J19)</f>
        <v>5</v>
      </c>
      <c r="K19" s="49">
        <f>AVERAGE('22.07 BUSEGA-NATEETE'!K19,'23.07 BUSEGA-NATEETE'!K19,'24.07 BUSEGA-NATEETE'!K19,'25.07 BUSEGA-NATEETE'!K19,'26.07 BUSEGA-NATEETE'!K19,'27.07 52BUSEGA-NATEETEh'!K19,'28.07 NATEETE-BUSEGA'!K19)</f>
        <v>1.4285714285714286</v>
      </c>
      <c r="L19" s="49">
        <f>AVERAGE('22.07 BUSEGA-NATEETE'!L19,'23.07 BUSEGA-NATEETE'!L19,'24.07 BUSEGA-NATEETE'!L19,'25.07 BUSEGA-NATEETE'!L19,'26.07 BUSEGA-NATEETE'!L19,'27.07 52BUSEGA-NATEETEh'!L19,'28.07 NATEETE-BUSEGA'!L19)</f>
        <v>2</v>
      </c>
      <c r="M19" s="49">
        <f>AVERAGE('22.07 BUSEGA-NATEETE'!M19,'23.07 BUSEGA-NATEETE'!M19,'24.07 BUSEGA-NATEETE'!M19,'25.07 BUSEGA-NATEETE'!M19,'26.07 BUSEGA-NATEETE'!M19,'27.07 52BUSEGA-NATEETEh'!M19,'28.07 NATEETE-BUSEGA'!M19)</f>
        <v>213.28571428571428</v>
      </c>
      <c r="N19" s="49">
        <f>AVERAGE('22.07 BUSEGA-NATEETE'!N19,'23.07 BUSEGA-NATEETE'!N19,'24.07 BUSEGA-NATEETE'!N19,'25.07 BUSEGA-NATEETE'!N19,'26.07 BUSEGA-NATEETE'!N19,'27.07 52BUSEGA-NATEETEh'!N19,'28.07 NATEETE-BUSEGA'!N19)</f>
        <v>0</v>
      </c>
      <c r="O19" s="15">
        <f t="shared" si="0"/>
        <v>186.42857142857142</v>
      </c>
      <c r="P19" s="15">
        <f t="shared" si="1"/>
        <v>399.71428571428567</v>
      </c>
      <c r="R19" s="1" t="s">
        <v>15</v>
      </c>
      <c r="S19" s="17">
        <f t="shared" ref="S19:AF19" si="11">SUM(C46:C49)</f>
        <v>222.42857142857144</v>
      </c>
      <c r="T19" s="17">
        <f t="shared" si="11"/>
        <v>25.857142857142858</v>
      </c>
      <c r="U19" s="17">
        <f t="shared" si="11"/>
        <v>34.428571428571431</v>
      </c>
      <c r="V19" s="17">
        <f t="shared" si="11"/>
        <v>232.28571428571428</v>
      </c>
      <c r="W19" s="17">
        <f t="shared" si="11"/>
        <v>5.4285714285714288</v>
      </c>
      <c r="X19" s="17">
        <f t="shared" si="11"/>
        <v>15.571428571428569</v>
      </c>
      <c r="Y19" s="17">
        <f t="shared" si="11"/>
        <v>44</v>
      </c>
      <c r="Z19" s="17">
        <f t="shared" si="11"/>
        <v>32.857142857142854</v>
      </c>
      <c r="AA19" s="17">
        <f t="shared" si="11"/>
        <v>18.428571428571431</v>
      </c>
      <c r="AB19" s="17">
        <f t="shared" si="11"/>
        <v>21.857142857142854</v>
      </c>
      <c r="AC19" s="17">
        <f t="shared" si="11"/>
        <v>673.57142857142856</v>
      </c>
      <c r="AD19" s="17">
        <f t="shared" si="11"/>
        <v>0.14285714285714285</v>
      </c>
      <c r="AE19" s="31">
        <f t="shared" si="11"/>
        <v>653.28571428571433</v>
      </c>
      <c r="AF19" s="31">
        <f t="shared" si="11"/>
        <v>1326.8571428571427</v>
      </c>
    </row>
    <row r="20" spans="2:32" ht="23.1" customHeight="1" x14ac:dyDescent="0.25">
      <c r="B20" s="23" t="s">
        <v>47</v>
      </c>
      <c r="C20" s="49">
        <f>AVERAGE('22.07 BUSEGA-NATEETE'!C20,'23.07 BUSEGA-NATEETE'!C20,'24.07 BUSEGA-NATEETE'!C20,'25.07 BUSEGA-NATEETE'!C20,'26.07 BUSEGA-NATEETE'!C20,'27.07 52BUSEGA-NATEETEh'!C20,'28.07 NATEETE-BUSEGA'!C20)</f>
        <v>83.428571428571431</v>
      </c>
      <c r="D20" s="49">
        <f>AVERAGE('22.07 BUSEGA-NATEETE'!D20,'23.07 BUSEGA-NATEETE'!D20,'24.07 BUSEGA-NATEETE'!D20,'25.07 BUSEGA-NATEETE'!D20,'26.07 BUSEGA-NATEETE'!D20,'27.07 52BUSEGA-NATEETEh'!D20,'28.07 NATEETE-BUSEGA'!D20)</f>
        <v>9.1428571428571423</v>
      </c>
      <c r="E20" s="49">
        <f>AVERAGE('22.07 BUSEGA-NATEETE'!E20,'23.07 BUSEGA-NATEETE'!E20,'24.07 BUSEGA-NATEETE'!E20,'25.07 BUSEGA-NATEETE'!E20,'26.07 BUSEGA-NATEETE'!E20,'27.07 52BUSEGA-NATEETEh'!E20,'28.07 NATEETE-BUSEGA'!E20)</f>
        <v>7.1428571428571432</v>
      </c>
      <c r="F20" s="49">
        <f>AVERAGE('22.07 BUSEGA-NATEETE'!F20,'23.07 BUSEGA-NATEETE'!F20,'24.07 BUSEGA-NATEETE'!F20,'25.07 BUSEGA-NATEETE'!F20,'26.07 BUSEGA-NATEETE'!F20,'27.07 52BUSEGA-NATEETEh'!F20,'28.07 NATEETE-BUSEGA'!F20)</f>
        <v>70.428571428571431</v>
      </c>
      <c r="G20" s="49">
        <f>AVERAGE('22.07 BUSEGA-NATEETE'!G20,'23.07 BUSEGA-NATEETE'!G20,'24.07 BUSEGA-NATEETE'!G20,'25.07 BUSEGA-NATEETE'!G20,'26.07 BUSEGA-NATEETE'!G20,'27.07 52BUSEGA-NATEETEh'!G20,'28.07 NATEETE-BUSEGA'!G20)</f>
        <v>0.8571428571428571</v>
      </c>
      <c r="H20" s="49">
        <f>AVERAGE('22.07 BUSEGA-NATEETE'!H20,'23.07 BUSEGA-NATEETE'!H20,'24.07 BUSEGA-NATEETE'!H20,'25.07 BUSEGA-NATEETE'!H20,'26.07 BUSEGA-NATEETE'!H20,'27.07 52BUSEGA-NATEETEh'!H20,'28.07 NATEETE-BUSEGA'!H20)</f>
        <v>0.8571428571428571</v>
      </c>
      <c r="I20" s="49">
        <f>AVERAGE('22.07 BUSEGA-NATEETE'!I20,'23.07 BUSEGA-NATEETE'!I20,'24.07 BUSEGA-NATEETE'!I20,'25.07 BUSEGA-NATEETE'!I20,'26.07 BUSEGA-NATEETE'!I20,'27.07 52BUSEGA-NATEETEh'!I20,'28.07 NATEETE-BUSEGA'!I20)</f>
        <v>5.7142857142857144</v>
      </c>
      <c r="J20" s="49">
        <f>AVERAGE('22.07 BUSEGA-NATEETE'!J20,'23.07 BUSEGA-NATEETE'!J20,'24.07 BUSEGA-NATEETE'!J20,'25.07 BUSEGA-NATEETE'!J20,'26.07 BUSEGA-NATEETE'!J20,'27.07 52BUSEGA-NATEETEh'!J20,'28.07 NATEETE-BUSEGA'!J20)</f>
        <v>5.7142857142857144</v>
      </c>
      <c r="K20" s="49">
        <f>AVERAGE('22.07 BUSEGA-NATEETE'!K20,'23.07 BUSEGA-NATEETE'!K20,'24.07 BUSEGA-NATEETE'!K20,'25.07 BUSEGA-NATEETE'!K20,'26.07 BUSEGA-NATEETE'!K20,'27.07 52BUSEGA-NATEETEh'!K20,'28.07 NATEETE-BUSEGA'!K20)</f>
        <v>2.4285714285714284</v>
      </c>
      <c r="L20" s="49">
        <f>AVERAGE('22.07 BUSEGA-NATEETE'!L20,'23.07 BUSEGA-NATEETE'!L20,'24.07 BUSEGA-NATEETE'!L20,'25.07 BUSEGA-NATEETE'!L20,'26.07 BUSEGA-NATEETE'!L20,'27.07 52BUSEGA-NATEETEh'!L20,'28.07 NATEETE-BUSEGA'!L20)</f>
        <v>1.4285714285714286</v>
      </c>
      <c r="M20" s="49">
        <f>AVERAGE('22.07 BUSEGA-NATEETE'!M20,'23.07 BUSEGA-NATEETE'!M20,'24.07 BUSEGA-NATEETE'!M20,'25.07 BUSEGA-NATEETE'!M20,'26.07 BUSEGA-NATEETE'!M20,'27.07 52BUSEGA-NATEETEh'!M20,'28.07 NATEETE-BUSEGA'!M20)</f>
        <v>235.28571428571428</v>
      </c>
      <c r="N20" s="49">
        <f>AVERAGE('22.07 BUSEGA-NATEETE'!N20,'23.07 BUSEGA-NATEETE'!N20,'24.07 BUSEGA-NATEETE'!N20,'25.07 BUSEGA-NATEETE'!N20,'26.07 BUSEGA-NATEETE'!N20,'27.07 52BUSEGA-NATEETEh'!N20,'28.07 NATEETE-BUSEGA'!N20)</f>
        <v>0</v>
      </c>
      <c r="O20" s="15">
        <f t="shared" si="0"/>
        <v>187.14285714285714</v>
      </c>
      <c r="P20" s="15">
        <f t="shared" si="1"/>
        <v>422.42857142857144</v>
      </c>
      <c r="R20" s="1" t="s">
        <v>16</v>
      </c>
      <c r="S20" s="17">
        <f t="shared" ref="S20:AF20" si="12">SUM(C50:C53)</f>
        <v>290.28571428571433</v>
      </c>
      <c r="T20" s="17">
        <f t="shared" si="12"/>
        <v>39.142857142857139</v>
      </c>
      <c r="U20" s="17">
        <f t="shared" si="12"/>
        <v>50.857142857142861</v>
      </c>
      <c r="V20" s="17">
        <f t="shared" si="12"/>
        <v>268.85714285714283</v>
      </c>
      <c r="W20" s="17">
        <f t="shared" si="12"/>
        <v>8.1428571428571423</v>
      </c>
      <c r="X20" s="17">
        <f t="shared" si="12"/>
        <v>14.714285714285715</v>
      </c>
      <c r="Y20" s="17">
        <f t="shared" si="12"/>
        <v>43.285714285714292</v>
      </c>
      <c r="Z20" s="17">
        <f t="shared" si="12"/>
        <v>34.714285714285715</v>
      </c>
      <c r="AA20" s="17">
        <f t="shared" si="12"/>
        <v>13.428571428571429</v>
      </c>
      <c r="AB20" s="17">
        <f t="shared" si="12"/>
        <v>18</v>
      </c>
      <c r="AC20" s="17">
        <f t="shared" si="12"/>
        <v>724.28571428571433</v>
      </c>
      <c r="AD20" s="17">
        <f t="shared" si="12"/>
        <v>0</v>
      </c>
      <c r="AE20" s="31">
        <f t="shared" si="12"/>
        <v>781.42857142857144</v>
      </c>
      <c r="AF20" s="31">
        <f t="shared" si="12"/>
        <v>1505.7142857142858</v>
      </c>
    </row>
    <row r="21" spans="2:32" ht="23.1" customHeight="1" x14ac:dyDescent="0.25">
      <c r="B21" s="23" t="s">
        <v>48</v>
      </c>
      <c r="C21" s="49">
        <f>AVERAGE('22.07 BUSEGA-NATEETE'!C21,'23.07 BUSEGA-NATEETE'!C21,'24.07 BUSEGA-NATEETE'!C21,'25.07 BUSEGA-NATEETE'!C21,'26.07 BUSEGA-NATEETE'!C21,'27.07 52BUSEGA-NATEETEh'!C21,'28.07 NATEETE-BUSEGA'!C21)</f>
        <v>84.857142857142861</v>
      </c>
      <c r="D21" s="49">
        <f>AVERAGE('22.07 BUSEGA-NATEETE'!D21,'23.07 BUSEGA-NATEETE'!D21,'24.07 BUSEGA-NATEETE'!D21,'25.07 BUSEGA-NATEETE'!D21,'26.07 BUSEGA-NATEETE'!D21,'27.07 52BUSEGA-NATEETEh'!D21,'28.07 NATEETE-BUSEGA'!D21)</f>
        <v>11.428571428571429</v>
      </c>
      <c r="E21" s="49">
        <f>AVERAGE('22.07 BUSEGA-NATEETE'!E21,'23.07 BUSEGA-NATEETE'!E21,'24.07 BUSEGA-NATEETE'!E21,'25.07 BUSEGA-NATEETE'!E21,'26.07 BUSEGA-NATEETE'!E21,'27.07 52BUSEGA-NATEETEh'!E21,'28.07 NATEETE-BUSEGA'!E21)</f>
        <v>8</v>
      </c>
      <c r="F21" s="49">
        <f>AVERAGE('22.07 BUSEGA-NATEETE'!F21,'23.07 BUSEGA-NATEETE'!F21,'24.07 BUSEGA-NATEETE'!F21,'25.07 BUSEGA-NATEETE'!F21,'26.07 BUSEGA-NATEETE'!F21,'27.07 52BUSEGA-NATEETEh'!F21,'28.07 NATEETE-BUSEGA'!F21)</f>
        <v>59.285714285714285</v>
      </c>
      <c r="G21" s="49">
        <f>AVERAGE('22.07 BUSEGA-NATEETE'!G21,'23.07 BUSEGA-NATEETE'!G21,'24.07 BUSEGA-NATEETE'!G21,'25.07 BUSEGA-NATEETE'!G21,'26.07 BUSEGA-NATEETE'!G21,'27.07 52BUSEGA-NATEETEh'!G21,'28.07 NATEETE-BUSEGA'!G21)</f>
        <v>1.1428571428571428</v>
      </c>
      <c r="H21" s="49">
        <f>AVERAGE('22.07 BUSEGA-NATEETE'!H21,'23.07 BUSEGA-NATEETE'!H21,'24.07 BUSEGA-NATEETE'!H21,'25.07 BUSEGA-NATEETE'!H21,'26.07 BUSEGA-NATEETE'!H21,'27.07 52BUSEGA-NATEETEh'!H21,'28.07 NATEETE-BUSEGA'!H21)</f>
        <v>1</v>
      </c>
      <c r="I21" s="49">
        <f>AVERAGE('22.07 BUSEGA-NATEETE'!I21,'23.07 BUSEGA-NATEETE'!I21,'24.07 BUSEGA-NATEETE'!I21,'25.07 BUSEGA-NATEETE'!I21,'26.07 BUSEGA-NATEETE'!I21,'27.07 52BUSEGA-NATEETEh'!I21,'28.07 NATEETE-BUSEGA'!I21)</f>
        <v>9.7142857142857135</v>
      </c>
      <c r="J21" s="49">
        <f>AVERAGE('22.07 BUSEGA-NATEETE'!J21,'23.07 BUSEGA-NATEETE'!J21,'24.07 BUSEGA-NATEETE'!J21,'25.07 BUSEGA-NATEETE'!J21,'26.07 BUSEGA-NATEETE'!J21,'27.07 52BUSEGA-NATEETEh'!J21,'28.07 NATEETE-BUSEGA'!J21)</f>
        <v>5.2857142857142856</v>
      </c>
      <c r="K21" s="49">
        <f>AVERAGE('22.07 BUSEGA-NATEETE'!K21,'23.07 BUSEGA-NATEETE'!K21,'24.07 BUSEGA-NATEETE'!K21,'25.07 BUSEGA-NATEETE'!K21,'26.07 BUSEGA-NATEETE'!K21,'27.07 52BUSEGA-NATEETEh'!K21,'28.07 NATEETE-BUSEGA'!K21)</f>
        <v>1.1428571428571428</v>
      </c>
      <c r="L21" s="49">
        <f>AVERAGE('22.07 BUSEGA-NATEETE'!L21,'23.07 BUSEGA-NATEETE'!L21,'24.07 BUSEGA-NATEETE'!L21,'25.07 BUSEGA-NATEETE'!L21,'26.07 BUSEGA-NATEETE'!L21,'27.07 52BUSEGA-NATEETEh'!L21,'28.07 NATEETE-BUSEGA'!L21)</f>
        <v>1.2857142857142858</v>
      </c>
      <c r="M21" s="49">
        <f>AVERAGE('22.07 BUSEGA-NATEETE'!M21,'23.07 BUSEGA-NATEETE'!M21,'24.07 BUSEGA-NATEETE'!M21,'25.07 BUSEGA-NATEETE'!M21,'26.07 BUSEGA-NATEETE'!M21,'27.07 52BUSEGA-NATEETEh'!M21,'28.07 NATEETE-BUSEGA'!M21)</f>
        <v>239</v>
      </c>
      <c r="N21" s="49">
        <f>AVERAGE('22.07 BUSEGA-NATEETE'!N21,'23.07 BUSEGA-NATEETE'!N21,'24.07 BUSEGA-NATEETE'!N21,'25.07 BUSEGA-NATEETE'!N21,'26.07 BUSEGA-NATEETE'!N21,'27.07 52BUSEGA-NATEETEh'!N21,'28.07 NATEETE-BUSEGA'!N21)</f>
        <v>0</v>
      </c>
      <c r="O21" s="15">
        <f t="shared" si="0"/>
        <v>183.14285714285714</v>
      </c>
      <c r="P21" s="15">
        <f t="shared" si="1"/>
        <v>422.14285714285711</v>
      </c>
      <c r="R21" s="36" t="s">
        <v>20</v>
      </c>
      <c r="S21" s="34">
        <f t="shared" ref="S21:AF33" si="13">SUM(C54:C57)</f>
        <v>249.14285714285717</v>
      </c>
      <c r="T21" s="17">
        <f t="shared" si="13"/>
        <v>39.857142857142861</v>
      </c>
      <c r="U21" s="17">
        <f t="shared" si="13"/>
        <v>39.142857142857146</v>
      </c>
      <c r="V21" s="17">
        <f t="shared" si="13"/>
        <v>280.85714285714283</v>
      </c>
      <c r="W21" s="17">
        <f t="shared" si="13"/>
        <v>10.428571428571429</v>
      </c>
      <c r="X21" s="17">
        <f t="shared" si="13"/>
        <v>18.142857142857146</v>
      </c>
      <c r="Y21" s="17">
        <f t="shared" si="13"/>
        <v>39.142857142857139</v>
      </c>
      <c r="Z21" s="17">
        <f t="shared" si="13"/>
        <v>31.142857142857142</v>
      </c>
      <c r="AA21" s="17">
        <f t="shared" si="13"/>
        <v>19.142857142857142</v>
      </c>
      <c r="AB21" s="17">
        <f t="shared" si="13"/>
        <v>14.714285714285715</v>
      </c>
      <c r="AC21" s="17">
        <f t="shared" si="13"/>
        <v>698.28571428571422</v>
      </c>
      <c r="AD21" s="17">
        <f t="shared" si="13"/>
        <v>0</v>
      </c>
      <c r="AE21" s="31">
        <f t="shared" si="13"/>
        <v>741.71428571428578</v>
      </c>
      <c r="AF21" s="31">
        <f t="shared" si="13"/>
        <v>1440.0000000000002</v>
      </c>
    </row>
    <row r="22" spans="2:32" ht="23.1" customHeight="1" x14ac:dyDescent="0.25">
      <c r="B22" s="23" t="s">
        <v>49</v>
      </c>
      <c r="C22" s="49">
        <f>AVERAGE('22.07 BUSEGA-NATEETE'!C22,'23.07 BUSEGA-NATEETE'!C22,'24.07 BUSEGA-NATEETE'!C22,'25.07 BUSEGA-NATEETE'!C22,'26.07 BUSEGA-NATEETE'!C22,'27.07 52BUSEGA-NATEETEh'!C22,'28.07 NATEETE-BUSEGA'!C22)</f>
        <v>79.428571428571431</v>
      </c>
      <c r="D22" s="49">
        <f>AVERAGE('22.07 BUSEGA-NATEETE'!D22,'23.07 BUSEGA-NATEETE'!D22,'24.07 BUSEGA-NATEETE'!D22,'25.07 BUSEGA-NATEETE'!D22,'26.07 BUSEGA-NATEETE'!D22,'27.07 52BUSEGA-NATEETEh'!D22,'28.07 NATEETE-BUSEGA'!D22)</f>
        <v>8.8571428571428577</v>
      </c>
      <c r="E22" s="49">
        <f>AVERAGE('22.07 BUSEGA-NATEETE'!E22,'23.07 BUSEGA-NATEETE'!E22,'24.07 BUSEGA-NATEETE'!E22,'25.07 BUSEGA-NATEETE'!E22,'26.07 BUSEGA-NATEETE'!E22,'27.07 52BUSEGA-NATEETEh'!E22,'28.07 NATEETE-BUSEGA'!E22)</f>
        <v>7.7142857142857144</v>
      </c>
      <c r="F22" s="49">
        <f>AVERAGE('22.07 BUSEGA-NATEETE'!F22,'23.07 BUSEGA-NATEETE'!F22,'24.07 BUSEGA-NATEETE'!F22,'25.07 BUSEGA-NATEETE'!F22,'26.07 BUSEGA-NATEETE'!F22,'27.07 52BUSEGA-NATEETEh'!F22,'28.07 NATEETE-BUSEGA'!F22)</f>
        <v>71.428571428571431</v>
      </c>
      <c r="G22" s="49">
        <f>AVERAGE('22.07 BUSEGA-NATEETE'!G22,'23.07 BUSEGA-NATEETE'!G22,'24.07 BUSEGA-NATEETE'!G22,'25.07 BUSEGA-NATEETE'!G22,'26.07 BUSEGA-NATEETE'!G22,'27.07 52BUSEGA-NATEETEh'!G22,'28.07 NATEETE-BUSEGA'!G22)</f>
        <v>1</v>
      </c>
      <c r="H22" s="49">
        <f>AVERAGE('22.07 BUSEGA-NATEETE'!H22,'23.07 BUSEGA-NATEETE'!H22,'24.07 BUSEGA-NATEETE'!H22,'25.07 BUSEGA-NATEETE'!H22,'26.07 BUSEGA-NATEETE'!H22,'27.07 52BUSEGA-NATEETEh'!H22,'28.07 NATEETE-BUSEGA'!H22)</f>
        <v>0.42857142857142855</v>
      </c>
      <c r="I22" s="49">
        <f>AVERAGE('22.07 BUSEGA-NATEETE'!I22,'23.07 BUSEGA-NATEETE'!I22,'24.07 BUSEGA-NATEETE'!I22,'25.07 BUSEGA-NATEETE'!I22,'26.07 BUSEGA-NATEETE'!I22,'27.07 52BUSEGA-NATEETEh'!I22,'28.07 NATEETE-BUSEGA'!I22)</f>
        <v>10.142857142857142</v>
      </c>
      <c r="J22" s="49">
        <f>AVERAGE('22.07 BUSEGA-NATEETE'!J22,'23.07 BUSEGA-NATEETE'!J22,'24.07 BUSEGA-NATEETE'!J22,'25.07 BUSEGA-NATEETE'!J22,'26.07 BUSEGA-NATEETE'!J22,'27.07 52BUSEGA-NATEETEh'!J22,'28.07 NATEETE-BUSEGA'!J22)</f>
        <v>6.1428571428571432</v>
      </c>
      <c r="K22" s="49">
        <f>AVERAGE('22.07 BUSEGA-NATEETE'!K22,'23.07 BUSEGA-NATEETE'!K22,'24.07 BUSEGA-NATEETE'!K22,'25.07 BUSEGA-NATEETE'!K22,'26.07 BUSEGA-NATEETE'!K22,'27.07 52BUSEGA-NATEETEh'!K22,'28.07 NATEETE-BUSEGA'!K22)</f>
        <v>1.7142857142857142</v>
      </c>
      <c r="L22" s="49">
        <f>AVERAGE('22.07 BUSEGA-NATEETE'!L22,'23.07 BUSEGA-NATEETE'!L22,'24.07 BUSEGA-NATEETE'!L22,'25.07 BUSEGA-NATEETE'!L22,'26.07 BUSEGA-NATEETE'!L22,'27.07 52BUSEGA-NATEETEh'!L22,'28.07 NATEETE-BUSEGA'!L22)</f>
        <v>2</v>
      </c>
      <c r="M22" s="49">
        <f>AVERAGE('22.07 BUSEGA-NATEETE'!M22,'23.07 BUSEGA-NATEETE'!M22,'24.07 BUSEGA-NATEETE'!M22,'25.07 BUSEGA-NATEETE'!M22,'26.07 BUSEGA-NATEETE'!M22,'27.07 52BUSEGA-NATEETEh'!M22,'28.07 NATEETE-BUSEGA'!M22)</f>
        <v>256</v>
      </c>
      <c r="N22" s="49">
        <f>AVERAGE('22.07 BUSEGA-NATEETE'!N22,'23.07 BUSEGA-NATEETE'!N22,'24.07 BUSEGA-NATEETE'!N22,'25.07 BUSEGA-NATEETE'!N22,'26.07 BUSEGA-NATEETE'!N22,'27.07 52BUSEGA-NATEETEh'!N22,'28.07 NATEETE-BUSEGA'!N22)</f>
        <v>0</v>
      </c>
      <c r="O22" s="15">
        <f t="shared" si="0"/>
        <v>188.85714285714286</v>
      </c>
      <c r="P22" s="15">
        <f t="shared" si="1"/>
        <v>444.85714285714289</v>
      </c>
      <c r="R22" s="1" t="s">
        <v>146</v>
      </c>
      <c r="S22" s="34">
        <f>SUM(C58:C61)</f>
        <v>164.5</v>
      </c>
      <c r="T22" s="34">
        <f t="shared" ref="T22:AD22" si="14">SUM(D58:D61)</f>
        <v>28.5</v>
      </c>
      <c r="U22" s="34">
        <f t="shared" si="14"/>
        <v>25</v>
      </c>
      <c r="V22" s="34">
        <f t="shared" si="14"/>
        <v>186</v>
      </c>
      <c r="W22" s="34">
        <f t="shared" si="14"/>
        <v>8.5</v>
      </c>
      <c r="X22" s="34">
        <f t="shared" si="14"/>
        <v>8.5</v>
      </c>
      <c r="Y22" s="34">
        <f t="shared" si="14"/>
        <v>29</v>
      </c>
      <c r="Z22" s="34">
        <f t="shared" si="14"/>
        <v>15</v>
      </c>
      <c r="AA22" s="34">
        <f t="shared" si="14"/>
        <v>4.5</v>
      </c>
      <c r="AB22" s="34">
        <f t="shared" si="14"/>
        <v>7</v>
      </c>
      <c r="AC22" s="34">
        <f t="shared" si="14"/>
        <v>580</v>
      </c>
      <c r="AD22" s="34">
        <f t="shared" si="14"/>
        <v>0</v>
      </c>
      <c r="AE22" s="31">
        <f t="shared" si="13"/>
        <v>678.14285714285722</v>
      </c>
      <c r="AF22" s="31">
        <f t="shared" si="13"/>
        <v>1331.1428571428573</v>
      </c>
    </row>
    <row r="23" spans="2:32" ht="23.1" customHeight="1" x14ac:dyDescent="0.25">
      <c r="B23" s="23" t="s">
        <v>50</v>
      </c>
      <c r="C23" s="49">
        <f>AVERAGE('22.07 BUSEGA-NATEETE'!C23,'23.07 BUSEGA-NATEETE'!C23,'24.07 BUSEGA-NATEETE'!C23,'25.07 BUSEGA-NATEETE'!C23,'26.07 BUSEGA-NATEETE'!C23,'27.07 52BUSEGA-NATEETEh'!C23,'28.07 NATEETE-BUSEGA'!C23)</f>
        <v>78.857142857142861</v>
      </c>
      <c r="D23" s="49">
        <f>AVERAGE('22.07 BUSEGA-NATEETE'!D23,'23.07 BUSEGA-NATEETE'!D23,'24.07 BUSEGA-NATEETE'!D23,'25.07 BUSEGA-NATEETE'!D23,'26.07 BUSEGA-NATEETE'!D23,'27.07 52BUSEGA-NATEETEh'!D23,'28.07 NATEETE-BUSEGA'!D23)</f>
        <v>9.1428571428571423</v>
      </c>
      <c r="E23" s="49">
        <f>AVERAGE('22.07 BUSEGA-NATEETE'!E23,'23.07 BUSEGA-NATEETE'!E23,'24.07 BUSEGA-NATEETE'!E23,'25.07 BUSEGA-NATEETE'!E23,'26.07 BUSEGA-NATEETE'!E23,'27.07 52BUSEGA-NATEETEh'!E23,'28.07 NATEETE-BUSEGA'!E23)</f>
        <v>8.1428571428571423</v>
      </c>
      <c r="F23" s="49">
        <f>AVERAGE('22.07 BUSEGA-NATEETE'!F23,'23.07 BUSEGA-NATEETE'!F23,'24.07 BUSEGA-NATEETE'!F23,'25.07 BUSEGA-NATEETE'!F23,'26.07 BUSEGA-NATEETE'!F23,'27.07 52BUSEGA-NATEETEh'!F23,'28.07 NATEETE-BUSEGA'!F23)</f>
        <v>59.285714285714285</v>
      </c>
      <c r="G23" s="49">
        <f>AVERAGE('22.07 BUSEGA-NATEETE'!G23,'23.07 BUSEGA-NATEETE'!G23,'24.07 BUSEGA-NATEETE'!G23,'25.07 BUSEGA-NATEETE'!G23,'26.07 BUSEGA-NATEETE'!G23,'27.07 52BUSEGA-NATEETEh'!G23,'28.07 NATEETE-BUSEGA'!G23)</f>
        <v>0.7142857142857143</v>
      </c>
      <c r="H23" s="49">
        <f>AVERAGE('22.07 BUSEGA-NATEETE'!H23,'23.07 BUSEGA-NATEETE'!H23,'24.07 BUSEGA-NATEETE'!H23,'25.07 BUSEGA-NATEETE'!H23,'26.07 BUSEGA-NATEETE'!H23,'27.07 52BUSEGA-NATEETEh'!H23,'28.07 NATEETE-BUSEGA'!H23)</f>
        <v>1</v>
      </c>
      <c r="I23" s="49">
        <f>AVERAGE('22.07 BUSEGA-NATEETE'!I23,'23.07 BUSEGA-NATEETE'!I23,'24.07 BUSEGA-NATEETE'!I23,'25.07 BUSEGA-NATEETE'!I23,'26.07 BUSEGA-NATEETE'!I23,'27.07 52BUSEGA-NATEETEh'!I23,'28.07 NATEETE-BUSEGA'!I23)</f>
        <v>5.7142857142857144</v>
      </c>
      <c r="J23" s="49">
        <f>AVERAGE('22.07 BUSEGA-NATEETE'!J23,'23.07 BUSEGA-NATEETE'!J23,'24.07 BUSEGA-NATEETE'!J23,'25.07 BUSEGA-NATEETE'!J23,'26.07 BUSEGA-NATEETE'!J23,'27.07 52BUSEGA-NATEETEh'!J23,'28.07 NATEETE-BUSEGA'!J23)</f>
        <v>7</v>
      </c>
      <c r="K23" s="49">
        <f>AVERAGE('22.07 BUSEGA-NATEETE'!K23,'23.07 BUSEGA-NATEETE'!K23,'24.07 BUSEGA-NATEETE'!K23,'25.07 BUSEGA-NATEETE'!K23,'26.07 BUSEGA-NATEETE'!K23,'27.07 52BUSEGA-NATEETEh'!K23,'28.07 NATEETE-BUSEGA'!K23)</f>
        <v>0.42857142857142855</v>
      </c>
      <c r="L23" s="49">
        <f>AVERAGE('22.07 BUSEGA-NATEETE'!L23,'23.07 BUSEGA-NATEETE'!L23,'24.07 BUSEGA-NATEETE'!L23,'25.07 BUSEGA-NATEETE'!L23,'26.07 BUSEGA-NATEETE'!L23,'27.07 52BUSEGA-NATEETEh'!L23,'28.07 NATEETE-BUSEGA'!L23)</f>
        <v>2.1428571428571428</v>
      </c>
      <c r="M23" s="49">
        <f>AVERAGE('22.07 BUSEGA-NATEETE'!M23,'23.07 BUSEGA-NATEETE'!M23,'24.07 BUSEGA-NATEETE'!M23,'25.07 BUSEGA-NATEETE'!M23,'26.07 BUSEGA-NATEETE'!M23,'27.07 52BUSEGA-NATEETEh'!M23,'28.07 NATEETE-BUSEGA'!M23)</f>
        <v>230</v>
      </c>
      <c r="N23" s="49">
        <f>AVERAGE('22.07 BUSEGA-NATEETE'!N23,'23.07 BUSEGA-NATEETE'!N23,'24.07 BUSEGA-NATEETE'!N23,'25.07 BUSEGA-NATEETE'!N23,'26.07 BUSEGA-NATEETE'!N23,'27.07 52BUSEGA-NATEETEh'!N23,'28.07 NATEETE-BUSEGA'!N23)</f>
        <v>0</v>
      </c>
      <c r="O23" s="15">
        <f t="shared" si="0"/>
        <v>172.42857142857142</v>
      </c>
      <c r="P23" s="15">
        <f t="shared" si="1"/>
        <v>402.42857142857144</v>
      </c>
      <c r="R23" s="1" t="s">
        <v>147</v>
      </c>
      <c r="S23" s="34">
        <f>SUM(C62:C65)</f>
        <v>164</v>
      </c>
      <c r="T23" s="34">
        <f t="shared" ref="T23:AD23" si="15">SUM(D62:D65)</f>
        <v>19</v>
      </c>
      <c r="U23" s="34">
        <f t="shared" si="15"/>
        <v>24</v>
      </c>
      <c r="V23" s="34">
        <f t="shared" si="15"/>
        <v>202</v>
      </c>
      <c r="W23" s="34">
        <f t="shared" si="15"/>
        <v>8</v>
      </c>
      <c r="X23" s="34">
        <f t="shared" si="15"/>
        <v>5</v>
      </c>
      <c r="Y23" s="34">
        <f t="shared" si="15"/>
        <v>24</v>
      </c>
      <c r="Z23" s="34">
        <f t="shared" si="15"/>
        <v>10.5</v>
      </c>
      <c r="AA23" s="34">
        <f t="shared" si="15"/>
        <v>8</v>
      </c>
      <c r="AB23" s="34">
        <f t="shared" si="15"/>
        <v>4.5</v>
      </c>
      <c r="AC23" s="34">
        <f t="shared" si="15"/>
        <v>686</v>
      </c>
      <c r="AD23" s="34">
        <f t="shared" si="15"/>
        <v>0</v>
      </c>
      <c r="AE23" s="31">
        <f t="shared" si="13"/>
        <v>590.14285714285711</v>
      </c>
      <c r="AF23" s="31">
        <f t="shared" si="13"/>
        <v>1205</v>
      </c>
    </row>
    <row r="24" spans="2:32" ht="23.1" customHeight="1" x14ac:dyDescent="0.25">
      <c r="B24" s="23" t="s">
        <v>51</v>
      </c>
      <c r="C24" s="49">
        <f>AVERAGE('22.07 BUSEGA-NATEETE'!C24,'23.07 BUSEGA-NATEETE'!C24,'24.07 BUSEGA-NATEETE'!C24,'25.07 BUSEGA-NATEETE'!C24,'26.07 BUSEGA-NATEETE'!C24,'27.07 52BUSEGA-NATEETEh'!C24,'28.07 NATEETE-BUSEGA'!C24)</f>
        <v>69.571428571428569</v>
      </c>
      <c r="D24" s="49">
        <f>AVERAGE('22.07 BUSEGA-NATEETE'!D24,'23.07 BUSEGA-NATEETE'!D24,'24.07 BUSEGA-NATEETE'!D24,'25.07 BUSEGA-NATEETE'!D24,'26.07 BUSEGA-NATEETE'!D24,'27.07 52BUSEGA-NATEETEh'!D24,'28.07 NATEETE-BUSEGA'!D24)</f>
        <v>7</v>
      </c>
      <c r="E24" s="49">
        <f>AVERAGE('22.07 BUSEGA-NATEETE'!E24,'23.07 BUSEGA-NATEETE'!E24,'24.07 BUSEGA-NATEETE'!E24,'25.07 BUSEGA-NATEETE'!E24,'26.07 BUSEGA-NATEETE'!E24,'27.07 52BUSEGA-NATEETEh'!E24,'28.07 NATEETE-BUSEGA'!E24)</f>
        <v>8.2857142857142865</v>
      </c>
      <c r="F24" s="49">
        <f>AVERAGE('22.07 BUSEGA-NATEETE'!F24,'23.07 BUSEGA-NATEETE'!F24,'24.07 BUSEGA-NATEETE'!F24,'25.07 BUSEGA-NATEETE'!F24,'26.07 BUSEGA-NATEETE'!F24,'27.07 52BUSEGA-NATEETEh'!F24,'28.07 NATEETE-BUSEGA'!F24)</f>
        <v>58.857142857142854</v>
      </c>
      <c r="G24" s="49">
        <f>AVERAGE('22.07 BUSEGA-NATEETE'!G24,'23.07 BUSEGA-NATEETE'!G24,'24.07 BUSEGA-NATEETE'!G24,'25.07 BUSEGA-NATEETE'!G24,'26.07 BUSEGA-NATEETE'!G24,'27.07 52BUSEGA-NATEETEh'!G24,'28.07 NATEETE-BUSEGA'!G24)</f>
        <v>1.2857142857142858</v>
      </c>
      <c r="H24" s="49">
        <f>AVERAGE('22.07 BUSEGA-NATEETE'!H24,'23.07 BUSEGA-NATEETE'!H24,'24.07 BUSEGA-NATEETE'!H24,'25.07 BUSEGA-NATEETE'!H24,'26.07 BUSEGA-NATEETE'!H24,'27.07 52BUSEGA-NATEETEh'!H24,'28.07 NATEETE-BUSEGA'!H24)</f>
        <v>1.1428571428571428</v>
      </c>
      <c r="I24" s="49">
        <f>AVERAGE('22.07 BUSEGA-NATEETE'!I24,'23.07 BUSEGA-NATEETE'!I24,'24.07 BUSEGA-NATEETE'!I24,'25.07 BUSEGA-NATEETE'!I24,'26.07 BUSEGA-NATEETE'!I24,'27.07 52BUSEGA-NATEETEh'!I24,'28.07 NATEETE-BUSEGA'!I24)</f>
        <v>7.7142857142857144</v>
      </c>
      <c r="J24" s="49">
        <f>AVERAGE('22.07 BUSEGA-NATEETE'!J24,'23.07 BUSEGA-NATEETE'!J24,'24.07 BUSEGA-NATEETE'!J24,'25.07 BUSEGA-NATEETE'!J24,'26.07 BUSEGA-NATEETE'!J24,'27.07 52BUSEGA-NATEETEh'!J24,'28.07 NATEETE-BUSEGA'!J24)</f>
        <v>7</v>
      </c>
      <c r="K24" s="49">
        <f>AVERAGE('22.07 BUSEGA-NATEETE'!K24,'23.07 BUSEGA-NATEETE'!K24,'24.07 BUSEGA-NATEETE'!K24,'25.07 BUSEGA-NATEETE'!K24,'26.07 BUSEGA-NATEETE'!K24,'27.07 52BUSEGA-NATEETEh'!K24,'28.07 NATEETE-BUSEGA'!K24)</f>
        <v>1.4285714285714286</v>
      </c>
      <c r="L24" s="49">
        <f>AVERAGE('22.07 BUSEGA-NATEETE'!L24,'23.07 BUSEGA-NATEETE'!L24,'24.07 BUSEGA-NATEETE'!L24,'25.07 BUSEGA-NATEETE'!L24,'26.07 BUSEGA-NATEETE'!L24,'27.07 52BUSEGA-NATEETEh'!L24,'28.07 NATEETE-BUSEGA'!L24)</f>
        <v>1.7142857142857142</v>
      </c>
      <c r="M24" s="49">
        <f>AVERAGE('22.07 BUSEGA-NATEETE'!M24,'23.07 BUSEGA-NATEETE'!M24,'24.07 BUSEGA-NATEETE'!M24,'25.07 BUSEGA-NATEETE'!M24,'26.07 BUSEGA-NATEETE'!M24,'27.07 52BUSEGA-NATEETEh'!M24,'28.07 NATEETE-BUSEGA'!M24)</f>
        <v>226</v>
      </c>
      <c r="N24" s="49">
        <f>AVERAGE('22.07 BUSEGA-NATEETE'!N24,'23.07 BUSEGA-NATEETE'!N24,'24.07 BUSEGA-NATEETE'!N24,'25.07 BUSEGA-NATEETE'!N24,'26.07 BUSEGA-NATEETE'!N24,'27.07 52BUSEGA-NATEETEh'!N24,'28.07 NATEETE-BUSEGA'!N24)</f>
        <v>0</v>
      </c>
      <c r="O24" s="15">
        <f t="shared" si="0"/>
        <v>164</v>
      </c>
      <c r="P24" s="15">
        <f t="shared" si="1"/>
        <v>390</v>
      </c>
      <c r="R24" s="1" t="s">
        <v>148</v>
      </c>
      <c r="S24" s="34">
        <f>SUM(C66:C69)</f>
        <v>130.5</v>
      </c>
      <c r="T24" s="34">
        <f t="shared" ref="T24:AD24" si="16">SUM(D66:D69)</f>
        <v>20.5</v>
      </c>
      <c r="U24" s="34">
        <f t="shared" si="16"/>
        <v>25.5</v>
      </c>
      <c r="V24" s="34">
        <f t="shared" si="16"/>
        <v>125.5</v>
      </c>
      <c r="W24" s="34">
        <f t="shared" si="16"/>
        <v>11</v>
      </c>
      <c r="X24" s="34">
        <f t="shared" si="16"/>
        <v>4</v>
      </c>
      <c r="Y24" s="34">
        <f t="shared" si="16"/>
        <v>27.5</v>
      </c>
      <c r="Z24" s="34">
        <f t="shared" si="16"/>
        <v>10</v>
      </c>
      <c r="AA24" s="34">
        <f t="shared" si="16"/>
        <v>10.5</v>
      </c>
      <c r="AB24" s="34">
        <f t="shared" si="16"/>
        <v>7</v>
      </c>
      <c r="AC24" s="34">
        <f t="shared" si="16"/>
        <v>631</v>
      </c>
      <c r="AD24" s="34">
        <f t="shared" si="16"/>
        <v>0</v>
      </c>
      <c r="AE24" s="31">
        <f t="shared" si="13"/>
        <v>525.57142857142856</v>
      </c>
      <c r="AF24" s="31">
        <f t="shared" si="13"/>
        <v>1130.2142857142858</v>
      </c>
    </row>
    <row r="25" spans="2:32" ht="23.1" customHeight="1" x14ac:dyDescent="0.25">
      <c r="B25" s="23" t="s">
        <v>52</v>
      </c>
      <c r="C25" s="49">
        <f>AVERAGE('22.07 BUSEGA-NATEETE'!C25,'23.07 BUSEGA-NATEETE'!C25,'24.07 BUSEGA-NATEETE'!C25,'25.07 BUSEGA-NATEETE'!C25,'26.07 BUSEGA-NATEETE'!C25,'27.07 52BUSEGA-NATEETEh'!C25,'28.07 NATEETE-BUSEGA'!C25)</f>
        <v>63.142857142857146</v>
      </c>
      <c r="D25" s="49">
        <f>AVERAGE('22.07 BUSEGA-NATEETE'!D25,'23.07 BUSEGA-NATEETE'!D25,'24.07 BUSEGA-NATEETE'!D25,'25.07 BUSEGA-NATEETE'!D25,'26.07 BUSEGA-NATEETE'!D25,'27.07 52BUSEGA-NATEETEh'!D25,'28.07 NATEETE-BUSEGA'!D25)</f>
        <v>8.8571428571428577</v>
      </c>
      <c r="E25" s="49">
        <f>AVERAGE('22.07 BUSEGA-NATEETE'!E25,'23.07 BUSEGA-NATEETE'!E25,'24.07 BUSEGA-NATEETE'!E25,'25.07 BUSEGA-NATEETE'!E25,'26.07 BUSEGA-NATEETE'!E25,'27.07 52BUSEGA-NATEETEh'!E25,'28.07 NATEETE-BUSEGA'!E25)</f>
        <v>6.5714285714285712</v>
      </c>
      <c r="F25" s="49">
        <f>AVERAGE('22.07 BUSEGA-NATEETE'!F25,'23.07 BUSEGA-NATEETE'!F25,'24.07 BUSEGA-NATEETE'!F25,'25.07 BUSEGA-NATEETE'!F25,'26.07 BUSEGA-NATEETE'!F25,'27.07 52BUSEGA-NATEETEh'!F25,'28.07 NATEETE-BUSEGA'!F25)</f>
        <v>59</v>
      </c>
      <c r="G25" s="49">
        <f>AVERAGE('22.07 BUSEGA-NATEETE'!G25,'23.07 BUSEGA-NATEETE'!G25,'24.07 BUSEGA-NATEETE'!G25,'25.07 BUSEGA-NATEETE'!G25,'26.07 BUSEGA-NATEETE'!G25,'27.07 52BUSEGA-NATEETEh'!G25,'28.07 NATEETE-BUSEGA'!G25)</f>
        <v>0.8571428571428571</v>
      </c>
      <c r="H25" s="49">
        <f>AVERAGE('22.07 BUSEGA-NATEETE'!H25,'23.07 BUSEGA-NATEETE'!H25,'24.07 BUSEGA-NATEETE'!H25,'25.07 BUSEGA-NATEETE'!H25,'26.07 BUSEGA-NATEETE'!H25,'27.07 52BUSEGA-NATEETEh'!H25,'28.07 NATEETE-BUSEGA'!H25)</f>
        <v>0.5714285714285714</v>
      </c>
      <c r="I25" s="49">
        <f>AVERAGE('22.07 BUSEGA-NATEETE'!I25,'23.07 BUSEGA-NATEETE'!I25,'24.07 BUSEGA-NATEETE'!I25,'25.07 BUSEGA-NATEETE'!I25,'26.07 BUSEGA-NATEETE'!I25,'27.07 52BUSEGA-NATEETEh'!I25,'28.07 NATEETE-BUSEGA'!I25)</f>
        <v>10.285714285714286</v>
      </c>
      <c r="J25" s="49">
        <f>AVERAGE('22.07 BUSEGA-NATEETE'!J25,'23.07 BUSEGA-NATEETE'!J25,'24.07 BUSEGA-NATEETE'!J25,'25.07 BUSEGA-NATEETE'!J25,'26.07 BUSEGA-NATEETE'!J25,'27.07 52BUSEGA-NATEETEh'!J25,'28.07 NATEETE-BUSEGA'!J25)</f>
        <v>7.7142857142857144</v>
      </c>
      <c r="K25" s="49">
        <f>AVERAGE('22.07 BUSEGA-NATEETE'!K25,'23.07 BUSEGA-NATEETE'!K25,'24.07 BUSEGA-NATEETE'!K25,'25.07 BUSEGA-NATEETE'!K25,'26.07 BUSEGA-NATEETE'!K25,'27.07 52BUSEGA-NATEETEh'!K25,'28.07 NATEETE-BUSEGA'!K25)</f>
        <v>1.8571428571428572</v>
      </c>
      <c r="L25" s="49">
        <f>AVERAGE('22.07 BUSEGA-NATEETE'!L25,'23.07 BUSEGA-NATEETE'!L25,'24.07 BUSEGA-NATEETE'!L25,'25.07 BUSEGA-NATEETE'!L25,'26.07 BUSEGA-NATEETE'!L25,'27.07 52BUSEGA-NATEETEh'!L25,'28.07 NATEETE-BUSEGA'!L25)</f>
        <v>2.7142857142857144</v>
      </c>
      <c r="M25" s="49">
        <f>AVERAGE('22.07 BUSEGA-NATEETE'!M25,'23.07 BUSEGA-NATEETE'!M25,'24.07 BUSEGA-NATEETE'!M25,'25.07 BUSEGA-NATEETE'!M25,'26.07 BUSEGA-NATEETE'!M25,'27.07 52BUSEGA-NATEETEh'!M25,'28.07 NATEETE-BUSEGA'!M25)</f>
        <v>216.57142857142858</v>
      </c>
      <c r="N25" s="49">
        <f>AVERAGE('22.07 BUSEGA-NATEETE'!N25,'23.07 BUSEGA-NATEETE'!N25,'24.07 BUSEGA-NATEETE'!N25,'25.07 BUSEGA-NATEETE'!N25,'26.07 BUSEGA-NATEETE'!N25,'27.07 52BUSEGA-NATEETEh'!N25,'28.07 NATEETE-BUSEGA'!N25)</f>
        <v>0</v>
      </c>
      <c r="O25" s="15">
        <f t="shared" si="0"/>
        <v>161.57142857142858</v>
      </c>
      <c r="P25" s="15">
        <f t="shared" si="1"/>
        <v>378.14285714285717</v>
      </c>
      <c r="R25" s="1" t="s">
        <v>149</v>
      </c>
      <c r="S25" s="34">
        <f>SUM(C70:C73)</f>
        <v>178.5</v>
      </c>
      <c r="T25" s="34">
        <f t="shared" ref="T25:AD25" si="17">SUM(D70:D73)</f>
        <v>26</v>
      </c>
      <c r="U25" s="34">
        <f t="shared" si="17"/>
        <v>37</v>
      </c>
      <c r="V25" s="34">
        <f t="shared" si="17"/>
        <v>128.5</v>
      </c>
      <c r="W25" s="34">
        <f t="shared" si="17"/>
        <v>5.5</v>
      </c>
      <c r="X25" s="34">
        <f t="shared" si="17"/>
        <v>3.5</v>
      </c>
      <c r="Y25" s="34">
        <f t="shared" si="17"/>
        <v>36.5</v>
      </c>
      <c r="Z25" s="34">
        <f t="shared" si="17"/>
        <v>16</v>
      </c>
      <c r="AA25" s="34">
        <f t="shared" si="17"/>
        <v>6</v>
      </c>
      <c r="AB25" s="34">
        <f t="shared" si="17"/>
        <v>10.5</v>
      </c>
      <c r="AC25" s="34">
        <f t="shared" si="17"/>
        <v>553</v>
      </c>
      <c r="AD25" s="34">
        <f t="shared" si="17"/>
        <v>0</v>
      </c>
      <c r="AE25" s="31">
        <f t="shared" si="13"/>
        <v>476.5</v>
      </c>
      <c r="AF25" s="31">
        <f t="shared" si="13"/>
        <v>1056.5</v>
      </c>
    </row>
    <row r="26" spans="2:32" ht="23.1" customHeight="1" x14ac:dyDescent="0.25">
      <c r="B26" s="23" t="s">
        <v>53</v>
      </c>
      <c r="C26" s="49">
        <f>AVERAGE('22.07 BUSEGA-NATEETE'!C26,'23.07 BUSEGA-NATEETE'!C26,'24.07 BUSEGA-NATEETE'!C26,'25.07 BUSEGA-NATEETE'!C26,'26.07 BUSEGA-NATEETE'!C26,'27.07 52BUSEGA-NATEETEh'!C26,'28.07 NATEETE-BUSEGA'!C26)</f>
        <v>70.714285714285708</v>
      </c>
      <c r="D26" s="49">
        <f>AVERAGE('22.07 BUSEGA-NATEETE'!D26,'23.07 BUSEGA-NATEETE'!D26,'24.07 BUSEGA-NATEETE'!D26,'25.07 BUSEGA-NATEETE'!D26,'26.07 BUSEGA-NATEETE'!D26,'27.07 52BUSEGA-NATEETEh'!D26,'28.07 NATEETE-BUSEGA'!D26)</f>
        <v>11.428571428571429</v>
      </c>
      <c r="E26" s="49">
        <f>AVERAGE('22.07 BUSEGA-NATEETE'!E26,'23.07 BUSEGA-NATEETE'!E26,'24.07 BUSEGA-NATEETE'!E26,'25.07 BUSEGA-NATEETE'!E26,'26.07 BUSEGA-NATEETE'!E26,'27.07 52BUSEGA-NATEETEh'!E26,'28.07 NATEETE-BUSEGA'!E26)</f>
        <v>10</v>
      </c>
      <c r="F26" s="49">
        <f>AVERAGE('22.07 BUSEGA-NATEETE'!F26,'23.07 BUSEGA-NATEETE'!F26,'24.07 BUSEGA-NATEETE'!F26,'25.07 BUSEGA-NATEETE'!F26,'26.07 BUSEGA-NATEETE'!F26,'27.07 52BUSEGA-NATEETEh'!F26,'28.07 NATEETE-BUSEGA'!F26)</f>
        <v>62.428571428571431</v>
      </c>
      <c r="G26" s="49">
        <f>AVERAGE('22.07 BUSEGA-NATEETE'!G26,'23.07 BUSEGA-NATEETE'!G26,'24.07 BUSEGA-NATEETE'!G26,'25.07 BUSEGA-NATEETE'!G26,'26.07 BUSEGA-NATEETE'!G26,'27.07 52BUSEGA-NATEETEh'!G26,'28.07 NATEETE-BUSEGA'!G26)</f>
        <v>0.7142857142857143</v>
      </c>
      <c r="H26" s="49">
        <f>AVERAGE('22.07 BUSEGA-NATEETE'!H26,'23.07 BUSEGA-NATEETE'!H26,'24.07 BUSEGA-NATEETE'!H26,'25.07 BUSEGA-NATEETE'!H26,'26.07 BUSEGA-NATEETE'!H26,'27.07 52BUSEGA-NATEETEh'!H26,'28.07 NATEETE-BUSEGA'!H26)</f>
        <v>0.42857142857142855</v>
      </c>
      <c r="I26" s="49">
        <f>AVERAGE('22.07 BUSEGA-NATEETE'!I26,'23.07 BUSEGA-NATEETE'!I26,'24.07 BUSEGA-NATEETE'!I26,'25.07 BUSEGA-NATEETE'!I26,'26.07 BUSEGA-NATEETE'!I26,'27.07 52BUSEGA-NATEETEh'!I26,'28.07 NATEETE-BUSEGA'!I26)</f>
        <v>9.5714285714285712</v>
      </c>
      <c r="J26" s="49">
        <f>AVERAGE('22.07 BUSEGA-NATEETE'!J26,'23.07 BUSEGA-NATEETE'!J26,'24.07 BUSEGA-NATEETE'!J26,'25.07 BUSEGA-NATEETE'!J26,'26.07 BUSEGA-NATEETE'!J26,'27.07 52BUSEGA-NATEETEh'!J26,'28.07 NATEETE-BUSEGA'!J26)</f>
        <v>6.2857142857142856</v>
      </c>
      <c r="K26" s="49">
        <f>AVERAGE('22.07 BUSEGA-NATEETE'!K26,'23.07 BUSEGA-NATEETE'!K26,'24.07 BUSEGA-NATEETE'!K26,'25.07 BUSEGA-NATEETE'!K26,'26.07 BUSEGA-NATEETE'!K26,'27.07 52BUSEGA-NATEETEh'!K26,'28.07 NATEETE-BUSEGA'!K26)</f>
        <v>1.8571428571428572</v>
      </c>
      <c r="L26" s="49">
        <f>AVERAGE('22.07 BUSEGA-NATEETE'!L26,'23.07 BUSEGA-NATEETE'!L26,'24.07 BUSEGA-NATEETE'!L26,'25.07 BUSEGA-NATEETE'!L26,'26.07 BUSEGA-NATEETE'!L26,'27.07 52BUSEGA-NATEETEh'!L26,'28.07 NATEETE-BUSEGA'!L26)</f>
        <v>1.8571428571428572</v>
      </c>
      <c r="M26" s="49">
        <f>AVERAGE('22.07 BUSEGA-NATEETE'!M26,'23.07 BUSEGA-NATEETE'!M26,'24.07 BUSEGA-NATEETE'!M26,'25.07 BUSEGA-NATEETE'!M26,'26.07 BUSEGA-NATEETE'!M26,'27.07 52BUSEGA-NATEETEh'!M26,'28.07 NATEETE-BUSEGA'!M26)</f>
        <v>237.42857142857142</v>
      </c>
      <c r="N26" s="49">
        <f>AVERAGE('22.07 BUSEGA-NATEETE'!N26,'23.07 BUSEGA-NATEETE'!N26,'24.07 BUSEGA-NATEETE'!N26,'25.07 BUSEGA-NATEETE'!N26,'26.07 BUSEGA-NATEETE'!N26,'27.07 52BUSEGA-NATEETEh'!N26,'28.07 NATEETE-BUSEGA'!N26)</f>
        <v>0</v>
      </c>
      <c r="O26" s="15">
        <f t="shared" si="0"/>
        <v>175.28571428571428</v>
      </c>
      <c r="P26" s="15">
        <f t="shared" si="1"/>
        <v>412.71428571428567</v>
      </c>
      <c r="R26" s="1" t="s">
        <v>150</v>
      </c>
      <c r="S26" s="34">
        <f>SUM(C74:C77)</f>
        <v>160</v>
      </c>
      <c r="T26" s="34">
        <f t="shared" ref="T26:AD26" si="18">SUM(D74:D77)</f>
        <v>20</v>
      </c>
      <c r="U26" s="34">
        <f t="shared" si="18"/>
        <v>26.5</v>
      </c>
      <c r="V26" s="34">
        <f t="shared" si="18"/>
        <v>91.5</v>
      </c>
      <c r="W26" s="34">
        <f t="shared" si="18"/>
        <v>1</v>
      </c>
      <c r="X26" s="34">
        <f t="shared" si="18"/>
        <v>4</v>
      </c>
      <c r="Y26" s="34">
        <f t="shared" si="18"/>
        <v>30</v>
      </c>
      <c r="Z26" s="34">
        <f t="shared" si="18"/>
        <v>15.5</v>
      </c>
      <c r="AA26" s="34">
        <f t="shared" si="18"/>
        <v>8</v>
      </c>
      <c r="AB26" s="34">
        <f t="shared" si="18"/>
        <v>6.5</v>
      </c>
      <c r="AC26" s="34">
        <f t="shared" si="18"/>
        <v>448.5</v>
      </c>
      <c r="AD26" s="34">
        <f t="shared" si="18"/>
        <v>0</v>
      </c>
      <c r="AE26" s="31">
        <f t="shared" si="13"/>
        <v>485</v>
      </c>
      <c r="AF26" s="31">
        <f t="shared" si="13"/>
        <v>1128.5</v>
      </c>
    </row>
    <row r="27" spans="2:32" ht="23.1" customHeight="1" x14ac:dyDescent="0.25">
      <c r="B27" s="23" t="s">
        <v>54</v>
      </c>
      <c r="C27" s="49">
        <f>AVERAGE('22.07 BUSEGA-NATEETE'!C27,'23.07 BUSEGA-NATEETE'!C27,'24.07 BUSEGA-NATEETE'!C27,'25.07 BUSEGA-NATEETE'!C27,'26.07 BUSEGA-NATEETE'!C27,'27.07 52BUSEGA-NATEETEh'!C27,'28.07 NATEETE-BUSEGA'!C27)</f>
        <v>70.571428571428569</v>
      </c>
      <c r="D27" s="49">
        <f>AVERAGE('22.07 BUSEGA-NATEETE'!D27,'23.07 BUSEGA-NATEETE'!D27,'24.07 BUSEGA-NATEETE'!D27,'25.07 BUSEGA-NATEETE'!D27,'26.07 BUSEGA-NATEETE'!D27,'27.07 52BUSEGA-NATEETEh'!D27,'28.07 NATEETE-BUSEGA'!D27)</f>
        <v>13.571428571428571</v>
      </c>
      <c r="E27" s="49">
        <f>AVERAGE('22.07 BUSEGA-NATEETE'!E27,'23.07 BUSEGA-NATEETE'!E27,'24.07 BUSEGA-NATEETE'!E27,'25.07 BUSEGA-NATEETE'!E27,'26.07 BUSEGA-NATEETE'!E27,'27.07 52BUSEGA-NATEETEh'!E27,'28.07 NATEETE-BUSEGA'!E27)</f>
        <v>9.5714285714285712</v>
      </c>
      <c r="F27" s="49">
        <f>AVERAGE('22.07 BUSEGA-NATEETE'!F27,'23.07 BUSEGA-NATEETE'!F27,'24.07 BUSEGA-NATEETE'!F27,'25.07 BUSEGA-NATEETE'!F27,'26.07 BUSEGA-NATEETE'!F27,'27.07 52BUSEGA-NATEETEh'!F27,'28.07 NATEETE-BUSEGA'!F27)</f>
        <v>57.857142857142854</v>
      </c>
      <c r="G27" s="49">
        <f>AVERAGE('22.07 BUSEGA-NATEETE'!G27,'23.07 BUSEGA-NATEETE'!G27,'24.07 BUSEGA-NATEETE'!G27,'25.07 BUSEGA-NATEETE'!G27,'26.07 BUSEGA-NATEETE'!G27,'27.07 52BUSEGA-NATEETEh'!G27,'28.07 NATEETE-BUSEGA'!G27)</f>
        <v>0.8571428571428571</v>
      </c>
      <c r="H27" s="49">
        <f>AVERAGE('22.07 BUSEGA-NATEETE'!H27,'23.07 BUSEGA-NATEETE'!H27,'24.07 BUSEGA-NATEETE'!H27,'25.07 BUSEGA-NATEETE'!H27,'26.07 BUSEGA-NATEETE'!H27,'27.07 52BUSEGA-NATEETEh'!H27,'28.07 NATEETE-BUSEGA'!H27)</f>
        <v>1.2857142857142858</v>
      </c>
      <c r="I27" s="49">
        <f>AVERAGE('22.07 BUSEGA-NATEETE'!I27,'23.07 BUSEGA-NATEETE'!I27,'24.07 BUSEGA-NATEETE'!I27,'25.07 BUSEGA-NATEETE'!I27,'26.07 BUSEGA-NATEETE'!I27,'27.07 52BUSEGA-NATEETEh'!I27,'28.07 NATEETE-BUSEGA'!I27)</f>
        <v>9.4285714285714288</v>
      </c>
      <c r="J27" s="49">
        <f>AVERAGE('22.07 BUSEGA-NATEETE'!J27,'23.07 BUSEGA-NATEETE'!J27,'24.07 BUSEGA-NATEETE'!J27,'25.07 BUSEGA-NATEETE'!J27,'26.07 BUSEGA-NATEETE'!J27,'27.07 52BUSEGA-NATEETEh'!J27,'28.07 NATEETE-BUSEGA'!J27)</f>
        <v>4.7142857142857144</v>
      </c>
      <c r="K27" s="49">
        <f>AVERAGE('22.07 BUSEGA-NATEETE'!K27,'23.07 BUSEGA-NATEETE'!K27,'24.07 BUSEGA-NATEETE'!K27,'25.07 BUSEGA-NATEETE'!K27,'26.07 BUSEGA-NATEETE'!K27,'27.07 52BUSEGA-NATEETEh'!K27,'28.07 NATEETE-BUSEGA'!K27)</f>
        <v>1.8571428571428572</v>
      </c>
      <c r="L27" s="49">
        <f>AVERAGE('22.07 BUSEGA-NATEETE'!L27,'23.07 BUSEGA-NATEETE'!L27,'24.07 BUSEGA-NATEETE'!L27,'25.07 BUSEGA-NATEETE'!L27,'26.07 BUSEGA-NATEETE'!L27,'27.07 52BUSEGA-NATEETEh'!L27,'28.07 NATEETE-BUSEGA'!L27)</f>
        <v>2.1428571428571428</v>
      </c>
      <c r="M27" s="49">
        <f>AVERAGE('22.07 BUSEGA-NATEETE'!M27,'23.07 BUSEGA-NATEETE'!M27,'24.07 BUSEGA-NATEETE'!M27,'25.07 BUSEGA-NATEETE'!M27,'26.07 BUSEGA-NATEETE'!M27,'27.07 52BUSEGA-NATEETEh'!M27,'28.07 NATEETE-BUSEGA'!M27)</f>
        <v>205</v>
      </c>
      <c r="N27" s="49">
        <f>AVERAGE('22.07 BUSEGA-NATEETE'!N27,'23.07 BUSEGA-NATEETE'!N27,'24.07 BUSEGA-NATEETE'!N27,'25.07 BUSEGA-NATEETE'!N27,'26.07 BUSEGA-NATEETE'!N27,'27.07 52BUSEGA-NATEETEh'!N27,'28.07 NATEETE-BUSEGA'!N27)</f>
        <v>0</v>
      </c>
      <c r="O27" s="15">
        <f t="shared" si="0"/>
        <v>171.85714285714283</v>
      </c>
      <c r="P27" s="15">
        <f t="shared" si="1"/>
        <v>376.85714285714283</v>
      </c>
      <c r="R27" s="1" t="s">
        <v>151</v>
      </c>
      <c r="S27" s="34">
        <f>SUM(C78:C81)</f>
        <v>132</v>
      </c>
      <c r="T27" s="34">
        <f t="shared" ref="T27:AD27" si="19">SUM(D78:D81)</f>
        <v>17.5</v>
      </c>
      <c r="U27" s="34">
        <f t="shared" si="19"/>
        <v>24</v>
      </c>
      <c r="V27" s="34">
        <f t="shared" si="19"/>
        <v>69</v>
      </c>
      <c r="W27" s="34">
        <f t="shared" si="19"/>
        <v>4</v>
      </c>
      <c r="X27" s="34">
        <f t="shared" si="19"/>
        <v>8.5</v>
      </c>
      <c r="Y27" s="34">
        <f t="shared" si="19"/>
        <v>29.5</v>
      </c>
      <c r="Z27" s="34">
        <f t="shared" si="19"/>
        <v>19.5</v>
      </c>
      <c r="AA27" s="34">
        <f t="shared" si="19"/>
        <v>7.5</v>
      </c>
      <c r="AB27" s="34">
        <f t="shared" si="19"/>
        <v>9</v>
      </c>
      <c r="AC27" s="34">
        <f t="shared" si="19"/>
        <v>401.5</v>
      </c>
      <c r="AD27" s="34">
        <f t="shared" si="19"/>
        <v>0</v>
      </c>
      <c r="AE27" s="31">
        <f t="shared" si="13"/>
        <v>483.5</v>
      </c>
      <c r="AF27" s="31">
        <f t="shared" si="13"/>
        <v>1150.5</v>
      </c>
    </row>
    <row r="28" spans="2:32" ht="23.1" customHeight="1" x14ac:dyDescent="0.25">
      <c r="B28" s="23" t="s">
        <v>55</v>
      </c>
      <c r="C28" s="49">
        <f>AVERAGE('22.07 BUSEGA-NATEETE'!C28,'23.07 BUSEGA-NATEETE'!C28,'24.07 BUSEGA-NATEETE'!C28,'25.07 BUSEGA-NATEETE'!C28,'26.07 BUSEGA-NATEETE'!C28,'27.07 52BUSEGA-NATEETEh'!C28,'28.07 NATEETE-BUSEGA'!C28)</f>
        <v>68.285714285714292</v>
      </c>
      <c r="D28" s="49">
        <f>AVERAGE('22.07 BUSEGA-NATEETE'!D28,'23.07 BUSEGA-NATEETE'!D28,'24.07 BUSEGA-NATEETE'!D28,'25.07 BUSEGA-NATEETE'!D28,'26.07 BUSEGA-NATEETE'!D28,'27.07 52BUSEGA-NATEETEh'!D28,'28.07 NATEETE-BUSEGA'!D28)</f>
        <v>11.571428571428571</v>
      </c>
      <c r="E28" s="49">
        <f>AVERAGE('22.07 BUSEGA-NATEETE'!E28,'23.07 BUSEGA-NATEETE'!E28,'24.07 BUSEGA-NATEETE'!E28,'25.07 BUSEGA-NATEETE'!E28,'26.07 BUSEGA-NATEETE'!E28,'27.07 52BUSEGA-NATEETEh'!E28,'28.07 NATEETE-BUSEGA'!E28)</f>
        <v>11.142857142857142</v>
      </c>
      <c r="F28" s="49">
        <f>AVERAGE('22.07 BUSEGA-NATEETE'!F28,'23.07 BUSEGA-NATEETE'!F28,'24.07 BUSEGA-NATEETE'!F28,'25.07 BUSEGA-NATEETE'!F28,'26.07 BUSEGA-NATEETE'!F28,'27.07 52BUSEGA-NATEETEh'!F28,'28.07 NATEETE-BUSEGA'!F28)</f>
        <v>63.714285714285715</v>
      </c>
      <c r="G28" s="49">
        <f>AVERAGE('22.07 BUSEGA-NATEETE'!G28,'23.07 BUSEGA-NATEETE'!G28,'24.07 BUSEGA-NATEETE'!G28,'25.07 BUSEGA-NATEETE'!G28,'26.07 BUSEGA-NATEETE'!G28,'27.07 52BUSEGA-NATEETEh'!G28,'28.07 NATEETE-BUSEGA'!G28)</f>
        <v>1</v>
      </c>
      <c r="H28" s="49">
        <f>AVERAGE('22.07 BUSEGA-NATEETE'!H28,'23.07 BUSEGA-NATEETE'!H28,'24.07 BUSEGA-NATEETE'!H28,'25.07 BUSEGA-NATEETE'!H28,'26.07 BUSEGA-NATEETE'!H28,'27.07 52BUSEGA-NATEETEh'!H28,'28.07 NATEETE-BUSEGA'!H28)</f>
        <v>0.7142857142857143</v>
      </c>
      <c r="I28" s="49">
        <f>AVERAGE('22.07 BUSEGA-NATEETE'!I28,'23.07 BUSEGA-NATEETE'!I28,'24.07 BUSEGA-NATEETE'!I28,'25.07 BUSEGA-NATEETE'!I28,'26.07 BUSEGA-NATEETE'!I28,'27.07 52BUSEGA-NATEETEh'!I28,'28.07 NATEETE-BUSEGA'!I28)</f>
        <v>7.2857142857142856</v>
      </c>
      <c r="J28" s="49">
        <f>AVERAGE('22.07 BUSEGA-NATEETE'!J28,'23.07 BUSEGA-NATEETE'!J28,'24.07 BUSEGA-NATEETE'!J28,'25.07 BUSEGA-NATEETE'!J28,'26.07 BUSEGA-NATEETE'!J28,'27.07 52BUSEGA-NATEETEh'!J28,'28.07 NATEETE-BUSEGA'!J28)</f>
        <v>5.7142857142857144</v>
      </c>
      <c r="K28" s="49">
        <f>AVERAGE('22.07 BUSEGA-NATEETE'!K28,'23.07 BUSEGA-NATEETE'!K28,'24.07 BUSEGA-NATEETE'!K28,'25.07 BUSEGA-NATEETE'!K28,'26.07 BUSEGA-NATEETE'!K28,'27.07 52BUSEGA-NATEETEh'!K28,'28.07 NATEETE-BUSEGA'!K28)</f>
        <v>1</v>
      </c>
      <c r="L28" s="49">
        <f>AVERAGE('22.07 BUSEGA-NATEETE'!L28,'23.07 BUSEGA-NATEETE'!L28,'24.07 BUSEGA-NATEETE'!L28,'25.07 BUSEGA-NATEETE'!L28,'26.07 BUSEGA-NATEETE'!L28,'27.07 52BUSEGA-NATEETEh'!L28,'28.07 NATEETE-BUSEGA'!L28)</f>
        <v>2</v>
      </c>
      <c r="M28" s="49">
        <f>AVERAGE('22.07 BUSEGA-NATEETE'!M28,'23.07 BUSEGA-NATEETE'!M28,'24.07 BUSEGA-NATEETE'!M28,'25.07 BUSEGA-NATEETE'!M28,'26.07 BUSEGA-NATEETE'!M28,'27.07 52BUSEGA-NATEETEh'!M28,'28.07 NATEETE-BUSEGA'!M28)</f>
        <v>191</v>
      </c>
      <c r="N28" s="49">
        <f>AVERAGE('22.07 BUSEGA-NATEETE'!N28,'23.07 BUSEGA-NATEETE'!N28,'24.07 BUSEGA-NATEETE'!N28,'25.07 BUSEGA-NATEETE'!N28,'26.07 BUSEGA-NATEETE'!N28,'27.07 52BUSEGA-NATEETEh'!N28,'28.07 NATEETE-BUSEGA'!N28)</f>
        <v>0</v>
      </c>
      <c r="O28" s="15">
        <f t="shared" si="0"/>
        <v>172.42857142857144</v>
      </c>
      <c r="P28" s="15">
        <f t="shared" si="1"/>
        <v>363.42857142857144</v>
      </c>
      <c r="R28" s="1" t="s">
        <v>152</v>
      </c>
      <c r="S28" s="34">
        <f>SUM(C82:C85)</f>
        <v>67.5</v>
      </c>
      <c r="T28" s="34">
        <f>SUM(D82:D85)</f>
        <v>10</v>
      </c>
      <c r="U28" s="34">
        <f t="shared" ref="U28:AD28" si="20">SUM(E82:E85)</f>
        <v>8.5</v>
      </c>
      <c r="V28" s="34">
        <f t="shared" si="20"/>
        <v>24.5</v>
      </c>
      <c r="W28" s="34">
        <f t="shared" si="20"/>
        <v>2</v>
      </c>
      <c r="X28" s="34">
        <f t="shared" si="20"/>
        <v>2</v>
      </c>
      <c r="Y28" s="34">
        <f t="shared" si="20"/>
        <v>24</v>
      </c>
      <c r="Z28" s="34">
        <f t="shared" si="20"/>
        <v>31.5</v>
      </c>
      <c r="AA28" s="34">
        <f t="shared" si="20"/>
        <v>20</v>
      </c>
      <c r="AB28" s="34">
        <f t="shared" si="20"/>
        <v>4</v>
      </c>
      <c r="AC28" s="34">
        <f t="shared" si="20"/>
        <v>280</v>
      </c>
      <c r="AD28" s="34">
        <f t="shared" si="20"/>
        <v>0</v>
      </c>
      <c r="AE28" s="31">
        <f t="shared" si="13"/>
        <v>481.5</v>
      </c>
      <c r="AF28" s="31">
        <f t="shared" si="13"/>
        <v>1131</v>
      </c>
    </row>
    <row r="29" spans="2:32" ht="23.1" customHeight="1" x14ac:dyDescent="0.25">
      <c r="B29" s="23" t="s">
        <v>56</v>
      </c>
      <c r="C29" s="49">
        <f>AVERAGE('22.07 BUSEGA-NATEETE'!C29,'23.07 BUSEGA-NATEETE'!C29,'24.07 BUSEGA-NATEETE'!C29,'25.07 BUSEGA-NATEETE'!C29,'26.07 BUSEGA-NATEETE'!C29,'27.07 52BUSEGA-NATEETEh'!C29,'28.07 NATEETE-BUSEGA'!C29)</f>
        <v>69.714285714285708</v>
      </c>
      <c r="D29" s="49">
        <f>AVERAGE('22.07 BUSEGA-NATEETE'!D29,'23.07 BUSEGA-NATEETE'!D29,'24.07 BUSEGA-NATEETE'!D29,'25.07 BUSEGA-NATEETE'!D29,'26.07 BUSEGA-NATEETE'!D29,'27.07 52BUSEGA-NATEETEh'!D29,'28.07 NATEETE-BUSEGA'!D29)</f>
        <v>11.428571428571429</v>
      </c>
      <c r="E29" s="49">
        <f>AVERAGE('22.07 BUSEGA-NATEETE'!E29,'23.07 BUSEGA-NATEETE'!E29,'24.07 BUSEGA-NATEETE'!E29,'25.07 BUSEGA-NATEETE'!E29,'26.07 BUSEGA-NATEETE'!E29,'27.07 52BUSEGA-NATEETEh'!E29,'28.07 NATEETE-BUSEGA'!E29)</f>
        <v>8.8571428571428577</v>
      </c>
      <c r="F29" s="49">
        <f>AVERAGE('22.07 BUSEGA-NATEETE'!F29,'23.07 BUSEGA-NATEETE'!F29,'24.07 BUSEGA-NATEETE'!F29,'25.07 BUSEGA-NATEETE'!F29,'26.07 BUSEGA-NATEETE'!F29,'27.07 52BUSEGA-NATEETEh'!F29,'28.07 NATEETE-BUSEGA'!F29)</f>
        <v>75.428571428571431</v>
      </c>
      <c r="G29" s="49">
        <f>AVERAGE('22.07 BUSEGA-NATEETE'!G29,'23.07 BUSEGA-NATEETE'!G29,'24.07 BUSEGA-NATEETE'!G29,'25.07 BUSEGA-NATEETE'!G29,'26.07 BUSEGA-NATEETE'!G29,'27.07 52BUSEGA-NATEETEh'!G29,'28.07 NATEETE-BUSEGA'!G29)</f>
        <v>0.5714285714285714</v>
      </c>
      <c r="H29" s="49">
        <f>AVERAGE('22.07 BUSEGA-NATEETE'!H29,'23.07 BUSEGA-NATEETE'!H29,'24.07 BUSEGA-NATEETE'!H29,'25.07 BUSEGA-NATEETE'!H29,'26.07 BUSEGA-NATEETE'!H29,'27.07 52BUSEGA-NATEETEh'!H29,'28.07 NATEETE-BUSEGA'!H29)</f>
        <v>1</v>
      </c>
      <c r="I29" s="49">
        <f>AVERAGE('22.07 BUSEGA-NATEETE'!I29,'23.07 BUSEGA-NATEETE'!I29,'24.07 BUSEGA-NATEETE'!I29,'25.07 BUSEGA-NATEETE'!I29,'26.07 BUSEGA-NATEETE'!I29,'27.07 52BUSEGA-NATEETEh'!I29,'28.07 NATEETE-BUSEGA'!I29)</f>
        <v>8.2857142857142865</v>
      </c>
      <c r="J29" s="49">
        <f>AVERAGE('22.07 BUSEGA-NATEETE'!J29,'23.07 BUSEGA-NATEETE'!J29,'24.07 BUSEGA-NATEETE'!J29,'25.07 BUSEGA-NATEETE'!J29,'26.07 BUSEGA-NATEETE'!J29,'27.07 52BUSEGA-NATEETEh'!J29,'28.07 NATEETE-BUSEGA'!J29)</f>
        <v>4.7142857142857144</v>
      </c>
      <c r="K29" s="49">
        <f>AVERAGE('22.07 BUSEGA-NATEETE'!K29,'23.07 BUSEGA-NATEETE'!K29,'24.07 BUSEGA-NATEETE'!K29,'25.07 BUSEGA-NATEETE'!K29,'26.07 BUSEGA-NATEETE'!K29,'27.07 52BUSEGA-NATEETEh'!K29,'28.07 NATEETE-BUSEGA'!K29)</f>
        <v>1.7142857142857142</v>
      </c>
      <c r="L29" s="49">
        <f>AVERAGE('22.07 BUSEGA-NATEETE'!L29,'23.07 BUSEGA-NATEETE'!L29,'24.07 BUSEGA-NATEETE'!L29,'25.07 BUSEGA-NATEETE'!L29,'26.07 BUSEGA-NATEETE'!L29,'27.07 52BUSEGA-NATEETEh'!L29,'28.07 NATEETE-BUSEGA'!L29)</f>
        <v>2.1428571428571428</v>
      </c>
      <c r="M29" s="49">
        <f>AVERAGE('22.07 BUSEGA-NATEETE'!M29,'23.07 BUSEGA-NATEETE'!M29,'24.07 BUSEGA-NATEETE'!M29,'25.07 BUSEGA-NATEETE'!M29,'26.07 BUSEGA-NATEETE'!M29,'27.07 52BUSEGA-NATEETEh'!M29,'28.07 NATEETE-BUSEGA'!M29)</f>
        <v>170</v>
      </c>
      <c r="N29" s="49">
        <f>AVERAGE('22.07 BUSEGA-NATEETE'!N29,'23.07 BUSEGA-NATEETE'!N29,'24.07 BUSEGA-NATEETE'!N29,'25.07 BUSEGA-NATEETE'!N29,'26.07 BUSEGA-NATEETE'!N29,'27.07 52BUSEGA-NATEETEh'!N29,'28.07 NATEETE-BUSEGA'!N29)</f>
        <v>0</v>
      </c>
      <c r="O29" s="15">
        <f t="shared" si="0"/>
        <v>183.85714285714289</v>
      </c>
      <c r="P29" s="15">
        <f t="shared" si="1"/>
        <v>353.85714285714289</v>
      </c>
      <c r="R29" s="1" t="s">
        <v>153</v>
      </c>
      <c r="S29" s="34">
        <f>SUM(C86:C89)</f>
        <v>55</v>
      </c>
      <c r="T29" s="34">
        <f t="shared" ref="T29:AD29" si="21">SUM(D86:D89)</f>
        <v>9</v>
      </c>
      <c r="U29" s="34">
        <f t="shared" si="21"/>
        <v>8.5</v>
      </c>
      <c r="V29" s="34">
        <f t="shared" si="21"/>
        <v>17</v>
      </c>
      <c r="W29" s="34">
        <f t="shared" si="21"/>
        <v>0.5</v>
      </c>
      <c r="X29" s="34">
        <f t="shared" si="21"/>
        <v>6</v>
      </c>
      <c r="Y29" s="34">
        <f t="shared" si="21"/>
        <v>28.5</v>
      </c>
      <c r="Z29" s="34">
        <f t="shared" si="21"/>
        <v>30</v>
      </c>
      <c r="AA29" s="34">
        <f t="shared" si="21"/>
        <v>11</v>
      </c>
      <c r="AB29" s="34">
        <f t="shared" si="21"/>
        <v>11</v>
      </c>
      <c r="AC29" s="34">
        <f t="shared" si="21"/>
        <v>135.5</v>
      </c>
      <c r="AD29" s="34">
        <f t="shared" si="21"/>
        <v>0</v>
      </c>
      <c r="AE29" s="31">
        <f t="shared" si="13"/>
        <v>469</v>
      </c>
      <c r="AF29" s="31">
        <f t="shared" si="13"/>
        <v>1155</v>
      </c>
    </row>
    <row r="30" spans="2:32" ht="23.1" customHeight="1" x14ac:dyDescent="0.25">
      <c r="B30" s="23" t="s">
        <v>57</v>
      </c>
      <c r="C30" s="49">
        <f>AVERAGE('22.07 BUSEGA-NATEETE'!C30,'23.07 BUSEGA-NATEETE'!C30,'24.07 BUSEGA-NATEETE'!C30,'25.07 BUSEGA-NATEETE'!C30,'26.07 BUSEGA-NATEETE'!C30,'27.07 52BUSEGA-NATEETEh'!C30,'28.07 NATEETE-BUSEGA'!C30)</f>
        <v>67.428571428571431</v>
      </c>
      <c r="D30" s="49">
        <f>AVERAGE('22.07 BUSEGA-NATEETE'!D30,'23.07 BUSEGA-NATEETE'!D30,'24.07 BUSEGA-NATEETE'!D30,'25.07 BUSEGA-NATEETE'!D30,'26.07 BUSEGA-NATEETE'!D30,'27.07 52BUSEGA-NATEETEh'!D30,'28.07 NATEETE-BUSEGA'!D30)</f>
        <v>11.285714285714286</v>
      </c>
      <c r="E30" s="49">
        <f>AVERAGE('22.07 BUSEGA-NATEETE'!E30,'23.07 BUSEGA-NATEETE'!E30,'24.07 BUSEGA-NATEETE'!E30,'25.07 BUSEGA-NATEETE'!E30,'26.07 BUSEGA-NATEETE'!E30,'27.07 52BUSEGA-NATEETEh'!E30,'28.07 NATEETE-BUSEGA'!E30)</f>
        <v>8.8571428571428577</v>
      </c>
      <c r="F30" s="49">
        <f>AVERAGE('22.07 BUSEGA-NATEETE'!F30,'23.07 BUSEGA-NATEETE'!F30,'24.07 BUSEGA-NATEETE'!F30,'25.07 BUSEGA-NATEETE'!F30,'26.07 BUSEGA-NATEETE'!F30,'27.07 52BUSEGA-NATEETEh'!F30,'28.07 NATEETE-BUSEGA'!F30)</f>
        <v>67.714285714285708</v>
      </c>
      <c r="G30" s="49">
        <f>AVERAGE('22.07 BUSEGA-NATEETE'!G30,'23.07 BUSEGA-NATEETE'!G30,'24.07 BUSEGA-NATEETE'!G30,'25.07 BUSEGA-NATEETE'!G30,'26.07 BUSEGA-NATEETE'!G30,'27.07 52BUSEGA-NATEETEh'!G30,'28.07 NATEETE-BUSEGA'!G30)</f>
        <v>1.2857142857142858</v>
      </c>
      <c r="H30" s="49">
        <f>AVERAGE('22.07 BUSEGA-NATEETE'!H30,'23.07 BUSEGA-NATEETE'!H30,'24.07 BUSEGA-NATEETE'!H30,'25.07 BUSEGA-NATEETE'!H30,'26.07 BUSEGA-NATEETE'!H30,'27.07 52BUSEGA-NATEETEh'!H30,'28.07 NATEETE-BUSEGA'!H30)</f>
        <v>1.2857142857142858</v>
      </c>
      <c r="I30" s="49">
        <f>AVERAGE('22.07 BUSEGA-NATEETE'!I30,'23.07 BUSEGA-NATEETE'!I30,'24.07 BUSEGA-NATEETE'!I30,'25.07 BUSEGA-NATEETE'!I30,'26.07 BUSEGA-NATEETE'!I30,'27.07 52BUSEGA-NATEETEh'!I30,'28.07 NATEETE-BUSEGA'!I30)</f>
        <v>16.571428571428573</v>
      </c>
      <c r="J30" s="49">
        <f>AVERAGE('22.07 BUSEGA-NATEETE'!J30,'23.07 BUSEGA-NATEETE'!J30,'24.07 BUSEGA-NATEETE'!J30,'25.07 BUSEGA-NATEETE'!J30,'26.07 BUSEGA-NATEETE'!J30,'27.07 52BUSEGA-NATEETEh'!J30,'28.07 NATEETE-BUSEGA'!J30)</f>
        <v>4.4285714285714288</v>
      </c>
      <c r="K30" s="49">
        <f>AVERAGE('22.07 BUSEGA-NATEETE'!K30,'23.07 BUSEGA-NATEETE'!K30,'24.07 BUSEGA-NATEETE'!K30,'25.07 BUSEGA-NATEETE'!K30,'26.07 BUSEGA-NATEETE'!K30,'27.07 52BUSEGA-NATEETEh'!K30,'28.07 NATEETE-BUSEGA'!K30)</f>
        <v>1.5714285714285714</v>
      </c>
      <c r="L30" s="49">
        <f>AVERAGE('22.07 BUSEGA-NATEETE'!L30,'23.07 BUSEGA-NATEETE'!L30,'24.07 BUSEGA-NATEETE'!L30,'25.07 BUSEGA-NATEETE'!L30,'26.07 BUSEGA-NATEETE'!L30,'27.07 52BUSEGA-NATEETEh'!L30,'28.07 NATEETE-BUSEGA'!L30)</f>
        <v>3</v>
      </c>
      <c r="M30" s="49">
        <f>AVERAGE('22.07 BUSEGA-NATEETE'!M30,'23.07 BUSEGA-NATEETE'!M30,'24.07 BUSEGA-NATEETE'!M30,'25.07 BUSEGA-NATEETE'!M30,'26.07 BUSEGA-NATEETE'!M30,'27.07 52BUSEGA-NATEETEh'!M30,'28.07 NATEETE-BUSEGA'!M30)</f>
        <v>226.85714285714286</v>
      </c>
      <c r="N30" s="49">
        <f>AVERAGE('22.07 BUSEGA-NATEETE'!N30,'23.07 BUSEGA-NATEETE'!N30,'24.07 BUSEGA-NATEETE'!N30,'25.07 BUSEGA-NATEETE'!N30,'26.07 BUSEGA-NATEETE'!N30,'27.07 52BUSEGA-NATEETEh'!N30,'28.07 NATEETE-BUSEGA'!N30)</f>
        <v>0</v>
      </c>
      <c r="O30" s="15">
        <f t="shared" si="0"/>
        <v>183.42857142857142</v>
      </c>
      <c r="P30" s="15">
        <f t="shared" si="1"/>
        <v>410.28571428571428</v>
      </c>
      <c r="R30" s="1" t="s">
        <v>154</v>
      </c>
      <c r="S30" s="34">
        <f>SUM(C90:C93)</f>
        <v>49</v>
      </c>
      <c r="T30" s="34">
        <f t="shared" ref="T30:AD30" si="22">SUM(D90:D93)</f>
        <v>8</v>
      </c>
      <c r="U30" s="34">
        <f t="shared" si="22"/>
        <v>6</v>
      </c>
      <c r="V30" s="34">
        <f t="shared" si="22"/>
        <v>10.5</v>
      </c>
      <c r="W30" s="34">
        <f t="shared" si="22"/>
        <v>2</v>
      </c>
      <c r="X30" s="34">
        <f t="shared" si="22"/>
        <v>13.5</v>
      </c>
      <c r="Y30" s="34">
        <f t="shared" si="22"/>
        <v>20</v>
      </c>
      <c r="Z30" s="34">
        <f t="shared" si="22"/>
        <v>31</v>
      </c>
      <c r="AA30" s="34">
        <f t="shared" si="22"/>
        <v>12.5</v>
      </c>
      <c r="AB30" s="34">
        <f t="shared" si="22"/>
        <v>5.5</v>
      </c>
      <c r="AC30" s="34">
        <f t="shared" si="22"/>
        <v>152.5</v>
      </c>
      <c r="AD30" s="34">
        <f t="shared" si="22"/>
        <v>0</v>
      </c>
      <c r="AE30" s="31">
        <f t="shared" si="13"/>
        <v>478.5</v>
      </c>
      <c r="AF30" s="31">
        <f t="shared" si="13"/>
        <v>1192</v>
      </c>
    </row>
    <row r="31" spans="2:32" ht="23.1" customHeight="1" x14ac:dyDescent="0.25">
      <c r="B31" s="24" t="s">
        <v>58</v>
      </c>
      <c r="C31" s="49">
        <f>AVERAGE('22.07 BUSEGA-NATEETE'!C31,'23.07 BUSEGA-NATEETE'!C31,'24.07 BUSEGA-NATEETE'!C31,'25.07 BUSEGA-NATEETE'!C31,'26.07 BUSEGA-NATEETE'!C31,'27.07 52BUSEGA-NATEETEh'!C31,'28.07 NATEETE-BUSEGA'!C31)</f>
        <v>55.571428571428569</v>
      </c>
      <c r="D31" s="49">
        <f>AVERAGE('22.07 BUSEGA-NATEETE'!D31,'23.07 BUSEGA-NATEETE'!D31,'24.07 BUSEGA-NATEETE'!D31,'25.07 BUSEGA-NATEETE'!D31,'26.07 BUSEGA-NATEETE'!D31,'27.07 52BUSEGA-NATEETEh'!D31,'28.07 NATEETE-BUSEGA'!D31)</f>
        <v>9.8571428571428577</v>
      </c>
      <c r="E31" s="49">
        <f>AVERAGE('22.07 BUSEGA-NATEETE'!E31,'23.07 BUSEGA-NATEETE'!E31,'24.07 BUSEGA-NATEETE'!E31,'25.07 BUSEGA-NATEETE'!E31,'26.07 BUSEGA-NATEETE'!E31,'27.07 52BUSEGA-NATEETEh'!E31,'28.07 NATEETE-BUSEGA'!E31)</f>
        <v>10.285714285714286</v>
      </c>
      <c r="F31" s="49">
        <f>AVERAGE('22.07 BUSEGA-NATEETE'!F31,'23.07 BUSEGA-NATEETE'!F31,'24.07 BUSEGA-NATEETE'!F31,'25.07 BUSEGA-NATEETE'!F31,'26.07 BUSEGA-NATEETE'!F31,'27.07 52BUSEGA-NATEETEh'!F31,'28.07 NATEETE-BUSEGA'!F31)</f>
        <v>53.857142857142854</v>
      </c>
      <c r="G31" s="49">
        <f>AVERAGE('22.07 BUSEGA-NATEETE'!G31,'23.07 BUSEGA-NATEETE'!G31,'24.07 BUSEGA-NATEETE'!G31,'25.07 BUSEGA-NATEETE'!G31,'26.07 BUSEGA-NATEETE'!G31,'27.07 52BUSEGA-NATEETEh'!G31,'28.07 NATEETE-BUSEGA'!G31)</f>
        <v>1.8571428571428572</v>
      </c>
      <c r="H31" s="49">
        <f>AVERAGE('22.07 BUSEGA-NATEETE'!H31,'23.07 BUSEGA-NATEETE'!H31,'24.07 BUSEGA-NATEETE'!H31,'25.07 BUSEGA-NATEETE'!H31,'26.07 BUSEGA-NATEETE'!H31,'27.07 52BUSEGA-NATEETEh'!H31,'28.07 NATEETE-BUSEGA'!H31)</f>
        <v>1</v>
      </c>
      <c r="I31" s="49">
        <f>AVERAGE('22.07 BUSEGA-NATEETE'!I31,'23.07 BUSEGA-NATEETE'!I31,'24.07 BUSEGA-NATEETE'!I31,'25.07 BUSEGA-NATEETE'!I31,'26.07 BUSEGA-NATEETE'!I31,'27.07 52BUSEGA-NATEETEh'!I31,'28.07 NATEETE-BUSEGA'!I31)</f>
        <v>8</v>
      </c>
      <c r="J31" s="49">
        <f>AVERAGE('22.07 BUSEGA-NATEETE'!J31,'23.07 BUSEGA-NATEETE'!J31,'24.07 BUSEGA-NATEETE'!J31,'25.07 BUSEGA-NATEETE'!J31,'26.07 BUSEGA-NATEETE'!J31,'27.07 52BUSEGA-NATEETEh'!J31,'28.07 NATEETE-BUSEGA'!J31)</f>
        <v>4.5714285714285712</v>
      </c>
      <c r="K31" s="49">
        <f>AVERAGE('22.07 BUSEGA-NATEETE'!K31,'23.07 BUSEGA-NATEETE'!K31,'24.07 BUSEGA-NATEETE'!K31,'25.07 BUSEGA-NATEETE'!K31,'26.07 BUSEGA-NATEETE'!K31,'27.07 52BUSEGA-NATEETEh'!K31,'28.07 NATEETE-BUSEGA'!K31)</f>
        <v>1.7142857142857142</v>
      </c>
      <c r="L31" s="49">
        <f>AVERAGE('22.07 BUSEGA-NATEETE'!L31,'23.07 BUSEGA-NATEETE'!L31,'24.07 BUSEGA-NATEETE'!L31,'25.07 BUSEGA-NATEETE'!L31,'26.07 BUSEGA-NATEETE'!L31,'27.07 52BUSEGA-NATEETEh'!L31,'28.07 NATEETE-BUSEGA'!L31)</f>
        <v>2.1428571428571428</v>
      </c>
      <c r="M31" s="49">
        <f>AVERAGE('22.07 BUSEGA-NATEETE'!M31,'23.07 BUSEGA-NATEETE'!M31,'24.07 BUSEGA-NATEETE'!M31,'25.07 BUSEGA-NATEETE'!M31,'26.07 BUSEGA-NATEETE'!M31,'27.07 52BUSEGA-NATEETEh'!M31,'28.07 NATEETE-BUSEGA'!M31)</f>
        <v>195.28571428571428</v>
      </c>
      <c r="N31" s="49">
        <f>AVERAGE('22.07 BUSEGA-NATEETE'!N31,'23.07 BUSEGA-NATEETE'!N31,'24.07 BUSEGA-NATEETE'!N31,'25.07 BUSEGA-NATEETE'!N31,'26.07 BUSEGA-NATEETE'!N31,'27.07 52BUSEGA-NATEETEh'!N31,'28.07 NATEETE-BUSEGA'!N31)</f>
        <v>0</v>
      </c>
      <c r="O31" s="15">
        <f t="shared" si="0"/>
        <v>148.85714285714289</v>
      </c>
      <c r="P31" s="15">
        <f t="shared" si="1"/>
        <v>344.14285714285717</v>
      </c>
      <c r="R31" s="1" t="s">
        <v>155</v>
      </c>
      <c r="S31" s="34">
        <f>SUM(C94:C97)</f>
        <v>38</v>
      </c>
      <c r="T31" s="34">
        <f t="shared" ref="T31:AD31" si="23">SUM(D94:D97)</f>
        <v>6</v>
      </c>
      <c r="U31" s="34">
        <f t="shared" si="23"/>
        <v>7</v>
      </c>
      <c r="V31" s="34">
        <f t="shared" si="23"/>
        <v>21.5</v>
      </c>
      <c r="W31" s="34">
        <f t="shared" si="23"/>
        <v>10</v>
      </c>
      <c r="X31" s="34">
        <f t="shared" si="23"/>
        <v>29.5</v>
      </c>
      <c r="Y31" s="34">
        <f t="shared" si="23"/>
        <v>25.5</v>
      </c>
      <c r="Z31" s="34">
        <f t="shared" si="23"/>
        <v>53.5</v>
      </c>
      <c r="AA31" s="34">
        <f t="shared" si="23"/>
        <v>27</v>
      </c>
      <c r="AB31" s="34">
        <f t="shared" si="23"/>
        <v>11</v>
      </c>
      <c r="AC31" s="34">
        <f t="shared" si="23"/>
        <v>224.5</v>
      </c>
      <c r="AD31" s="34">
        <f t="shared" si="23"/>
        <v>0</v>
      </c>
      <c r="AE31" s="31">
        <f t="shared" si="13"/>
        <v>454</v>
      </c>
      <c r="AF31" s="31">
        <f t="shared" si="13"/>
        <v>1152.5</v>
      </c>
    </row>
    <row r="32" spans="2:32" ht="23.1" customHeight="1" x14ac:dyDescent="0.25">
      <c r="B32" s="24" t="s">
        <v>59</v>
      </c>
      <c r="C32" s="49">
        <f>AVERAGE('22.07 BUSEGA-NATEETE'!C32,'23.07 BUSEGA-NATEETE'!C32,'24.07 BUSEGA-NATEETE'!C32,'25.07 BUSEGA-NATEETE'!C32,'26.07 BUSEGA-NATEETE'!C32,'27.07 52BUSEGA-NATEETEh'!C32,'28.07 NATEETE-BUSEGA'!C32)</f>
        <v>65.285714285714292</v>
      </c>
      <c r="D32" s="49">
        <f>AVERAGE('22.07 BUSEGA-NATEETE'!D32,'23.07 BUSEGA-NATEETE'!D32,'24.07 BUSEGA-NATEETE'!D32,'25.07 BUSEGA-NATEETE'!D32,'26.07 BUSEGA-NATEETE'!D32,'27.07 52BUSEGA-NATEETEh'!D32,'28.07 NATEETE-BUSEGA'!D32)</f>
        <v>11.285714285714286</v>
      </c>
      <c r="E32" s="49">
        <f>AVERAGE('22.07 BUSEGA-NATEETE'!E32,'23.07 BUSEGA-NATEETE'!E32,'24.07 BUSEGA-NATEETE'!E32,'25.07 BUSEGA-NATEETE'!E32,'26.07 BUSEGA-NATEETE'!E32,'27.07 52BUSEGA-NATEETEh'!E32,'28.07 NATEETE-BUSEGA'!E32)</f>
        <v>7.5714285714285712</v>
      </c>
      <c r="F32" s="49">
        <f>AVERAGE('22.07 BUSEGA-NATEETE'!F32,'23.07 BUSEGA-NATEETE'!F32,'24.07 BUSEGA-NATEETE'!F32,'25.07 BUSEGA-NATEETE'!F32,'26.07 BUSEGA-NATEETE'!F32,'27.07 52BUSEGA-NATEETEh'!F32,'28.07 NATEETE-BUSEGA'!F32)</f>
        <v>61.571428571428569</v>
      </c>
      <c r="G32" s="49">
        <f>AVERAGE('22.07 BUSEGA-NATEETE'!G32,'23.07 BUSEGA-NATEETE'!G32,'24.07 BUSEGA-NATEETE'!G32,'25.07 BUSEGA-NATEETE'!G32,'26.07 BUSEGA-NATEETE'!G32,'27.07 52BUSEGA-NATEETEh'!G32,'28.07 NATEETE-BUSEGA'!G32)</f>
        <v>1</v>
      </c>
      <c r="H32" s="49">
        <f>AVERAGE('22.07 BUSEGA-NATEETE'!H32,'23.07 BUSEGA-NATEETE'!H32,'24.07 BUSEGA-NATEETE'!H32,'25.07 BUSEGA-NATEETE'!H32,'26.07 BUSEGA-NATEETE'!H32,'27.07 52BUSEGA-NATEETEh'!H32,'28.07 NATEETE-BUSEGA'!H32)</f>
        <v>1.5714285714285714</v>
      </c>
      <c r="I32" s="49">
        <f>AVERAGE('22.07 BUSEGA-NATEETE'!I32,'23.07 BUSEGA-NATEETE'!I32,'24.07 BUSEGA-NATEETE'!I32,'25.07 BUSEGA-NATEETE'!I32,'26.07 BUSEGA-NATEETE'!I32,'27.07 52BUSEGA-NATEETEh'!I32,'28.07 NATEETE-BUSEGA'!I32)</f>
        <v>10.857142857142858</v>
      </c>
      <c r="J32" s="49">
        <f>AVERAGE('22.07 BUSEGA-NATEETE'!J32,'23.07 BUSEGA-NATEETE'!J32,'24.07 BUSEGA-NATEETE'!J32,'25.07 BUSEGA-NATEETE'!J32,'26.07 BUSEGA-NATEETE'!J32,'27.07 52BUSEGA-NATEETEh'!J32,'28.07 NATEETE-BUSEGA'!J32)</f>
        <v>5.8571428571428568</v>
      </c>
      <c r="K32" s="49">
        <f>AVERAGE('22.07 BUSEGA-NATEETE'!K32,'23.07 BUSEGA-NATEETE'!K32,'24.07 BUSEGA-NATEETE'!K32,'25.07 BUSEGA-NATEETE'!K32,'26.07 BUSEGA-NATEETE'!K32,'27.07 52BUSEGA-NATEETEh'!K32,'28.07 NATEETE-BUSEGA'!K32)</f>
        <v>1.7142857142857142</v>
      </c>
      <c r="L32" s="49">
        <f>AVERAGE('22.07 BUSEGA-NATEETE'!L32,'23.07 BUSEGA-NATEETE'!L32,'24.07 BUSEGA-NATEETE'!L32,'25.07 BUSEGA-NATEETE'!L32,'26.07 BUSEGA-NATEETE'!L32,'27.07 52BUSEGA-NATEETEh'!L32,'28.07 NATEETE-BUSEGA'!L32)</f>
        <v>3.7142857142857144</v>
      </c>
      <c r="M32" s="49">
        <f>AVERAGE('22.07 BUSEGA-NATEETE'!M32,'23.07 BUSEGA-NATEETE'!M32,'24.07 BUSEGA-NATEETE'!M32,'25.07 BUSEGA-NATEETE'!M32,'26.07 BUSEGA-NATEETE'!M32,'27.07 52BUSEGA-NATEETEh'!M32,'28.07 NATEETE-BUSEGA'!M32)</f>
        <v>171</v>
      </c>
      <c r="N32" s="49">
        <f>AVERAGE('22.07 BUSEGA-NATEETE'!N32,'23.07 BUSEGA-NATEETE'!N32,'24.07 BUSEGA-NATEETE'!N32,'25.07 BUSEGA-NATEETE'!N32,'26.07 BUSEGA-NATEETE'!N32,'27.07 52BUSEGA-NATEETEh'!N32,'28.07 NATEETE-BUSEGA'!N32)</f>
        <v>0</v>
      </c>
      <c r="O32" s="15">
        <f t="shared" si="0"/>
        <v>170.42857142857147</v>
      </c>
      <c r="P32" s="15">
        <f t="shared" si="1"/>
        <v>341.42857142857144</v>
      </c>
      <c r="R32" s="1" t="s">
        <v>156</v>
      </c>
      <c r="S32" s="34">
        <f>SUM(C98:C101)</f>
        <v>56</v>
      </c>
      <c r="T32" s="34">
        <f t="shared" ref="T32:AD32" si="24">SUM(D98:D101)</f>
        <v>6</v>
      </c>
      <c r="U32" s="34">
        <f t="shared" si="24"/>
        <v>20.5</v>
      </c>
      <c r="V32" s="34">
        <f t="shared" si="24"/>
        <v>107</v>
      </c>
      <c r="W32" s="34">
        <f t="shared" si="24"/>
        <v>5</v>
      </c>
      <c r="X32" s="34">
        <f t="shared" si="24"/>
        <v>11.5</v>
      </c>
      <c r="Y32" s="34">
        <f t="shared" si="24"/>
        <v>32</v>
      </c>
      <c r="Z32" s="34">
        <f t="shared" si="24"/>
        <v>25.5</v>
      </c>
      <c r="AA32" s="34">
        <f t="shared" si="24"/>
        <v>11.5</v>
      </c>
      <c r="AB32" s="34">
        <f t="shared" si="24"/>
        <v>11.5</v>
      </c>
      <c r="AC32" s="34">
        <f t="shared" si="24"/>
        <v>253.5</v>
      </c>
      <c r="AD32" s="34">
        <f t="shared" si="24"/>
        <v>0</v>
      </c>
      <c r="AE32" s="31">
        <f t="shared" si="13"/>
        <v>398</v>
      </c>
      <c r="AF32" s="31">
        <f t="shared" si="13"/>
        <v>1079</v>
      </c>
    </row>
    <row r="33" spans="2:32" ht="23.1" customHeight="1" x14ac:dyDescent="0.25">
      <c r="B33" s="23" t="s">
        <v>60</v>
      </c>
      <c r="C33" s="49">
        <f>AVERAGE('22.07 BUSEGA-NATEETE'!C33,'23.07 BUSEGA-NATEETE'!C33,'24.07 BUSEGA-NATEETE'!C33,'25.07 BUSEGA-NATEETE'!C33,'26.07 BUSEGA-NATEETE'!C33,'27.07 52BUSEGA-NATEETEh'!C33,'28.07 NATEETE-BUSEGA'!C33)</f>
        <v>69.857142857142861</v>
      </c>
      <c r="D33" s="49">
        <f>AVERAGE('22.07 BUSEGA-NATEETE'!D33,'23.07 BUSEGA-NATEETE'!D33,'24.07 BUSEGA-NATEETE'!D33,'25.07 BUSEGA-NATEETE'!D33,'26.07 BUSEGA-NATEETE'!D33,'27.07 52BUSEGA-NATEETEh'!D33,'28.07 NATEETE-BUSEGA'!D33)</f>
        <v>10.714285714285714</v>
      </c>
      <c r="E33" s="49">
        <f>AVERAGE('22.07 BUSEGA-NATEETE'!E33,'23.07 BUSEGA-NATEETE'!E33,'24.07 BUSEGA-NATEETE'!E33,'25.07 BUSEGA-NATEETE'!E33,'26.07 BUSEGA-NATEETE'!E33,'27.07 52BUSEGA-NATEETEh'!E33,'28.07 NATEETE-BUSEGA'!E33)</f>
        <v>10.714285714285714</v>
      </c>
      <c r="F33" s="49">
        <f>AVERAGE('22.07 BUSEGA-NATEETE'!F33,'23.07 BUSEGA-NATEETE'!F33,'24.07 BUSEGA-NATEETE'!F33,'25.07 BUSEGA-NATEETE'!F33,'26.07 BUSEGA-NATEETE'!F33,'27.07 52BUSEGA-NATEETEh'!F33,'28.07 NATEETE-BUSEGA'!F33)</f>
        <v>66</v>
      </c>
      <c r="G33" s="49">
        <f>AVERAGE('22.07 BUSEGA-NATEETE'!G33,'23.07 BUSEGA-NATEETE'!G33,'24.07 BUSEGA-NATEETE'!G33,'25.07 BUSEGA-NATEETE'!G33,'26.07 BUSEGA-NATEETE'!G33,'27.07 52BUSEGA-NATEETEh'!G33,'28.07 NATEETE-BUSEGA'!G33)</f>
        <v>0.2857142857142857</v>
      </c>
      <c r="H33" s="49">
        <f>AVERAGE('22.07 BUSEGA-NATEETE'!H33,'23.07 BUSEGA-NATEETE'!H33,'24.07 BUSEGA-NATEETE'!H33,'25.07 BUSEGA-NATEETE'!H33,'26.07 BUSEGA-NATEETE'!H33,'27.07 52BUSEGA-NATEETEh'!H33,'28.07 NATEETE-BUSEGA'!H33)</f>
        <v>1.8571428571428572</v>
      </c>
      <c r="I33" s="49">
        <f>AVERAGE('22.07 BUSEGA-NATEETE'!I33,'23.07 BUSEGA-NATEETE'!I33,'24.07 BUSEGA-NATEETE'!I33,'25.07 BUSEGA-NATEETE'!I33,'26.07 BUSEGA-NATEETE'!I33,'27.07 52BUSEGA-NATEETEh'!I33,'28.07 NATEETE-BUSEGA'!I33)</f>
        <v>9</v>
      </c>
      <c r="J33" s="49">
        <f>AVERAGE('22.07 BUSEGA-NATEETE'!J33,'23.07 BUSEGA-NATEETE'!J33,'24.07 BUSEGA-NATEETE'!J33,'25.07 BUSEGA-NATEETE'!J33,'26.07 BUSEGA-NATEETE'!J33,'27.07 52BUSEGA-NATEETEh'!J33,'28.07 NATEETE-BUSEGA'!J33)</f>
        <v>4.8571428571428568</v>
      </c>
      <c r="K33" s="49">
        <f>AVERAGE('22.07 BUSEGA-NATEETE'!K33,'23.07 BUSEGA-NATEETE'!K33,'24.07 BUSEGA-NATEETE'!K33,'25.07 BUSEGA-NATEETE'!K33,'26.07 BUSEGA-NATEETE'!K33,'27.07 52BUSEGA-NATEETEh'!K33,'28.07 NATEETE-BUSEGA'!K33)</f>
        <v>2.2857142857142856</v>
      </c>
      <c r="L33" s="49">
        <f>AVERAGE('22.07 BUSEGA-NATEETE'!L33,'23.07 BUSEGA-NATEETE'!L33,'24.07 BUSEGA-NATEETE'!L33,'25.07 BUSEGA-NATEETE'!L33,'26.07 BUSEGA-NATEETE'!L33,'27.07 52BUSEGA-NATEETEh'!L33,'28.07 NATEETE-BUSEGA'!L33)</f>
        <v>1.7142857142857142</v>
      </c>
      <c r="M33" s="49">
        <f>AVERAGE('22.07 BUSEGA-NATEETE'!M33,'23.07 BUSEGA-NATEETE'!M33,'24.07 BUSEGA-NATEETE'!M33,'25.07 BUSEGA-NATEETE'!M33,'26.07 BUSEGA-NATEETE'!M33,'27.07 52BUSEGA-NATEETEh'!M33,'28.07 NATEETE-BUSEGA'!M33)</f>
        <v>172.85714285714286</v>
      </c>
      <c r="N33" s="49">
        <f>AVERAGE('22.07 BUSEGA-NATEETE'!N33,'23.07 BUSEGA-NATEETE'!N33,'24.07 BUSEGA-NATEETE'!N33,'25.07 BUSEGA-NATEETE'!N33,'26.07 BUSEGA-NATEETE'!N33,'27.07 52BUSEGA-NATEETEh'!N33,'28.07 NATEETE-BUSEGA'!N33)</f>
        <v>0</v>
      </c>
      <c r="O33" s="15">
        <f t="shared" si="0"/>
        <v>177.28571428571428</v>
      </c>
      <c r="P33" s="15">
        <f t="shared" si="1"/>
        <v>350.14285714285711</v>
      </c>
      <c r="R33" s="1" t="s">
        <v>157</v>
      </c>
      <c r="S33" s="34">
        <f>SUM(C102:C105)</f>
        <v>164</v>
      </c>
      <c r="T33" s="34">
        <f t="shared" ref="T33:AD33" si="25">SUM(D102:D105)</f>
        <v>14.5</v>
      </c>
      <c r="U33" s="34">
        <f t="shared" si="25"/>
        <v>34.5</v>
      </c>
      <c r="V33" s="34">
        <f t="shared" si="25"/>
        <v>210</v>
      </c>
      <c r="W33" s="34">
        <f t="shared" si="25"/>
        <v>3</v>
      </c>
      <c r="X33" s="34">
        <f t="shared" si="25"/>
        <v>4</v>
      </c>
      <c r="Y33" s="34">
        <f t="shared" si="25"/>
        <v>28</v>
      </c>
      <c r="Z33" s="34">
        <f t="shared" si="25"/>
        <v>34</v>
      </c>
      <c r="AA33" s="34">
        <f t="shared" si="25"/>
        <v>6.5</v>
      </c>
      <c r="AB33" s="34">
        <f t="shared" si="25"/>
        <v>5</v>
      </c>
      <c r="AC33" s="34">
        <f t="shared" si="25"/>
        <v>445.5</v>
      </c>
      <c r="AD33" s="34">
        <f t="shared" si="25"/>
        <v>0</v>
      </c>
      <c r="AE33" s="31">
        <f t="shared" si="13"/>
        <v>372</v>
      </c>
      <c r="AF33" s="31">
        <f t="shared" si="13"/>
        <v>1003</v>
      </c>
    </row>
    <row r="34" spans="2:32" ht="23.1" customHeight="1" x14ac:dyDescent="0.25">
      <c r="B34" s="24" t="s">
        <v>61</v>
      </c>
      <c r="C34" s="49">
        <f>AVERAGE('22.07 BUSEGA-NATEETE'!C34,'23.07 BUSEGA-NATEETE'!C34,'24.07 BUSEGA-NATEETE'!C34,'25.07 BUSEGA-NATEETE'!C34,'26.07 BUSEGA-NATEETE'!C34,'27.07 52BUSEGA-NATEETEh'!C34,'28.07 NATEETE-BUSEGA'!C34)</f>
        <v>68</v>
      </c>
      <c r="D34" s="49">
        <f>AVERAGE('22.07 BUSEGA-NATEETE'!D34,'23.07 BUSEGA-NATEETE'!D34,'24.07 BUSEGA-NATEETE'!D34,'25.07 BUSEGA-NATEETE'!D34,'26.07 BUSEGA-NATEETE'!D34,'27.07 52BUSEGA-NATEETEh'!D34,'28.07 NATEETE-BUSEGA'!D34)</f>
        <v>5.7142857142857144</v>
      </c>
      <c r="E34" s="49">
        <f>AVERAGE('22.07 BUSEGA-NATEETE'!E34,'23.07 BUSEGA-NATEETE'!E34,'24.07 BUSEGA-NATEETE'!E34,'25.07 BUSEGA-NATEETE'!E34,'26.07 BUSEGA-NATEETE'!E34,'27.07 52BUSEGA-NATEETEh'!E34,'28.07 NATEETE-BUSEGA'!E34)</f>
        <v>9</v>
      </c>
      <c r="F34" s="49">
        <f>AVERAGE('22.07 BUSEGA-NATEETE'!F34,'23.07 BUSEGA-NATEETE'!F34,'24.07 BUSEGA-NATEETE'!F34,'25.07 BUSEGA-NATEETE'!F34,'26.07 BUSEGA-NATEETE'!F34,'27.07 52BUSEGA-NATEETEh'!F34,'28.07 NATEETE-BUSEGA'!F34)</f>
        <v>58.714285714285715</v>
      </c>
      <c r="G34" s="49">
        <f>AVERAGE('22.07 BUSEGA-NATEETE'!G34,'23.07 BUSEGA-NATEETE'!G34,'24.07 BUSEGA-NATEETE'!G34,'25.07 BUSEGA-NATEETE'!G34,'26.07 BUSEGA-NATEETE'!G34,'27.07 52BUSEGA-NATEETEh'!G34,'28.07 NATEETE-BUSEGA'!G34)</f>
        <v>0.8571428571428571</v>
      </c>
      <c r="H34" s="49">
        <f>AVERAGE('22.07 BUSEGA-NATEETE'!H34,'23.07 BUSEGA-NATEETE'!H34,'24.07 BUSEGA-NATEETE'!H34,'25.07 BUSEGA-NATEETE'!H34,'26.07 BUSEGA-NATEETE'!H34,'27.07 52BUSEGA-NATEETEh'!H34,'28.07 NATEETE-BUSEGA'!H34)</f>
        <v>0.8571428571428571</v>
      </c>
      <c r="I34" s="49">
        <f>AVERAGE('22.07 BUSEGA-NATEETE'!I34,'23.07 BUSEGA-NATEETE'!I34,'24.07 BUSEGA-NATEETE'!I34,'25.07 BUSEGA-NATEETE'!I34,'26.07 BUSEGA-NATEETE'!I34,'27.07 52BUSEGA-NATEETEh'!I34,'28.07 NATEETE-BUSEGA'!I34)</f>
        <v>8.4285714285714288</v>
      </c>
      <c r="J34" s="49">
        <f>AVERAGE('22.07 BUSEGA-NATEETE'!J34,'23.07 BUSEGA-NATEETE'!J34,'24.07 BUSEGA-NATEETE'!J34,'25.07 BUSEGA-NATEETE'!J34,'26.07 BUSEGA-NATEETE'!J34,'27.07 52BUSEGA-NATEETEh'!J34,'28.07 NATEETE-BUSEGA'!J34)</f>
        <v>4.8571428571428568</v>
      </c>
      <c r="K34" s="49">
        <f>AVERAGE('22.07 BUSEGA-NATEETE'!K34,'23.07 BUSEGA-NATEETE'!K34,'24.07 BUSEGA-NATEETE'!K34,'25.07 BUSEGA-NATEETE'!K34,'26.07 BUSEGA-NATEETE'!K34,'27.07 52BUSEGA-NATEETEh'!K34,'28.07 NATEETE-BUSEGA'!K34)</f>
        <v>2.2857142857142856</v>
      </c>
      <c r="L34" s="49">
        <f>AVERAGE('22.07 BUSEGA-NATEETE'!L34,'23.07 BUSEGA-NATEETE'!L34,'24.07 BUSEGA-NATEETE'!L34,'25.07 BUSEGA-NATEETE'!L34,'26.07 BUSEGA-NATEETE'!L34,'27.07 52BUSEGA-NATEETEh'!L34,'28.07 NATEETE-BUSEGA'!L34)</f>
        <v>2.8571428571428572</v>
      </c>
      <c r="M34" s="49">
        <f>AVERAGE('22.07 BUSEGA-NATEETE'!M34,'23.07 BUSEGA-NATEETE'!M34,'24.07 BUSEGA-NATEETE'!M34,'25.07 BUSEGA-NATEETE'!M34,'26.07 BUSEGA-NATEETE'!M34,'27.07 52BUSEGA-NATEETEh'!M34,'28.07 NATEETE-BUSEGA'!M34)</f>
        <v>200.14285714285714</v>
      </c>
      <c r="N34" s="49">
        <f>AVERAGE('22.07 BUSEGA-NATEETE'!N34,'23.07 BUSEGA-NATEETE'!N34,'24.07 BUSEGA-NATEETE'!N34,'25.07 BUSEGA-NATEETE'!N34,'26.07 BUSEGA-NATEETE'!N34,'27.07 52BUSEGA-NATEETEh'!N34,'28.07 NATEETE-BUSEGA'!N34)</f>
        <v>0</v>
      </c>
      <c r="O34" s="15">
        <f t="shared" si="0"/>
        <v>161.57142857142856</v>
      </c>
      <c r="P34" s="15">
        <f t="shared" si="1"/>
        <v>361.71428571428567</v>
      </c>
      <c r="R34" s="38" t="s">
        <v>90</v>
      </c>
      <c r="S34" s="39">
        <f t="shared" ref="S34:AF34" si="26">MAX(S10:S12)</f>
        <v>333.28571428571433</v>
      </c>
      <c r="T34" s="39">
        <f t="shared" si="26"/>
        <v>39.571428571428569</v>
      </c>
      <c r="U34" s="39">
        <f t="shared" si="26"/>
        <v>33.571428571428569</v>
      </c>
      <c r="V34" s="39">
        <f t="shared" si="26"/>
        <v>266.85714285714283</v>
      </c>
      <c r="W34" s="39">
        <f t="shared" si="26"/>
        <v>11.571428571428571</v>
      </c>
      <c r="X34" s="39">
        <f t="shared" si="26"/>
        <v>3.5714285714285712</v>
      </c>
      <c r="Y34" s="39">
        <f t="shared" si="26"/>
        <v>33.142857142857146</v>
      </c>
      <c r="Z34" s="39">
        <f t="shared" si="26"/>
        <v>22.428571428571431</v>
      </c>
      <c r="AA34" s="39">
        <f t="shared" si="26"/>
        <v>6.7142857142857144</v>
      </c>
      <c r="AB34" s="39">
        <f t="shared" si="26"/>
        <v>6.4285714285714288</v>
      </c>
      <c r="AC34" s="39">
        <f t="shared" si="26"/>
        <v>1052.4285714285713</v>
      </c>
      <c r="AD34" s="39">
        <f t="shared" si="26"/>
        <v>0</v>
      </c>
      <c r="AE34" s="40">
        <f t="shared" si="26"/>
        <v>751.57142857142856</v>
      </c>
      <c r="AF34" s="40">
        <f t="shared" si="26"/>
        <v>1761.285714285714</v>
      </c>
    </row>
    <row r="35" spans="2:32" ht="23.1" customHeight="1" x14ac:dyDescent="0.25">
      <c r="B35" s="24" t="s">
        <v>62</v>
      </c>
      <c r="C35" s="49">
        <f>AVERAGE('22.07 BUSEGA-NATEETE'!C35,'23.07 BUSEGA-NATEETE'!C35,'24.07 BUSEGA-NATEETE'!C35,'25.07 BUSEGA-NATEETE'!C35,'26.07 BUSEGA-NATEETE'!C35,'27.07 52BUSEGA-NATEETEh'!C35,'28.07 NATEETE-BUSEGA'!C35)</f>
        <v>60.428571428571431</v>
      </c>
      <c r="D35" s="49">
        <f>AVERAGE('22.07 BUSEGA-NATEETE'!D35,'23.07 BUSEGA-NATEETE'!D35,'24.07 BUSEGA-NATEETE'!D35,'25.07 BUSEGA-NATEETE'!D35,'26.07 BUSEGA-NATEETE'!D35,'27.07 52BUSEGA-NATEETEh'!D35,'28.07 NATEETE-BUSEGA'!D35)</f>
        <v>11.428571428571429</v>
      </c>
      <c r="E35" s="49">
        <f>AVERAGE('22.07 BUSEGA-NATEETE'!E35,'23.07 BUSEGA-NATEETE'!E35,'24.07 BUSEGA-NATEETE'!E35,'25.07 BUSEGA-NATEETE'!E35,'26.07 BUSEGA-NATEETE'!E35,'27.07 52BUSEGA-NATEETEh'!E35,'28.07 NATEETE-BUSEGA'!E35)</f>
        <v>7.5714285714285712</v>
      </c>
      <c r="F35" s="49">
        <f>AVERAGE('22.07 BUSEGA-NATEETE'!F35,'23.07 BUSEGA-NATEETE'!F35,'24.07 BUSEGA-NATEETE'!F35,'25.07 BUSEGA-NATEETE'!F35,'26.07 BUSEGA-NATEETE'!F35,'27.07 52BUSEGA-NATEETEh'!F35,'28.07 NATEETE-BUSEGA'!F35)</f>
        <v>68.142857142857139</v>
      </c>
      <c r="G35" s="49">
        <f>AVERAGE('22.07 BUSEGA-NATEETE'!G35,'23.07 BUSEGA-NATEETE'!G35,'24.07 BUSEGA-NATEETE'!G35,'25.07 BUSEGA-NATEETE'!G35,'26.07 BUSEGA-NATEETE'!G35,'27.07 52BUSEGA-NATEETEh'!G35,'28.07 NATEETE-BUSEGA'!G35)</f>
        <v>0.8571428571428571</v>
      </c>
      <c r="H35" s="49">
        <f>AVERAGE('22.07 BUSEGA-NATEETE'!H35,'23.07 BUSEGA-NATEETE'!H35,'24.07 BUSEGA-NATEETE'!H35,'25.07 BUSEGA-NATEETE'!H35,'26.07 BUSEGA-NATEETE'!H35,'27.07 52BUSEGA-NATEETEh'!H35,'28.07 NATEETE-BUSEGA'!H35)</f>
        <v>1.7142857142857142</v>
      </c>
      <c r="I35" s="49">
        <f>AVERAGE('22.07 BUSEGA-NATEETE'!I35,'23.07 BUSEGA-NATEETE'!I35,'24.07 BUSEGA-NATEETE'!I35,'25.07 BUSEGA-NATEETE'!I35,'26.07 BUSEGA-NATEETE'!I35,'27.07 52BUSEGA-NATEETEh'!I35,'28.07 NATEETE-BUSEGA'!I35)</f>
        <v>9.2857142857142865</v>
      </c>
      <c r="J35" s="49">
        <f>AVERAGE('22.07 BUSEGA-NATEETE'!J35,'23.07 BUSEGA-NATEETE'!J35,'24.07 BUSEGA-NATEETE'!J35,'25.07 BUSEGA-NATEETE'!J35,'26.07 BUSEGA-NATEETE'!J35,'27.07 52BUSEGA-NATEETEh'!J35,'28.07 NATEETE-BUSEGA'!J35)</f>
        <v>7.2857142857142856</v>
      </c>
      <c r="K35" s="49">
        <f>AVERAGE('22.07 BUSEGA-NATEETE'!K35,'23.07 BUSEGA-NATEETE'!K35,'24.07 BUSEGA-NATEETE'!K35,'25.07 BUSEGA-NATEETE'!K35,'26.07 BUSEGA-NATEETE'!K35,'27.07 52BUSEGA-NATEETEh'!K35,'28.07 NATEETE-BUSEGA'!K35)</f>
        <v>1.8571428571428572</v>
      </c>
      <c r="L35" s="49">
        <f>AVERAGE('22.07 BUSEGA-NATEETE'!L35,'23.07 BUSEGA-NATEETE'!L35,'24.07 BUSEGA-NATEETE'!L35,'25.07 BUSEGA-NATEETE'!L35,'26.07 BUSEGA-NATEETE'!L35,'27.07 52BUSEGA-NATEETEh'!L35,'28.07 NATEETE-BUSEGA'!L35)</f>
        <v>2.8571428571428572</v>
      </c>
      <c r="M35" s="49">
        <f>AVERAGE('22.07 BUSEGA-NATEETE'!M35,'23.07 BUSEGA-NATEETE'!M35,'24.07 BUSEGA-NATEETE'!M35,'25.07 BUSEGA-NATEETE'!M35,'26.07 BUSEGA-NATEETE'!M35,'27.07 52BUSEGA-NATEETEh'!M35,'28.07 NATEETE-BUSEGA'!M35)</f>
        <v>211.85714285714286</v>
      </c>
      <c r="N35" s="49">
        <f>AVERAGE('22.07 BUSEGA-NATEETE'!N35,'23.07 BUSEGA-NATEETE'!N35,'24.07 BUSEGA-NATEETE'!N35,'25.07 BUSEGA-NATEETE'!N35,'26.07 BUSEGA-NATEETE'!N35,'27.07 52BUSEGA-NATEETEh'!N35,'28.07 NATEETE-BUSEGA'!N35)</f>
        <v>0</v>
      </c>
      <c r="O35" s="15">
        <f t="shared" si="0"/>
        <v>171.42857142857142</v>
      </c>
      <c r="P35" s="15">
        <f t="shared" si="1"/>
        <v>383.28571428571428</v>
      </c>
      <c r="R35" s="38" t="s">
        <v>91</v>
      </c>
      <c r="S35" s="39">
        <f t="shared" ref="S35:AF35" si="27">MAX(S13:S18)</f>
        <v>291</v>
      </c>
      <c r="T35" s="39">
        <f t="shared" si="27"/>
        <v>48</v>
      </c>
      <c r="U35" s="39">
        <f t="shared" si="27"/>
        <v>43.285714285714278</v>
      </c>
      <c r="V35" s="39">
        <f t="shared" si="27"/>
        <v>259.42857142857144</v>
      </c>
      <c r="W35" s="39">
        <f t="shared" si="27"/>
        <v>9.571428571428573</v>
      </c>
      <c r="X35" s="39">
        <f t="shared" si="27"/>
        <v>8.7142857142857135</v>
      </c>
      <c r="Y35" s="39">
        <f t="shared" si="27"/>
        <v>44.428571428571431</v>
      </c>
      <c r="Z35" s="39">
        <f t="shared" si="27"/>
        <v>32.428571428571431</v>
      </c>
      <c r="AA35" s="39">
        <f t="shared" si="27"/>
        <v>12.571428571428573</v>
      </c>
      <c r="AB35" s="39">
        <f t="shared" si="27"/>
        <v>37.142857142857139</v>
      </c>
      <c r="AC35" s="39">
        <f t="shared" si="27"/>
        <v>928.57142857142856</v>
      </c>
      <c r="AD35" s="39">
        <f t="shared" si="27"/>
        <v>0</v>
      </c>
      <c r="AE35" s="40">
        <f t="shared" si="27"/>
        <v>703.42857142857144</v>
      </c>
      <c r="AF35" s="40">
        <f t="shared" si="27"/>
        <v>1615.4285714285713</v>
      </c>
    </row>
    <row r="36" spans="2:32" ht="23.1" customHeight="1" x14ac:dyDescent="0.25">
      <c r="B36" s="24" t="s">
        <v>63</v>
      </c>
      <c r="C36" s="49">
        <f>AVERAGE('22.07 BUSEGA-NATEETE'!C36,'23.07 BUSEGA-NATEETE'!C36,'24.07 BUSEGA-NATEETE'!C36,'25.07 BUSEGA-NATEETE'!C36,'26.07 BUSEGA-NATEETE'!C36,'27.07 52BUSEGA-NATEETEh'!C36,'28.07 NATEETE-BUSEGA'!C36)</f>
        <v>67</v>
      </c>
      <c r="D36" s="49">
        <f>AVERAGE('22.07 BUSEGA-NATEETE'!D36,'23.07 BUSEGA-NATEETE'!D36,'24.07 BUSEGA-NATEETE'!D36,'25.07 BUSEGA-NATEETE'!D36,'26.07 BUSEGA-NATEETE'!D36,'27.07 52BUSEGA-NATEETEh'!D36,'28.07 NATEETE-BUSEGA'!D36)</f>
        <v>10</v>
      </c>
      <c r="E36" s="49">
        <f>AVERAGE('22.07 BUSEGA-NATEETE'!E36,'23.07 BUSEGA-NATEETE'!E36,'24.07 BUSEGA-NATEETE'!E36,'25.07 BUSEGA-NATEETE'!E36,'26.07 BUSEGA-NATEETE'!E36,'27.07 52BUSEGA-NATEETEh'!E36,'28.07 NATEETE-BUSEGA'!E36)</f>
        <v>6.8571428571428568</v>
      </c>
      <c r="F36" s="49">
        <f>AVERAGE('22.07 BUSEGA-NATEETE'!F36,'23.07 BUSEGA-NATEETE'!F36,'24.07 BUSEGA-NATEETE'!F36,'25.07 BUSEGA-NATEETE'!F36,'26.07 BUSEGA-NATEETE'!F36,'27.07 52BUSEGA-NATEETEh'!F36,'28.07 NATEETE-BUSEGA'!F36)</f>
        <v>64.714285714285708</v>
      </c>
      <c r="G36" s="49">
        <f>AVERAGE('22.07 BUSEGA-NATEETE'!G36,'23.07 BUSEGA-NATEETE'!G36,'24.07 BUSEGA-NATEETE'!G36,'25.07 BUSEGA-NATEETE'!G36,'26.07 BUSEGA-NATEETE'!G36,'27.07 52BUSEGA-NATEETEh'!G36,'28.07 NATEETE-BUSEGA'!G36)</f>
        <v>1.1428571428571428</v>
      </c>
      <c r="H36" s="49">
        <f>AVERAGE('22.07 BUSEGA-NATEETE'!H36,'23.07 BUSEGA-NATEETE'!H36,'24.07 BUSEGA-NATEETE'!H36,'25.07 BUSEGA-NATEETE'!H36,'26.07 BUSEGA-NATEETE'!H36,'27.07 52BUSEGA-NATEETEh'!H36,'28.07 NATEETE-BUSEGA'!H36)</f>
        <v>2.2857142857142856</v>
      </c>
      <c r="I36" s="49">
        <f>AVERAGE('22.07 BUSEGA-NATEETE'!I36,'23.07 BUSEGA-NATEETE'!I36,'24.07 BUSEGA-NATEETE'!I36,'25.07 BUSEGA-NATEETE'!I36,'26.07 BUSEGA-NATEETE'!I36,'27.07 52BUSEGA-NATEETEh'!I36,'28.07 NATEETE-BUSEGA'!I36)</f>
        <v>8.7142857142857135</v>
      </c>
      <c r="J36" s="49">
        <f>AVERAGE('22.07 BUSEGA-NATEETE'!J36,'23.07 BUSEGA-NATEETE'!J36,'24.07 BUSEGA-NATEETE'!J36,'25.07 BUSEGA-NATEETE'!J36,'26.07 BUSEGA-NATEETE'!J36,'27.07 52BUSEGA-NATEETEh'!J36,'28.07 NATEETE-BUSEGA'!J36)</f>
        <v>5.8571428571428568</v>
      </c>
      <c r="K36" s="49">
        <f>AVERAGE('22.07 BUSEGA-NATEETE'!K36,'23.07 BUSEGA-NATEETE'!K36,'24.07 BUSEGA-NATEETE'!K36,'25.07 BUSEGA-NATEETE'!K36,'26.07 BUSEGA-NATEETE'!K36,'27.07 52BUSEGA-NATEETEh'!K36,'28.07 NATEETE-BUSEGA'!K36)</f>
        <v>3.4285714285714284</v>
      </c>
      <c r="L36" s="49">
        <f>AVERAGE('22.07 BUSEGA-NATEETE'!L36,'23.07 BUSEGA-NATEETE'!L36,'24.07 BUSEGA-NATEETE'!L36,'25.07 BUSEGA-NATEETE'!L36,'26.07 BUSEGA-NATEETE'!L36,'27.07 52BUSEGA-NATEETEh'!L36,'28.07 NATEETE-BUSEGA'!L36)</f>
        <v>3.1428571428571428</v>
      </c>
      <c r="M36" s="49">
        <f>AVERAGE('22.07 BUSEGA-NATEETE'!M36,'23.07 BUSEGA-NATEETE'!M36,'24.07 BUSEGA-NATEETE'!M36,'25.07 BUSEGA-NATEETE'!M36,'26.07 BUSEGA-NATEETE'!M36,'27.07 52BUSEGA-NATEETEh'!M36,'28.07 NATEETE-BUSEGA'!M36)</f>
        <v>201.85714285714286</v>
      </c>
      <c r="N36" s="49">
        <f>AVERAGE('22.07 BUSEGA-NATEETE'!N36,'23.07 BUSEGA-NATEETE'!N36,'24.07 BUSEGA-NATEETE'!N36,'25.07 BUSEGA-NATEETE'!N36,'26.07 BUSEGA-NATEETE'!N36,'27.07 52BUSEGA-NATEETEh'!N36,'28.07 NATEETE-BUSEGA'!N36)</f>
        <v>0</v>
      </c>
      <c r="O36" s="15">
        <f t="shared" si="0"/>
        <v>173.14285714285711</v>
      </c>
      <c r="P36" s="15">
        <f t="shared" si="1"/>
        <v>375</v>
      </c>
      <c r="R36" s="38" t="s">
        <v>92</v>
      </c>
      <c r="S36" s="39">
        <f t="shared" ref="S36:AF36" si="28">MAX(S19:S21)</f>
        <v>290.28571428571433</v>
      </c>
      <c r="T36" s="39">
        <f t="shared" si="28"/>
        <v>39.857142857142861</v>
      </c>
      <c r="U36" s="39">
        <f t="shared" si="28"/>
        <v>50.857142857142861</v>
      </c>
      <c r="V36" s="39">
        <f t="shared" si="28"/>
        <v>280.85714285714283</v>
      </c>
      <c r="W36" s="39">
        <f t="shared" si="28"/>
        <v>10.428571428571429</v>
      </c>
      <c r="X36" s="39">
        <f t="shared" si="28"/>
        <v>18.142857142857146</v>
      </c>
      <c r="Y36" s="39">
        <f t="shared" si="28"/>
        <v>44</v>
      </c>
      <c r="Z36" s="39">
        <f t="shared" si="28"/>
        <v>34.714285714285715</v>
      </c>
      <c r="AA36" s="39">
        <f t="shared" si="28"/>
        <v>19.142857142857142</v>
      </c>
      <c r="AB36" s="39">
        <f t="shared" si="28"/>
        <v>21.857142857142854</v>
      </c>
      <c r="AC36" s="39">
        <f t="shared" si="28"/>
        <v>724.28571428571433</v>
      </c>
      <c r="AD36" s="39">
        <f t="shared" si="28"/>
        <v>0.14285714285714285</v>
      </c>
      <c r="AE36" s="40">
        <f t="shared" si="28"/>
        <v>781.42857142857144</v>
      </c>
      <c r="AF36" s="40">
        <f t="shared" si="28"/>
        <v>1505.7142857142858</v>
      </c>
    </row>
    <row r="37" spans="2:32" ht="23.1" customHeight="1" x14ac:dyDescent="0.25">
      <c r="B37" s="23" t="s">
        <v>64</v>
      </c>
      <c r="C37" s="49">
        <f>AVERAGE('22.07 BUSEGA-NATEETE'!C37,'23.07 BUSEGA-NATEETE'!C37,'24.07 BUSEGA-NATEETE'!C37,'25.07 BUSEGA-NATEETE'!C37,'26.07 BUSEGA-NATEETE'!C37,'27.07 52BUSEGA-NATEETEh'!C37,'28.07 NATEETE-BUSEGA'!C37)</f>
        <v>65</v>
      </c>
      <c r="D37" s="49">
        <f>AVERAGE('22.07 BUSEGA-NATEETE'!D37,'23.07 BUSEGA-NATEETE'!D37,'24.07 BUSEGA-NATEETE'!D37,'25.07 BUSEGA-NATEETE'!D37,'26.07 BUSEGA-NATEETE'!D37,'27.07 52BUSEGA-NATEETEh'!D37,'28.07 NATEETE-BUSEGA'!D37)</f>
        <v>4.8571428571428568</v>
      </c>
      <c r="E37" s="49">
        <f>AVERAGE('22.07 BUSEGA-NATEETE'!E37,'23.07 BUSEGA-NATEETE'!E37,'24.07 BUSEGA-NATEETE'!E37,'25.07 BUSEGA-NATEETE'!E37,'26.07 BUSEGA-NATEETE'!E37,'27.07 52BUSEGA-NATEETEh'!E37,'28.07 NATEETE-BUSEGA'!E37)</f>
        <v>8.5714285714285712</v>
      </c>
      <c r="F37" s="49">
        <f>AVERAGE('22.07 BUSEGA-NATEETE'!F37,'23.07 BUSEGA-NATEETE'!F37,'24.07 BUSEGA-NATEETE'!F37,'25.07 BUSEGA-NATEETE'!F37,'26.07 BUSEGA-NATEETE'!F37,'27.07 52BUSEGA-NATEETEh'!F37,'28.07 NATEETE-BUSEGA'!F37)</f>
        <v>54</v>
      </c>
      <c r="G37" s="49">
        <f>AVERAGE('22.07 BUSEGA-NATEETE'!G37,'23.07 BUSEGA-NATEETE'!G37,'24.07 BUSEGA-NATEETE'!G37,'25.07 BUSEGA-NATEETE'!G37,'26.07 BUSEGA-NATEETE'!G37,'27.07 52BUSEGA-NATEETEh'!G37,'28.07 NATEETE-BUSEGA'!G37)</f>
        <v>2</v>
      </c>
      <c r="H37" s="49">
        <f>AVERAGE('22.07 BUSEGA-NATEETE'!H37,'23.07 BUSEGA-NATEETE'!H37,'24.07 BUSEGA-NATEETE'!H37,'25.07 BUSEGA-NATEETE'!H37,'26.07 BUSEGA-NATEETE'!H37,'27.07 52BUSEGA-NATEETEh'!H37,'28.07 NATEETE-BUSEGA'!H37)</f>
        <v>2</v>
      </c>
      <c r="I37" s="49">
        <f>AVERAGE('22.07 BUSEGA-NATEETE'!I37,'23.07 BUSEGA-NATEETE'!I37,'24.07 BUSEGA-NATEETE'!I37,'25.07 BUSEGA-NATEETE'!I37,'26.07 BUSEGA-NATEETE'!I37,'27.07 52BUSEGA-NATEETEh'!I37,'28.07 NATEETE-BUSEGA'!I37)</f>
        <v>7</v>
      </c>
      <c r="J37" s="49">
        <f>AVERAGE('22.07 BUSEGA-NATEETE'!J37,'23.07 BUSEGA-NATEETE'!J37,'24.07 BUSEGA-NATEETE'!J37,'25.07 BUSEGA-NATEETE'!J37,'26.07 BUSEGA-NATEETE'!J37,'27.07 52BUSEGA-NATEETEh'!J37,'28.07 NATEETE-BUSEGA'!J37)</f>
        <v>6.2857142857142856</v>
      </c>
      <c r="K37" s="49">
        <f>AVERAGE('22.07 BUSEGA-NATEETE'!K37,'23.07 BUSEGA-NATEETE'!K37,'24.07 BUSEGA-NATEETE'!K37,'25.07 BUSEGA-NATEETE'!K37,'26.07 BUSEGA-NATEETE'!K37,'27.07 52BUSEGA-NATEETEh'!K37,'28.07 NATEETE-BUSEGA'!K37)</f>
        <v>3.2857142857142856</v>
      </c>
      <c r="L37" s="49">
        <f>AVERAGE('22.07 BUSEGA-NATEETE'!L37,'23.07 BUSEGA-NATEETE'!L37,'24.07 BUSEGA-NATEETE'!L37,'25.07 BUSEGA-NATEETE'!L37,'26.07 BUSEGA-NATEETE'!L37,'27.07 52BUSEGA-NATEETEh'!L37,'28.07 NATEETE-BUSEGA'!L37)</f>
        <v>2.1428571428571428</v>
      </c>
      <c r="M37" s="49">
        <f>AVERAGE('22.07 BUSEGA-NATEETE'!M37,'23.07 BUSEGA-NATEETE'!M37,'24.07 BUSEGA-NATEETE'!M37,'25.07 BUSEGA-NATEETE'!M37,'26.07 BUSEGA-NATEETE'!M37,'27.07 52BUSEGA-NATEETEh'!M37,'28.07 NATEETE-BUSEGA'!M37)</f>
        <v>165.85714285714286</v>
      </c>
      <c r="N37" s="49">
        <f>AVERAGE('22.07 BUSEGA-NATEETE'!N37,'23.07 BUSEGA-NATEETE'!N37,'24.07 BUSEGA-NATEETE'!N37,'25.07 BUSEGA-NATEETE'!N37,'26.07 BUSEGA-NATEETE'!N37,'27.07 52BUSEGA-NATEETEh'!N37,'28.07 NATEETE-BUSEGA'!N37)</f>
        <v>0</v>
      </c>
      <c r="O37" s="15">
        <f t="shared" si="0"/>
        <v>155.14285714285714</v>
      </c>
      <c r="P37" s="15">
        <f t="shared" si="1"/>
        <v>321</v>
      </c>
      <c r="R37" s="37" t="s">
        <v>85</v>
      </c>
      <c r="S37" s="35">
        <f t="shared" ref="S37:AF37" si="29">SUM(S10:S12)</f>
        <v>965.71428571428567</v>
      </c>
      <c r="T37" s="16">
        <f t="shared" si="29"/>
        <v>110.71428571428571</v>
      </c>
      <c r="U37" s="16">
        <f t="shared" si="29"/>
        <v>93.714285714285708</v>
      </c>
      <c r="V37" s="16">
        <f t="shared" si="29"/>
        <v>754</v>
      </c>
      <c r="W37" s="16">
        <f t="shared" si="29"/>
        <v>26.285714285714285</v>
      </c>
      <c r="X37" s="16">
        <f t="shared" si="29"/>
        <v>10.285714285714285</v>
      </c>
      <c r="Y37" s="16">
        <f t="shared" si="29"/>
        <v>87.428571428571445</v>
      </c>
      <c r="Z37" s="16">
        <f t="shared" si="29"/>
        <v>63.428571428571431</v>
      </c>
      <c r="AA37" s="16">
        <f t="shared" si="29"/>
        <v>16.285714285714285</v>
      </c>
      <c r="AB37" s="16">
        <f t="shared" si="29"/>
        <v>17.714285714285715</v>
      </c>
      <c r="AC37" s="16">
        <f t="shared" si="29"/>
        <v>2909.2857142857142</v>
      </c>
      <c r="AD37" s="16">
        <f t="shared" si="29"/>
        <v>0</v>
      </c>
      <c r="AE37" s="32">
        <f t="shared" si="29"/>
        <v>2145.5714285714284</v>
      </c>
      <c r="AF37" s="32">
        <f t="shared" si="29"/>
        <v>5054.8571428571431</v>
      </c>
    </row>
    <row r="38" spans="2:32" ht="23.1" customHeight="1" x14ac:dyDescent="0.25">
      <c r="B38" s="24" t="s">
        <v>65</v>
      </c>
      <c r="C38" s="49">
        <f>AVERAGE('22.07 BUSEGA-NATEETE'!C38,'23.07 BUSEGA-NATEETE'!C38,'24.07 BUSEGA-NATEETE'!C38,'25.07 BUSEGA-NATEETE'!C38,'26.07 BUSEGA-NATEETE'!C38,'27.07 52BUSEGA-NATEETEh'!C38,'28.07 NATEETE-BUSEGA'!C38)</f>
        <v>65.142857142857139</v>
      </c>
      <c r="D38" s="49">
        <f>AVERAGE('22.07 BUSEGA-NATEETE'!D38,'23.07 BUSEGA-NATEETE'!D38,'24.07 BUSEGA-NATEETE'!D38,'25.07 BUSEGA-NATEETE'!D38,'26.07 BUSEGA-NATEETE'!D38,'27.07 52BUSEGA-NATEETEh'!D38,'28.07 NATEETE-BUSEGA'!D38)</f>
        <v>9.2857142857142865</v>
      </c>
      <c r="E38" s="49">
        <f>AVERAGE('22.07 BUSEGA-NATEETE'!E38,'23.07 BUSEGA-NATEETE'!E38,'24.07 BUSEGA-NATEETE'!E38,'25.07 BUSEGA-NATEETE'!E38,'26.07 BUSEGA-NATEETE'!E38,'27.07 52BUSEGA-NATEETEh'!E38,'28.07 NATEETE-BUSEGA'!E38)</f>
        <v>7.4285714285714288</v>
      </c>
      <c r="F38" s="49">
        <f>AVERAGE('22.07 BUSEGA-NATEETE'!F38,'23.07 BUSEGA-NATEETE'!F38,'24.07 BUSEGA-NATEETE'!F38,'25.07 BUSEGA-NATEETE'!F38,'26.07 BUSEGA-NATEETE'!F38,'27.07 52BUSEGA-NATEETEh'!F38,'28.07 NATEETE-BUSEGA'!F38)</f>
        <v>55.571428571428569</v>
      </c>
      <c r="G38" s="49">
        <f>AVERAGE('22.07 BUSEGA-NATEETE'!G38,'23.07 BUSEGA-NATEETE'!G38,'24.07 BUSEGA-NATEETE'!G38,'25.07 BUSEGA-NATEETE'!G38,'26.07 BUSEGA-NATEETE'!G38,'27.07 52BUSEGA-NATEETEh'!G38,'28.07 NATEETE-BUSEGA'!G38)</f>
        <v>1.8571428571428572</v>
      </c>
      <c r="H38" s="49">
        <f>AVERAGE('22.07 BUSEGA-NATEETE'!H38,'23.07 BUSEGA-NATEETE'!H38,'24.07 BUSEGA-NATEETE'!H38,'25.07 BUSEGA-NATEETE'!H38,'26.07 BUSEGA-NATEETE'!H38,'27.07 52BUSEGA-NATEETEh'!H38,'28.07 NATEETE-BUSEGA'!H38)</f>
        <v>1.7142857142857142</v>
      </c>
      <c r="I38" s="49">
        <f>AVERAGE('22.07 BUSEGA-NATEETE'!I38,'23.07 BUSEGA-NATEETE'!I38,'24.07 BUSEGA-NATEETE'!I38,'25.07 BUSEGA-NATEETE'!I38,'26.07 BUSEGA-NATEETE'!I38,'27.07 52BUSEGA-NATEETEh'!I38,'28.07 NATEETE-BUSEGA'!I38)</f>
        <v>7.1428571428571432</v>
      </c>
      <c r="J38" s="49">
        <f>AVERAGE('22.07 BUSEGA-NATEETE'!J38,'23.07 BUSEGA-NATEETE'!J38,'24.07 BUSEGA-NATEETE'!J38,'25.07 BUSEGA-NATEETE'!J38,'26.07 BUSEGA-NATEETE'!J38,'27.07 52BUSEGA-NATEETEh'!J38,'28.07 NATEETE-BUSEGA'!J38)</f>
        <v>6.1428571428571432</v>
      </c>
      <c r="K38" s="49">
        <f>AVERAGE('22.07 BUSEGA-NATEETE'!K38,'23.07 BUSEGA-NATEETE'!K38,'24.07 BUSEGA-NATEETE'!K38,'25.07 BUSEGA-NATEETE'!K38,'26.07 BUSEGA-NATEETE'!K38,'27.07 52BUSEGA-NATEETEh'!K38,'28.07 NATEETE-BUSEGA'!K38)</f>
        <v>3</v>
      </c>
      <c r="L38" s="49">
        <f>AVERAGE('22.07 BUSEGA-NATEETE'!L38,'23.07 BUSEGA-NATEETE'!L38,'24.07 BUSEGA-NATEETE'!L38,'25.07 BUSEGA-NATEETE'!L38,'26.07 BUSEGA-NATEETE'!L38,'27.07 52BUSEGA-NATEETEh'!L38,'28.07 NATEETE-BUSEGA'!L38)</f>
        <v>2.2857142857142856</v>
      </c>
      <c r="M38" s="49">
        <f>AVERAGE('22.07 BUSEGA-NATEETE'!M38,'23.07 BUSEGA-NATEETE'!M38,'24.07 BUSEGA-NATEETE'!M38,'25.07 BUSEGA-NATEETE'!M38,'26.07 BUSEGA-NATEETE'!M38,'27.07 52BUSEGA-NATEETEh'!M38,'28.07 NATEETE-BUSEGA'!M38)</f>
        <v>171.28571428571428</v>
      </c>
      <c r="N38" s="49">
        <f>AVERAGE('22.07 BUSEGA-NATEETE'!N38,'23.07 BUSEGA-NATEETE'!N38,'24.07 BUSEGA-NATEETE'!N38,'25.07 BUSEGA-NATEETE'!N38,'26.07 BUSEGA-NATEETE'!N38,'27.07 52BUSEGA-NATEETEh'!N38,'28.07 NATEETE-BUSEGA'!N38)</f>
        <v>0</v>
      </c>
      <c r="O38" s="15">
        <f t="shared" si="0"/>
        <v>159.57142857142858</v>
      </c>
      <c r="P38" s="15">
        <f t="shared" si="1"/>
        <v>330.85714285714289</v>
      </c>
      <c r="R38" s="28" t="s">
        <v>86</v>
      </c>
      <c r="S38" s="16">
        <f t="shared" ref="S38:AF38" si="30">SUM(S13:S18)</f>
        <v>1571.4285714285711</v>
      </c>
      <c r="T38" s="16">
        <f t="shared" si="30"/>
        <v>219.42857142857144</v>
      </c>
      <c r="U38" s="16">
        <f t="shared" si="30"/>
        <v>214.42857142857142</v>
      </c>
      <c r="V38" s="16">
        <f t="shared" si="30"/>
        <v>1476.5714285714284</v>
      </c>
      <c r="W38" s="16">
        <f t="shared" si="30"/>
        <v>31</v>
      </c>
      <c r="X38" s="16">
        <f t="shared" si="30"/>
        <v>35</v>
      </c>
      <c r="Y38" s="16">
        <f t="shared" si="30"/>
        <v>223</v>
      </c>
      <c r="Z38" s="16">
        <f t="shared" si="30"/>
        <v>154.14285714285714</v>
      </c>
      <c r="AA38" s="16">
        <f t="shared" si="30"/>
        <v>50.571428571428569</v>
      </c>
      <c r="AB38" s="16">
        <f t="shared" si="30"/>
        <v>86</v>
      </c>
      <c r="AC38" s="16">
        <f t="shared" si="30"/>
        <v>4606.7142857142862</v>
      </c>
      <c r="AD38" s="16">
        <f t="shared" si="30"/>
        <v>0</v>
      </c>
      <c r="AE38" s="32">
        <f t="shared" si="30"/>
        <v>4061.5714285714284</v>
      </c>
      <c r="AF38" s="32">
        <f t="shared" si="30"/>
        <v>8668.2857142857138</v>
      </c>
    </row>
    <row r="39" spans="2:32" ht="23.1" customHeight="1" x14ac:dyDescent="0.25">
      <c r="B39" s="24" t="s">
        <v>66</v>
      </c>
      <c r="C39" s="49">
        <f>AVERAGE('22.07 BUSEGA-NATEETE'!C39,'23.07 BUSEGA-NATEETE'!C39,'24.07 BUSEGA-NATEETE'!C39,'25.07 BUSEGA-NATEETE'!C39,'26.07 BUSEGA-NATEETE'!C39,'27.07 52BUSEGA-NATEETEh'!C39,'28.07 NATEETE-BUSEGA'!C39)</f>
        <v>52.142857142857146</v>
      </c>
      <c r="D39" s="49">
        <f>AVERAGE('22.07 BUSEGA-NATEETE'!D39,'23.07 BUSEGA-NATEETE'!D39,'24.07 BUSEGA-NATEETE'!D39,'25.07 BUSEGA-NATEETE'!D39,'26.07 BUSEGA-NATEETE'!D39,'27.07 52BUSEGA-NATEETEh'!D39,'28.07 NATEETE-BUSEGA'!D39)</f>
        <v>6.2857142857142856</v>
      </c>
      <c r="E39" s="49">
        <f>AVERAGE('22.07 BUSEGA-NATEETE'!E39,'23.07 BUSEGA-NATEETE'!E39,'24.07 BUSEGA-NATEETE'!E39,'25.07 BUSEGA-NATEETE'!E39,'26.07 BUSEGA-NATEETE'!E39,'27.07 52BUSEGA-NATEETEh'!E39,'28.07 NATEETE-BUSEGA'!E39)</f>
        <v>6.8571428571428568</v>
      </c>
      <c r="F39" s="49">
        <f>AVERAGE('22.07 BUSEGA-NATEETE'!F39,'23.07 BUSEGA-NATEETE'!F39,'24.07 BUSEGA-NATEETE'!F39,'25.07 BUSEGA-NATEETE'!F39,'26.07 BUSEGA-NATEETE'!F39,'27.07 52BUSEGA-NATEETEh'!F39,'28.07 NATEETE-BUSEGA'!F39)</f>
        <v>61</v>
      </c>
      <c r="G39" s="49">
        <f>AVERAGE('22.07 BUSEGA-NATEETE'!G39,'23.07 BUSEGA-NATEETE'!G39,'24.07 BUSEGA-NATEETE'!G39,'25.07 BUSEGA-NATEETE'!G39,'26.07 BUSEGA-NATEETE'!G39,'27.07 52BUSEGA-NATEETEh'!G39,'28.07 NATEETE-BUSEGA'!G39)</f>
        <v>0.7142857142857143</v>
      </c>
      <c r="H39" s="49">
        <f>AVERAGE('22.07 BUSEGA-NATEETE'!H39,'23.07 BUSEGA-NATEETE'!H39,'24.07 BUSEGA-NATEETE'!H39,'25.07 BUSEGA-NATEETE'!H39,'26.07 BUSEGA-NATEETE'!H39,'27.07 52BUSEGA-NATEETEh'!H39,'28.07 NATEETE-BUSEGA'!H39)</f>
        <v>1.8571428571428572</v>
      </c>
      <c r="I39" s="49">
        <f>AVERAGE('22.07 BUSEGA-NATEETE'!I39,'23.07 BUSEGA-NATEETE'!I39,'24.07 BUSEGA-NATEETE'!I39,'25.07 BUSEGA-NATEETE'!I39,'26.07 BUSEGA-NATEETE'!I39,'27.07 52BUSEGA-NATEETEh'!I39,'28.07 NATEETE-BUSEGA'!I39)</f>
        <v>8</v>
      </c>
      <c r="J39" s="49">
        <f>AVERAGE('22.07 BUSEGA-NATEETE'!J39,'23.07 BUSEGA-NATEETE'!J39,'24.07 BUSEGA-NATEETE'!J39,'25.07 BUSEGA-NATEETE'!J39,'26.07 BUSEGA-NATEETE'!J39,'27.07 52BUSEGA-NATEETEh'!J39,'28.07 NATEETE-BUSEGA'!J39)</f>
        <v>7.5714285714285712</v>
      </c>
      <c r="K39" s="49">
        <f>AVERAGE('22.07 BUSEGA-NATEETE'!K39,'23.07 BUSEGA-NATEETE'!K39,'24.07 BUSEGA-NATEETE'!K39,'25.07 BUSEGA-NATEETE'!K39,'26.07 BUSEGA-NATEETE'!K39,'27.07 52BUSEGA-NATEETEh'!K39,'28.07 NATEETE-BUSEGA'!K39)</f>
        <v>1</v>
      </c>
      <c r="L39" s="49">
        <f>AVERAGE('22.07 BUSEGA-NATEETE'!L39,'23.07 BUSEGA-NATEETE'!L39,'24.07 BUSEGA-NATEETE'!L39,'25.07 BUSEGA-NATEETE'!L39,'26.07 BUSEGA-NATEETE'!L39,'27.07 52BUSEGA-NATEETEh'!L39,'28.07 NATEETE-BUSEGA'!L39)</f>
        <v>2.8571428571428572</v>
      </c>
      <c r="M39" s="49">
        <f>AVERAGE('22.07 BUSEGA-NATEETE'!M39,'23.07 BUSEGA-NATEETE'!M39,'24.07 BUSEGA-NATEETE'!M39,'25.07 BUSEGA-NATEETE'!M39,'26.07 BUSEGA-NATEETE'!M39,'27.07 52BUSEGA-NATEETEh'!M39,'28.07 NATEETE-BUSEGA'!M39)</f>
        <v>178.42857142857142</v>
      </c>
      <c r="N39" s="49">
        <f>AVERAGE('22.07 BUSEGA-NATEETE'!N39,'23.07 BUSEGA-NATEETE'!N39,'24.07 BUSEGA-NATEETE'!N39,'25.07 BUSEGA-NATEETE'!N39,'26.07 BUSEGA-NATEETE'!N39,'27.07 52BUSEGA-NATEETEh'!N39,'28.07 NATEETE-BUSEGA'!N39)</f>
        <v>0</v>
      </c>
      <c r="O39" s="15">
        <f t="shared" si="0"/>
        <v>148.28571428571431</v>
      </c>
      <c r="P39" s="15">
        <f t="shared" si="1"/>
        <v>326.71428571428572</v>
      </c>
      <c r="R39" s="29" t="s">
        <v>87</v>
      </c>
      <c r="S39" s="16">
        <f t="shared" ref="S39:AF39" si="31">SUM(S19:S21)</f>
        <v>761.85714285714289</v>
      </c>
      <c r="T39" s="16">
        <f t="shared" si="31"/>
        <v>104.85714285714286</v>
      </c>
      <c r="U39" s="16">
        <f t="shared" si="31"/>
        <v>124.42857142857144</v>
      </c>
      <c r="V39" s="16">
        <f t="shared" si="31"/>
        <v>782</v>
      </c>
      <c r="W39" s="16">
        <f t="shared" si="31"/>
        <v>24</v>
      </c>
      <c r="X39" s="16">
        <f t="shared" si="31"/>
        <v>48.428571428571431</v>
      </c>
      <c r="Y39" s="16">
        <f t="shared" si="31"/>
        <v>126.42857142857143</v>
      </c>
      <c r="Z39" s="16">
        <f t="shared" si="31"/>
        <v>98.714285714285708</v>
      </c>
      <c r="AA39" s="16">
        <f t="shared" si="31"/>
        <v>51</v>
      </c>
      <c r="AB39" s="16">
        <f t="shared" si="31"/>
        <v>54.571428571428569</v>
      </c>
      <c r="AC39" s="16">
        <f t="shared" si="31"/>
        <v>2096.1428571428569</v>
      </c>
      <c r="AD39" s="16">
        <f t="shared" si="31"/>
        <v>0.14285714285714285</v>
      </c>
      <c r="AE39" s="32">
        <f t="shared" si="31"/>
        <v>2176.4285714285716</v>
      </c>
      <c r="AF39" s="32">
        <f t="shared" si="31"/>
        <v>4272.5714285714284</v>
      </c>
    </row>
    <row r="40" spans="2:32" ht="23.1" customHeight="1" x14ac:dyDescent="0.25">
      <c r="B40" s="24" t="s">
        <v>67</v>
      </c>
      <c r="C40" s="49">
        <f>AVERAGE('22.07 BUSEGA-NATEETE'!C40,'23.07 BUSEGA-NATEETE'!C40,'24.07 BUSEGA-NATEETE'!C40,'25.07 BUSEGA-NATEETE'!C40,'26.07 BUSEGA-NATEETE'!C40,'27.07 52BUSEGA-NATEETEh'!C40,'28.07 NATEETE-BUSEGA'!C40)</f>
        <v>53.285714285714285</v>
      </c>
      <c r="D40" s="49">
        <f>AVERAGE('22.07 BUSEGA-NATEETE'!D40,'23.07 BUSEGA-NATEETE'!D40,'24.07 BUSEGA-NATEETE'!D40,'25.07 BUSEGA-NATEETE'!D40,'26.07 BUSEGA-NATEETE'!D40,'27.07 52BUSEGA-NATEETEh'!D40,'28.07 NATEETE-BUSEGA'!D40)</f>
        <v>7.1428571428571432</v>
      </c>
      <c r="E40" s="49">
        <f>AVERAGE('22.07 BUSEGA-NATEETE'!E40,'23.07 BUSEGA-NATEETE'!E40,'24.07 BUSEGA-NATEETE'!E40,'25.07 BUSEGA-NATEETE'!E40,'26.07 BUSEGA-NATEETE'!E40,'27.07 52BUSEGA-NATEETEh'!E40,'28.07 NATEETE-BUSEGA'!E40)</f>
        <v>8.1428571428571423</v>
      </c>
      <c r="F40" s="49">
        <f>AVERAGE('22.07 BUSEGA-NATEETE'!F40,'23.07 BUSEGA-NATEETE'!F40,'24.07 BUSEGA-NATEETE'!F40,'25.07 BUSEGA-NATEETE'!F40,'26.07 BUSEGA-NATEETE'!F40,'27.07 52BUSEGA-NATEETEh'!F40,'28.07 NATEETE-BUSEGA'!F40)</f>
        <v>60.571428571428569</v>
      </c>
      <c r="G40" s="49">
        <f>AVERAGE('22.07 BUSEGA-NATEETE'!G40,'23.07 BUSEGA-NATEETE'!G40,'24.07 BUSEGA-NATEETE'!G40,'25.07 BUSEGA-NATEETE'!G40,'26.07 BUSEGA-NATEETE'!G40,'27.07 52BUSEGA-NATEETEh'!G40,'28.07 NATEETE-BUSEGA'!G40)</f>
        <v>0.5714285714285714</v>
      </c>
      <c r="H40" s="49">
        <f>AVERAGE('22.07 BUSEGA-NATEETE'!H40,'23.07 BUSEGA-NATEETE'!H40,'24.07 BUSEGA-NATEETE'!H40,'25.07 BUSEGA-NATEETE'!H40,'26.07 BUSEGA-NATEETE'!H40,'27.07 52BUSEGA-NATEETEh'!H40,'28.07 NATEETE-BUSEGA'!H40)</f>
        <v>2.1428571428571428</v>
      </c>
      <c r="I40" s="49">
        <f>AVERAGE('22.07 BUSEGA-NATEETE'!I40,'23.07 BUSEGA-NATEETE'!I40,'24.07 BUSEGA-NATEETE'!I40,'25.07 BUSEGA-NATEETE'!I40,'26.07 BUSEGA-NATEETE'!I40,'27.07 52BUSEGA-NATEETEh'!I40,'28.07 NATEETE-BUSEGA'!I40)</f>
        <v>7.5714285714285712</v>
      </c>
      <c r="J40" s="49">
        <f>AVERAGE('22.07 BUSEGA-NATEETE'!J40,'23.07 BUSEGA-NATEETE'!J40,'24.07 BUSEGA-NATEETE'!J40,'25.07 BUSEGA-NATEETE'!J40,'26.07 BUSEGA-NATEETE'!J40,'27.07 52BUSEGA-NATEETEh'!J40,'28.07 NATEETE-BUSEGA'!J40)</f>
        <v>7.2857142857142856</v>
      </c>
      <c r="K40" s="49">
        <f>AVERAGE('22.07 BUSEGA-NATEETE'!K40,'23.07 BUSEGA-NATEETE'!K40,'24.07 BUSEGA-NATEETE'!K40,'25.07 BUSEGA-NATEETE'!K40,'26.07 BUSEGA-NATEETE'!K40,'27.07 52BUSEGA-NATEETEh'!K40,'28.07 NATEETE-BUSEGA'!K40)</f>
        <v>1.7142857142857142</v>
      </c>
      <c r="L40" s="49">
        <f>AVERAGE('22.07 BUSEGA-NATEETE'!L40,'23.07 BUSEGA-NATEETE'!L40,'24.07 BUSEGA-NATEETE'!L40,'25.07 BUSEGA-NATEETE'!L40,'26.07 BUSEGA-NATEETE'!L40,'27.07 52BUSEGA-NATEETEh'!L40,'28.07 NATEETE-BUSEGA'!L40)</f>
        <v>1.8571428571428572</v>
      </c>
      <c r="M40" s="49">
        <f>AVERAGE('22.07 BUSEGA-NATEETE'!M40,'23.07 BUSEGA-NATEETE'!M40,'24.07 BUSEGA-NATEETE'!M40,'25.07 BUSEGA-NATEETE'!M40,'26.07 BUSEGA-NATEETE'!M40,'27.07 52BUSEGA-NATEETEh'!M40,'28.07 NATEETE-BUSEGA'!M40)</f>
        <v>171.14285714285714</v>
      </c>
      <c r="N40" s="49">
        <f>AVERAGE('22.07 BUSEGA-NATEETE'!N40,'23.07 BUSEGA-NATEETE'!N40,'24.07 BUSEGA-NATEETE'!N40,'25.07 BUSEGA-NATEETE'!N40,'26.07 BUSEGA-NATEETE'!N40,'27.07 52BUSEGA-NATEETEh'!N40,'28.07 NATEETE-BUSEGA'!N40)</f>
        <v>0</v>
      </c>
      <c r="O40" s="15">
        <f t="shared" si="0"/>
        <v>150.28571428571431</v>
      </c>
      <c r="P40" s="15">
        <f t="shared" si="1"/>
        <v>321.42857142857144</v>
      </c>
      <c r="R40" s="5" t="s">
        <v>17</v>
      </c>
      <c r="S40" s="16">
        <f t="shared" ref="S40:AF40" si="32">SUM(S10:S21)</f>
        <v>3299</v>
      </c>
      <c r="T40" s="16">
        <f t="shared" si="32"/>
        <v>434.99999999999989</v>
      </c>
      <c r="U40" s="16">
        <f t="shared" si="32"/>
        <v>432.57142857142861</v>
      </c>
      <c r="V40" s="16">
        <f t="shared" si="32"/>
        <v>3012.5714285714284</v>
      </c>
      <c r="W40" s="16">
        <f t="shared" si="32"/>
        <v>81.285714285714292</v>
      </c>
      <c r="X40" s="16">
        <f t="shared" si="32"/>
        <v>93.714285714285722</v>
      </c>
      <c r="Y40" s="16">
        <f t="shared" si="32"/>
        <v>436.85714285714289</v>
      </c>
      <c r="Z40" s="16">
        <f t="shared" si="32"/>
        <v>316.28571428571433</v>
      </c>
      <c r="AA40" s="16">
        <f t="shared" si="32"/>
        <v>117.85714285714286</v>
      </c>
      <c r="AB40" s="16">
        <f t="shared" si="32"/>
        <v>158.28571428571428</v>
      </c>
      <c r="AC40" s="16">
        <f t="shared" si="32"/>
        <v>9612.1428571428569</v>
      </c>
      <c r="AD40" s="16">
        <f t="shared" si="32"/>
        <v>0.14285714285714285</v>
      </c>
      <c r="AE40" s="32">
        <f t="shared" si="32"/>
        <v>8383.5714285714294</v>
      </c>
      <c r="AF40" s="32">
        <f t="shared" si="32"/>
        <v>17995.71428571429</v>
      </c>
    </row>
    <row r="41" spans="2:32" ht="23.1" customHeight="1" x14ac:dyDescent="0.25">
      <c r="B41" s="23" t="s">
        <v>68</v>
      </c>
      <c r="C41" s="49">
        <f>AVERAGE('22.07 BUSEGA-NATEETE'!C41,'23.07 BUSEGA-NATEETE'!C41,'24.07 BUSEGA-NATEETE'!C41,'25.07 BUSEGA-NATEETE'!C41,'26.07 BUSEGA-NATEETE'!C41,'27.07 52BUSEGA-NATEETEh'!C41,'28.07 NATEETE-BUSEGA'!C41)</f>
        <v>67.428571428571431</v>
      </c>
      <c r="D41" s="49">
        <f>AVERAGE('22.07 BUSEGA-NATEETE'!D41,'23.07 BUSEGA-NATEETE'!D41,'24.07 BUSEGA-NATEETE'!D41,'25.07 BUSEGA-NATEETE'!D41,'26.07 BUSEGA-NATEETE'!D41,'27.07 52BUSEGA-NATEETEh'!D41,'28.07 NATEETE-BUSEGA'!D41)</f>
        <v>8.1428571428571423</v>
      </c>
      <c r="E41" s="49">
        <f>AVERAGE('22.07 BUSEGA-NATEETE'!E41,'23.07 BUSEGA-NATEETE'!E41,'24.07 BUSEGA-NATEETE'!E41,'25.07 BUSEGA-NATEETE'!E41,'26.07 BUSEGA-NATEETE'!E41,'27.07 52BUSEGA-NATEETEh'!E41,'28.07 NATEETE-BUSEGA'!E41)</f>
        <v>9</v>
      </c>
      <c r="F41" s="49">
        <f>AVERAGE('22.07 BUSEGA-NATEETE'!F41,'23.07 BUSEGA-NATEETE'!F41,'24.07 BUSEGA-NATEETE'!F41,'25.07 BUSEGA-NATEETE'!F41,'26.07 BUSEGA-NATEETE'!F41,'27.07 52BUSEGA-NATEETEh'!F41,'28.07 NATEETE-BUSEGA'!F41)</f>
        <v>63.571428571428569</v>
      </c>
      <c r="G41" s="49">
        <f>AVERAGE('22.07 BUSEGA-NATEETE'!G41,'23.07 BUSEGA-NATEETE'!G41,'24.07 BUSEGA-NATEETE'!G41,'25.07 BUSEGA-NATEETE'!G41,'26.07 BUSEGA-NATEETE'!G41,'27.07 52BUSEGA-NATEETEh'!G41,'28.07 NATEETE-BUSEGA'!G41)</f>
        <v>2</v>
      </c>
      <c r="H41" s="49">
        <f>AVERAGE('22.07 BUSEGA-NATEETE'!H41,'23.07 BUSEGA-NATEETE'!H41,'24.07 BUSEGA-NATEETE'!H41,'25.07 BUSEGA-NATEETE'!H41,'26.07 BUSEGA-NATEETE'!H41,'27.07 52BUSEGA-NATEETEh'!H41,'28.07 NATEETE-BUSEGA'!H41)</f>
        <v>1.4285714285714286</v>
      </c>
      <c r="I41" s="49">
        <f>AVERAGE('22.07 BUSEGA-NATEETE'!I41,'23.07 BUSEGA-NATEETE'!I41,'24.07 BUSEGA-NATEETE'!I41,'25.07 BUSEGA-NATEETE'!I41,'26.07 BUSEGA-NATEETE'!I41,'27.07 52BUSEGA-NATEETEh'!I41,'28.07 NATEETE-BUSEGA'!I41)</f>
        <v>12.714285714285714</v>
      </c>
      <c r="J41" s="49">
        <f>AVERAGE('22.07 BUSEGA-NATEETE'!J41,'23.07 BUSEGA-NATEETE'!J41,'24.07 BUSEGA-NATEETE'!J41,'25.07 BUSEGA-NATEETE'!J41,'26.07 BUSEGA-NATEETE'!J41,'27.07 52BUSEGA-NATEETEh'!J41,'28.07 NATEETE-BUSEGA'!J41)</f>
        <v>7.4285714285714288</v>
      </c>
      <c r="K41" s="49">
        <f>AVERAGE('22.07 BUSEGA-NATEETE'!K41,'23.07 BUSEGA-NATEETE'!K41,'24.07 BUSEGA-NATEETE'!K41,'25.07 BUSEGA-NATEETE'!K41,'26.07 BUSEGA-NATEETE'!K41,'27.07 52BUSEGA-NATEETEh'!K41,'28.07 NATEETE-BUSEGA'!K41)</f>
        <v>2.2857142857142856</v>
      </c>
      <c r="L41" s="49">
        <f>AVERAGE('22.07 BUSEGA-NATEETE'!L41,'23.07 BUSEGA-NATEETE'!L41,'24.07 BUSEGA-NATEETE'!L41,'25.07 BUSEGA-NATEETE'!L41,'26.07 BUSEGA-NATEETE'!L41,'27.07 52BUSEGA-NATEETEh'!L41,'28.07 NATEETE-BUSEGA'!L41)</f>
        <v>3.5714285714285716</v>
      </c>
      <c r="M41" s="49">
        <f>AVERAGE('22.07 BUSEGA-NATEETE'!M41,'23.07 BUSEGA-NATEETE'!M41,'24.07 BUSEGA-NATEETE'!M41,'25.07 BUSEGA-NATEETE'!M41,'26.07 BUSEGA-NATEETE'!M41,'27.07 52BUSEGA-NATEETEh'!M41,'28.07 NATEETE-BUSEGA'!M41)</f>
        <v>164.85714285714286</v>
      </c>
      <c r="N41" s="49">
        <f>AVERAGE('22.07 BUSEGA-NATEETE'!N41,'23.07 BUSEGA-NATEETE'!N41,'24.07 BUSEGA-NATEETE'!N41,'25.07 BUSEGA-NATEETE'!N41,'26.07 BUSEGA-NATEETE'!N41,'27.07 52BUSEGA-NATEETEh'!N41,'28.07 NATEETE-BUSEGA'!N41)</f>
        <v>0</v>
      </c>
      <c r="O41" s="15">
        <f t="shared" si="0"/>
        <v>177.57142857142856</v>
      </c>
      <c r="P41" s="15">
        <f t="shared" si="1"/>
        <v>342.42857142857144</v>
      </c>
      <c r="R41" s="5" t="s">
        <v>183</v>
      </c>
      <c r="S41" s="16">
        <f>SUM(S10:S33)</f>
        <v>4658</v>
      </c>
      <c r="T41" s="16">
        <f t="shared" ref="T41:AD41" si="33">SUM(T10:T33)</f>
        <v>619.99999999999989</v>
      </c>
      <c r="U41" s="16">
        <f t="shared" si="33"/>
        <v>679.57142857142867</v>
      </c>
      <c r="V41" s="16">
        <f t="shared" si="33"/>
        <v>4205.5714285714284</v>
      </c>
      <c r="W41" s="16">
        <f t="shared" si="33"/>
        <v>141.78571428571428</v>
      </c>
      <c r="X41" s="16">
        <f t="shared" si="33"/>
        <v>193.71428571428572</v>
      </c>
      <c r="Y41" s="16">
        <f t="shared" si="33"/>
        <v>771.35714285714289</v>
      </c>
      <c r="Z41" s="16">
        <f t="shared" si="33"/>
        <v>608.28571428571433</v>
      </c>
      <c r="AA41" s="16">
        <f t="shared" si="33"/>
        <v>250.85714285714286</v>
      </c>
      <c r="AB41" s="16">
        <f t="shared" si="33"/>
        <v>250.78571428571428</v>
      </c>
      <c r="AC41" s="16">
        <f t="shared" si="33"/>
        <v>14403.642857142857</v>
      </c>
      <c r="AD41" s="16">
        <f t="shared" si="33"/>
        <v>0.14285714285714285</v>
      </c>
      <c r="AE41" s="32">
        <f>SUM(AE10:AE33)</f>
        <v>14275.428571428572</v>
      </c>
      <c r="AF41" s="32">
        <f>SUM(AF10:AF33)</f>
        <v>31710.071428571435</v>
      </c>
    </row>
    <row r="42" spans="2:32" ht="23.1" customHeight="1" x14ac:dyDescent="0.25">
      <c r="B42" s="24" t="s">
        <v>69</v>
      </c>
      <c r="C42" s="49">
        <f>AVERAGE('22.07 BUSEGA-NATEETE'!C42,'23.07 BUSEGA-NATEETE'!C42,'24.07 BUSEGA-NATEETE'!C42,'25.07 BUSEGA-NATEETE'!C42,'26.07 BUSEGA-NATEETE'!C42,'27.07 52BUSEGA-NATEETEh'!C42,'28.07 NATEETE-BUSEGA'!C42)</f>
        <v>62</v>
      </c>
      <c r="D42" s="49">
        <f>AVERAGE('22.07 BUSEGA-NATEETE'!D42,'23.07 BUSEGA-NATEETE'!D42,'24.07 BUSEGA-NATEETE'!D42,'25.07 BUSEGA-NATEETE'!D42,'26.07 BUSEGA-NATEETE'!D42,'27.07 52BUSEGA-NATEETEh'!D42,'28.07 NATEETE-BUSEGA'!D42)</f>
        <v>7.1428571428571432</v>
      </c>
      <c r="E42" s="49">
        <f>AVERAGE('22.07 BUSEGA-NATEETE'!E42,'23.07 BUSEGA-NATEETE'!E42,'24.07 BUSEGA-NATEETE'!E42,'25.07 BUSEGA-NATEETE'!E42,'26.07 BUSEGA-NATEETE'!E42,'27.07 52BUSEGA-NATEETEh'!E42,'28.07 NATEETE-BUSEGA'!E42)</f>
        <v>12</v>
      </c>
      <c r="F42" s="49">
        <f>AVERAGE('22.07 BUSEGA-NATEETE'!F42,'23.07 BUSEGA-NATEETE'!F42,'24.07 BUSEGA-NATEETE'!F42,'25.07 BUSEGA-NATEETE'!F42,'26.07 BUSEGA-NATEETE'!F42,'27.07 52BUSEGA-NATEETEh'!F42,'28.07 NATEETE-BUSEGA'!F42)</f>
        <v>65.142857142857139</v>
      </c>
      <c r="G42" s="49">
        <f>AVERAGE('22.07 BUSEGA-NATEETE'!G42,'23.07 BUSEGA-NATEETE'!G42,'24.07 BUSEGA-NATEETE'!G42,'25.07 BUSEGA-NATEETE'!G42,'26.07 BUSEGA-NATEETE'!G42,'27.07 52BUSEGA-NATEETEh'!G42,'28.07 NATEETE-BUSEGA'!G42)</f>
        <v>2.1428571428571428</v>
      </c>
      <c r="H42" s="49">
        <f>AVERAGE('22.07 BUSEGA-NATEETE'!H42,'23.07 BUSEGA-NATEETE'!H42,'24.07 BUSEGA-NATEETE'!H42,'25.07 BUSEGA-NATEETE'!H42,'26.07 BUSEGA-NATEETE'!H42,'27.07 52BUSEGA-NATEETEh'!H42,'28.07 NATEETE-BUSEGA'!H42)</f>
        <v>2.2857142857142856</v>
      </c>
      <c r="I42" s="49">
        <f>AVERAGE('22.07 BUSEGA-NATEETE'!I42,'23.07 BUSEGA-NATEETE'!I42,'24.07 BUSEGA-NATEETE'!I42,'25.07 BUSEGA-NATEETE'!I42,'26.07 BUSEGA-NATEETE'!I42,'27.07 52BUSEGA-NATEETEh'!I42,'28.07 NATEETE-BUSEGA'!I42)</f>
        <v>15.571428571428571</v>
      </c>
      <c r="J42" s="49">
        <f>AVERAGE('22.07 BUSEGA-NATEETE'!J42,'23.07 BUSEGA-NATEETE'!J42,'24.07 BUSEGA-NATEETE'!J42,'25.07 BUSEGA-NATEETE'!J42,'26.07 BUSEGA-NATEETE'!J42,'27.07 52BUSEGA-NATEETEh'!J42,'28.07 NATEETE-BUSEGA'!J42)</f>
        <v>10.285714285714286</v>
      </c>
      <c r="K42" s="49">
        <f>AVERAGE('22.07 BUSEGA-NATEETE'!K42,'23.07 BUSEGA-NATEETE'!K42,'24.07 BUSEGA-NATEETE'!K42,'25.07 BUSEGA-NATEETE'!K42,'26.07 BUSEGA-NATEETE'!K42,'27.07 52BUSEGA-NATEETEh'!K42,'28.07 NATEETE-BUSEGA'!K42)</f>
        <v>3.8571428571428572</v>
      </c>
      <c r="L42" s="49">
        <f>AVERAGE('22.07 BUSEGA-NATEETE'!L42,'23.07 BUSEGA-NATEETE'!L42,'24.07 BUSEGA-NATEETE'!L42,'25.07 BUSEGA-NATEETE'!L42,'26.07 BUSEGA-NATEETE'!L42,'27.07 52BUSEGA-NATEETEh'!L42,'28.07 NATEETE-BUSEGA'!L42)</f>
        <v>2.8571428571428572</v>
      </c>
      <c r="M42" s="49">
        <f>AVERAGE('22.07 BUSEGA-NATEETE'!M42,'23.07 BUSEGA-NATEETE'!M42,'24.07 BUSEGA-NATEETE'!M42,'25.07 BUSEGA-NATEETE'!M42,'26.07 BUSEGA-NATEETE'!M42,'27.07 52BUSEGA-NATEETEh'!M42,'28.07 NATEETE-BUSEGA'!M42)</f>
        <v>179.14285714285714</v>
      </c>
      <c r="N42" s="49">
        <f>AVERAGE('22.07 BUSEGA-NATEETE'!N42,'23.07 BUSEGA-NATEETE'!N42,'24.07 BUSEGA-NATEETE'!N42,'25.07 BUSEGA-NATEETE'!N42,'26.07 BUSEGA-NATEETE'!N42,'27.07 52BUSEGA-NATEETEh'!N42,'28.07 NATEETE-BUSEGA'!N42)</f>
        <v>0</v>
      </c>
      <c r="O42" s="15">
        <f t="shared" si="0"/>
        <v>183.28571428571428</v>
      </c>
      <c r="P42" s="15">
        <f t="shared" si="1"/>
        <v>362.42857142857144</v>
      </c>
      <c r="R42" s="5" t="s">
        <v>160</v>
      </c>
      <c r="S42" s="48">
        <f>S41/S40</f>
        <v>1.4119430130342527</v>
      </c>
      <c r="T42" s="48">
        <f t="shared" ref="T42:AF42" si="34">T41/T40</f>
        <v>1.4252873563218391</v>
      </c>
      <c r="U42" s="48">
        <f t="shared" si="34"/>
        <v>1.571003963011889</v>
      </c>
      <c r="V42" s="48">
        <f t="shared" si="34"/>
        <v>1.3960072078907435</v>
      </c>
      <c r="W42" s="48">
        <f t="shared" si="34"/>
        <v>1.7442882249560629</v>
      </c>
      <c r="X42" s="48">
        <f t="shared" si="34"/>
        <v>2.0670731707317072</v>
      </c>
      <c r="Y42" s="48">
        <f t="shared" si="34"/>
        <v>1.7656965336821451</v>
      </c>
      <c r="Z42" s="48">
        <f t="shared" si="34"/>
        <v>1.9232158988256547</v>
      </c>
      <c r="AA42" s="48">
        <f t="shared" si="34"/>
        <v>2.1284848484848484</v>
      </c>
      <c r="AB42" s="48">
        <f t="shared" si="34"/>
        <v>1.5843862815884477</v>
      </c>
      <c r="AC42" s="48">
        <f t="shared" si="34"/>
        <v>1.4984840603403433</v>
      </c>
      <c r="AD42" s="48">
        <f t="shared" si="34"/>
        <v>1</v>
      </c>
      <c r="AE42" s="53">
        <f t="shared" si="34"/>
        <v>1.7027860611740648</v>
      </c>
      <c r="AF42" s="53">
        <f t="shared" si="34"/>
        <v>1.7620901802016353</v>
      </c>
    </row>
    <row r="43" spans="2:32" ht="23.1" customHeight="1" x14ac:dyDescent="0.25">
      <c r="B43" s="23" t="s">
        <v>70</v>
      </c>
      <c r="C43" s="49">
        <f>AVERAGE('22.07 BUSEGA-NATEETE'!C43,'23.07 BUSEGA-NATEETE'!C43,'24.07 BUSEGA-NATEETE'!C43,'25.07 BUSEGA-NATEETE'!C43,'26.07 BUSEGA-NATEETE'!C43,'27.07 52BUSEGA-NATEETEh'!C43,'28.07 NATEETE-BUSEGA'!C43)</f>
        <v>62</v>
      </c>
      <c r="D43" s="49">
        <f>AVERAGE('22.07 BUSEGA-NATEETE'!D43,'23.07 BUSEGA-NATEETE'!D43,'24.07 BUSEGA-NATEETE'!D43,'25.07 BUSEGA-NATEETE'!D43,'26.07 BUSEGA-NATEETE'!D43,'27.07 52BUSEGA-NATEETEh'!D43,'28.07 NATEETE-BUSEGA'!D43)</f>
        <v>9.8571428571428577</v>
      </c>
      <c r="E43" s="49">
        <f>AVERAGE('22.07 BUSEGA-NATEETE'!E43,'23.07 BUSEGA-NATEETE'!E43,'24.07 BUSEGA-NATEETE'!E43,'25.07 BUSEGA-NATEETE'!E43,'26.07 BUSEGA-NATEETE'!E43,'27.07 52BUSEGA-NATEETEh'!E43,'28.07 NATEETE-BUSEGA'!E43)</f>
        <v>10.285714285714286</v>
      </c>
      <c r="F43" s="49">
        <f>AVERAGE('22.07 BUSEGA-NATEETE'!F43,'23.07 BUSEGA-NATEETE'!F43,'24.07 BUSEGA-NATEETE'!F43,'25.07 BUSEGA-NATEETE'!F43,'26.07 BUSEGA-NATEETE'!F43,'27.07 52BUSEGA-NATEETEh'!F43,'28.07 NATEETE-BUSEGA'!F43)</f>
        <v>55</v>
      </c>
      <c r="G43" s="49">
        <f>AVERAGE('22.07 BUSEGA-NATEETE'!G43,'23.07 BUSEGA-NATEETE'!G43,'24.07 BUSEGA-NATEETE'!G43,'25.07 BUSEGA-NATEETE'!G43,'26.07 BUSEGA-NATEETE'!G43,'27.07 52BUSEGA-NATEETEh'!G43,'28.07 NATEETE-BUSEGA'!G43)</f>
        <v>1.2857142857142858</v>
      </c>
      <c r="H43" s="49">
        <f>AVERAGE('22.07 BUSEGA-NATEETE'!H43,'23.07 BUSEGA-NATEETE'!H43,'24.07 BUSEGA-NATEETE'!H43,'25.07 BUSEGA-NATEETE'!H43,'26.07 BUSEGA-NATEETE'!H43,'27.07 52BUSEGA-NATEETEh'!H43,'28.07 NATEETE-BUSEGA'!H43)</f>
        <v>1.2857142857142858</v>
      </c>
      <c r="I43" s="49">
        <f>AVERAGE('22.07 BUSEGA-NATEETE'!I43,'23.07 BUSEGA-NATEETE'!I43,'24.07 BUSEGA-NATEETE'!I43,'25.07 BUSEGA-NATEETE'!I43,'26.07 BUSEGA-NATEETE'!I43,'27.07 52BUSEGA-NATEETEh'!I43,'28.07 NATEETE-BUSEGA'!I43)</f>
        <v>9.2857142857142865</v>
      </c>
      <c r="J43" s="49">
        <f>AVERAGE('22.07 BUSEGA-NATEETE'!J43,'23.07 BUSEGA-NATEETE'!J43,'24.07 BUSEGA-NATEETE'!J43,'25.07 BUSEGA-NATEETE'!J43,'26.07 BUSEGA-NATEETE'!J43,'27.07 52BUSEGA-NATEETEh'!J43,'28.07 NATEETE-BUSEGA'!J43)</f>
        <v>5.7142857142857144</v>
      </c>
      <c r="K43" s="49">
        <f>AVERAGE('22.07 BUSEGA-NATEETE'!K43,'23.07 BUSEGA-NATEETE'!K43,'24.07 BUSEGA-NATEETE'!K43,'25.07 BUSEGA-NATEETE'!K43,'26.07 BUSEGA-NATEETE'!K43,'27.07 52BUSEGA-NATEETEh'!K43,'28.07 NATEETE-BUSEGA'!K43)</f>
        <v>2.5714285714285716</v>
      </c>
      <c r="L43" s="49">
        <f>AVERAGE('22.07 BUSEGA-NATEETE'!L43,'23.07 BUSEGA-NATEETE'!L43,'24.07 BUSEGA-NATEETE'!L43,'25.07 BUSEGA-NATEETE'!L43,'26.07 BUSEGA-NATEETE'!L43,'27.07 52BUSEGA-NATEETEh'!L43,'28.07 NATEETE-BUSEGA'!L43)</f>
        <v>2.2857142857142856</v>
      </c>
      <c r="M43" s="49">
        <f>AVERAGE('22.07 BUSEGA-NATEETE'!M43,'23.07 BUSEGA-NATEETE'!M43,'24.07 BUSEGA-NATEETE'!M43,'25.07 BUSEGA-NATEETE'!M43,'26.07 BUSEGA-NATEETE'!M43,'27.07 52BUSEGA-NATEETEh'!M43,'28.07 NATEETE-BUSEGA'!M43)</f>
        <v>170.28571428571428</v>
      </c>
      <c r="N43" s="49">
        <f>AVERAGE('22.07 BUSEGA-NATEETE'!N43,'23.07 BUSEGA-NATEETE'!N43,'24.07 BUSEGA-NATEETE'!N43,'25.07 BUSEGA-NATEETE'!N43,'26.07 BUSEGA-NATEETE'!N43,'27.07 52BUSEGA-NATEETEh'!N43,'28.07 NATEETE-BUSEGA'!N43)</f>
        <v>0</v>
      </c>
      <c r="O43" s="15">
        <f t="shared" si="0"/>
        <v>159.57142857142858</v>
      </c>
      <c r="P43" s="15">
        <f t="shared" si="1"/>
        <v>329.85714285714289</v>
      </c>
    </row>
    <row r="44" spans="2:32" ht="23.1" customHeight="1" x14ac:dyDescent="0.25">
      <c r="B44" s="25" t="s">
        <v>71</v>
      </c>
      <c r="C44" s="49">
        <f>AVERAGE('22.07 BUSEGA-NATEETE'!C44,'23.07 BUSEGA-NATEETE'!C44,'24.07 BUSEGA-NATEETE'!C44,'25.07 BUSEGA-NATEETE'!C44,'26.07 BUSEGA-NATEETE'!C44,'27.07 52BUSEGA-NATEETEh'!C44,'28.07 NATEETE-BUSEGA'!C44)</f>
        <v>65</v>
      </c>
      <c r="D44" s="49">
        <f>AVERAGE('22.07 BUSEGA-NATEETE'!D44,'23.07 BUSEGA-NATEETE'!D44,'24.07 BUSEGA-NATEETE'!D44,'25.07 BUSEGA-NATEETE'!D44,'26.07 BUSEGA-NATEETE'!D44,'27.07 52BUSEGA-NATEETEh'!D44,'28.07 NATEETE-BUSEGA'!D44)</f>
        <v>6.5714285714285712</v>
      </c>
      <c r="E44" s="49">
        <f>AVERAGE('22.07 BUSEGA-NATEETE'!E44,'23.07 BUSEGA-NATEETE'!E44,'24.07 BUSEGA-NATEETE'!E44,'25.07 BUSEGA-NATEETE'!E44,'26.07 BUSEGA-NATEETE'!E44,'27.07 52BUSEGA-NATEETEh'!E44,'28.07 NATEETE-BUSEGA'!E44)</f>
        <v>11.857142857142858</v>
      </c>
      <c r="F44" s="49">
        <f>AVERAGE('22.07 BUSEGA-NATEETE'!F44,'23.07 BUSEGA-NATEETE'!F44,'24.07 BUSEGA-NATEETE'!F44,'25.07 BUSEGA-NATEETE'!F44,'26.07 BUSEGA-NATEETE'!F44,'27.07 52BUSEGA-NATEETEh'!F44,'28.07 NATEETE-BUSEGA'!F44)</f>
        <v>53.857142857142854</v>
      </c>
      <c r="G44" s="49">
        <f>AVERAGE('22.07 BUSEGA-NATEETE'!G44,'23.07 BUSEGA-NATEETE'!G44,'24.07 BUSEGA-NATEETE'!G44,'25.07 BUSEGA-NATEETE'!G44,'26.07 BUSEGA-NATEETE'!G44,'27.07 52BUSEGA-NATEETEh'!G44,'28.07 NATEETE-BUSEGA'!G44)</f>
        <v>1.7142857142857142</v>
      </c>
      <c r="H44" s="49">
        <f>AVERAGE('22.07 BUSEGA-NATEETE'!H44,'23.07 BUSEGA-NATEETE'!H44,'24.07 BUSEGA-NATEETE'!H44,'25.07 BUSEGA-NATEETE'!H44,'26.07 BUSEGA-NATEETE'!H44,'27.07 52BUSEGA-NATEETEh'!H44,'28.07 NATEETE-BUSEGA'!H44)</f>
        <v>2.5714285714285716</v>
      </c>
      <c r="I44" s="49">
        <f>AVERAGE('22.07 BUSEGA-NATEETE'!I44,'23.07 BUSEGA-NATEETE'!I44,'24.07 BUSEGA-NATEETE'!I44,'25.07 BUSEGA-NATEETE'!I44,'26.07 BUSEGA-NATEETE'!I44,'27.07 52BUSEGA-NATEETEh'!I44,'28.07 NATEETE-BUSEGA'!I44)</f>
        <v>8.2857142857142865</v>
      </c>
      <c r="J44" s="49">
        <f>AVERAGE('22.07 BUSEGA-NATEETE'!J44,'23.07 BUSEGA-NATEETE'!J44,'24.07 BUSEGA-NATEETE'!J44,'25.07 BUSEGA-NATEETE'!J44,'26.07 BUSEGA-NATEETE'!J44,'27.07 52BUSEGA-NATEETEh'!J44,'28.07 NATEETE-BUSEGA'!J44)</f>
        <v>6.7142857142857144</v>
      </c>
      <c r="K44" s="49">
        <f>AVERAGE('22.07 BUSEGA-NATEETE'!K44,'23.07 BUSEGA-NATEETE'!K44,'24.07 BUSEGA-NATEETE'!K44,'25.07 BUSEGA-NATEETE'!K44,'26.07 BUSEGA-NATEETE'!K44,'27.07 52BUSEGA-NATEETEh'!K44,'28.07 NATEETE-BUSEGA'!K44)</f>
        <v>3.2857142857142856</v>
      </c>
      <c r="L44" s="49">
        <f>AVERAGE('22.07 BUSEGA-NATEETE'!L44,'23.07 BUSEGA-NATEETE'!L44,'24.07 BUSEGA-NATEETE'!L44,'25.07 BUSEGA-NATEETE'!L44,'26.07 BUSEGA-NATEETE'!L44,'27.07 52BUSEGA-NATEETEh'!L44,'28.07 NATEETE-BUSEGA'!L44)</f>
        <v>4.1428571428571432</v>
      </c>
      <c r="M44" s="49">
        <f>AVERAGE('22.07 BUSEGA-NATEETE'!M44,'23.07 BUSEGA-NATEETE'!M44,'24.07 BUSEGA-NATEETE'!M44,'25.07 BUSEGA-NATEETE'!M44,'26.07 BUSEGA-NATEETE'!M44,'27.07 52BUSEGA-NATEETEh'!M44,'28.07 NATEETE-BUSEGA'!M44)</f>
        <v>163.14285714285714</v>
      </c>
      <c r="N44" s="49">
        <f>AVERAGE('22.07 BUSEGA-NATEETE'!N44,'23.07 BUSEGA-NATEETE'!N44,'24.07 BUSEGA-NATEETE'!N44,'25.07 BUSEGA-NATEETE'!N44,'26.07 BUSEGA-NATEETE'!N44,'27.07 52BUSEGA-NATEETEh'!N44,'28.07 NATEETE-BUSEGA'!N44)</f>
        <v>0</v>
      </c>
      <c r="O44" s="15">
        <f t="shared" si="0"/>
        <v>164</v>
      </c>
      <c r="P44" s="15">
        <f t="shared" si="1"/>
        <v>327.14285714285711</v>
      </c>
    </row>
    <row r="45" spans="2:32" ht="23.1" customHeight="1" x14ac:dyDescent="0.25">
      <c r="B45" s="23" t="s">
        <v>72</v>
      </c>
      <c r="C45" s="49">
        <f>AVERAGE('22.07 BUSEGA-NATEETE'!C45,'23.07 BUSEGA-NATEETE'!C45,'24.07 BUSEGA-NATEETE'!C45,'25.07 BUSEGA-NATEETE'!C45,'26.07 BUSEGA-NATEETE'!C45,'27.07 52BUSEGA-NATEETEh'!C45,'28.07 NATEETE-BUSEGA'!C45)</f>
        <v>55.571428571428569</v>
      </c>
      <c r="D45" s="49">
        <f>AVERAGE('22.07 BUSEGA-NATEETE'!D45,'23.07 BUSEGA-NATEETE'!D45,'24.07 BUSEGA-NATEETE'!D45,'25.07 BUSEGA-NATEETE'!D45,'26.07 BUSEGA-NATEETE'!D45,'27.07 52BUSEGA-NATEETEh'!D45,'28.07 NATEETE-BUSEGA'!D45)</f>
        <v>8</v>
      </c>
      <c r="E45" s="49">
        <f>AVERAGE('22.07 BUSEGA-NATEETE'!E45,'23.07 BUSEGA-NATEETE'!E45,'24.07 BUSEGA-NATEETE'!E45,'25.07 BUSEGA-NATEETE'!E45,'26.07 BUSEGA-NATEETE'!E45,'27.07 52BUSEGA-NATEETEh'!E45,'28.07 NATEETE-BUSEGA'!E45)</f>
        <v>9.1428571428571423</v>
      </c>
      <c r="F45" s="49">
        <f>AVERAGE('22.07 BUSEGA-NATEETE'!F45,'23.07 BUSEGA-NATEETE'!F45,'24.07 BUSEGA-NATEETE'!F45,'25.07 BUSEGA-NATEETE'!F45,'26.07 BUSEGA-NATEETE'!F45,'27.07 52BUSEGA-NATEETEh'!F45,'28.07 NATEETE-BUSEGA'!F45)</f>
        <v>59.142857142857146</v>
      </c>
      <c r="G45" s="49">
        <f>AVERAGE('22.07 BUSEGA-NATEETE'!G45,'23.07 BUSEGA-NATEETE'!G45,'24.07 BUSEGA-NATEETE'!G45,'25.07 BUSEGA-NATEETE'!G45,'26.07 BUSEGA-NATEETE'!G45,'27.07 52BUSEGA-NATEETEh'!G45,'28.07 NATEETE-BUSEGA'!G45)</f>
        <v>4.4285714285714288</v>
      </c>
      <c r="H45" s="49">
        <f>AVERAGE('22.07 BUSEGA-NATEETE'!H45,'23.07 BUSEGA-NATEETE'!H45,'24.07 BUSEGA-NATEETE'!H45,'25.07 BUSEGA-NATEETE'!H45,'26.07 BUSEGA-NATEETE'!H45,'27.07 52BUSEGA-NATEETEh'!H45,'28.07 NATEETE-BUSEGA'!H45)</f>
        <v>2.5714285714285716</v>
      </c>
      <c r="I45" s="49">
        <f>AVERAGE('22.07 BUSEGA-NATEETE'!I45,'23.07 BUSEGA-NATEETE'!I45,'24.07 BUSEGA-NATEETE'!I45,'25.07 BUSEGA-NATEETE'!I45,'26.07 BUSEGA-NATEETE'!I45,'27.07 52BUSEGA-NATEETEh'!I45,'28.07 NATEETE-BUSEGA'!I45)</f>
        <v>8.1428571428571423</v>
      </c>
      <c r="J45" s="49">
        <f>AVERAGE('22.07 BUSEGA-NATEETE'!J45,'23.07 BUSEGA-NATEETE'!J45,'24.07 BUSEGA-NATEETE'!J45,'25.07 BUSEGA-NATEETE'!J45,'26.07 BUSEGA-NATEETE'!J45,'27.07 52BUSEGA-NATEETEh'!J45,'28.07 NATEETE-BUSEGA'!J45)</f>
        <v>9.7142857142857135</v>
      </c>
      <c r="K45" s="49">
        <f>AVERAGE('22.07 BUSEGA-NATEETE'!K45,'23.07 BUSEGA-NATEETE'!K45,'24.07 BUSEGA-NATEETE'!K45,'25.07 BUSEGA-NATEETE'!K45,'26.07 BUSEGA-NATEETE'!K45,'27.07 52BUSEGA-NATEETEh'!K45,'28.07 NATEETE-BUSEGA'!K45)</f>
        <v>2.8571428571428572</v>
      </c>
      <c r="L45" s="49">
        <f>AVERAGE('22.07 BUSEGA-NATEETE'!L45,'23.07 BUSEGA-NATEETE'!L45,'24.07 BUSEGA-NATEETE'!L45,'25.07 BUSEGA-NATEETE'!L45,'26.07 BUSEGA-NATEETE'!L45,'27.07 52BUSEGA-NATEETEh'!L45,'28.07 NATEETE-BUSEGA'!L45)</f>
        <v>27.857142857142858</v>
      </c>
      <c r="M45" s="49">
        <f>AVERAGE('22.07 BUSEGA-NATEETE'!M45,'23.07 BUSEGA-NATEETE'!M45,'24.07 BUSEGA-NATEETE'!M45,'25.07 BUSEGA-NATEETE'!M45,'26.07 BUSEGA-NATEETE'!M45,'27.07 52BUSEGA-NATEETEh'!M45,'28.07 NATEETE-BUSEGA'!M45)</f>
        <v>130.71428571428572</v>
      </c>
      <c r="N45" s="49">
        <f>AVERAGE('22.07 BUSEGA-NATEETE'!N45,'23.07 BUSEGA-NATEETE'!N45,'24.07 BUSEGA-NATEETE'!N45,'25.07 BUSEGA-NATEETE'!N45,'26.07 BUSEGA-NATEETE'!N45,'27.07 52BUSEGA-NATEETEh'!N45,'28.07 NATEETE-BUSEGA'!N45)</f>
        <v>0</v>
      </c>
      <c r="O45" s="15">
        <f t="shared" si="0"/>
        <v>187.42857142857144</v>
      </c>
      <c r="P45" s="15">
        <f t="shared" si="1"/>
        <v>318.14285714285717</v>
      </c>
    </row>
    <row r="46" spans="2:32" ht="23.1" customHeight="1" x14ac:dyDescent="0.25">
      <c r="B46" s="24" t="s">
        <v>73</v>
      </c>
      <c r="C46" s="49">
        <f>AVERAGE('22.07 BUSEGA-NATEETE'!C46,'23.07 BUSEGA-NATEETE'!C46,'24.07 BUSEGA-NATEETE'!C46,'25.07 BUSEGA-NATEETE'!C46,'26.07 BUSEGA-NATEETE'!C46,'27.07 52BUSEGA-NATEETEh'!C46,'28.07 NATEETE-BUSEGA'!C46)</f>
        <v>54.285714285714285</v>
      </c>
      <c r="D46" s="49">
        <f>AVERAGE('22.07 BUSEGA-NATEETE'!D46,'23.07 BUSEGA-NATEETE'!D46,'24.07 BUSEGA-NATEETE'!D46,'25.07 BUSEGA-NATEETE'!D46,'26.07 BUSEGA-NATEETE'!D46,'27.07 52BUSEGA-NATEETEh'!D46,'28.07 NATEETE-BUSEGA'!D46)</f>
        <v>6.5714285714285712</v>
      </c>
      <c r="E46" s="49">
        <f>AVERAGE('22.07 BUSEGA-NATEETE'!E46,'23.07 BUSEGA-NATEETE'!E46,'24.07 BUSEGA-NATEETE'!E46,'25.07 BUSEGA-NATEETE'!E46,'26.07 BUSEGA-NATEETE'!E46,'27.07 52BUSEGA-NATEETEh'!E46,'28.07 NATEETE-BUSEGA'!E46)</f>
        <v>10.285714285714286</v>
      </c>
      <c r="F46" s="49">
        <f>AVERAGE('22.07 BUSEGA-NATEETE'!F46,'23.07 BUSEGA-NATEETE'!F46,'24.07 BUSEGA-NATEETE'!F46,'25.07 BUSEGA-NATEETE'!F46,'26.07 BUSEGA-NATEETE'!F46,'27.07 52BUSEGA-NATEETEh'!F46,'28.07 NATEETE-BUSEGA'!F46)</f>
        <v>56.285714285714285</v>
      </c>
      <c r="G46" s="49">
        <f>AVERAGE('22.07 BUSEGA-NATEETE'!G46,'23.07 BUSEGA-NATEETE'!G46,'24.07 BUSEGA-NATEETE'!G46,'25.07 BUSEGA-NATEETE'!G46,'26.07 BUSEGA-NATEETE'!G46,'27.07 52BUSEGA-NATEETEh'!G46,'28.07 NATEETE-BUSEGA'!G46)</f>
        <v>1.5714285714285714</v>
      </c>
      <c r="H46" s="49">
        <f>AVERAGE('22.07 BUSEGA-NATEETE'!H46,'23.07 BUSEGA-NATEETE'!H46,'24.07 BUSEGA-NATEETE'!H46,'25.07 BUSEGA-NATEETE'!H46,'26.07 BUSEGA-NATEETE'!H46,'27.07 52BUSEGA-NATEETEh'!H46,'28.07 NATEETE-BUSEGA'!H46)</f>
        <v>1.8571428571428572</v>
      </c>
      <c r="I46" s="49">
        <f>AVERAGE('22.07 BUSEGA-NATEETE'!I46,'23.07 BUSEGA-NATEETE'!I46,'24.07 BUSEGA-NATEETE'!I46,'25.07 BUSEGA-NATEETE'!I46,'26.07 BUSEGA-NATEETE'!I46,'27.07 52BUSEGA-NATEETEh'!I46,'28.07 NATEETE-BUSEGA'!I46)</f>
        <v>12.857142857142858</v>
      </c>
      <c r="J46" s="49">
        <f>AVERAGE('22.07 BUSEGA-NATEETE'!J46,'23.07 BUSEGA-NATEETE'!J46,'24.07 BUSEGA-NATEETE'!J46,'25.07 BUSEGA-NATEETE'!J46,'26.07 BUSEGA-NATEETE'!J46,'27.07 52BUSEGA-NATEETEh'!J46,'28.07 NATEETE-BUSEGA'!J46)</f>
        <v>5.8571428571428568</v>
      </c>
      <c r="K46" s="49">
        <f>AVERAGE('22.07 BUSEGA-NATEETE'!K46,'23.07 BUSEGA-NATEETE'!K46,'24.07 BUSEGA-NATEETE'!K46,'25.07 BUSEGA-NATEETE'!K46,'26.07 BUSEGA-NATEETE'!K46,'27.07 52BUSEGA-NATEETEh'!K46,'28.07 NATEETE-BUSEGA'!K46)</f>
        <v>6.5714285714285712</v>
      </c>
      <c r="L46" s="49">
        <f>AVERAGE('22.07 BUSEGA-NATEETE'!L46,'23.07 BUSEGA-NATEETE'!L46,'24.07 BUSEGA-NATEETE'!L46,'25.07 BUSEGA-NATEETE'!L46,'26.07 BUSEGA-NATEETE'!L46,'27.07 52BUSEGA-NATEETEh'!L46,'28.07 NATEETE-BUSEGA'!L46)</f>
        <v>4.7142857142857144</v>
      </c>
      <c r="M46" s="49">
        <f>AVERAGE('22.07 BUSEGA-NATEETE'!M46,'23.07 BUSEGA-NATEETE'!M46,'24.07 BUSEGA-NATEETE'!M46,'25.07 BUSEGA-NATEETE'!M46,'26.07 BUSEGA-NATEETE'!M46,'27.07 52BUSEGA-NATEETEh'!M46,'28.07 NATEETE-BUSEGA'!M46)</f>
        <v>172.42857142857142</v>
      </c>
      <c r="N46" s="49">
        <f>AVERAGE('22.07 BUSEGA-NATEETE'!N46,'23.07 BUSEGA-NATEETE'!N46,'24.07 BUSEGA-NATEETE'!N46,'25.07 BUSEGA-NATEETE'!N46,'26.07 BUSEGA-NATEETE'!N46,'27.07 52BUSEGA-NATEETEh'!N46,'28.07 NATEETE-BUSEGA'!N46)</f>
        <v>0</v>
      </c>
      <c r="O46" s="15">
        <f t="shared" si="0"/>
        <v>160.85714285714289</v>
      </c>
      <c r="P46" s="15">
        <f t="shared" si="1"/>
        <v>333.28571428571433</v>
      </c>
      <c r="R46" s="8"/>
      <c r="T46"/>
    </row>
    <row r="47" spans="2:32" ht="23.1" customHeight="1" x14ac:dyDescent="0.25">
      <c r="B47" s="24" t="s">
        <v>74</v>
      </c>
      <c r="C47" s="49">
        <f>AVERAGE('22.07 BUSEGA-NATEETE'!C47,'23.07 BUSEGA-NATEETE'!C47,'24.07 BUSEGA-NATEETE'!C47,'25.07 BUSEGA-NATEETE'!C47,'26.07 BUSEGA-NATEETE'!C47,'27.07 52BUSEGA-NATEETEh'!C47,'28.07 NATEETE-BUSEGA'!C47)</f>
        <v>60.857142857142854</v>
      </c>
      <c r="D47" s="49">
        <f>AVERAGE('22.07 BUSEGA-NATEETE'!D47,'23.07 BUSEGA-NATEETE'!D47,'24.07 BUSEGA-NATEETE'!D47,'25.07 BUSEGA-NATEETE'!D47,'26.07 BUSEGA-NATEETE'!D47,'27.07 52BUSEGA-NATEETEh'!D47,'28.07 NATEETE-BUSEGA'!D47)</f>
        <v>5.4285714285714288</v>
      </c>
      <c r="E47" s="49">
        <f>AVERAGE('22.07 BUSEGA-NATEETE'!E47,'23.07 BUSEGA-NATEETE'!E47,'24.07 BUSEGA-NATEETE'!E47,'25.07 BUSEGA-NATEETE'!E47,'26.07 BUSEGA-NATEETE'!E47,'27.07 52BUSEGA-NATEETEh'!E47,'28.07 NATEETE-BUSEGA'!E47)</f>
        <v>6.8571428571428568</v>
      </c>
      <c r="F47" s="49">
        <f>AVERAGE('22.07 BUSEGA-NATEETE'!F47,'23.07 BUSEGA-NATEETE'!F47,'24.07 BUSEGA-NATEETE'!F47,'25.07 BUSEGA-NATEETE'!F47,'26.07 BUSEGA-NATEETE'!F47,'27.07 52BUSEGA-NATEETEh'!F47,'28.07 NATEETE-BUSEGA'!F47)</f>
        <v>59.428571428571431</v>
      </c>
      <c r="G47" s="49">
        <f>AVERAGE('22.07 BUSEGA-NATEETE'!G47,'23.07 BUSEGA-NATEETE'!G47,'24.07 BUSEGA-NATEETE'!G47,'25.07 BUSEGA-NATEETE'!G47,'26.07 BUSEGA-NATEETE'!G47,'27.07 52BUSEGA-NATEETEh'!G47,'28.07 NATEETE-BUSEGA'!G47)</f>
        <v>0.8571428571428571</v>
      </c>
      <c r="H47" s="49">
        <f>AVERAGE('22.07 BUSEGA-NATEETE'!H47,'23.07 BUSEGA-NATEETE'!H47,'24.07 BUSEGA-NATEETE'!H47,'25.07 BUSEGA-NATEETE'!H47,'26.07 BUSEGA-NATEETE'!H47,'27.07 52BUSEGA-NATEETEh'!H47,'28.07 NATEETE-BUSEGA'!H47)</f>
        <v>4.1428571428571432</v>
      </c>
      <c r="I47" s="49">
        <f>AVERAGE('22.07 BUSEGA-NATEETE'!I47,'23.07 BUSEGA-NATEETE'!I47,'24.07 BUSEGA-NATEETE'!I47,'25.07 BUSEGA-NATEETE'!I47,'26.07 BUSEGA-NATEETE'!I47,'27.07 52BUSEGA-NATEETEh'!I47,'28.07 NATEETE-BUSEGA'!I47)</f>
        <v>11.428571428571429</v>
      </c>
      <c r="J47" s="49">
        <f>AVERAGE('22.07 BUSEGA-NATEETE'!J47,'23.07 BUSEGA-NATEETE'!J47,'24.07 BUSEGA-NATEETE'!J47,'25.07 BUSEGA-NATEETE'!J47,'26.07 BUSEGA-NATEETE'!J47,'27.07 52BUSEGA-NATEETEh'!J47,'28.07 NATEETE-BUSEGA'!J47)</f>
        <v>7.8571428571428568</v>
      </c>
      <c r="K47" s="49">
        <f>AVERAGE('22.07 BUSEGA-NATEETE'!K47,'23.07 BUSEGA-NATEETE'!K47,'24.07 BUSEGA-NATEETE'!K47,'25.07 BUSEGA-NATEETE'!K47,'26.07 BUSEGA-NATEETE'!K47,'27.07 52BUSEGA-NATEETEh'!K47,'28.07 NATEETE-BUSEGA'!K47)</f>
        <v>3.4285714285714284</v>
      </c>
      <c r="L47" s="49">
        <f>AVERAGE('22.07 BUSEGA-NATEETE'!L47,'23.07 BUSEGA-NATEETE'!L47,'24.07 BUSEGA-NATEETE'!L47,'25.07 BUSEGA-NATEETE'!L47,'26.07 BUSEGA-NATEETE'!L47,'27.07 52BUSEGA-NATEETEh'!L47,'28.07 NATEETE-BUSEGA'!L47)</f>
        <v>6.5714285714285712</v>
      </c>
      <c r="M47" s="49">
        <f>AVERAGE('22.07 BUSEGA-NATEETE'!M47,'23.07 BUSEGA-NATEETE'!M47,'24.07 BUSEGA-NATEETE'!M47,'25.07 BUSEGA-NATEETE'!M47,'26.07 BUSEGA-NATEETE'!M47,'27.07 52BUSEGA-NATEETEh'!M47,'28.07 NATEETE-BUSEGA'!M47)</f>
        <v>164.85714285714286</v>
      </c>
      <c r="N47" s="49">
        <f>AVERAGE('22.07 BUSEGA-NATEETE'!N47,'23.07 BUSEGA-NATEETE'!N47,'24.07 BUSEGA-NATEETE'!N47,'25.07 BUSEGA-NATEETE'!N47,'26.07 BUSEGA-NATEETE'!N47,'27.07 52BUSEGA-NATEETEh'!N47,'28.07 NATEETE-BUSEGA'!N47)</f>
        <v>0</v>
      </c>
      <c r="O47" s="15">
        <f t="shared" si="0"/>
        <v>166.85714285714283</v>
      </c>
      <c r="P47" s="15">
        <f t="shared" si="1"/>
        <v>331.71428571428567</v>
      </c>
      <c r="R47" s="8"/>
      <c r="T47"/>
    </row>
    <row r="48" spans="2:32" ht="23.1" customHeight="1" x14ac:dyDescent="0.25">
      <c r="B48" s="24" t="s">
        <v>75</v>
      </c>
      <c r="C48" s="49">
        <f>AVERAGE('22.07 BUSEGA-NATEETE'!C48,'23.07 BUSEGA-NATEETE'!C48,'24.07 BUSEGA-NATEETE'!C48,'25.07 BUSEGA-NATEETE'!C48,'26.07 BUSEGA-NATEETE'!C48,'27.07 52BUSEGA-NATEETEh'!C48,'28.07 NATEETE-BUSEGA'!C48)</f>
        <v>47.857142857142854</v>
      </c>
      <c r="D48" s="49">
        <f>AVERAGE('22.07 BUSEGA-NATEETE'!D48,'23.07 BUSEGA-NATEETE'!D48,'24.07 BUSEGA-NATEETE'!D48,'25.07 BUSEGA-NATEETE'!D48,'26.07 BUSEGA-NATEETE'!D48,'27.07 52BUSEGA-NATEETEh'!D48,'28.07 NATEETE-BUSEGA'!D48)</f>
        <v>6.8571428571428568</v>
      </c>
      <c r="E48" s="49">
        <f>AVERAGE('22.07 BUSEGA-NATEETE'!E48,'23.07 BUSEGA-NATEETE'!E48,'24.07 BUSEGA-NATEETE'!E48,'25.07 BUSEGA-NATEETE'!E48,'26.07 BUSEGA-NATEETE'!E48,'27.07 52BUSEGA-NATEETEh'!E48,'28.07 NATEETE-BUSEGA'!E48)</f>
        <v>6.2857142857142856</v>
      </c>
      <c r="F48" s="49">
        <f>AVERAGE('22.07 BUSEGA-NATEETE'!F48,'23.07 BUSEGA-NATEETE'!F48,'24.07 BUSEGA-NATEETE'!F48,'25.07 BUSEGA-NATEETE'!F48,'26.07 BUSEGA-NATEETE'!F48,'27.07 52BUSEGA-NATEETEh'!F48,'28.07 NATEETE-BUSEGA'!F48)</f>
        <v>56</v>
      </c>
      <c r="G48" s="49">
        <f>AVERAGE('22.07 BUSEGA-NATEETE'!G48,'23.07 BUSEGA-NATEETE'!G48,'24.07 BUSEGA-NATEETE'!G48,'25.07 BUSEGA-NATEETE'!G48,'26.07 BUSEGA-NATEETE'!G48,'27.07 52BUSEGA-NATEETEh'!G48,'28.07 NATEETE-BUSEGA'!G48)</f>
        <v>1.5714285714285714</v>
      </c>
      <c r="H48" s="49">
        <f>AVERAGE('22.07 BUSEGA-NATEETE'!H48,'23.07 BUSEGA-NATEETE'!H48,'24.07 BUSEGA-NATEETE'!H48,'25.07 BUSEGA-NATEETE'!H48,'26.07 BUSEGA-NATEETE'!H48,'27.07 52BUSEGA-NATEETEh'!H48,'28.07 NATEETE-BUSEGA'!H48)</f>
        <v>5.2857142857142856</v>
      </c>
      <c r="I48" s="49">
        <f>AVERAGE('22.07 BUSEGA-NATEETE'!I48,'23.07 BUSEGA-NATEETE'!I48,'24.07 BUSEGA-NATEETE'!I48,'25.07 BUSEGA-NATEETE'!I48,'26.07 BUSEGA-NATEETE'!I48,'27.07 52BUSEGA-NATEETEh'!I48,'28.07 NATEETE-BUSEGA'!I48)</f>
        <v>9.8571428571428577</v>
      </c>
      <c r="J48" s="49">
        <f>AVERAGE('22.07 BUSEGA-NATEETE'!J48,'23.07 BUSEGA-NATEETE'!J48,'24.07 BUSEGA-NATEETE'!J48,'25.07 BUSEGA-NATEETE'!J48,'26.07 BUSEGA-NATEETE'!J48,'27.07 52BUSEGA-NATEETEh'!J48,'28.07 NATEETE-BUSEGA'!J48)</f>
        <v>9.8571428571428577</v>
      </c>
      <c r="K48" s="49">
        <f>AVERAGE('22.07 BUSEGA-NATEETE'!K48,'23.07 BUSEGA-NATEETE'!K48,'24.07 BUSEGA-NATEETE'!K48,'25.07 BUSEGA-NATEETE'!K48,'26.07 BUSEGA-NATEETE'!K48,'27.07 52BUSEGA-NATEETEh'!K48,'28.07 NATEETE-BUSEGA'!K48)</f>
        <v>4.4285714285714288</v>
      </c>
      <c r="L48" s="49">
        <f>AVERAGE('22.07 BUSEGA-NATEETE'!L48,'23.07 BUSEGA-NATEETE'!L48,'24.07 BUSEGA-NATEETE'!L48,'25.07 BUSEGA-NATEETE'!L48,'26.07 BUSEGA-NATEETE'!L48,'27.07 52BUSEGA-NATEETEh'!L48,'28.07 NATEETE-BUSEGA'!L48)</f>
        <v>6</v>
      </c>
      <c r="M48" s="49">
        <f>AVERAGE('22.07 BUSEGA-NATEETE'!M48,'23.07 BUSEGA-NATEETE'!M48,'24.07 BUSEGA-NATEETE'!M48,'25.07 BUSEGA-NATEETE'!M48,'26.07 BUSEGA-NATEETE'!M48,'27.07 52BUSEGA-NATEETEh'!M48,'28.07 NATEETE-BUSEGA'!M48)</f>
        <v>185.14285714285714</v>
      </c>
      <c r="N48" s="49">
        <f>AVERAGE('22.07 BUSEGA-NATEETE'!N48,'23.07 BUSEGA-NATEETE'!N48,'24.07 BUSEGA-NATEETE'!N48,'25.07 BUSEGA-NATEETE'!N48,'26.07 BUSEGA-NATEETE'!N48,'27.07 52BUSEGA-NATEETEh'!N48,'28.07 NATEETE-BUSEGA'!N48)</f>
        <v>0.14285714285714285</v>
      </c>
      <c r="O48" s="15">
        <f t="shared" si="0"/>
        <v>154.14285714285714</v>
      </c>
      <c r="P48" s="15">
        <f t="shared" si="1"/>
        <v>339.28571428571428</v>
      </c>
      <c r="R48" s="8"/>
      <c r="T48"/>
    </row>
    <row r="49" spans="2:20" ht="23.1" customHeight="1" x14ac:dyDescent="0.25">
      <c r="B49" s="23" t="s">
        <v>76</v>
      </c>
      <c r="C49" s="49">
        <f>AVERAGE('22.07 BUSEGA-NATEETE'!C49,'23.07 BUSEGA-NATEETE'!C49,'24.07 BUSEGA-NATEETE'!C49,'25.07 BUSEGA-NATEETE'!C49,'26.07 BUSEGA-NATEETE'!C49,'27.07 52BUSEGA-NATEETEh'!C49,'28.07 NATEETE-BUSEGA'!C49)</f>
        <v>59.428571428571431</v>
      </c>
      <c r="D49" s="49">
        <f>AVERAGE('22.07 BUSEGA-NATEETE'!D49,'23.07 BUSEGA-NATEETE'!D49,'24.07 BUSEGA-NATEETE'!D49,'25.07 BUSEGA-NATEETE'!D49,'26.07 BUSEGA-NATEETE'!D49,'27.07 52BUSEGA-NATEETEh'!D49,'28.07 NATEETE-BUSEGA'!D49)</f>
        <v>7</v>
      </c>
      <c r="E49" s="49">
        <f>AVERAGE('22.07 BUSEGA-NATEETE'!E49,'23.07 BUSEGA-NATEETE'!E49,'24.07 BUSEGA-NATEETE'!E49,'25.07 BUSEGA-NATEETE'!E49,'26.07 BUSEGA-NATEETE'!E49,'27.07 52BUSEGA-NATEETEh'!E49,'28.07 NATEETE-BUSEGA'!E49)</f>
        <v>11</v>
      </c>
      <c r="F49" s="49">
        <f>AVERAGE('22.07 BUSEGA-NATEETE'!F49,'23.07 BUSEGA-NATEETE'!F49,'24.07 BUSEGA-NATEETE'!F49,'25.07 BUSEGA-NATEETE'!F49,'26.07 BUSEGA-NATEETE'!F49,'27.07 52BUSEGA-NATEETEh'!F49,'28.07 NATEETE-BUSEGA'!F49)</f>
        <v>60.571428571428569</v>
      </c>
      <c r="G49" s="49">
        <f>AVERAGE('22.07 BUSEGA-NATEETE'!G49,'23.07 BUSEGA-NATEETE'!G49,'24.07 BUSEGA-NATEETE'!G49,'25.07 BUSEGA-NATEETE'!G49,'26.07 BUSEGA-NATEETE'!G49,'27.07 52BUSEGA-NATEETEh'!G49,'28.07 NATEETE-BUSEGA'!G49)</f>
        <v>1.4285714285714286</v>
      </c>
      <c r="H49" s="49">
        <f>AVERAGE('22.07 BUSEGA-NATEETE'!H49,'23.07 BUSEGA-NATEETE'!H49,'24.07 BUSEGA-NATEETE'!H49,'25.07 BUSEGA-NATEETE'!H49,'26.07 BUSEGA-NATEETE'!H49,'27.07 52BUSEGA-NATEETEh'!H49,'28.07 NATEETE-BUSEGA'!H49)</f>
        <v>4.2857142857142856</v>
      </c>
      <c r="I49" s="49">
        <f>AVERAGE('22.07 BUSEGA-NATEETE'!I49,'23.07 BUSEGA-NATEETE'!I49,'24.07 BUSEGA-NATEETE'!I49,'25.07 BUSEGA-NATEETE'!I49,'26.07 BUSEGA-NATEETE'!I49,'27.07 52BUSEGA-NATEETEh'!I49,'28.07 NATEETE-BUSEGA'!I49)</f>
        <v>9.8571428571428577</v>
      </c>
      <c r="J49" s="49">
        <f>AVERAGE('22.07 BUSEGA-NATEETE'!J49,'23.07 BUSEGA-NATEETE'!J49,'24.07 BUSEGA-NATEETE'!J49,'25.07 BUSEGA-NATEETE'!J49,'26.07 BUSEGA-NATEETE'!J49,'27.07 52BUSEGA-NATEETEh'!J49,'28.07 NATEETE-BUSEGA'!J49)</f>
        <v>9.2857142857142865</v>
      </c>
      <c r="K49" s="49">
        <f>AVERAGE('22.07 BUSEGA-NATEETE'!K49,'23.07 BUSEGA-NATEETE'!K49,'24.07 BUSEGA-NATEETE'!K49,'25.07 BUSEGA-NATEETE'!K49,'26.07 BUSEGA-NATEETE'!K49,'27.07 52BUSEGA-NATEETEh'!K49,'28.07 NATEETE-BUSEGA'!K49)</f>
        <v>4</v>
      </c>
      <c r="L49" s="49">
        <f>AVERAGE('22.07 BUSEGA-NATEETE'!L49,'23.07 BUSEGA-NATEETE'!L49,'24.07 BUSEGA-NATEETE'!L49,'25.07 BUSEGA-NATEETE'!L49,'26.07 BUSEGA-NATEETE'!L49,'27.07 52BUSEGA-NATEETEh'!L49,'28.07 NATEETE-BUSEGA'!L49)</f>
        <v>4.5714285714285712</v>
      </c>
      <c r="M49" s="49">
        <f>AVERAGE('22.07 BUSEGA-NATEETE'!M49,'23.07 BUSEGA-NATEETE'!M49,'24.07 BUSEGA-NATEETE'!M49,'25.07 BUSEGA-NATEETE'!M49,'26.07 BUSEGA-NATEETE'!M49,'27.07 52BUSEGA-NATEETEh'!M49,'28.07 NATEETE-BUSEGA'!M49)</f>
        <v>151.14285714285714</v>
      </c>
      <c r="N49" s="49">
        <f>AVERAGE('22.07 BUSEGA-NATEETE'!N49,'23.07 BUSEGA-NATEETE'!N49,'24.07 BUSEGA-NATEETE'!N49,'25.07 BUSEGA-NATEETE'!N49,'26.07 BUSEGA-NATEETE'!N49,'27.07 52BUSEGA-NATEETEh'!N49,'28.07 NATEETE-BUSEGA'!N49)</f>
        <v>0</v>
      </c>
      <c r="O49" s="15">
        <f t="shared" si="0"/>
        <v>171.42857142857142</v>
      </c>
      <c r="P49" s="15">
        <f t="shared" si="1"/>
        <v>322.57142857142856</v>
      </c>
      <c r="R49" s="8"/>
      <c r="T49"/>
    </row>
    <row r="50" spans="2:20" ht="23.1" customHeight="1" x14ac:dyDescent="0.25">
      <c r="B50" s="24" t="s">
        <v>77</v>
      </c>
      <c r="C50" s="49">
        <f>AVERAGE('22.07 BUSEGA-NATEETE'!C50,'23.07 BUSEGA-NATEETE'!C50,'24.07 BUSEGA-NATEETE'!C50,'25.07 BUSEGA-NATEETE'!C50,'26.07 BUSEGA-NATEETE'!C50,'27.07 52BUSEGA-NATEETEh'!C50,'28.07 NATEETE-BUSEGA'!C50)</f>
        <v>77</v>
      </c>
      <c r="D50" s="49">
        <f>AVERAGE('22.07 BUSEGA-NATEETE'!D50,'23.07 BUSEGA-NATEETE'!D50,'24.07 BUSEGA-NATEETE'!D50,'25.07 BUSEGA-NATEETE'!D50,'26.07 BUSEGA-NATEETE'!D50,'27.07 52BUSEGA-NATEETEh'!D50,'28.07 NATEETE-BUSEGA'!D50)</f>
        <v>7.1428571428571432</v>
      </c>
      <c r="E50" s="49">
        <f>AVERAGE('22.07 BUSEGA-NATEETE'!E50,'23.07 BUSEGA-NATEETE'!E50,'24.07 BUSEGA-NATEETE'!E50,'25.07 BUSEGA-NATEETE'!E50,'26.07 BUSEGA-NATEETE'!E50,'27.07 52BUSEGA-NATEETEh'!E50,'28.07 NATEETE-BUSEGA'!E50)</f>
        <v>7.8571428571428568</v>
      </c>
      <c r="F50" s="49">
        <f>AVERAGE('22.07 BUSEGA-NATEETE'!F50,'23.07 BUSEGA-NATEETE'!F50,'24.07 BUSEGA-NATEETE'!F50,'25.07 BUSEGA-NATEETE'!F50,'26.07 BUSEGA-NATEETE'!F50,'27.07 52BUSEGA-NATEETEh'!F50,'28.07 NATEETE-BUSEGA'!F50)</f>
        <v>74.285714285714292</v>
      </c>
      <c r="G50" s="49">
        <f>AVERAGE('22.07 BUSEGA-NATEETE'!G50,'23.07 BUSEGA-NATEETE'!G50,'24.07 BUSEGA-NATEETE'!G50,'25.07 BUSEGA-NATEETE'!G50,'26.07 BUSEGA-NATEETE'!G50,'27.07 52BUSEGA-NATEETEh'!G50,'28.07 NATEETE-BUSEGA'!G50)</f>
        <v>1.7142857142857142</v>
      </c>
      <c r="H50" s="49">
        <f>AVERAGE('22.07 BUSEGA-NATEETE'!H50,'23.07 BUSEGA-NATEETE'!H50,'24.07 BUSEGA-NATEETE'!H50,'25.07 BUSEGA-NATEETE'!H50,'26.07 BUSEGA-NATEETE'!H50,'27.07 52BUSEGA-NATEETEh'!H50,'28.07 NATEETE-BUSEGA'!H50)</f>
        <v>3.4285714285714284</v>
      </c>
      <c r="I50" s="49">
        <f>AVERAGE('22.07 BUSEGA-NATEETE'!I50,'23.07 BUSEGA-NATEETE'!I50,'24.07 BUSEGA-NATEETE'!I50,'25.07 BUSEGA-NATEETE'!I50,'26.07 BUSEGA-NATEETE'!I50,'27.07 52BUSEGA-NATEETEh'!I50,'28.07 NATEETE-BUSEGA'!I50)</f>
        <v>14.857142857142858</v>
      </c>
      <c r="J50" s="49">
        <f>AVERAGE('22.07 BUSEGA-NATEETE'!J50,'23.07 BUSEGA-NATEETE'!J50,'24.07 BUSEGA-NATEETE'!J50,'25.07 BUSEGA-NATEETE'!J50,'26.07 BUSEGA-NATEETE'!J50,'27.07 52BUSEGA-NATEETEh'!J50,'28.07 NATEETE-BUSEGA'!J50)</f>
        <v>9.1428571428571423</v>
      </c>
      <c r="K50" s="49">
        <f>AVERAGE('22.07 BUSEGA-NATEETE'!K50,'23.07 BUSEGA-NATEETE'!K50,'24.07 BUSEGA-NATEETE'!K50,'25.07 BUSEGA-NATEETE'!K50,'26.07 BUSEGA-NATEETE'!K50,'27.07 52BUSEGA-NATEETEh'!K50,'28.07 NATEETE-BUSEGA'!K50)</f>
        <v>3</v>
      </c>
      <c r="L50" s="49">
        <f>AVERAGE('22.07 BUSEGA-NATEETE'!L50,'23.07 BUSEGA-NATEETE'!L50,'24.07 BUSEGA-NATEETE'!L50,'25.07 BUSEGA-NATEETE'!L50,'26.07 BUSEGA-NATEETE'!L50,'27.07 52BUSEGA-NATEETEh'!L50,'28.07 NATEETE-BUSEGA'!L50)</f>
        <v>4.8571428571428568</v>
      </c>
      <c r="M50" s="49">
        <f>AVERAGE('22.07 BUSEGA-NATEETE'!M50,'23.07 BUSEGA-NATEETE'!M50,'24.07 BUSEGA-NATEETE'!M50,'25.07 BUSEGA-NATEETE'!M50,'26.07 BUSEGA-NATEETE'!M50,'27.07 52BUSEGA-NATEETEh'!M50,'28.07 NATEETE-BUSEGA'!M50)</f>
        <v>204</v>
      </c>
      <c r="N50" s="49">
        <f>AVERAGE('22.07 BUSEGA-NATEETE'!N50,'23.07 BUSEGA-NATEETE'!N50,'24.07 BUSEGA-NATEETE'!N50,'25.07 BUSEGA-NATEETE'!N50,'26.07 BUSEGA-NATEETE'!N50,'27.07 52BUSEGA-NATEETEh'!N50,'28.07 NATEETE-BUSEGA'!N50)</f>
        <v>0</v>
      </c>
      <c r="O50" s="15">
        <f t="shared" si="0"/>
        <v>203.28571428571428</v>
      </c>
      <c r="P50" s="15">
        <f t="shared" si="1"/>
        <v>407.28571428571428</v>
      </c>
      <c r="R50" s="8"/>
      <c r="T50"/>
    </row>
    <row r="51" spans="2:20" ht="23.1" customHeight="1" x14ac:dyDescent="0.25">
      <c r="B51" s="24" t="s">
        <v>78</v>
      </c>
      <c r="C51" s="49">
        <f>AVERAGE('22.07 BUSEGA-NATEETE'!C51,'23.07 BUSEGA-NATEETE'!C51,'24.07 BUSEGA-NATEETE'!C51,'25.07 BUSEGA-NATEETE'!C51,'26.07 BUSEGA-NATEETE'!C51,'27.07 52BUSEGA-NATEETEh'!C51,'28.07 NATEETE-BUSEGA'!C51)</f>
        <v>64.428571428571431</v>
      </c>
      <c r="D51" s="49">
        <f>AVERAGE('22.07 BUSEGA-NATEETE'!D51,'23.07 BUSEGA-NATEETE'!D51,'24.07 BUSEGA-NATEETE'!D51,'25.07 BUSEGA-NATEETE'!D51,'26.07 BUSEGA-NATEETE'!D51,'27.07 52BUSEGA-NATEETEh'!D51,'28.07 NATEETE-BUSEGA'!D51)</f>
        <v>7.2857142857142856</v>
      </c>
      <c r="E51" s="49">
        <f>AVERAGE('22.07 BUSEGA-NATEETE'!E51,'23.07 BUSEGA-NATEETE'!E51,'24.07 BUSEGA-NATEETE'!E51,'25.07 BUSEGA-NATEETE'!E51,'26.07 BUSEGA-NATEETE'!E51,'27.07 52BUSEGA-NATEETEh'!E51,'28.07 NATEETE-BUSEGA'!E51)</f>
        <v>22.142857142857142</v>
      </c>
      <c r="F51" s="49">
        <f>AVERAGE('22.07 BUSEGA-NATEETE'!F51,'23.07 BUSEGA-NATEETE'!F51,'24.07 BUSEGA-NATEETE'!F51,'25.07 BUSEGA-NATEETE'!F51,'26.07 BUSEGA-NATEETE'!F51,'27.07 52BUSEGA-NATEETEh'!F51,'28.07 NATEETE-BUSEGA'!F51)</f>
        <v>59.857142857142854</v>
      </c>
      <c r="G51" s="49">
        <f>AVERAGE('22.07 BUSEGA-NATEETE'!G51,'23.07 BUSEGA-NATEETE'!G51,'24.07 BUSEGA-NATEETE'!G51,'25.07 BUSEGA-NATEETE'!G51,'26.07 BUSEGA-NATEETE'!G51,'27.07 52BUSEGA-NATEETEh'!G51,'28.07 NATEETE-BUSEGA'!G51)</f>
        <v>1.2857142857142858</v>
      </c>
      <c r="H51" s="49">
        <f>AVERAGE('22.07 BUSEGA-NATEETE'!H51,'23.07 BUSEGA-NATEETE'!H51,'24.07 BUSEGA-NATEETE'!H51,'25.07 BUSEGA-NATEETE'!H51,'26.07 BUSEGA-NATEETE'!H51,'27.07 52BUSEGA-NATEETEh'!H51,'28.07 NATEETE-BUSEGA'!H51)</f>
        <v>3.1428571428571428</v>
      </c>
      <c r="I51" s="49">
        <f>AVERAGE('22.07 BUSEGA-NATEETE'!I51,'23.07 BUSEGA-NATEETE'!I51,'24.07 BUSEGA-NATEETE'!I51,'25.07 BUSEGA-NATEETE'!I51,'26.07 BUSEGA-NATEETE'!I51,'27.07 52BUSEGA-NATEETEh'!I51,'28.07 NATEETE-BUSEGA'!I51)</f>
        <v>7.7142857142857144</v>
      </c>
      <c r="J51" s="49">
        <f>AVERAGE('22.07 BUSEGA-NATEETE'!J51,'23.07 BUSEGA-NATEETE'!J51,'24.07 BUSEGA-NATEETE'!J51,'25.07 BUSEGA-NATEETE'!J51,'26.07 BUSEGA-NATEETE'!J51,'27.07 52BUSEGA-NATEETEh'!J51,'28.07 NATEETE-BUSEGA'!J51)</f>
        <v>6.5714285714285712</v>
      </c>
      <c r="K51" s="49">
        <f>AVERAGE('22.07 BUSEGA-NATEETE'!K51,'23.07 BUSEGA-NATEETE'!K51,'24.07 BUSEGA-NATEETE'!K51,'25.07 BUSEGA-NATEETE'!K51,'26.07 BUSEGA-NATEETE'!K51,'27.07 52BUSEGA-NATEETEh'!K51,'28.07 NATEETE-BUSEGA'!K51)</f>
        <v>4</v>
      </c>
      <c r="L51" s="49">
        <f>AVERAGE('22.07 BUSEGA-NATEETE'!L51,'23.07 BUSEGA-NATEETE'!L51,'24.07 BUSEGA-NATEETE'!L51,'25.07 BUSEGA-NATEETE'!L51,'26.07 BUSEGA-NATEETE'!L51,'27.07 52BUSEGA-NATEETEh'!L51,'28.07 NATEETE-BUSEGA'!L51)</f>
        <v>4.7142857142857144</v>
      </c>
      <c r="M51" s="49">
        <f>AVERAGE('22.07 BUSEGA-NATEETE'!M51,'23.07 BUSEGA-NATEETE'!M51,'24.07 BUSEGA-NATEETE'!M51,'25.07 BUSEGA-NATEETE'!M51,'26.07 BUSEGA-NATEETE'!M51,'27.07 52BUSEGA-NATEETEh'!M51,'28.07 NATEETE-BUSEGA'!M51)</f>
        <v>162.71428571428572</v>
      </c>
      <c r="N51" s="49">
        <f>AVERAGE('22.07 BUSEGA-NATEETE'!N51,'23.07 BUSEGA-NATEETE'!N51,'24.07 BUSEGA-NATEETE'!N51,'25.07 BUSEGA-NATEETE'!N51,'26.07 BUSEGA-NATEETE'!N51,'27.07 52BUSEGA-NATEETEh'!N51,'28.07 NATEETE-BUSEGA'!N51)</f>
        <v>0</v>
      </c>
      <c r="O51" s="15">
        <f t="shared" si="0"/>
        <v>181.14285714285717</v>
      </c>
      <c r="P51" s="15">
        <f t="shared" si="1"/>
        <v>343.85714285714289</v>
      </c>
      <c r="R51" s="8"/>
      <c r="T51"/>
    </row>
    <row r="52" spans="2:20" ht="23.1" customHeight="1" x14ac:dyDescent="0.25">
      <c r="B52" s="24" t="s">
        <v>79</v>
      </c>
      <c r="C52" s="49">
        <f>AVERAGE('22.07 BUSEGA-NATEETE'!C52,'23.07 BUSEGA-NATEETE'!C52,'24.07 BUSEGA-NATEETE'!C52,'25.07 BUSEGA-NATEETE'!C52,'26.07 BUSEGA-NATEETE'!C52,'27.07 52BUSEGA-NATEETEh'!C52,'28.07 NATEETE-BUSEGA'!C52)</f>
        <v>75.857142857142861</v>
      </c>
      <c r="D52" s="49">
        <f>AVERAGE('22.07 BUSEGA-NATEETE'!D52,'23.07 BUSEGA-NATEETE'!D52,'24.07 BUSEGA-NATEETE'!D52,'25.07 BUSEGA-NATEETE'!D52,'26.07 BUSEGA-NATEETE'!D52,'27.07 52BUSEGA-NATEETEh'!D52,'28.07 NATEETE-BUSEGA'!D52)</f>
        <v>10.142857142857142</v>
      </c>
      <c r="E52" s="49">
        <f>AVERAGE('22.07 BUSEGA-NATEETE'!E52,'23.07 BUSEGA-NATEETE'!E52,'24.07 BUSEGA-NATEETE'!E52,'25.07 BUSEGA-NATEETE'!E52,'26.07 BUSEGA-NATEETE'!E52,'27.07 52BUSEGA-NATEETEh'!E52,'28.07 NATEETE-BUSEGA'!E52)</f>
        <v>8.8571428571428577</v>
      </c>
      <c r="F52" s="49">
        <f>AVERAGE('22.07 BUSEGA-NATEETE'!F52,'23.07 BUSEGA-NATEETE'!F52,'24.07 BUSEGA-NATEETE'!F52,'25.07 BUSEGA-NATEETE'!F52,'26.07 BUSEGA-NATEETE'!F52,'27.07 52BUSEGA-NATEETEh'!F52,'28.07 NATEETE-BUSEGA'!F52)</f>
        <v>70.714285714285708</v>
      </c>
      <c r="G52" s="49">
        <f>AVERAGE('22.07 BUSEGA-NATEETE'!G52,'23.07 BUSEGA-NATEETE'!G52,'24.07 BUSEGA-NATEETE'!G52,'25.07 BUSEGA-NATEETE'!G52,'26.07 BUSEGA-NATEETE'!G52,'27.07 52BUSEGA-NATEETEh'!G52,'28.07 NATEETE-BUSEGA'!G52)</f>
        <v>2.4285714285714284</v>
      </c>
      <c r="H52" s="49">
        <f>AVERAGE('22.07 BUSEGA-NATEETE'!H52,'23.07 BUSEGA-NATEETE'!H52,'24.07 BUSEGA-NATEETE'!H52,'25.07 BUSEGA-NATEETE'!H52,'26.07 BUSEGA-NATEETE'!H52,'27.07 52BUSEGA-NATEETEh'!H52,'28.07 NATEETE-BUSEGA'!H52)</f>
        <v>5.1428571428571432</v>
      </c>
      <c r="I52" s="49">
        <f>AVERAGE('22.07 BUSEGA-NATEETE'!I52,'23.07 BUSEGA-NATEETE'!I52,'24.07 BUSEGA-NATEETE'!I52,'25.07 BUSEGA-NATEETE'!I52,'26.07 BUSEGA-NATEETE'!I52,'27.07 52BUSEGA-NATEETEh'!I52,'28.07 NATEETE-BUSEGA'!I52)</f>
        <v>12.571428571428571</v>
      </c>
      <c r="J52" s="49">
        <f>AVERAGE('22.07 BUSEGA-NATEETE'!J52,'23.07 BUSEGA-NATEETE'!J52,'24.07 BUSEGA-NATEETE'!J52,'25.07 BUSEGA-NATEETE'!J52,'26.07 BUSEGA-NATEETE'!J52,'27.07 52BUSEGA-NATEETEh'!J52,'28.07 NATEETE-BUSEGA'!J52)</f>
        <v>11.285714285714286</v>
      </c>
      <c r="K52" s="49">
        <f>AVERAGE('22.07 BUSEGA-NATEETE'!K52,'23.07 BUSEGA-NATEETE'!K52,'24.07 BUSEGA-NATEETE'!K52,'25.07 BUSEGA-NATEETE'!K52,'26.07 BUSEGA-NATEETE'!K52,'27.07 52BUSEGA-NATEETEh'!K52,'28.07 NATEETE-BUSEGA'!K52)</f>
        <v>3.5714285714285716</v>
      </c>
      <c r="L52" s="49">
        <f>AVERAGE('22.07 BUSEGA-NATEETE'!L52,'23.07 BUSEGA-NATEETE'!L52,'24.07 BUSEGA-NATEETE'!L52,'25.07 BUSEGA-NATEETE'!L52,'26.07 BUSEGA-NATEETE'!L52,'27.07 52BUSEGA-NATEETEh'!L52,'28.07 NATEETE-BUSEGA'!L52)</f>
        <v>4.5714285714285712</v>
      </c>
      <c r="M52" s="49">
        <f>AVERAGE('22.07 BUSEGA-NATEETE'!M52,'23.07 BUSEGA-NATEETE'!M52,'24.07 BUSEGA-NATEETE'!M52,'25.07 BUSEGA-NATEETE'!M52,'26.07 BUSEGA-NATEETE'!M52,'27.07 52BUSEGA-NATEETEh'!M52,'28.07 NATEETE-BUSEGA'!M52)</f>
        <v>160.57142857142858</v>
      </c>
      <c r="N52" s="49">
        <f>AVERAGE('22.07 BUSEGA-NATEETE'!N52,'23.07 BUSEGA-NATEETE'!N52,'24.07 BUSEGA-NATEETE'!N52,'25.07 BUSEGA-NATEETE'!N52,'26.07 BUSEGA-NATEETE'!N52,'27.07 52BUSEGA-NATEETEh'!N52,'28.07 NATEETE-BUSEGA'!N52)</f>
        <v>0</v>
      </c>
      <c r="O52" s="15">
        <f t="shared" si="0"/>
        <v>205.14285714285714</v>
      </c>
      <c r="P52" s="15">
        <f t="shared" si="1"/>
        <v>365.71428571428572</v>
      </c>
      <c r="R52" s="8"/>
      <c r="T52"/>
    </row>
    <row r="53" spans="2:20" ht="23.1" customHeight="1" x14ac:dyDescent="0.25">
      <c r="B53" s="23" t="s">
        <v>80</v>
      </c>
      <c r="C53" s="49">
        <f>AVERAGE('22.07 BUSEGA-NATEETE'!C53,'23.07 BUSEGA-NATEETE'!C53,'24.07 BUSEGA-NATEETE'!C53,'25.07 BUSEGA-NATEETE'!C53,'26.07 BUSEGA-NATEETE'!C53,'27.07 52BUSEGA-NATEETEh'!C53,'28.07 NATEETE-BUSEGA'!C53)</f>
        <v>73</v>
      </c>
      <c r="D53" s="49">
        <f>AVERAGE('22.07 BUSEGA-NATEETE'!D53,'23.07 BUSEGA-NATEETE'!D53,'24.07 BUSEGA-NATEETE'!D53,'25.07 BUSEGA-NATEETE'!D53,'26.07 BUSEGA-NATEETE'!D53,'27.07 52BUSEGA-NATEETEh'!D53,'28.07 NATEETE-BUSEGA'!D53)</f>
        <v>14.571428571428571</v>
      </c>
      <c r="E53" s="49">
        <f>AVERAGE('22.07 BUSEGA-NATEETE'!E53,'23.07 BUSEGA-NATEETE'!E53,'24.07 BUSEGA-NATEETE'!E53,'25.07 BUSEGA-NATEETE'!E53,'26.07 BUSEGA-NATEETE'!E53,'27.07 52BUSEGA-NATEETEh'!E53,'28.07 NATEETE-BUSEGA'!E53)</f>
        <v>12</v>
      </c>
      <c r="F53" s="49">
        <f>AVERAGE('22.07 BUSEGA-NATEETE'!F53,'23.07 BUSEGA-NATEETE'!F53,'24.07 BUSEGA-NATEETE'!F53,'25.07 BUSEGA-NATEETE'!F53,'26.07 BUSEGA-NATEETE'!F53,'27.07 52BUSEGA-NATEETEh'!F53,'28.07 NATEETE-BUSEGA'!F53)</f>
        <v>64</v>
      </c>
      <c r="G53" s="49">
        <f>AVERAGE('22.07 BUSEGA-NATEETE'!G53,'23.07 BUSEGA-NATEETE'!G53,'24.07 BUSEGA-NATEETE'!G53,'25.07 BUSEGA-NATEETE'!G53,'26.07 BUSEGA-NATEETE'!G53,'27.07 52BUSEGA-NATEETEh'!G53,'28.07 NATEETE-BUSEGA'!G53)</f>
        <v>2.7142857142857144</v>
      </c>
      <c r="H53" s="49">
        <f>AVERAGE('22.07 BUSEGA-NATEETE'!H53,'23.07 BUSEGA-NATEETE'!H53,'24.07 BUSEGA-NATEETE'!H53,'25.07 BUSEGA-NATEETE'!H53,'26.07 BUSEGA-NATEETE'!H53,'27.07 52BUSEGA-NATEETEh'!H53,'28.07 NATEETE-BUSEGA'!H53)</f>
        <v>3</v>
      </c>
      <c r="I53" s="49">
        <f>AVERAGE('22.07 BUSEGA-NATEETE'!I53,'23.07 BUSEGA-NATEETE'!I53,'24.07 BUSEGA-NATEETE'!I53,'25.07 BUSEGA-NATEETE'!I53,'26.07 BUSEGA-NATEETE'!I53,'27.07 52BUSEGA-NATEETEh'!I53,'28.07 NATEETE-BUSEGA'!I53)</f>
        <v>8.1428571428571423</v>
      </c>
      <c r="J53" s="49">
        <f>AVERAGE('22.07 BUSEGA-NATEETE'!J53,'23.07 BUSEGA-NATEETE'!J53,'24.07 BUSEGA-NATEETE'!J53,'25.07 BUSEGA-NATEETE'!J53,'26.07 BUSEGA-NATEETE'!J53,'27.07 52BUSEGA-NATEETEh'!J53,'28.07 NATEETE-BUSEGA'!J53)</f>
        <v>7.7142857142857144</v>
      </c>
      <c r="K53" s="49">
        <f>AVERAGE('22.07 BUSEGA-NATEETE'!K53,'23.07 BUSEGA-NATEETE'!K53,'24.07 BUSEGA-NATEETE'!K53,'25.07 BUSEGA-NATEETE'!K53,'26.07 BUSEGA-NATEETE'!K53,'27.07 52BUSEGA-NATEETEh'!K53,'28.07 NATEETE-BUSEGA'!K53)</f>
        <v>2.8571428571428572</v>
      </c>
      <c r="L53" s="49">
        <f>AVERAGE('22.07 BUSEGA-NATEETE'!L53,'23.07 BUSEGA-NATEETE'!L53,'24.07 BUSEGA-NATEETE'!L53,'25.07 BUSEGA-NATEETE'!L53,'26.07 BUSEGA-NATEETE'!L53,'27.07 52BUSEGA-NATEETEh'!L53,'28.07 NATEETE-BUSEGA'!L53)</f>
        <v>3.8571428571428572</v>
      </c>
      <c r="M53" s="49">
        <f>AVERAGE('22.07 BUSEGA-NATEETE'!M53,'23.07 BUSEGA-NATEETE'!M53,'24.07 BUSEGA-NATEETE'!M53,'25.07 BUSEGA-NATEETE'!M53,'26.07 BUSEGA-NATEETE'!M53,'27.07 52BUSEGA-NATEETEh'!M53,'28.07 NATEETE-BUSEGA'!M53)</f>
        <v>197</v>
      </c>
      <c r="N53" s="49">
        <f>AVERAGE('22.07 BUSEGA-NATEETE'!N53,'23.07 BUSEGA-NATEETE'!N53,'24.07 BUSEGA-NATEETE'!N53,'25.07 BUSEGA-NATEETE'!N53,'26.07 BUSEGA-NATEETE'!N53,'27.07 52BUSEGA-NATEETEh'!N53,'28.07 NATEETE-BUSEGA'!N53)</f>
        <v>0</v>
      </c>
      <c r="O53" s="15">
        <f t="shared" si="0"/>
        <v>191.85714285714286</v>
      </c>
      <c r="P53" s="15">
        <f t="shared" si="1"/>
        <v>388.85714285714289</v>
      </c>
      <c r="R53" s="8"/>
      <c r="T53"/>
    </row>
    <row r="54" spans="2:20" ht="23.1" customHeight="1" x14ac:dyDescent="0.25">
      <c r="B54" s="23" t="s">
        <v>81</v>
      </c>
      <c r="C54" s="49">
        <f>AVERAGE('22.07 BUSEGA-NATEETE'!C54,'23.07 BUSEGA-NATEETE'!C54,'24.07 BUSEGA-NATEETE'!C54,'25.07 BUSEGA-NATEETE'!C54,'26.07 BUSEGA-NATEETE'!C54,'27.07 52BUSEGA-NATEETEh'!C54,'28.07 NATEETE-BUSEGA'!C54)</f>
        <v>62</v>
      </c>
      <c r="D54" s="49">
        <f>AVERAGE('22.07 BUSEGA-NATEETE'!D54,'23.07 BUSEGA-NATEETE'!D54,'24.07 BUSEGA-NATEETE'!D54,'25.07 BUSEGA-NATEETE'!D54,'26.07 BUSEGA-NATEETE'!D54,'27.07 52BUSEGA-NATEETEh'!D54,'28.07 NATEETE-BUSEGA'!D54)</f>
        <v>11</v>
      </c>
      <c r="E54" s="49">
        <f>AVERAGE('22.07 BUSEGA-NATEETE'!E54,'23.07 BUSEGA-NATEETE'!E54,'24.07 BUSEGA-NATEETE'!E54,'25.07 BUSEGA-NATEETE'!E54,'26.07 BUSEGA-NATEETE'!E54,'27.07 52BUSEGA-NATEETEh'!E54,'28.07 NATEETE-BUSEGA'!E54)</f>
        <v>8.7142857142857135</v>
      </c>
      <c r="F54" s="49">
        <f>AVERAGE('22.07 BUSEGA-NATEETE'!F54,'23.07 BUSEGA-NATEETE'!F54,'24.07 BUSEGA-NATEETE'!F54,'25.07 BUSEGA-NATEETE'!F54,'26.07 BUSEGA-NATEETE'!F54,'27.07 52BUSEGA-NATEETEh'!F54,'28.07 NATEETE-BUSEGA'!F54)</f>
        <v>73</v>
      </c>
      <c r="G54" s="49">
        <f>AVERAGE('22.07 BUSEGA-NATEETE'!G54,'23.07 BUSEGA-NATEETE'!G54,'24.07 BUSEGA-NATEETE'!G54,'25.07 BUSEGA-NATEETE'!G54,'26.07 BUSEGA-NATEETE'!G54,'27.07 52BUSEGA-NATEETEh'!G54,'28.07 NATEETE-BUSEGA'!G54)</f>
        <v>1.1428571428571428</v>
      </c>
      <c r="H54" s="49">
        <f>AVERAGE('22.07 BUSEGA-NATEETE'!H54,'23.07 BUSEGA-NATEETE'!H54,'24.07 BUSEGA-NATEETE'!H54,'25.07 BUSEGA-NATEETE'!H54,'26.07 BUSEGA-NATEETE'!H54,'27.07 52BUSEGA-NATEETEh'!H54,'28.07 NATEETE-BUSEGA'!H54)</f>
        <v>2.8571428571428572</v>
      </c>
      <c r="I54" s="49">
        <f>AVERAGE('22.07 BUSEGA-NATEETE'!I54,'23.07 BUSEGA-NATEETE'!I54,'24.07 BUSEGA-NATEETE'!I54,'25.07 BUSEGA-NATEETE'!I54,'26.07 BUSEGA-NATEETE'!I54,'27.07 52BUSEGA-NATEETEh'!I54,'28.07 NATEETE-BUSEGA'!I54)</f>
        <v>7.7142857142857144</v>
      </c>
      <c r="J54" s="49">
        <f>AVERAGE('22.07 BUSEGA-NATEETE'!J54,'23.07 BUSEGA-NATEETE'!J54,'24.07 BUSEGA-NATEETE'!J54,'25.07 BUSEGA-NATEETE'!J54,'26.07 BUSEGA-NATEETE'!J54,'27.07 52BUSEGA-NATEETEh'!J54,'28.07 NATEETE-BUSEGA'!J54)</f>
        <v>6.4285714285714288</v>
      </c>
      <c r="K54" s="49">
        <f>AVERAGE('22.07 BUSEGA-NATEETE'!K54,'23.07 BUSEGA-NATEETE'!K54,'24.07 BUSEGA-NATEETE'!K54,'25.07 BUSEGA-NATEETE'!K54,'26.07 BUSEGA-NATEETE'!K54,'27.07 52BUSEGA-NATEETEh'!K54,'28.07 NATEETE-BUSEGA'!K54)</f>
        <v>2.5714285714285716</v>
      </c>
      <c r="L54" s="49">
        <f>AVERAGE('22.07 BUSEGA-NATEETE'!L54,'23.07 BUSEGA-NATEETE'!L54,'24.07 BUSEGA-NATEETE'!L54,'25.07 BUSEGA-NATEETE'!L54,'26.07 BUSEGA-NATEETE'!L54,'27.07 52BUSEGA-NATEETEh'!L54,'28.07 NATEETE-BUSEGA'!L54)</f>
        <v>2.1428571428571428</v>
      </c>
      <c r="M54" s="49">
        <f>AVERAGE('22.07 BUSEGA-NATEETE'!M54,'23.07 BUSEGA-NATEETE'!M54,'24.07 BUSEGA-NATEETE'!M54,'25.07 BUSEGA-NATEETE'!M54,'26.07 BUSEGA-NATEETE'!M54,'27.07 52BUSEGA-NATEETEh'!M54,'28.07 NATEETE-BUSEGA'!M54)</f>
        <v>185.28571428571428</v>
      </c>
      <c r="N54" s="49">
        <f>AVERAGE('22.07 BUSEGA-NATEETE'!N54,'23.07 BUSEGA-NATEETE'!N54,'24.07 BUSEGA-NATEETE'!N54,'25.07 BUSEGA-NATEETE'!N54,'26.07 BUSEGA-NATEETE'!N54,'27.07 52BUSEGA-NATEETEh'!N54,'28.07 NATEETE-BUSEGA'!N54)</f>
        <v>0</v>
      </c>
      <c r="O54" s="15">
        <f t="shared" si="0"/>
        <v>177.57142857142858</v>
      </c>
      <c r="P54" s="15">
        <f t="shared" si="1"/>
        <v>362.85714285714289</v>
      </c>
      <c r="R54" s="8"/>
      <c r="T54"/>
    </row>
    <row r="55" spans="2:20" ht="23.1" customHeight="1" x14ac:dyDescent="0.25">
      <c r="B55" s="23" t="s">
        <v>82</v>
      </c>
      <c r="C55" s="49">
        <f>AVERAGE('22.07 BUSEGA-NATEETE'!C55,'23.07 BUSEGA-NATEETE'!C55,'24.07 BUSEGA-NATEETE'!C55,'25.07 BUSEGA-NATEETE'!C55,'26.07 BUSEGA-NATEETE'!C55,'27.07 52BUSEGA-NATEETEh'!C55,'28.07 NATEETE-BUSEGA'!C55)</f>
        <v>59.714285714285715</v>
      </c>
      <c r="D55" s="49">
        <f>AVERAGE('22.07 BUSEGA-NATEETE'!D55,'23.07 BUSEGA-NATEETE'!D55,'24.07 BUSEGA-NATEETE'!D55,'25.07 BUSEGA-NATEETE'!D55,'26.07 BUSEGA-NATEETE'!D55,'27.07 52BUSEGA-NATEETEh'!D55,'28.07 NATEETE-BUSEGA'!D55)</f>
        <v>11.857142857142858</v>
      </c>
      <c r="E55" s="49">
        <f>AVERAGE('22.07 BUSEGA-NATEETE'!E55,'23.07 BUSEGA-NATEETE'!E55,'24.07 BUSEGA-NATEETE'!E55,'25.07 BUSEGA-NATEETE'!E55,'26.07 BUSEGA-NATEETE'!E55,'27.07 52BUSEGA-NATEETEh'!E55,'28.07 NATEETE-BUSEGA'!E55)</f>
        <v>13.285714285714286</v>
      </c>
      <c r="F55" s="49">
        <f>AVERAGE('22.07 BUSEGA-NATEETE'!F55,'23.07 BUSEGA-NATEETE'!F55,'24.07 BUSEGA-NATEETE'!F55,'25.07 BUSEGA-NATEETE'!F55,'26.07 BUSEGA-NATEETE'!F55,'27.07 52BUSEGA-NATEETEh'!F55,'28.07 NATEETE-BUSEGA'!F55)</f>
        <v>65.857142857142861</v>
      </c>
      <c r="G55" s="49">
        <f>AVERAGE('22.07 BUSEGA-NATEETE'!G55,'23.07 BUSEGA-NATEETE'!G55,'24.07 BUSEGA-NATEETE'!G55,'25.07 BUSEGA-NATEETE'!G55,'26.07 BUSEGA-NATEETE'!G55,'27.07 52BUSEGA-NATEETEh'!G55,'28.07 NATEETE-BUSEGA'!G55)</f>
        <v>2.5714285714285716</v>
      </c>
      <c r="H55" s="49">
        <f>AVERAGE('22.07 BUSEGA-NATEETE'!H55,'23.07 BUSEGA-NATEETE'!H55,'24.07 BUSEGA-NATEETE'!H55,'25.07 BUSEGA-NATEETE'!H55,'26.07 BUSEGA-NATEETE'!H55,'27.07 52BUSEGA-NATEETEh'!H55,'28.07 NATEETE-BUSEGA'!H55)</f>
        <v>6</v>
      </c>
      <c r="I55" s="49">
        <f>AVERAGE('22.07 BUSEGA-NATEETE'!I55,'23.07 BUSEGA-NATEETE'!I55,'24.07 BUSEGA-NATEETE'!I55,'25.07 BUSEGA-NATEETE'!I55,'26.07 BUSEGA-NATEETE'!I55,'27.07 52BUSEGA-NATEETEh'!I55,'28.07 NATEETE-BUSEGA'!I55)</f>
        <v>12.571428571428571</v>
      </c>
      <c r="J55" s="49">
        <f>AVERAGE('22.07 BUSEGA-NATEETE'!J55,'23.07 BUSEGA-NATEETE'!J55,'24.07 BUSEGA-NATEETE'!J55,'25.07 BUSEGA-NATEETE'!J55,'26.07 BUSEGA-NATEETE'!J55,'27.07 52BUSEGA-NATEETEh'!J55,'28.07 NATEETE-BUSEGA'!J55)</f>
        <v>9.5714285714285712</v>
      </c>
      <c r="K55" s="49">
        <f>AVERAGE('22.07 BUSEGA-NATEETE'!K55,'23.07 BUSEGA-NATEETE'!K55,'24.07 BUSEGA-NATEETE'!K55,'25.07 BUSEGA-NATEETE'!K55,'26.07 BUSEGA-NATEETE'!K55,'27.07 52BUSEGA-NATEETEh'!K55,'28.07 NATEETE-BUSEGA'!K55)</f>
        <v>8.8571428571428577</v>
      </c>
      <c r="L55" s="49">
        <f>AVERAGE('22.07 BUSEGA-NATEETE'!L55,'23.07 BUSEGA-NATEETE'!L55,'24.07 BUSEGA-NATEETE'!L55,'25.07 BUSEGA-NATEETE'!L55,'26.07 BUSEGA-NATEETE'!L55,'27.07 52BUSEGA-NATEETEh'!L55,'28.07 NATEETE-BUSEGA'!L55)</f>
        <v>4.7142857142857144</v>
      </c>
      <c r="M55" s="49">
        <f>AVERAGE('22.07 BUSEGA-NATEETE'!M55,'23.07 BUSEGA-NATEETE'!M55,'24.07 BUSEGA-NATEETE'!M55,'25.07 BUSEGA-NATEETE'!M55,'26.07 BUSEGA-NATEETE'!M55,'27.07 52BUSEGA-NATEETEh'!M55,'28.07 NATEETE-BUSEGA'!M55)</f>
        <v>177.14285714285714</v>
      </c>
      <c r="N55" s="49">
        <f>AVERAGE('22.07 BUSEGA-NATEETE'!N55,'23.07 BUSEGA-NATEETE'!N55,'24.07 BUSEGA-NATEETE'!N55,'25.07 BUSEGA-NATEETE'!N55,'26.07 BUSEGA-NATEETE'!N55,'27.07 52BUSEGA-NATEETEh'!N55,'28.07 NATEETE-BUSEGA'!N55)</f>
        <v>0</v>
      </c>
      <c r="O55" s="15">
        <f t="shared" si="0"/>
        <v>195.00000000000006</v>
      </c>
      <c r="P55" s="15">
        <f t="shared" si="1"/>
        <v>372.14285714285722</v>
      </c>
      <c r="R55" s="8"/>
      <c r="T55"/>
    </row>
    <row r="56" spans="2:20" ht="23.1" customHeight="1" x14ac:dyDescent="0.25">
      <c r="B56" s="23" t="s">
        <v>83</v>
      </c>
      <c r="C56" s="49">
        <f>AVERAGE('22.07 BUSEGA-NATEETE'!C56,'23.07 BUSEGA-NATEETE'!C56,'24.07 BUSEGA-NATEETE'!C56,'25.07 BUSEGA-NATEETE'!C56,'26.07 BUSEGA-NATEETE'!C56,'27.07 52BUSEGA-NATEETEh'!C56,'28.07 NATEETE-BUSEGA'!C56)</f>
        <v>62.142857142857146</v>
      </c>
      <c r="D56" s="49">
        <f>AVERAGE('22.07 BUSEGA-NATEETE'!D56,'23.07 BUSEGA-NATEETE'!D56,'24.07 BUSEGA-NATEETE'!D56,'25.07 BUSEGA-NATEETE'!D56,'26.07 BUSEGA-NATEETE'!D56,'27.07 52BUSEGA-NATEETEh'!D56,'28.07 NATEETE-BUSEGA'!D56)</f>
        <v>9</v>
      </c>
      <c r="E56" s="49">
        <f>AVERAGE('22.07 BUSEGA-NATEETE'!E56,'23.07 BUSEGA-NATEETE'!E56,'24.07 BUSEGA-NATEETE'!E56,'25.07 BUSEGA-NATEETE'!E56,'26.07 BUSEGA-NATEETE'!E56,'27.07 52BUSEGA-NATEETEh'!E56,'28.07 NATEETE-BUSEGA'!E56)</f>
        <v>9.4285714285714288</v>
      </c>
      <c r="F56" s="49">
        <f>AVERAGE('22.07 BUSEGA-NATEETE'!F56,'23.07 BUSEGA-NATEETE'!F56,'24.07 BUSEGA-NATEETE'!F56,'25.07 BUSEGA-NATEETE'!F56,'26.07 BUSEGA-NATEETE'!F56,'27.07 52BUSEGA-NATEETEh'!F56,'28.07 NATEETE-BUSEGA'!F56)</f>
        <v>72.428571428571431</v>
      </c>
      <c r="G56" s="49">
        <f>AVERAGE('22.07 BUSEGA-NATEETE'!G56,'23.07 BUSEGA-NATEETE'!G56,'24.07 BUSEGA-NATEETE'!G56,'25.07 BUSEGA-NATEETE'!G56,'26.07 BUSEGA-NATEETE'!G56,'27.07 52BUSEGA-NATEETEh'!G56,'28.07 NATEETE-BUSEGA'!G56)</f>
        <v>3.1428571428571428</v>
      </c>
      <c r="H56" s="49">
        <f>AVERAGE('22.07 BUSEGA-NATEETE'!H56,'23.07 BUSEGA-NATEETE'!H56,'24.07 BUSEGA-NATEETE'!H56,'25.07 BUSEGA-NATEETE'!H56,'26.07 BUSEGA-NATEETE'!H56,'27.07 52BUSEGA-NATEETEh'!H56,'28.07 NATEETE-BUSEGA'!H56)</f>
        <v>5.7142857142857144</v>
      </c>
      <c r="I56" s="49">
        <f>AVERAGE('22.07 BUSEGA-NATEETE'!I56,'23.07 BUSEGA-NATEETE'!I56,'24.07 BUSEGA-NATEETE'!I56,'25.07 BUSEGA-NATEETE'!I56,'26.07 BUSEGA-NATEETE'!I56,'27.07 52BUSEGA-NATEETEh'!I56,'28.07 NATEETE-BUSEGA'!I56)</f>
        <v>11</v>
      </c>
      <c r="J56" s="49">
        <f>AVERAGE('22.07 BUSEGA-NATEETE'!J56,'23.07 BUSEGA-NATEETE'!J56,'24.07 BUSEGA-NATEETE'!J56,'25.07 BUSEGA-NATEETE'!J56,'26.07 BUSEGA-NATEETE'!J56,'27.07 52BUSEGA-NATEETEh'!J56,'28.07 NATEETE-BUSEGA'!J56)</f>
        <v>9.1428571428571423</v>
      </c>
      <c r="K56" s="49">
        <f>AVERAGE('22.07 BUSEGA-NATEETE'!K56,'23.07 BUSEGA-NATEETE'!K56,'24.07 BUSEGA-NATEETE'!K56,'25.07 BUSEGA-NATEETE'!K56,'26.07 BUSEGA-NATEETE'!K56,'27.07 52BUSEGA-NATEETEh'!K56,'28.07 NATEETE-BUSEGA'!K56)</f>
        <v>4.5714285714285712</v>
      </c>
      <c r="L56" s="49">
        <f>AVERAGE('22.07 BUSEGA-NATEETE'!L56,'23.07 BUSEGA-NATEETE'!L56,'24.07 BUSEGA-NATEETE'!L56,'25.07 BUSEGA-NATEETE'!L56,'26.07 BUSEGA-NATEETE'!L56,'27.07 52BUSEGA-NATEETEh'!L56,'28.07 NATEETE-BUSEGA'!L56)</f>
        <v>5</v>
      </c>
      <c r="M56" s="49">
        <f>AVERAGE('22.07 BUSEGA-NATEETE'!M56,'23.07 BUSEGA-NATEETE'!M56,'24.07 BUSEGA-NATEETE'!M56,'25.07 BUSEGA-NATEETE'!M56,'26.07 BUSEGA-NATEETE'!M56,'27.07 52BUSEGA-NATEETEh'!M56,'28.07 NATEETE-BUSEGA'!M56)</f>
        <v>172.71428571428572</v>
      </c>
      <c r="N56" s="49">
        <f>AVERAGE('22.07 BUSEGA-NATEETE'!N56,'23.07 BUSEGA-NATEETE'!N56,'24.07 BUSEGA-NATEETE'!N56,'25.07 BUSEGA-NATEETE'!N56,'26.07 BUSEGA-NATEETE'!N56,'27.07 52BUSEGA-NATEETEh'!N56,'28.07 NATEETE-BUSEGA'!N56)</f>
        <v>0</v>
      </c>
      <c r="O56" s="15">
        <f t="shared" si="0"/>
        <v>191.57142857142858</v>
      </c>
      <c r="P56" s="15">
        <f t="shared" si="1"/>
        <v>364.28571428571433</v>
      </c>
      <c r="R56" s="8"/>
      <c r="T56"/>
    </row>
    <row r="57" spans="2:20" ht="23.1" customHeight="1" x14ac:dyDescent="0.25">
      <c r="B57" s="23" t="s">
        <v>84</v>
      </c>
      <c r="C57" s="49">
        <f>AVERAGE('22.07 BUSEGA-NATEETE'!C57,'23.07 BUSEGA-NATEETE'!C57,'24.07 BUSEGA-NATEETE'!C57,'25.07 BUSEGA-NATEETE'!C57,'26.07 BUSEGA-NATEETE'!C57,'27.07 52BUSEGA-NATEETEh'!C57,'28.07 NATEETE-BUSEGA'!C57)</f>
        <v>65.285714285714292</v>
      </c>
      <c r="D57" s="49">
        <f>AVERAGE('22.07 BUSEGA-NATEETE'!D57,'23.07 BUSEGA-NATEETE'!D57,'24.07 BUSEGA-NATEETE'!D57,'25.07 BUSEGA-NATEETE'!D57,'26.07 BUSEGA-NATEETE'!D57,'27.07 52BUSEGA-NATEETEh'!D57,'28.07 NATEETE-BUSEGA'!D57)</f>
        <v>8</v>
      </c>
      <c r="E57" s="49">
        <f>AVERAGE('22.07 BUSEGA-NATEETE'!E57,'23.07 BUSEGA-NATEETE'!E57,'24.07 BUSEGA-NATEETE'!E57,'25.07 BUSEGA-NATEETE'!E57,'26.07 BUSEGA-NATEETE'!E57,'27.07 52BUSEGA-NATEETEh'!E57,'28.07 NATEETE-BUSEGA'!E57)</f>
        <v>7.7142857142857144</v>
      </c>
      <c r="F57" s="49">
        <f>AVERAGE('22.07 BUSEGA-NATEETE'!F57,'23.07 BUSEGA-NATEETE'!F57,'24.07 BUSEGA-NATEETE'!F57,'25.07 BUSEGA-NATEETE'!F57,'26.07 BUSEGA-NATEETE'!F57,'27.07 52BUSEGA-NATEETEh'!F57,'28.07 NATEETE-BUSEGA'!F57)</f>
        <v>69.571428571428569</v>
      </c>
      <c r="G57" s="49">
        <f>AVERAGE('22.07 BUSEGA-NATEETE'!G57,'23.07 BUSEGA-NATEETE'!G57,'24.07 BUSEGA-NATEETE'!G57,'25.07 BUSEGA-NATEETE'!G57,'26.07 BUSEGA-NATEETE'!G57,'27.07 52BUSEGA-NATEETEh'!G57,'28.07 NATEETE-BUSEGA'!G57)</f>
        <v>3.5714285714285716</v>
      </c>
      <c r="H57" s="49">
        <f>AVERAGE('22.07 BUSEGA-NATEETE'!H57,'23.07 BUSEGA-NATEETE'!H57,'24.07 BUSEGA-NATEETE'!H57,'25.07 BUSEGA-NATEETE'!H57,'26.07 BUSEGA-NATEETE'!H57,'27.07 52BUSEGA-NATEETEh'!H57,'28.07 NATEETE-BUSEGA'!H57)</f>
        <v>3.5714285714285716</v>
      </c>
      <c r="I57" s="49">
        <f>AVERAGE('22.07 BUSEGA-NATEETE'!I57,'23.07 BUSEGA-NATEETE'!I57,'24.07 BUSEGA-NATEETE'!I57,'25.07 BUSEGA-NATEETE'!I57,'26.07 BUSEGA-NATEETE'!I57,'27.07 52BUSEGA-NATEETEh'!I57,'28.07 NATEETE-BUSEGA'!I57)</f>
        <v>7.8571428571428568</v>
      </c>
      <c r="J57" s="49">
        <f>AVERAGE('22.07 BUSEGA-NATEETE'!J57,'23.07 BUSEGA-NATEETE'!J57,'24.07 BUSEGA-NATEETE'!J57,'25.07 BUSEGA-NATEETE'!J57,'26.07 BUSEGA-NATEETE'!J57,'27.07 52BUSEGA-NATEETEh'!J57,'28.07 NATEETE-BUSEGA'!J57)</f>
        <v>6</v>
      </c>
      <c r="K57" s="49">
        <f>AVERAGE('22.07 BUSEGA-NATEETE'!K57,'23.07 BUSEGA-NATEETE'!K57,'24.07 BUSEGA-NATEETE'!K57,'25.07 BUSEGA-NATEETE'!K57,'26.07 BUSEGA-NATEETE'!K57,'27.07 52BUSEGA-NATEETEh'!K57,'28.07 NATEETE-BUSEGA'!K57)</f>
        <v>3.1428571428571428</v>
      </c>
      <c r="L57" s="49">
        <f>AVERAGE('22.07 BUSEGA-NATEETE'!L57,'23.07 BUSEGA-NATEETE'!L57,'24.07 BUSEGA-NATEETE'!L57,'25.07 BUSEGA-NATEETE'!L57,'26.07 BUSEGA-NATEETE'!L57,'27.07 52BUSEGA-NATEETEh'!L57,'28.07 NATEETE-BUSEGA'!L57)</f>
        <v>2.8571428571428572</v>
      </c>
      <c r="M57" s="49">
        <f>AVERAGE('22.07 BUSEGA-NATEETE'!M57,'23.07 BUSEGA-NATEETE'!M57,'24.07 BUSEGA-NATEETE'!M57,'25.07 BUSEGA-NATEETE'!M57,'26.07 BUSEGA-NATEETE'!M57,'27.07 52BUSEGA-NATEETEh'!M57,'28.07 NATEETE-BUSEGA'!M57)</f>
        <v>163.14285714285714</v>
      </c>
      <c r="N57" s="49">
        <f>AVERAGE('22.07 BUSEGA-NATEETE'!N57,'23.07 BUSEGA-NATEETE'!N57,'24.07 BUSEGA-NATEETE'!N57,'25.07 BUSEGA-NATEETE'!N57,'26.07 BUSEGA-NATEETE'!N57,'27.07 52BUSEGA-NATEETEh'!N57,'28.07 NATEETE-BUSEGA'!N57)</f>
        <v>0</v>
      </c>
      <c r="O57" s="15">
        <f t="shared" si="0"/>
        <v>177.57142857142858</v>
      </c>
      <c r="P57" s="15">
        <f t="shared" si="1"/>
        <v>340.71428571428572</v>
      </c>
      <c r="R57" s="8"/>
      <c r="T57"/>
    </row>
    <row r="58" spans="2:20" ht="23.1" customHeight="1" x14ac:dyDescent="0.25">
      <c r="B58" s="23" t="s">
        <v>99</v>
      </c>
      <c r="C58" s="49">
        <f>AVERAGE('26.07 BUSEGA-NATEETE'!C58,'27.07 52BUSEGA-NATEETEh'!C58)</f>
        <v>44</v>
      </c>
      <c r="D58" s="49">
        <f>AVERAGE('26.07 BUSEGA-NATEETE'!D58,'27.07 52BUSEGA-NATEETEh'!D58)</f>
        <v>7.5</v>
      </c>
      <c r="E58" s="49">
        <f>AVERAGE('26.07 BUSEGA-NATEETE'!E58,'27.07 52BUSEGA-NATEETEh'!E58)</f>
        <v>6.5</v>
      </c>
      <c r="F58" s="49">
        <f>AVERAGE('26.07 BUSEGA-NATEETE'!F58,'27.07 52BUSEGA-NATEETEh'!F58)</f>
        <v>37</v>
      </c>
      <c r="G58" s="49">
        <f>AVERAGE('26.07 BUSEGA-NATEETE'!G58,'27.07 52BUSEGA-NATEETEh'!G58)</f>
        <v>1</v>
      </c>
      <c r="H58" s="49">
        <f>AVERAGE('26.07 BUSEGA-NATEETE'!H58,'27.07 52BUSEGA-NATEETEh'!H58)</f>
        <v>0.5</v>
      </c>
      <c r="I58" s="49">
        <f>AVERAGE('26.07 BUSEGA-NATEETE'!I58,'27.07 52BUSEGA-NATEETEh'!I58)</f>
        <v>8.5</v>
      </c>
      <c r="J58" s="49">
        <f>AVERAGE('26.07 BUSEGA-NATEETE'!J58,'27.07 52BUSEGA-NATEETEh'!J58)</f>
        <v>3.5</v>
      </c>
      <c r="K58" s="49">
        <f>AVERAGE('26.07 BUSEGA-NATEETE'!K58,'27.07 52BUSEGA-NATEETEh'!K58)</f>
        <v>3</v>
      </c>
      <c r="L58" s="49">
        <f>AVERAGE('26.07 BUSEGA-NATEETE'!L58,'27.07 52BUSEGA-NATEETEh'!L58)</f>
        <v>2.5</v>
      </c>
      <c r="M58" s="49">
        <f>AVERAGE('26.07 BUSEGA-NATEETE'!M58,'27.07 52BUSEGA-NATEETEh'!M58)</f>
        <v>140</v>
      </c>
      <c r="N58" s="49">
        <f>AVERAGE('26.07 BUSEGA-NATEETE'!N58,'27.07 52BUSEGA-NATEETEh'!N58)</f>
        <v>0</v>
      </c>
      <c r="O58" s="15">
        <f t="shared" si="0"/>
        <v>114</v>
      </c>
      <c r="P58" s="15">
        <f t="shared" si="1"/>
        <v>254</v>
      </c>
      <c r="R58" s="8"/>
      <c r="T58"/>
    </row>
    <row r="59" spans="2:20" ht="23.1" customHeight="1" x14ac:dyDescent="0.25">
      <c r="B59" s="23" t="s">
        <v>100</v>
      </c>
      <c r="C59" s="49">
        <f>AVERAGE('26.07 BUSEGA-NATEETE'!C59,'27.07 52BUSEGA-NATEETEh'!C59)</f>
        <v>34</v>
      </c>
      <c r="D59" s="49">
        <f>AVERAGE('26.07 BUSEGA-NATEETE'!D59,'27.07 52BUSEGA-NATEETEh'!D59)</f>
        <v>8</v>
      </c>
      <c r="E59" s="49">
        <f>AVERAGE('26.07 BUSEGA-NATEETE'!E59,'27.07 52BUSEGA-NATEETEh'!E59)</f>
        <v>3</v>
      </c>
      <c r="F59" s="49">
        <f>AVERAGE('26.07 BUSEGA-NATEETE'!F59,'27.07 52BUSEGA-NATEETEh'!F59)</f>
        <v>49.5</v>
      </c>
      <c r="G59" s="49">
        <f>AVERAGE('26.07 BUSEGA-NATEETE'!G59,'27.07 52BUSEGA-NATEETEh'!G59)</f>
        <v>1.5</v>
      </c>
      <c r="H59" s="49">
        <f>AVERAGE('26.07 BUSEGA-NATEETE'!H59,'27.07 52BUSEGA-NATEETEh'!H59)</f>
        <v>2</v>
      </c>
      <c r="I59" s="49">
        <f>AVERAGE('26.07 BUSEGA-NATEETE'!I59,'27.07 52BUSEGA-NATEETEh'!I59)</f>
        <v>6.5</v>
      </c>
      <c r="J59" s="49">
        <f>AVERAGE('26.07 BUSEGA-NATEETE'!J59,'27.07 52BUSEGA-NATEETEh'!J59)</f>
        <v>2.5</v>
      </c>
      <c r="K59" s="49">
        <f>AVERAGE('26.07 BUSEGA-NATEETE'!K59,'27.07 52BUSEGA-NATEETEh'!K59)</f>
        <v>0</v>
      </c>
      <c r="L59" s="49">
        <f>AVERAGE('26.07 BUSEGA-NATEETE'!L59,'27.07 52BUSEGA-NATEETEh'!L59)</f>
        <v>0</v>
      </c>
      <c r="M59" s="49">
        <f>AVERAGE('26.07 BUSEGA-NATEETE'!M59,'27.07 52BUSEGA-NATEETEh'!M59)</f>
        <v>139</v>
      </c>
      <c r="N59" s="49">
        <f>AVERAGE('26.07 BUSEGA-NATEETE'!N59,'27.07 52BUSEGA-NATEETEh'!N59)</f>
        <v>0</v>
      </c>
      <c r="O59" s="15">
        <f t="shared" si="0"/>
        <v>107</v>
      </c>
      <c r="P59" s="15">
        <f t="shared" si="1"/>
        <v>246</v>
      </c>
      <c r="R59" s="8"/>
      <c r="T59"/>
    </row>
    <row r="60" spans="2:20" ht="23.1" customHeight="1" x14ac:dyDescent="0.25">
      <c r="B60" s="23" t="s">
        <v>101</v>
      </c>
      <c r="C60" s="49">
        <f>AVERAGE('26.07 BUSEGA-NATEETE'!C60,'27.07 52BUSEGA-NATEETEh'!C60)</f>
        <v>45.5</v>
      </c>
      <c r="D60" s="49">
        <f>AVERAGE('26.07 BUSEGA-NATEETE'!D60,'27.07 52BUSEGA-NATEETEh'!D60)</f>
        <v>6</v>
      </c>
      <c r="E60" s="49">
        <f>AVERAGE('26.07 BUSEGA-NATEETE'!E60,'27.07 52BUSEGA-NATEETEh'!E60)</f>
        <v>8.5</v>
      </c>
      <c r="F60" s="49">
        <f>AVERAGE('26.07 BUSEGA-NATEETE'!F60,'27.07 52BUSEGA-NATEETEh'!F60)</f>
        <v>51.5</v>
      </c>
      <c r="G60" s="49">
        <f>AVERAGE('26.07 BUSEGA-NATEETE'!G60,'27.07 52BUSEGA-NATEETEh'!G60)</f>
        <v>2</v>
      </c>
      <c r="H60" s="49">
        <f>AVERAGE('26.07 BUSEGA-NATEETE'!H60,'27.07 52BUSEGA-NATEETEh'!H60)</f>
        <v>2.5</v>
      </c>
      <c r="I60" s="49">
        <f>AVERAGE('26.07 BUSEGA-NATEETE'!I60,'27.07 52BUSEGA-NATEETEh'!I60)</f>
        <v>5.5</v>
      </c>
      <c r="J60" s="49">
        <f>AVERAGE('26.07 BUSEGA-NATEETE'!J60,'27.07 52BUSEGA-NATEETEh'!J60)</f>
        <v>2.5</v>
      </c>
      <c r="K60" s="49">
        <f>AVERAGE('26.07 BUSEGA-NATEETE'!K60,'27.07 52BUSEGA-NATEETEh'!K60)</f>
        <v>0.5</v>
      </c>
      <c r="L60" s="49">
        <f>AVERAGE('26.07 BUSEGA-NATEETE'!L60,'27.07 52BUSEGA-NATEETEh'!L60)</f>
        <v>2.5</v>
      </c>
      <c r="M60" s="49">
        <f>AVERAGE('26.07 BUSEGA-NATEETE'!M60,'27.07 52BUSEGA-NATEETEh'!M60)</f>
        <v>162.5</v>
      </c>
      <c r="N60" s="49">
        <f>AVERAGE('26.07 BUSEGA-NATEETE'!N60,'27.07 52BUSEGA-NATEETEh'!N60)</f>
        <v>0</v>
      </c>
      <c r="O60" s="15">
        <f t="shared" si="0"/>
        <v>127</v>
      </c>
      <c r="P60" s="15">
        <f t="shared" si="1"/>
        <v>289.5</v>
      </c>
      <c r="R60" s="8"/>
      <c r="T60"/>
    </row>
    <row r="61" spans="2:20" ht="23.1" customHeight="1" x14ac:dyDescent="0.25">
      <c r="B61" s="23" t="s">
        <v>102</v>
      </c>
      <c r="C61" s="49">
        <f>AVERAGE('26.07 BUSEGA-NATEETE'!C61,'27.07 52BUSEGA-NATEETEh'!C61)</f>
        <v>41</v>
      </c>
      <c r="D61" s="49">
        <f>AVERAGE('26.07 BUSEGA-NATEETE'!D61,'27.07 52BUSEGA-NATEETEh'!D61)</f>
        <v>7</v>
      </c>
      <c r="E61" s="49">
        <f>AVERAGE('26.07 BUSEGA-NATEETE'!E61,'27.07 52BUSEGA-NATEETEh'!E61)</f>
        <v>7</v>
      </c>
      <c r="F61" s="49">
        <f>AVERAGE('26.07 BUSEGA-NATEETE'!F61,'27.07 52BUSEGA-NATEETEh'!F61)</f>
        <v>48</v>
      </c>
      <c r="G61" s="49">
        <f>AVERAGE('26.07 BUSEGA-NATEETE'!G61,'27.07 52BUSEGA-NATEETEh'!G61)</f>
        <v>4</v>
      </c>
      <c r="H61" s="49">
        <f>AVERAGE('26.07 BUSEGA-NATEETE'!H61,'27.07 52BUSEGA-NATEETEh'!H61)</f>
        <v>3.5</v>
      </c>
      <c r="I61" s="49">
        <f>AVERAGE('26.07 BUSEGA-NATEETE'!I61,'27.07 52BUSEGA-NATEETEh'!I61)</f>
        <v>8.5</v>
      </c>
      <c r="J61" s="49">
        <f>AVERAGE('26.07 BUSEGA-NATEETE'!J61,'27.07 52BUSEGA-NATEETEh'!J61)</f>
        <v>6.5</v>
      </c>
      <c r="K61" s="49">
        <f>AVERAGE('26.07 BUSEGA-NATEETE'!K61,'27.07 52BUSEGA-NATEETEh'!K61)</f>
        <v>1</v>
      </c>
      <c r="L61" s="49">
        <f>AVERAGE('26.07 BUSEGA-NATEETE'!L61,'27.07 52BUSEGA-NATEETEh'!L61)</f>
        <v>2</v>
      </c>
      <c r="M61" s="49">
        <f>AVERAGE('26.07 BUSEGA-NATEETE'!M61,'27.07 52BUSEGA-NATEETEh'!M61)</f>
        <v>138.5</v>
      </c>
      <c r="N61" s="49">
        <f>AVERAGE('26.07 BUSEGA-NATEETE'!N61,'27.07 52BUSEGA-NATEETEh'!N61)</f>
        <v>0</v>
      </c>
      <c r="O61" s="15">
        <f t="shared" si="0"/>
        <v>128.5</v>
      </c>
      <c r="P61" s="15">
        <f t="shared" si="1"/>
        <v>267</v>
      </c>
      <c r="R61" s="8"/>
      <c r="T61"/>
    </row>
    <row r="62" spans="2:20" ht="23.1" customHeight="1" x14ac:dyDescent="0.25">
      <c r="B62" s="23" t="s">
        <v>107</v>
      </c>
      <c r="C62" s="49">
        <f>AVERAGE('26.07 BUSEGA-NATEETE'!C62,'27.07 52BUSEGA-NATEETEh'!C62)</f>
        <v>41</v>
      </c>
      <c r="D62" s="49">
        <f>AVERAGE('26.07 BUSEGA-NATEETE'!D62,'27.07 52BUSEGA-NATEETEh'!D62)</f>
        <v>3.5</v>
      </c>
      <c r="E62" s="49">
        <f>AVERAGE('26.07 BUSEGA-NATEETE'!E62,'27.07 52BUSEGA-NATEETEh'!E62)</f>
        <v>4</v>
      </c>
      <c r="F62" s="49">
        <f>AVERAGE('26.07 BUSEGA-NATEETE'!F62,'27.07 52BUSEGA-NATEETEh'!F62)</f>
        <v>58</v>
      </c>
      <c r="G62" s="49">
        <f>AVERAGE('26.07 BUSEGA-NATEETE'!G62,'27.07 52BUSEGA-NATEETEh'!G62)</f>
        <v>2</v>
      </c>
      <c r="H62" s="49">
        <f>AVERAGE('26.07 BUSEGA-NATEETE'!H62,'27.07 52BUSEGA-NATEETEh'!H62)</f>
        <v>1</v>
      </c>
      <c r="I62" s="49">
        <f>AVERAGE('26.07 BUSEGA-NATEETE'!I62,'27.07 52BUSEGA-NATEETEh'!I62)</f>
        <v>5.5</v>
      </c>
      <c r="J62" s="49">
        <f>AVERAGE('26.07 BUSEGA-NATEETE'!J62,'27.07 52BUSEGA-NATEETEh'!J62)</f>
        <v>2.5</v>
      </c>
      <c r="K62" s="49">
        <f>AVERAGE('26.07 BUSEGA-NATEETE'!K62,'27.07 52BUSEGA-NATEETEh'!K62)</f>
        <v>3</v>
      </c>
      <c r="L62" s="49">
        <f>AVERAGE('26.07 BUSEGA-NATEETE'!L62,'27.07 52BUSEGA-NATEETEh'!L62)</f>
        <v>2</v>
      </c>
      <c r="M62" s="49">
        <f>AVERAGE('26.07 BUSEGA-NATEETE'!M62,'27.07 52BUSEGA-NATEETEh'!M62)</f>
        <v>203.5</v>
      </c>
      <c r="N62" s="49">
        <f>AVERAGE('26.07 BUSEGA-NATEETE'!N62,'27.07 52BUSEGA-NATEETEh'!N62)</f>
        <v>0</v>
      </c>
      <c r="O62" s="15">
        <f t="shared" si="0"/>
        <v>122.5</v>
      </c>
      <c r="P62" s="15">
        <f t="shared" si="1"/>
        <v>326</v>
      </c>
      <c r="R62" s="8"/>
      <c r="T62"/>
    </row>
    <row r="63" spans="2:20" ht="23.1" customHeight="1" x14ac:dyDescent="0.25">
      <c r="B63" s="23" t="s">
        <v>108</v>
      </c>
      <c r="C63" s="49">
        <f>AVERAGE('26.07 BUSEGA-NATEETE'!C63,'27.07 52BUSEGA-NATEETEh'!C63)</f>
        <v>34.5</v>
      </c>
      <c r="D63" s="49">
        <f>AVERAGE('26.07 BUSEGA-NATEETE'!D63,'27.07 52BUSEGA-NATEETEh'!D63)</f>
        <v>5</v>
      </c>
      <c r="E63" s="49">
        <f>AVERAGE('26.07 BUSEGA-NATEETE'!E63,'27.07 52BUSEGA-NATEETEh'!E63)</f>
        <v>5.5</v>
      </c>
      <c r="F63" s="49">
        <f>AVERAGE('26.07 BUSEGA-NATEETE'!F63,'27.07 52BUSEGA-NATEETEh'!F63)</f>
        <v>47</v>
      </c>
      <c r="G63" s="49">
        <f>AVERAGE('26.07 BUSEGA-NATEETE'!G63,'27.07 52BUSEGA-NATEETEh'!G63)</f>
        <v>2.5</v>
      </c>
      <c r="H63" s="49">
        <f>AVERAGE('26.07 BUSEGA-NATEETE'!H63,'27.07 52BUSEGA-NATEETEh'!H63)</f>
        <v>1.5</v>
      </c>
      <c r="I63" s="49">
        <f>AVERAGE('26.07 BUSEGA-NATEETE'!I63,'27.07 52BUSEGA-NATEETEh'!I63)</f>
        <v>5</v>
      </c>
      <c r="J63" s="49">
        <f>AVERAGE('26.07 BUSEGA-NATEETE'!J63,'27.07 52BUSEGA-NATEETEh'!J63)</f>
        <v>2</v>
      </c>
      <c r="K63" s="49">
        <f>AVERAGE('26.07 BUSEGA-NATEETE'!K63,'27.07 52BUSEGA-NATEETEh'!K63)</f>
        <v>2</v>
      </c>
      <c r="L63" s="49">
        <f>AVERAGE('26.07 BUSEGA-NATEETE'!L63,'27.07 52BUSEGA-NATEETEh'!L63)</f>
        <v>0.5</v>
      </c>
      <c r="M63" s="49">
        <f>AVERAGE('26.07 BUSEGA-NATEETE'!M63,'27.07 52BUSEGA-NATEETEh'!M63)</f>
        <v>162.5</v>
      </c>
      <c r="N63" s="49">
        <f>AVERAGE('26.07 BUSEGA-NATEETE'!N63,'27.07 52BUSEGA-NATEETEh'!N63)</f>
        <v>0</v>
      </c>
      <c r="O63" s="15">
        <f t="shared" si="0"/>
        <v>105.5</v>
      </c>
      <c r="P63" s="15">
        <f t="shared" si="1"/>
        <v>268</v>
      </c>
      <c r="R63" s="8"/>
      <c r="T63"/>
    </row>
    <row r="64" spans="2:20" ht="23.1" customHeight="1" x14ac:dyDescent="0.25">
      <c r="B64" s="23" t="s">
        <v>109</v>
      </c>
      <c r="C64" s="49">
        <f>AVERAGE('26.07 BUSEGA-NATEETE'!C64,'27.07 52BUSEGA-NATEETEh'!C64)</f>
        <v>47.5</v>
      </c>
      <c r="D64" s="49">
        <f>AVERAGE('26.07 BUSEGA-NATEETE'!D64,'27.07 52BUSEGA-NATEETEh'!D64)</f>
        <v>5</v>
      </c>
      <c r="E64" s="49">
        <f>AVERAGE('26.07 BUSEGA-NATEETE'!E64,'27.07 52BUSEGA-NATEETEh'!E64)</f>
        <v>6</v>
      </c>
      <c r="F64" s="49">
        <f>AVERAGE('26.07 BUSEGA-NATEETE'!F64,'27.07 52BUSEGA-NATEETEh'!F64)</f>
        <v>51.5</v>
      </c>
      <c r="G64" s="49">
        <f>AVERAGE('26.07 BUSEGA-NATEETE'!G64,'27.07 52BUSEGA-NATEETEh'!G64)</f>
        <v>2</v>
      </c>
      <c r="H64" s="49">
        <f>AVERAGE('26.07 BUSEGA-NATEETE'!H64,'27.07 52BUSEGA-NATEETEh'!H64)</f>
        <v>0.5</v>
      </c>
      <c r="I64" s="49">
        <f>AVERAGE('26.07 BUSEGA-NATEETE'!I64,'27.07 52BUSEGA-NATEETEh'!I64)</f>
        <v>7.5</v>
      </c>
      <c r="J64" s="49">
        <f>AVERAGE('26.07 BUSEGA-NATEETE'!J64,'27.07 52BUSEGA-NATEETEh'!J64)</f>
        <v>3</v>
      </c>
      <c r="K64" s="49">
        <f>AVERAGE('26.07 BUSEGA-NATEETE'!K64,'27.07 52BUSEGA-NATEETEh'!K64)</f>
        <v>1</v>
      </c>
      <c r="L64" s="49">
        <f>AVERAGE('26.07 BUSEGA-NATEETE'!L64,'27.07 52BUSEGA-NATEETEh'!L64)</f>
        <v>1</v>
      </c>
      <c r="M64" s="49">
        <f>AVERAGE('26.07 BUSEGA-NATEETE'!M64,'27.07 52BUSEGA-NATEETEh'!M64)</f>
        <v>145</v>
      </c>
      <c r="N64" s="49">
        <f>AVERAGE('26.07 BUSEGA-NATEETE'!N64,'27.07 52BUSEGA-NATEETEh'!N64)</f>
        <v>0</v>
      </c>
      <c r="O64" s="15">
        <f t="shared" si="0"/>
        <v>125</v>
      </c>
      <c r="P64" s="15">
        <f t="shared" si="1"/>
        <v>270</v>
      </c>
      <c r="R64" s="8"/>
      <c r="T64"/>
    </row>
    <row r="65" spans="2:20" ht="23.1" customHeight="1" x14ac:dyDescent="0.25">
      <c r="B65" s="23" t="s">
        <v>158</v>
      </c>
      <c r="C65" s="49">
        <f>AVERAGE('26.07 BUSEGA-NATEETE'!C65,'27.07 52BUSEGA-NATEETEh'!C65)</f>
        <v>41</v>
      </c>
      <c r="D65" s="49">
        <f>AVERAGE('26.07 BUSEGA-NATEETE'!D65,'27.07 52BUSEGA-NATEETEh'!D65)</f>
        <v>5.5</v>
      </c>
      <c r="E65" s="49">
        <f>AVERAGE('26.07 BUSEGA-NATEETE'!E65,'27.07 52BUSEGA-NATEETEh'!E65)</f>
        <v>8.5</v>
      </c>
      <c r="F65" s="49">
        <f>AVERAGE('26.07 BUSEGA-NATEETE'!F65,'27.07 52BUSEGA-NATEETEh'!F65)</f>
        <v>45.5</v>
      </c>
      <c r="G65" s="49">
        <f>AVERAGE('26.07 BUSEGA-NATEETE'!G65,'27.07 52BUSEGA-NATEETEh'!G65)</f>
        <v>1.5</v>
      </c>
      <c r="H65" s="49">
        <f>AVERAGE('26.07 BUSEGA-NATEETE'!H65,'27.07 52BUSEGA-NATEETEh'!H65)</f>
        <v>2</v>
      </c>
      <c r="I65" s="49">
        <f>AVERAGE('26.07 BUSEGA-NATEETE'!I65,'27.07 52BUSEGA-NATEETEh'!I65)</f>
        <v>6</v>
      </c>
      <c r="J65" s="49">
        <f>AVERAGE('26.07 BUSEGA-NATEETE'!J65,'27.07 52BUSEGA-NATEETEh'!J65)</f>
        <v>3</v>
      </c>
      <c r="K65" s="49">
        <f>AVERAGE('26.07 BUSEGA-NATEETE'!K65,'27.07 52BUSEGA-NATEETEh'!K65)</f>
        <v>2</v>
      </c>
      <c r="L65" s="49">
        <f>AVERAGE('26.07 BUSEGA-NATEETE'!L65,'27.07 52BUSEGA-NATEETEh'!L65)</f>
        <v>1</v>
      </c>
      <c r="M65" s="49">
        <f>AVERAGE('26.07 BUSEGA-NATEETE'!M65,'27.07 52BUSEGA-NATEETEh'!M65)</f>
        <v>175</v>
      </c>
      <c r="N65" s="49">
        <f>AVERAGE('26.07 BUSEGA-NATEETE'!N65,'27.07 52BUSEGA-NATEETEh'!N65)</f>
        <v>0</v>
      </c>
      <c r="O65" s="15">
        <f t="shared" si="0"/>
        <v>116</v>
      </c>
      <c r="P65" s="15">
        <f t="shared" si="1"/>
        <v>291</v>
      </c>
      <c r="R65" s="8"/>
      <c r="T65"/>
    </row>
    <row r="66" spans="2:20" ht="23.1" customHeight="1" x14ac:dyDescent="0.25">
      <c r="B66" s="23" t="s">
        <v>103</v>
      </c>
      <c r="C66" s="49">
        <f>AVERAGE('26.07 BUSEGA-NATEETE'!C66,'27.07 52BUSEGA-NATEETEh'!C66)</f>
        <v>40.5</v>
      </c>
      <c r="D66" s="49">
        <f>AVERAGE('26.07 BUSEGA-NATEETE'!D66,'27.07 52BUSEGA-NATEETEh'!D66)</f>
        <v>8</v>
      </c>
      <c r="E66" s="49">
        <f>AVERAGE('26.07 BUSEGA-NATEETE'!E66,'27.07 52BUSEGA-NATEETEh'!E66)</f>
        <v>8</v>
      </c>
      <c r="F66" s="49">
        <f>AVERAGE('26.07 BUSEGA-NATEETE'!F66,'27.07 52BUSEGA-NATEETEh'!F66)</f>
        <v>47.5</v>
      </c>
      <c r="G66" s="49">
        <f>AVERAGE('26.07 BUSEGA-NATEETE'!G66,'27.07 52BUSEGA-NATEETEh'!G66)</f>
        <v>6</v>
      </c>
      <c r="H66" s="49">
        <f>AVERAGE('26.07 BUSEGA-NATEETE'!H66,'27.07 52BUSEGA-NATEETEh'!H66)</f>
        <v>0.5</v>
      </c>
      <c r="I66" s="49">
        <f>AVERAGE('26.07 BUSEGA-NATEETE'!I66,'27.07 52BUSEGA-NATEETEh'!I66)</f>
        <v>10</v>
      </c>
      <c r="J66" s="49">
        <f>AVERAGE('26.07 BUSEGA-NATEETE'!J66,'27.07 52BUSEGA-NATEETEh'!J66)</f>
        <v>3.5</v>
      </c>
      <c r="K66" s="49">
        <f>AVERAGE('26.07 BUSEGA-NATEETE'!K66,'27.07 52BUSEGA-NATEETEh'!K66)</f>
        <v>4</v>
      </c>
      <c r="L66" s="49">
        <f>AVERAGE('26.07 BUSEGA-NATEETE'!L66,'27.07 52BUSEGA-NATEETEh'!L66)</f>
        <v>4</v>
      </c>
      <c r="M66" s="49">
        <f>AVERAGE('26.07 BUSEGA-NATEETE'!M66,'27.07 52BUSEGA-NATEETEh'!M66)</f>
        <v>231</v>
      </c>
      <c r="N66" s="49">
        <f>AVERAGE('26.07 BUSEGA-NATEETE'!N66,'27.07 52BUSEGA-NATEETEh'!N66)</f>
        <v>0</v>
      </c>
      <c r="O66" s="15">
        <f t="shared" si="0"/>
        <v>132</v>
      </c>
      <c r="P66" s="15">
        <f t="shared" si="1"/>
        <v>363</v>
      </c>
      <c r="R66" s="8"/>
      <c r="T66"/>
    </row>
    <row r="67" spans="2:20" ht="23.1" customHeight="1" x14ac:dyDescent="0.25">
      <c r="B67" s="23" t="s">
        <v>104</v>
      </c>
      <c r="C67" s="49">
        <f>AVERAGE('26.07 BUSEGA-NATEETE'!C67,'27.07 52BUSEGA-NATEETEh'!C67)</f>
        <v>32.5</v>
      </c>
      <c r="D67" s="49">
        <f>AVERAGE('26.07 BUSEGA-NATEETE'!D67,'27.07 52BUSEGA-NATEETEh'!D67)</f>
        <v>3.5</v>
      </c>
      <c r="E67" s="49">
        <f>AVERAGE('26.07 BUSEGA-NATEETE'!E67,'27.07 52BUSEGA-NATEETEh'!E67)</f>
        <v>5.5</v>
      </c>
      <c r="F67" s="49">
        <f>AVERAGE('26.07 BUSEGA-NATEETE'!F67,'27.07 52BUSEGA-NATEETEh'!F67)</f>
        <v>33</v>
      </c>
      <c r="G67" s="49">
        <f>AVERAGE('26.07 BUSEGA-NATEETE'!G67,'27.07 52BUSEGA-NATEETEh'!G67)</f>
        <v>1.5</v>
      </c>
      <c r="H67" s="49">
        <f>AVERAGE('26.07 BUSEGA-NATEETE'!H67,'27.07 52BUSEGA-NATEETEh'!H67)</f>
        <v>0</v>
      </c>
      <c r="I67" s="49">
        <f>AVERAGE('26.07 BUSEGA-NATEETE'!I67,'27.07 52BUSEGA-NATEETEh'!I67)</f>
        <v>2.5</v>
      </c>
      <c r="J67" s="49">
        <f>AVERAGE('26.07 BUSEGA-NATEETE'!J67,'27.07 52BUSEGA-NATEETEh'!J67)</f>
        <v>0.5</v>
      </c>
      <c r="K67" s="49">
        <f>AVERAGE('26.07 BUSEGA-NATEETE'!K67,'27.07 52BUSEGA-NATEETEh'!K67)</f>
        <v>1.5</v>
      </c>
      <c r="L67" s="49">
        <f>AVERAGE('26.07 BUSEGA-NATEETE'!L67,'27.07 52BUSEGA-NATEETEh'!L67)</f>
        <v>0.5</v>
      </c>
      <c r="M67" s="49">
        <f>AVERAGE('26.07 BUSEGA-NATEETE'!M67,'27.07 52BUSEGA-NATEETEh'!M67)</f>
        <v>147.5</v>
      </c>
      <c r="N67" s="49">
        <f>AVERAGE('26.07 BUSEGA-NATEETE'!N67,'27.07 52BUSEGA-NATEETEh'!N67)</f>
        <v>0</v>
      </c>
      <c r="O67" s="15">
        <f t="shared" si="0"/>
        <v>81</v>
      </c>
      <c r="P67" s="15">
        <f t="shared" si="1"/>
        <v>228.5</v>
      </c>
      <c r="R67" s="8"/>
      <c r="T67"/>
    </row>
    <row r="68" spans="2:20" ht="23.1" customHeight="1" x14ac:dyDescent="0.25">
      <c r="B68" s="23" t="s">
        <v>105</v>
      </c>
      <c r="C68" s="49">
        <f>AVERAGE('26.07 BUSEGA-NATEETE'!C68,'27.07 52BUSEGA-NATEETEh'!C68)</f>
        <v>23.5</v>
      </c>
      <c r="D68" s="49">
        <f>AVERAGE('26.07 BUSEGA-NATEETE'!D68,'27.07 52BUSEGA-NATEETEh'!D68)</f>
        <v>4</v>
      </c>
      <c r="E68" s="49">
        <f>AVERAGE('26.07 BUSEGA-NATEETE'!E68,'27.07 52BUSEGA-NATEETEh'!E68)</f>
        <v>6.5</v>
      </c>
      <c r="F68" s="49">
        <f>AVERAGE('26.07 BUSEGA-NATEETE'!F68,'27.07 52BUSEGA-NATEETEh'!F68)</f>
        <v>16.5</v>
      </c>
      <c r="G68" s="49">
        <f>AVERAGE('26.07 BUSEGA-NATEETE'!G68,'27.07 52BUSEGA-NATEETEh'!G68)</f>
        <v>1.5</v>
      </c>
      <c r="H68" s="49">
        <f>AVERAGE('26.07 BUSEGA-NATEETE'!H68,'27.07 52BUSEGA-NATEETEh'!H68)</f>
        <v>2</v>
      </c>
      <c r="I68" s="49">
        <f>AVERAGE('26.07 BUSEGA-NATEETE'!I68,'27.07 52BUSEGA-NATEETEh'!I68)</f>
        <v>8.5</v>
      </c>
      <c r="J68" s="49">
        <f>AVERAGE('26.07 BUSEGA-NATEETE'!J68,'27.07 52BUSEGA-NATEETEh'!J68)</f>
        <v>2.5</v>
      </c>
      <c r="K68" s="49">
        <f>AVERAGE('26.07 BUSEGA-NATEETE'!K68,'27.07 52BUSEGA-NATEETEh'!K68)</f>
        <v>2</v>
      </c>
      <c r="L68" s="49">
        <f>AVERAGE('26.07 BUSEGA-NATEETE'!L68,'27.07 52BUSEGA-NATEETEh'!L68)</f>
        <v>2</v>
      </c>
      <c r="M68" s="49">
        <f>AVERAGE('26.07 BUSEGA-NATEETE'!M68,'27.07 52BUSEGA-NATEETEh'!M68)</f>
        <v>127.5</v>
      </c>
      <c r="N68" s="49">
        <f>AVERAGE('26.07 BUSEGA-NATEETE'!N68,'27.07 52BUSEGA-NATEETEh'!N68)</f>
        <v>0</v>
      </c>
      <c r="O68" s="15">
        <f t="shared" si="0"/>
        <v>69</v>
      </c>
      <c r="P68" s="15">
        <f t="shared" si="1"/>
        <v>196.5</v>
      </c>
      <c r="R68" s="8"/>
      <c r="T68"/>
    </row>
    <row r="69" spans="2:20" ht="23.1" customHeight="1" x14ac:dyDescent="0.25">
      <c r="B69" s="23" t="s">
        <v>106</v>
      </c>
      <c r="C69" s="49">
        <f>AVERAGE('26.07 BUSEGA-NATEETE'!C69,'27.07 52BUSEGA-NATEETEh'!C69)</f>
        <v>34</v>
      </c>
      <c r="D69" s="49">
        <f>AVERAGE('26.07 BUSEGA-NATEETE'!D69,'27.07 52BUSEGA-NATEETEh'!D69)</f>
        <v>5</v>
      </c>
      <c r="E69" s="49">
        <f>AVERAGE('26.07 BUSEGA-NATEETE'!E69,'27.07 52BUSEGA-NATEETEh'!E69)</f>
        <v>5.5</v>
      </c>
      <c r="F69" s="49">
        <f>AVERAGE('26.07 BUSEGA-NATEETE'!F69,'27.07 52BUSEGA-NATEETEh'!F69)</f>
        <v>28.5</v>
      </c>
      <c r="G69" s="49">
        <f>AVERAGE('26.07 BUSEGA-NATEETE'!G69,'27.07 52BUSEGA-NATEETEh'!G69)</f>
        <v>2</v>
      </c>
      <c r="H69" s="49">
        <f>AVERAGE('26.07 BUSEGA-NATEETE'!H69,'27.07 52BUSEGA-NATEETEh'!H69)</f>
        <v>1.5</v>
      </c>
      <c r="I69" s="49">
        <f>AVERAGE('26.07 BUSEGA-NATEETE'!I69,'27.07 52BUSEGA-NATEETEh'!I69)</f>
        <v>6.5</v>
      </c>
      <c r="J69" s="49">
        <f>AVERAGE('26.07 BUSEGA-NATEETE'!J69,'27.07 52BUSEGA-NATEETEh'!J69)</f>
        <v>3.5</v>
      </c>
      <c r="K69" s="49">
        <f>AVERAGE('26.07 BUSEGA-NATEETE'!K69,'27.07 52BUSEGA-NATEETEh'!K69)</f>
        <v>3</v>
      </c>
      <c r="L69" s="49">
        <f>AVERAGE('26.07 BUSEGA-NATEETE'!L69,'27.07 52BUSEGA-NATEETEh'!L69)</f>
        <v>0.5</v>
      </c>
      <c r="M69" s="49">
        <f>AVERAGE('26.07 BUSEGA-NATEETE'!M69,'27.07 52BUSEGA-NATEETEh'!M69)</f>
        <v>125</v>
      </c>
      <c r="N69" s="49">
        <f>AVERAGE('26.07 BUSEGA-NATEETE'!N69,'27.07 52BUSEGA-NATEETEh'!N69)</f>
        <v>0</v>
      </c>
      <c r="O69" s="15">
        <f t="shared" si="0"/>
        <v>90</v>
      </c>
      <c r="P69" s="15">
        <f t="shared" si="1"/>
        <v>215</v>
      </c>
      <c r="R69" s="8"/>
      <c r="T69"/>
    </row>
    <row r="70" spans="2:20" ht="23.1" customHeight="1" x14ac:dyDescent="0.25">
      <c r="B70" s="23" t="s">
        <v>110</v>
      </c>
      <c r="C70" s="49">
        <f>AVERAGE('26.07 BUSEGA-NATEETE'!C70,'27.07 52BUSEGA-NATEETEh'!C70)</f>
        <v>44</v>
      </c>
      <c r="D70" s="49">
        <f>AVERAGE('26.07 BUSEGA-NATEETE'!D70,'27.07 52BUSEGA-NATEETEh'!D70)</f>
        <v>5</v>
      </c>
      <c r="E70" s="49">
        <f>AVERAGE('26.07 BUSEGA-NATEETE'!E70,'27.07 52BUSEGA-NATEETEh'!E70)</f>
        <v>7</v>
      </c>
      <c r="F70" s="49">
        <f>AVERAGE('26.07 BUSEGA-NATEETE'!F70,'27.07 52BUSEGA-NATEETEh'!F70)</f>
        <v>39.5</v>
      </c>
      <c r="G70" s="49">
        <f>AVERAGE('26.07 BUSEGA-NATEETE'!G70,'27.07 52BUSEGA-NATEETEh'!G70)</f>
        <v>1.5</v>
      </c>
      <c r="H70" s="49">
        <f>AVERAGE('26.07 BUSEGA-NATEETE'!H70,'27.07 52BUSEGA-NATEETEh'!H70)</f>
        <v>1</v>
      </c>
      <c r="I70" s="49">
        <f>AVERAGE('26.07 BUSEGA-NATEETE'!I70,'27.07 52BUSEGA-NATEETEh'!I70)</f>
        <v>11</v>
      </c>
      <c r="J70" s="49">
        <f>AVERAGE('26.07 BUSEGA-NATEETE'!J70,'27.07 52BUSEGA-NATEETEh'!J70)</f>
        <v>3.5</v>
      </c>
      <c r="K70" s="49">
        <f>AVERAGE('26.07 BUSEGA-NATEETE'!K70,'27.07 52BUSEGA-NATEETEh'!K70)</f>
        <v>1</v>
      </c>
      <c r="L70" s="49">
        <f>AVERAGE('26.07 BUSEGA-NATEETE'!L70,'27.07 52BUSEGA-NATEETEh'!L70)</f>
        <v>2</v>
      </c>
      <c r="M70" s="49">
        <f>AVERAGE('26.07 BUSEGA-NATEETE'!M70,'27.07 52BUSEGA-NATEETEh'!M70)</f>
        <v>118.5</v>
      </c>
      <c r="N70" s="49">
        <f>AVERAGE('26.07 BUSEGA-NATEETE'!N70,'27.07 52BUSEGA-NATEETEh'!N70)</f>
        <v>0</v>
      </c>
      <c r="O70" s="15">
        <f t="shared" si="0"/>
        <v>115.5</v>
      </c>
      <c r="P70" s="15">
        <f t="shared" si="1"/>
        <v>234</v>
      </c>
      <c r="R70" s="8"/>
      <c r="T70"/>
    </row>
    <row r="71" spans="2:20" ht="23.1" customHeight="1" x14ac:dyDescent="0.25">
      <c r="B71" s="23" t="s">
        <v>111</v>
      </c>
      <c r="C71" s="49">
        <f>AVERAGE('26.07 BUSEGA-NATEETE'!C71,'27.07 52BUSEGA-NATEETEh'!C71)</f>
        <v>49</v>
      </c>
      <c r="D71" s="49">
        <f>AVERAGE('26.07 BUSEGA-NATEETE'!D71,'27.07 52BUSEGA-NATEETEh'!D71)</f>
        <v>6</v>
      </c>
      <c r="E71" s="49">
        <f>AVERAGE('26.07 BUSEGA-NATEETE'!E71,'27.07 52BUSEGA-NATEETEh'!E71)</f>
        <v>8</v>
      </c>
      <c r="F71" s="49">
        <f>AVERAGE('26.07 BUSEGA-NATEETE'!F71,'27.07 52BUSEGA-NATEETEh'!F71)</f>
        <v>27.5</v>
      </c>
      <c r="G71" s="49">
        <f>AVERAGE('26.07 BUSEGA-NATEETE'!G71,'27.07 52BUSEGA-NATEETEh'!G71)</f>
        <v>2</v>
      </c>
      <c r="H71" s="49">
        <f>AVERAGE('26.07 BUSEGA-NATEETE'!H71,'27.07 52BUSEGA-NATEETEh'!H71)</f>
        <v>1.5</v>
      </c>
      <c r="I71" s="49">
        <f>AVERAGE('26.07 BUSEGA-NATEETE'!I71,'27.07 52BUSEGA-NATEETEh'!I71)</f>
        <v>6.5</v>
      </c>
      <c r="J71" s="49">
        <f>AVERAGE('26.07 BUSEGA-NATEETE'!J71,'27.07 52BUSEGA-NATEETEh'!J71)</f>
        <v>1.5</v>
      </c>
      <c r="K71" s="49">
        <f>AVERAGE('26.07 BUSEGA-NATEETE'!K71,'27.07 52BUSEGA-NATEETEh'!K71)</f>
        <v>2</v>
      </c>
      <c r="L71" s="49">
        <f>AVERAGE('26.07 BUSEGA-NATEETE'!L71,'27.07 52BUSEGA-NATEETEh'!L71)</f>
        <v>2</v>
      </c>
      <c r="M71" s="49">
        <f>AVERAGE('26.07 BUSEGA-NATEETE'!M71,'27.07 52BUSEGA-NATEETEh'!M71)</f>
        <v>146.5</v>
      </c>
      <c r="N71" s="49">
        <f>AVERAGE('26.07 BUSEGA-NATEETE'!N71,'27.07 52BUSEGA-NATEETEh'!N71)</f>
        <v>0</v>
      </c>
      <c r="O71" s="15">
        <f t="shared" si="0"/>
        <v>106</v>
      </c>
      <c r="P71" s="15">
        <f t="shared" si="1"/>
        <v>252.5</v>
      </c>
      <c r="R71" s="8"/>
      <c r="T71"/>
    </row>
    <row r="72" spans="2:20" ht="23.1" customHeight="1" x14ac:dyDescent="0.25">
      <c r="B72" s="23" t="s">
        <v>112</v>
      </c>
      <c r="C72" s="49">
        <f>AVERAGE('26.07 BUSEGA-NATEETE'!C72,'27.07 52BUSEGA-NATEETEh'!C72)</f>
        <v>48.5</v>
      </c>
      <c r="D72" s="49">
        <f>AVERAGE('26.07 BUSEGA-NATEETE'!D72,'27.07 52BUSEGA-NATEETEh'!D72)</f>
        <v>7</v>
      </c>
      <c r="E72" s="49">
        <f>AVERAGE('26.07 BUSEGA-NATEETE'!E72,'27.07 52BUSEGA-NATEETEh'!E72)</f>
        <v>10</v>
      </c>
      <c r="F72" s="49">
        <f>AVERAGE('26.07 BUSEGA-NATEETE'!F72,'27.07 52BUSEGA-NATEETEh'!F72)</f>
        <v>33</v>
      </c>
      <c r="G72" s="49">
        <f>AVERAGE('26.07 BUSEGA-NATEETE'!G72,'27.07 52BUSEGA-NATEETEh'!G72)</f>
        <v>2</v>
      </c>
      <c r="H72" s="49">
        <f>AVERAGE('26.07 BUSEGA-NATEETE'!H72,'27.07 52BUSEGA-NATEETEh'!H72)</f>
        <v>1</v>
      </c>
      <c r="I72" s="49">
        <f>AVERAGE('26.07 BUSEGA-NATEETE'!I72,'27.07 52BUSEGA-NATEETEh'!I72)</f>
        <v>9</v>
      </c>
      <c r="J72" s="49">
        <f>AVERAGE('26.07 BUSEGA-NATEETE'!J72,'27.07 52BUSEGA-NATEETEh'!J72)</f>
        <v>6</v>
      </c>
      <c r="K72" s="49">
        <f>AVERAGE('26.07 BUSEGA-NATEETE'!K72,'27.07 52BUSEGA-NATEETEh'!K72)</f>
        <v>2.5</v>
      </c>
      <c r="L72" s="49">
        <f>AVERAGE('26.07 BUSEGA-NATEETE'!L72,'27.07 52BUSEGA-NATEETEh'!L72)</f>
        <v>3</v>
      </c>
      <c r="M72" s="49">
        <f>AVERAGE('26.07 BUSEGA-NATEETE'!M72,'27.07 52BUSEGA-NATEETEh'!M72)</f>
        <v>151.5</v>
      </c>
      <c r="N72" s="49">
        <f>AVERAGE('26.07 BUSEGA-NATEETE'!N72,'27.07 52BUSEGA-NATEETEh'!N72)</f>
        <v>0</v>
      </c>
      <c r="O72" s="15">
        <f t="shared" si="0"/>
        <v>122</v>
      </c>
      <c r="P72" s="15">
        <f t="shared" si="1"/>
        <v>273.5</v>
      </c>
      <c r="R72" s="8"/>
      <c r="T72"/>
    </row>
    <row r="73" spans="2:20" ht="23.1" customHeight="1" x14ac:dyDescent="0.25">
      <c r="B73" s="23" t="s">
        <v>113</v>
      </c>
      <c r="C73" s="49">
        <f>AVERAGE('26.07 BUSEGA-NATEETE'!C73,'27.07 52BUSEGA-NATEETEh'!C73)</f>
        <v>37</v>
      </c>
      <c r="D73" s="49">
        <f>AVERAGE('26.07 BUSEGA-NATEETE'!D73,'27.07 52BUSEGA-NATEETEh'!D73)</f>
        <v>8</v>
      </c>
      <c r="E73" s="49">
        <f>AVERAGE('26.07 BUSEGA-NATEETE'!E73,'27.07 52BUSEGA-NATEETEh'!E73)</f>
        <v>12</v>
      </c>
      <c r="F73" s="49">
        <f>AVERAGE('26.07 BUSEGA-NATEETE'!F73,'27.07 52BUSEGA-NATEETEh'!F73)</f>
        <v>28.5</v>
      </c>
      <c r="G73" s="49">
        <f>AVERAGE('26.07 BUSEGA-NATEETE'!G73,'27.07 52BUSEGA-NATEETEh'!G73)</f>
        <v>0</v>
      </c>
      <c r="H73" s="49">
        <f>AVERAGE('26.07 BUSEGA-NATEETE'!H73,'27.07 52BUSEGA-NATEETEh'!H73)</f>
        <v>0</v>
      </c>
      <c r="I73" s="49">
        <f>AVERAGE('26.07 BUSEGA-NATEETE'!I73,'27.07 52BUSEGA-NATEETEh'!I73)</f>
        <v>10</v>
      </c>
      <c r="J73" s="49">
        <f>AVERAGE('26.07 BUSEGA-NATEETE'!J73,'27.07 52BUSEGA-NATEETEh'!J73)</f>
        <v>5</v>
      </c>
      <c r="K73" s="49">
        <f>AVERAGE('26.07 BUSEGA-NATEETE'!K73,'27.07 52BUSEGA-NATEETEh'!K73)</f>
        <v>0.5</v>
      </c>
      <c r="L73" s="49">
        <f>AVERAGE('26.07 BUSEGA-NATEETE'!L73,'27.07 52BUSEGA-NATEETEh'!L73)</f>
        <v>3.5</v>
      </c>
      <c r="M73" s="49">
        <f>AVERAGE('26.07 BUSEGA-NATEETE'!M73,'27.07 52BUSEGA-NATEETEh'!M73)</f>
        <v>136.5</v>
      </c>
      <c r="N73" s="49">
        <f>AVERAGE('26.07 BUSEGA-NATEETE'!N73,'27.07 52BUSEGA-NATEETEh'!N73)</f>
        <v>0</v>
      </c>
      <c r="O73" s="15">
        <f t="shared" si="0"/>
        <v>104.5</v>
      </c>
      <c r="P73" s="15">
        <f t="shared" si="1"/>
        <v>241</v>
      </c>
      <c r="R73" s="8"/>
      <c r="T73"/>
    </row>
    <row r="74" spans="2:20" ht="23.1" customHeight="1" x14ac:dyDescent="0.25">
      <c r="B74" s="23" t="s">
        <v>114</v>
      </c>
      <c r="C74" s="49">
        <f>AVERAGE('26.07 BUSEGA-NATEETE'!C74,'27.07 52BUSEGA-NATEETEh'!C74)</f>
        <v>39.5</v>
      </c>
      <c r="D74" s="49">
        <f>AVERAGE('26.07 BUSEGA-NATEETE'!D74,'27.07 52BUSEGA-NATEETEh'!D74)</f>
        <v>4.5</v>
      </c>
      <c r="E74" s="49">
        <f>AVERAGE('26.07 BUSEGA-NATEETE'!E74,'27.07 52BUSEGA-NATEETEh'!E74)</f>
        <v>7.5</v>
      </c>
      <c r="F74" s="49">
        <f>AVERAGE('26.07 BUSEGA-NATEETE'!F74,'27.07 52BUSEGA-NATEETEh'!F74)</f>
        <v>22.5</v>
      </c>
      <c r="G74" s="49">
        <f>AVERAGE('26.07 BUSEGA-NATEETE'!G74,'27.07 52BUSEGA-NATEETEh'!G74)</f>
        <v>0</v>
      </c>
      <c r="H74" s="49">
        <f>AVERAGE('26.07 BUSEGA-NATEETE'!H74,'27.07 52BUSEGA-NATEETEh'!H74)</f>
        <v>1</v>
      </c>
      <c r="I74" s="49">
        <f>AVERAGE('26.07 BUSEGA-NATEETE'!I74,'27.07 52BUSEGA-NATEETEh'!I74)</f>
        <v>7</v>
      </c>
      <c r="J74" s="49">
        <f>AVERAGE('26.07 BUSEGA-NATEETE'!J74,'27.07 52BUSEGA-NATEETEh'!J74)</f>
        <v>3.5</v>
      </c>
      <c r="K74" s="49">
        <f>AVERAGE('26.07 BUSEGA-NATEETE'!K74,'27.07 52BUSEGA-NATEETEh'!K74)</f>
        <v>1.5</v>
      </c>
      <c r="L74" s="49">
        <f>AVERAGE('26.07 BUSEGA-NATEETE'!L74,'27.07 52BUSEGA-NATEETEh'!L74)</f>
        <v>2.5</v>
      </c>
      <c r="M74" s="49">
        <f>AVERAGE('26.07 BUSEGA-NATEETE'!M74,'27.07 52BUSEGA-NATEETEh'!M74)</f>
        <v>130</v>
      </c>
      <c r="N74" s="49">
        <f>AVERAGE('26.07 BUSEGA-NATEETE'!N74,'27.07 52BUSEGA-NATEETEh'!N74)</f>
        <v>0</v>
      </c>
      <c r="O74" s="15">
        <f t="shared" ref="O74:O105" si="35">SUM(C74:L74,N74)</f>
        <v>89.5</v>
      </c>
      <c r="P74" s="15">
        <f t="shared" ref="P74:P105" si="36">SUM(C74:N74)</f>
        <v>219.5</v>
      </c>
      <c r="R74" s="8"/>
      <c r="T74"/>
    </row>
    <row r="75" spans="2:20" ht="23.1" customHeight="1" x14ac:dyDescent="0.25">
      <c r="B75" s="23" t="s">
        <v>115</v>
      </c>
      <c r="C75" s="49">
        <f>AVERAGE('26.07 BUSEGA-NATEETE'!C75,'27.07 52BUSEGA-NATEETEh'!C75)</f>
        <v>37.5</v>
      </c>
      <c r="D75" s="49">
        <f>AVERAGE('26.07 BUSEGA-NATEETE'!D75,'27.07 52BUSEGA-NATEETEh'!D75)</f>
        <v>4.5</v>
      </c>
      <c r="E75" s="49">
        <f>AVERAGE('26.07 BUSEGA-NATEETE'!E75,'27.07 52BUSEGA-NATEETEh'!E75)</f>
        <v>2.5</v>
      </c>
      <c r="F75" s="49">
        <f>AVERAGE('26.07 BUSEGA-NATEETE'!F75,'27.07 52BUSEGA-NATEETEh'!F75)</f>
        <v>26.5</v>
      </c>
      <c r="G75" s="49">
        <f>AVERAGE('26.07 BUSEGA-NATEETE'!G75,'27.07 52BUSEGA-NATEETEh'!G75)</f>
        <v>0</v>
      </c>
      <c r="H75" s="49">
        <f>AVERAGE('26.07 BUSEGA-NATEETE'!H75,'27.07 52BUSEGA-NATEETEh'!H75)</f>
        <v>3</v>
      </c>
      <c r="I75" s="49">
        <f>AVERAGE('26.07 BUSEGA-NATEETE'!I75,'27.07 52BUSEGA-NATEETEh'!I75)</f>
        <v>8.5</v>
      </c>
      <c r="J75" s="49">
        <f>AVERAGE('26.07 BUSEGA-NATEETE'!J75,'27.07 52BUSEGA-NATEETEh'!J75)</f>
        <v>4.5</v>
      </c>
      <c r="K75" s="49">
        <f>AVERAGE('26.07 BUSEGA-NATEETE'!K75,'27.07 52BUSEGA-NATEETEh'!K75)</f>
        <v>1.5</v>
      </c>
      <c r="L75" s="49">
        <f>AVERAGE('26.07 BUSEGA-NATEETE'!L75,'27.07 52BUSEGA-NATEETEh'!L75)</f>
        <v>1</v>
      </c>
      <c r="M75" s="49">
        <f>AVERAGE('26.07 BUSEGA-NATEETE'!M75,'27.07 52BUSEGA-NATEETEh'!M75)</f>
        <v>127.5</v>
      </c>
      <c r="N75" s="49">
        <f>AVERAGE('26.07 BUSEGA-NATEETE'!N75,'27.07 52BUSEGA-NATEETEh'!N75)</f>
        <v>0</v>
      </c>
      <c r="O75" s="15">
        <f t="shared" si="35"/>
        <v>89.5</v>
      </c>
      <c r="P75" s="15">
        <f t="shared" si="36"/>
        <v>217</v>
      </c>
      <c r="R75" s="8"/>
      <c r="T75"/>
    </row>
    <row r="76" spans="2:20" ht="23.1" customHeight="1" x14ac:dyDescent="0.25">
      <c r="B76" s="23" t="s">
        <v>116</v>
      </c>
      <c r="C76" s="49">
        <f>AVERAGE('26.07 BUSEGA-NATEETE'!C76,'27.07 52BUSEGA-NATEETEh'!C76)</f>
        <v>47</v>
      </c>
      <c r="D76" s="49">
        <f>AVERAGE('26.07 BUSEGA-NATEETE'!D76,'27.07 52BUSEGA-NATEETEh'!D76)</f>
        <v>5.5</v>
      </c>
      <c r="E76" s="49">
        <f>AVERAGE('26.07 BUSEGA-NATEETE'!E76,'27.07 52BUSEGA-NATEETEh'!E76)</f>
        <v>7.5</v>
      </c>
      <c r="F76" s="49">
        <f>AVERAGE('26.07 BUSEGA-NATEETE'!F76,'27.07 52BUSEGA-NATEETEh'!F76)</f>
        <v>20</v>
      </c>
      <c r="G76" s="49">
        <f>AVERAGE('26.07 BUSEGA-NATEETE'!G76,'27.07 52BUSEGA-NATEETEh'!G76)</f>
        <v>0</v>
      </c>
      <c r="H76" s="49">
        <f>AVERAGE('26.07 BUSEGA-NATEETE'!H76,'27.07 52BUSEGA-NATEETEh'!H76)</f>
        <v>0</v>
      </c>
      <c r="I76" s="49">
        <f>AVERAGE('26.07 BUSEGA-NATEETE'!I76,'27.07 52BUSEGA-NATEETEh'!I76)</f>
        <v>4.5</v>
      </c>
      <c r="J76" s="49">
        <f>AVERAGE('26.07 BUSEGA-NATEETE'!J76,'27.07 52BUSEGA-NATEETEh'!J76)</f>
        <v>5.5</v>
      </c>
      <c r="K76" s="49">
        <f>AVERAGE('26.07 BUSEGA-NATEETE'!K76,'27.07 52BUSEGA-NATEETEh'!K76)</f>
        <v>2.5</v>
      </c>
      <c r="L76" s="49">
        <f>AVERAGE('26.07 BUSEGA-NATEETE'!L76,'27.07 52BUSEGA-NATEETEh'!L76)</f>
        <v>2</v>
      </c>
      <c r="M76" s="49">
        <f>AVERAGE('26.07 BUSEGA-NATEETE'!M76,'27.07 52BUSEGA-NATEETEh'!M76)</f>
        <v>117.5</v>
      </c>
      <c r="N76" s="49">
        <f>AVERAGE('26.07 BUSEGA-NATEETE'!N76,'27.07 52BUSEGA-NATEETEh'!N76)</f>
        <v>0</v>
      </c>
      <c r="O76" s="15">
        <f t="shared" si="35"/>
        <v>94.5</v>
      </c>
      <c r="P76" s="15">
        <f t="shared" si="36"/>
        <v>212</v>
      </c>
      <c r="R76" s="8"/>
      <c r="T76"/>
    </row>
    <row r="77" spans="2:20" ht="23.1" customHeight="1" x14ac:dyDescent="0.25">
      <c r="B77" s="23" t="s">
        <v>117</v>
      </c>
      <c r="C77" s="49">
        <f>AVERAGE('26.07 BUSEGA-NATEETE'!C77,'27.07 52BUSEGA-NATEETEh'!C77)</f>
        <v>36</v>
      </c>
      <c r="D77" s="49">
        <f>AVERAGE('26.07 BUSEGA-NATEETE'!D77,'27.07 52BUSEGA-NATEETEh'!D77)</f>
        <v>5.5</v>
      </c>
      <c r="E77" s="49">
        <f>AVERAGE('26.07 BUSEGA-NATEETE'!E77,'27.07 52BUSEGA-NATEETEh'!E77)</f>
        <v>9</v>
      </c>
      <c r="F77" s="49">
        <f>AVERAGE('26.07 BUSEGA-NATEETE'!F77,'27.07 52BUSEGA-NATEETEh'!F77)</f>
        <v>22.5</v>
      </c>
      <c r="G77" s="49">
        <f>AVERAGE('26.07 BUSEGA-NATEETE'!G77,'27.07 52BUSEGA-NATEETEh'!G77)</f>
        <v>1</v>
      </c>
      <c r="H77" s="49">
        <f>AVERAGE('26.07 BUSEGA-NATEETE'!H77,'27.07 52BUSEGA-NATEETEh'!H77)</f>
        <v>0</v>
      </c>
      <c r="I77" s="49">
        <f>AVERAGE('26.07 BUSEGA-NATEETE'!I77,'27.07 52BUSEGA-NATEETEh'!I77)</f>
        <v>10</v>
      </c>
      <c r="J77" s="49">
        <f>AVERAGE('26.07 BUSEGA-NATEETE'!J77,'27.07 52BUSEGA-NATEETEh'!J77)</f>
        <v>2</v>
      </c>
      <c r="K77" s="49">
        <f>AVERAGE('26.07 BUSEGA-NATEETE'!K77,'27.07 52BUSEGA-NATEETEh'!K77)</f>
        <v>2.5</v>
      </c>
      <c r="L77" s="49">
        <f>AVERAGE('26.07 BUSEGA-NATEETE'!L77,'27.07 52BUSEGA-NATEETEh'!L77)</f>
        <v>1</v>
      </c>
      <c r="M77" s="49">
        <f>AVERAGE('26.07 BUSEGA-NATEETE'!M77,'27.07 52BUSEGA-NATEETEh'!M77)</f>
        <v>73.5</v>
      </c>
      <c r="N77" s="49">
        <f>AVERAGE('26.07 BUSEGA-NATEETE'!N77,'27.07 52BUSEGA-NATEETEh'!N77)</f>
        <v>0</v>
      </c>
      <c r="O77" s="15">
        <f t="shared" si="35"/>
        <v>89.5</v>
      </c>
      <c r="P77" s="15">
        <f t="shared" si="36"/>
        <v>163</v>
      </c>
      <c r="R77" s="8"/>
      <c r="T77"/>
    </row>
    <row r="78" spans="2:20" ht="23.1" customHeight="1" x14ac:dyDescent="0.25">
      <c r="B78" s="24" t="s">
        <v>118</v>
      </c>
      <c r="C78" s="49">
        <f>AVERAGE('26.07 BUSEGA-NATEETE'!C78,'27.07 52BUSEGA-NATEETEh'!C78)</f>
        <v>31.5</v>
      </c>
      <c r="D78" s="49">
        <f>AVERAGE('26.07 BUSEGA-NATEETE'!D78,'27.07 52BUSEGA-NATEETEh'!D78)</f>
        <v>5.5</v>
      </c>
      <c r="E78" s="49">
        <f>AVERAGE('26.07 BUSEGA-NATEETE'!E78,'27.07 52BUSEGA-NATEETEh'!E78)</f>
        <v>6</v>
      </c>
      <c r="F78" s="49">
        <f>AVERAGE('26.07 BUSEGA-NATEETE'!F78,'27.07 52BUSEGA-NATEETEh'!F78)</f>
        <v>21.5</v>
      </c>
      <c r="G78" s="49">
        <f>AVERAGE('26.07 BUSEGA-NATEETE'!G78,'27.07 52BUSEGA-NATEETEh'!G78)</f>
        <v>1</v>
      </c>
      <c r="H78" s="49">
        <f>AVERAGE('26.07 BUSEGA-NATEETE'!H78,'27.07 52BUSEGA-NATEETEh'!H78)</f>
        <v>2</v>
      </c>
      <c r="I78" s="49">
        <f>AVERAGE('26.07 BUSEGA-NATEETE'!I78,'27.07 52BUSEGA-NATEETEh'!I78)</f>
        <v>7.5</v>
      </c>
      <c r="J78" s="49">
        <f>AVERAGE('26.07 BUSEGA-NATEETE'!J78,'27.07 52BUSEGA-NATEETEh'!J78)</f>
        <v>5</v>
      </c>
      <c r="K78" s="49">
        <f>AVERAGE('26.07 BUSEGA-NATEETE'!K78,'27.07 52BUSEGA-NATEETEh'!K78)</f>
        <v>0.5</v>
      </c>
      <c r="L78" s="49">
        <f>AVERAGE('26.07 BUSEGA-NATEETE'!L78,'27.07 52BUSEGA-NATEETEh'!L78)</f>
        <v>1</v>
      </c>
      <c r="M78" s="49">
        <f>AVERAGE('26.07 BUSEGA-NATEETE'!M78,'27.07 52BUSEGA-NATEETEh'!M78)</f>
        <v>117.5</v>
      </c>
      <c r="N78" s="49">
        <f>AVERAGE('26.07 BUSEGA-NATEETE'!N78,'27.07 52BUSEGA-NATEETEh'!N78)</f>
        <v>0</v>
      </c>
      <c r="O78" s="15">
        <f t="shared" si="35"/>
        <v>81.5</v>
      </c>
      <c r="P78" s="15">
        <f t="shared" si="36"/>
        <v>199</v>
      </c>
      <c r="R78" s="8"/>
      <c r="T78"/>
    </row>
    <row r="79" spans="2:20" ht="23.1" customHeight="1" x14ac:dyDescent="0.25">
      <c r="B79" s="23" t="s">
        <v>119</v>
      </c>
      <c r="C79" s="49">
        <f>AVERAGE('26.07 BUSEGA-NATEETE'!C79,'27.07 52BUSEGA-NATEETEh'!C79)</f>
        <v>37</v>
      </c>
      <c r="D79" s="49">
        <f>AVERAGE('26.07 BUSEGA-NATEETE'!D79,'27.07 52BUSEGA-NATEETEh'!D79)</f>
        <v>3.5</v>
      </c>
      <c r="E79" s="49">
        <f>AVERAGE('26.07 BUSEGA-NATEETE'!E79,'27.07 52BUSEGA-NATEETEh'!E79)</f>
        <v>7</v>
      </c>
      <c r="F79" s="49">
        <f>AVERAGE('26.07 BUSEGA-NATEETE'!F79,'27.07 52BUSEGA-NATEETEh'!F79)</f>
        <v>15.5</v>
      </c>
      <c r="G79" s="49">
        <f>AVERAGE('26.07 BUSEGA-NATEETE'!G79,'27.07 52BUSEGA-NATEETEh'!G79)</f>
        <v>2</v>
      </c>
      <c r="H79" s="49">
        <f>AVERAGE('26.07 BUSEGA-NATEETE'!H79,'27.07 52BUSEGA-NATEETEh'!H79)</f>
        <v>1.5</v>
      </c>
      <c r="I79" s="49">
        <f>AVERAGE('26.07 BUSEGA-NATEETE'!I79,'27.07 52BUSEGA-NATEETEh'!I79)</f>
        <v>8.5</v>
      </c>
      <c r="J79" s="49">
        <f>AVERAGE('26.07 BUSEGA-NATEETE'!J79,'27.07 52BUSEGA-NATEETEh'!J79)</f>
        <v>4</v>
      </c>
      <c r="K79" s="49">
        <f>AVERAGE('26.07 BUSEGA-NATEETE'!K79,'27.07 52BUSEGA-NATEETEh'!K79)</f>
        <v>4</v>
      </c>
      <c r="L79" s="49">
        <f>AVERAGE('26.07 BUSEGA-NATEETE'!L79,'27.07 52BUSEGA-NATEETEh'!L79)</f>
        <v>3.5</v>
      </c>
      <c r="M79" s="49">
        <f>AVERAGE('26.07 BUSEGA-NATEETE'!M79,'27.07 52BUSEGA-NATEETEh'!M79)</f>
        <v>84.5</v>
      </c>
      <c r="N79" s="49">
        <f>AVERAGE('26.07 BUSEGA-NATEETE'!N79,'27.07 52BUSEGA-NATEETEh'!N79)</f>
        <v>0</v>
      </c>
      <c r="O79" s="15">
        <f t="shared" si="35"/>
        <v>86.5</v>
      </c>
      <c r="P79" s="15">
        <f t="shared" si="36"/>
        <v>171</v>
      </c>
      <c r="R79" s="8"/>
      <c r="T79"/>
    </row>
    <row r="80" spans="2:20" ht="23.1" customHeight="1" x14ac:dyDescent="0.25">
      <c r="B80" s="25" t="s">
        <v>120</v>
      </c>
      <c r="C80" s="49">
        <f>AVERAGE('26.07 BUSEGA-NATEETE'!C80,'27.07 52BUSEGA-NATEETEh'!C80)</f>
        <v>37.5</v>
      </c>
      <c r="D80" s="49">
        <f>AVERAGE('26.07 BUSEGA-NATEETE'!D80,'27.07 52BUSEGA-NATEETEh'!D80)</f>
        <v>5</v>
      </c>
      <c r="E80" s="49">
        <f>AVERAGE('26.07 BUSEGA-NATEETE'!E80,'27.07 52BUSEGA-NATEETEh'!E80)</f>
        <v>6</v>
      </c>
      <c r="F80" s="49">
        <f>AVERAGE('26.07 BUSEGA-NATEETE'!F80,'27.07 52BUSEGA-NATEETEh'!F80)</f>
        <v>18.5</v>
      </c>
      <c r="G80" s="49">
        <f>AVERAGE('26.07 BUSEGA-NATEETE'!G80,'27.07 52BUSEGA-NATEETEh'!G80)</f>
        <v>0.5</v>
      </c>
      <c r="H80" s="49">
        <f>AVERAGE('26.07 BUSEGA-NATEETE'!H80,'27.07 52BUSEGA-NATEETEh'!H80)</f>
        <v>1.5</v>
      </c>
      <c r="I80" s="49">
        <f>AVERAGE('26.07 BUSEGA-NATEETE'!I80,'27.07 52BUSEGA-NATEETEh'!I80)</f>
        <v>6</v>
      </c>
      <c r="J80" s="49">
        <f>AVERAGE('26.07 BUSEGA-NATEETE'!J80,'27.07 52BUSEGA-NATEETEh'!J80)</f>
        <v>3.5</v>
      </c>
      <c r="K80" s="49">
        <f>AVERAGE('26.07 BUSEGA-NATEETE'!K80,'27.07 52BUSEGA-NATEETEh'!K80)</f>
        <v>2</v>
      </c>
      <c r="L80" s="49">
        <f>AVERAGE('26.07 BUSEGA-NATEETE'!L80,'27.07 52BUSEGA-NATEETEh'!L80)</f>
        <v>1.5</v>
      </c>
      <c r="M80" s="49">
        <f>AVERAGE('26.07 BUSEGA-NATEETE'!M80,'27.07 52BUSEGA-NATEETEh'!M80)</f>
        <v>102</v>
      </c>
      <c r="N80" s="49">
        <f>AVERAGE('26.07 BUSEGA-NATEETE'!N80,'27.07 52BUSEGA-NATEETEh'!N80)</f>
        <v>0</v>
      </c>
      <c r="O80" s="15">
        <f t="shared" si="35"/>
        <v>82</v>
      </c>
      <c r="P80" s="15">
        <f t="shared" si="36"/>
        <v>184</v>
      </c>
      <c r="R80" s="8"/>
      <c r="T80"/>
    </row>
    <row r="81" spans="2:20" ht="23.1" customHeight="1" x14ac:dyDescent="0.25">
      <c r="B81" s="23" t="s">
        <v>121</v>
      </c>
      <c r="C81" s="49">
        <f>AVERAGE('26.07 BUSEGA-NATEETE'!C81,'27.07 52BUSEGA-NATEETEh'!C81)</f>
        <v>26</v>
      </c>
      <c r="D81" s="49">
        <f>AVERAGE('26.07 BUSEGA-NATEETE'!D81,'27.07 52BUSEGA-NATEETEh'!D81)</f>
        <v>3.5</v>
      </c>
      <c r="E81" s="49">
        <f>AVERAGE('26.07 BUSEGA-NATEETE'!E81,'27.07 52BUSEGA-NATEETEh'!E81)</f>
        <v>5</v>
      </c>
      <c r="F81" s="49">
        <f>AVERAGE('26.07 BUSEGA-NATEETE'!F81,'27.07 52BUSEGA-NATEETEh'!F81)</f>
        <v>13.5</v>
      </c>
      <c r="G81" s="49">
        <f>AVERAGE('26.07 BUSEGA-NATEETE'!G81,'27.07 52BUSEGA-NATEETEh'!G81)</f>
        <v>0.5</v>
      </c>
      <c r="H81" s="49">
        <f>AVERAGE('26.07 BUSEGA-NATEETE'!H81,'27.07 52BUSEGA-NATEETEh'!H81)</f>
        <v>3.5</v>
      </c>
      <c r="I81" s="49">
        <f>AVERAGE('26.07 BUSEGA-NATEETE'!I81,'27.07 52BUSEGA-NATEETEh'!I81)</f>
        <v>7.5</v>
      </c>
      <c r="J81" s="49">
        <f>AVERAGE('26.07 BUSEGA-NATEETE'!J81,'27.07 52BUSEGA-NATEETEh'!J81)</f>
        <v>7</v>
      </c>
      <c r="K81" s="49">
        <f>AVERAGE('26.07 BUSEGA-NATEETE'!K81,'27.07 52BUSEGA-NATEETEh'!K81)</f>
        <v>1</v>
      </c>
      <c r="L81" s="49">
        <f>AVERAGE('26.07 BUSEGA-NATEETE'!L81,'27.07 52BUSEGA-NATEETEh'!L81)</f>
        <v>3</v>
      </c>
      <c r="M81" s="49">
        <f>AVERAGE('26.07 BUSEGA-NATEETE'!M81,'27.07 52BUSEGA-NATEETEh'!M81)</f>
        <v>97.5</v>
      </c>
      <c r="N81" s="49">
        <f>AVERAGE('26.07 BUSEGA-NATEETE'!N81,'27.07 52BUSEGA-NATEETEh'!N81)</f>
        <v>0</v>
      </c>
      <c r="O81" s="15">
        <f t="shared" si="35"/>
        <v>70.5</v>
      </c>
      <c r="P81" s="15">
        <f t="shared" si="36"/>
        <v>168</v>
      </c>
      <c r="R81" s="8"/>
      <c r="T81"/>
    </row>
    <row r="82" spans="2:20" ht="23.1" customHeight="1" x14ac:dyDescent="0.25">
      <c r="B82" s="24" t="s">
        <v>122</v>
      </c>
      <c r="C82" s="49">
        <f>AVERAGE('26.07 BUSEGA-NATEETE'!C82,'27.07 52BUSEGA-NATEETEh'!C82)</f>
        <v>16</v>
      </c>
      <c r="D82" s="49">
        <f>AVERAGE('26.07 BUSEGA-NATEETE'!D82,'27.07 52BUSEGA-NATEETEh'!D82)</f>
        <v>3.5</v>
      </c>
      <c r="E82" s="49">
        <f>AVERAGE('26.07 BUSEGA-NATEETE'!E82,'27.07 52BUSEGA-NATEETEh'!E82)</f>
        <v>1.5</v>
      </c>
      <c r="F82" s="49">
        <f>AVERAGE('26.07 BUSEGA-NATEETE'!F82,'27.07 52BUSEGA-NATEETEh'!F82)</f>
        <v>4</v>
      </c>
      <c r="G82" s="49">
        <f>AVERAGE('26.07 BUSEGA-NATEETE'!G82,'27.07 52BUSEGA-NATEETEh'!G82)</f>
        <v>0</v>
      </c>
      <c r="H82" s="49">
        <f>AVERAGE('26.07 BUSEGA-NATEETE'!H82,'27.07 52BUSEGA-NATEETEh'!H82)</f>
        <v>1</v>
      </c>
      <c r="I82" s="49">
        <f>AVERAGE('26.07 BUSEGA-NATEETE'!I82,'27.07 52BUSEGA-NATEETEh'!I82)</f>
        <v>6</v>
      </c>
      <c r="J82" s="49">
        <f>AVERAGE('26.07 BUSEGA-NATEETE'!J82,'27.07 52BUSEGA-NATEETEh'!J82)</f>
        <v>9</v>
      </c>
      <c r="K82" s="49">
        <f>AVERAGE('26.07 BUSEGA-NATEETE'!K82,'27.07 52BUSEGA-NATEETEh'!K82)</f>
        <v>6.5</v>
      </c>
      <c r="L82" s="49">
        <f>AVERAGE('26.07 BUSEGA-NATEETE'!L82,'27.07 52BUSEGA-NATEETEh'!L82)</f>
        <v>2</v>
      </c>
      <c r="M82" s="49">
        <f>AVERAGE('26.07 BUSEGA-NATEETE'!M82,'27.07 52BUSEGA-NATEETEh'!M82)</f>
        <v>67.5</v>
      </c>
      <c r="N82" s="49">
        <f>AVERAGE('26.07 BUSEGA-NATEETE'!N82,'27.07 52BUSEGA-NATEETEh'!N82)</f>
        <v>0</v>
      </c>
      <c r="O82" s="15">
        <f t="shared" si="35"/>
        <v>49.5</v>
      </c>
      <c r="P82" s="15">
        <f t="shared" si="36"/>
        <v>117</v>
      </c>
      <c r="R82" s="8"/>
      <c r="T82"/>
    </row>
    <row r="83" spans="2:20" ht="23.1" customHeight="1" x14ac:dyDescent="0.25">
      <c r="B83" s="23" t="s">
        <v>123</v>
      </c>
      <c r="C83" s="49">
        <f>AVERAGE('26.07 BUSEGA-NATEETE'!C83,'27.07 52BUSEGA-NATEETEh'!C83)</f>
        <v>20.5</v>
      </c>
      <c r="D83" s="49">
        <f>AVERAGE('26.07 BUSEGA-NATEETE'!D83,'27.07 52BUSEGA-NATEETEh'!D83)</f>
        <v>1.5</v>
      </c>
      <c r="E83" s="49">
        <f>AVERAGE('26.07 BUSEGA-NATEETE'!E83,'27.07 52BUSEGA-NATEETEh'!E83)</f>
        <v>2</v>
      </c>
      <c r="F83" s="49">
        <f>AVERAGE('26.07 BUSEGA-NATEETE'!F83,'27.07 52BUSEGA-NATEETEh'!F83)</f>
        <v>7.5</v>
      </c>
      <c r="G83" s="49">
        <f>AVERAGE('26.07 BUSEGA-NATEETE'!G83,'27.07 52BUSEGA-NATEETEh'!G83)</f>
        <v>0</v>
      </c>
      <c r="H83" s="49">
        <f>AVERAGE('26.07 BUSEGA-NATEETE'!H83,'27.07 52BUSEGA-NATEETEh'!H83)</f>
        <v>0</v>
      </c>
      <c r="I83" s="49">
        <f>AVERAGE('26.07 BUSEGA-NATEETE'!I83,'27.07 52BUSEGA-NATEETEh'!I83)</f>
        <v>6</v>
      </c>
      <c r="J83" s="49">
        <f>AVERAGE('26.07 BUSEGA-NATEETE'!J83,'27.07 52BUSEGA-NATEETEh'!J83)</f>
        <v>8.5</v>
      </c>
      <c r="K83" s="49">
        <f>AVERAGE('26.07 BUSEGA-NATEETE'!K83,'27.07 52BUSEGA-NATEETEh'!K83)</f>
        <v>3</v>
      </c>
      <c r="L83" s="49">
        <f>AVERAGE('26.07 BUSEGA-NATEETE'!L83,'27.07 52BUSEGA-NATEETEh'!L83)</f>
        <v>0</v>
      </c>
      <c r="M83" s="49">
        <f>AVERAGE('26.07 BUSEGA-NATEETE'!M83,'27.07 52BUSEGA-NATEETEh'!M83)</f>
        <v>89.5</v>
      </c>
      <c r="N83" s="49">
        <f>AVERAGE('26.07 BUSEGA-NATEETE'!N83,'27.07 52BUSEGA-NATEETEh'!N83)</f>
        <v>0</v>
      </c>
      <c r="O83" s="15">
        <f t="shared" si="35"/>
        <v>49</v>
      </c>
      <c r="P83" s="15">
        <f t="shared" si="36"/>
        <v>138.5</v>
      </c>
      <c r="R83" s="8"/>
      <c r="T83"/>
    </row>
    <row r="84" spans="2:20" ht="23.1" customHeight="1" x14ac:dyDescent="0.25">
      <c r="B84" s="25" t="s">
        <v>124</v>
      </c>
      <c r="C84" s="49">
        <f>AVERAGE('26.07 BUSEGA-NATEETE'!C84,'27.07 52BUSEGA-NATEETEh'!C84)</f>
        <v>19.5</v>
      </c>
      <c r="D84" s="49">
        <f>AVERAGE('26.07 BUSEGA-NATEETE'!D84,'27.07 52BUSEGA-NATEETEh'!D84)</f>
        <v>2.5</v>
      </c>
      <c r="E84" s="49">
        <f>AVERAGE('26.07 BUSEGA-NATEETE'!E84,'27.07 52BUSEGA-NATEETEh'!E84)</f>
        <v>1.5</v>
      </c>
      <c r="F84" s="49">
        <f>AVERAGE('26.07 BUSEGA-NATEETE'!F84,'27.07 52BUSEGA-NATEETEh'!F84)</f>
        <v>7</v>
      </c>
      <c r="G84" s="49">
        <f>AVERAGE('26.07 BUSEGA-NATEETE'!G84,'27.07 52BUSEGA-NATEETEh'!G84)</f>
        <v>1.5</v>
      </c>
      <c r="H84" s="49">
        <f>AVERAGE('26.07 BUSEGA-NATEETE'!H84,'27.07 52BUSEGA-NATEETEh'!H84)</f>
        <v>0</v>
      </c>
      <c r="I84" s="49">
        <f>AVERAGE('26.07 BUSEGA-NATEETE'!I84,'27.07 52BUSEGA-NATEETEh'!I84)</f>
        <v>6.5</v>
      </c>
      <c r="J84" s="49">
        <f>AVERAGE('26.07 BUSEGA-NATEETE'!J84,'27.07 52BUSEGA-NATEETEh'!J84)</f>
        <v>6.5</v>
      </c>
      <c r="K84" s="49">
        <f>AVERAGE('26.07 BUSEGA-NATEETE'!K84,'27.07 52BUSEGA-NATEETEh'!K84)</f>
        <v>4</v>
      </c>
      <c r="L84" s="49">
        <f>AVERAGE('26.07 BUSEGA-NATEETE'!L84,'27.07 52BUSEGA-NATEETEh'!L84)</f>
        <v>1</v>
      </c>
      <c r="M84" s="49">
        <f>AVERAGE('26.07 BUSEGA-NATEETE'!M84,'27.07 52BUSEGA-NATEETEh'!M84)</f>
        <v>61.5</v>
      </c>
      <c r="N84" s="49">
        <f>AVERAGE('26.07 BUSEGA-NATEETE'!N84,'27.07 52BUSEGA-NATEETEh'!N84)</f>
        <v>0</v>
      </c>
      <c r="O84" s="15">
        <f t="shared" si="35"/>
        <v>50</v>
      </c>
      <c r="P84" s="15">
        <f t="shared" si="36"/>
        <v>111.5</v>
      </c>
      <c r="R84" s="8"/>
      <c r="T84"/>
    </row>
    <row r="85" spans="2:20" ht="23.1" customHeight="1" x14ac:dyDescent="0.25">
      <c r="B85" s="23" t="s">
        <v>125</v>
      </c>
      <c r="C85" s="49">
        <f>AVERAGE('26.07 BUSEGA-NATEETE'!C85,'27.07 52BUSEGA-NATEETEh'!C85)</f>
        <v>11.5</v>
      </c>
      <c r="D85" s="49">
        <f>AVERAGE('26.07 BUSEGA-NATEETE'!D85,'27.07 52BUSEGA-NATEETEh'!D85)</f>
        <v>2.5</v>
      </c>
      <c r="E85" s="49">
        <f>AVERAGE('26.07 BUSEGA-NATEETE'!E85,'27.07 52BUSEGA-NATEETEh'!E85)</f>
        <v>3.5</v>
      </c>
      <c r="F85" s="49">
        <f>AVERAGE('26.07 BUSEGA-NATEETE'!F85,'27.07 52BUSEGA-NATEETEh'!F85)</f>
        <v>6</v>
      </c>
      <c r="G85" s="49">
        <f>AVERAGE('26.07 BUSEGA-NATEETE'!G85,'27.07 52BUSEGA-NATEETEh'!G85)</f>
        <v>0.5</v>
      </c>
      <c r="H85" s="49">
        <f>AVERAGE('26.07 BUSEGA-NATEETE'!H85,'27.07 52BUSEGA-NATEETEh'!H85)</f>
        <v>1</v>
      </c>
      <c r="I85" s="49">
        <f>AVERAGE('26.07 BUSEGA-NATEETE'!I85,'27.07 52BUSEGA-NATEETEh'!I85)</f>
        <v>5.5</v>
      </c>
      <c r="J85" s="49">
        <f>AVERAGE('26.07 BUSEGA-NATEETE'!J85,'27.07 52BUSEGA-NATEETEh'!J85)</f>
        <v>7.5</v>
      </c>
      <c r="K85" s="49">
        <f>AVERAGE('26.07 BUSEGA-NATEETE'!K85,'27.07 52BUSEGA-NATEETEh'!K85)</f>
        <v>6.5</v>
      </c>
      <c r="L85" s="49">
        <f>AVERAGE('26.07 BUSEGA-NATEETE'!L85,'27.07 52BUSEGA-NATEETEh'!L85)</f>
        <v>1</v>
      </c>
      <c r="M85" s="49">
        <f>AVERAGE('26.07 BUSEGA-NATEETE'!M85,'27.07 52BUSEGA-NATEETEh'!M85)</f>
        <v>61.5</v>
      </c>
      <c r="N85" s="49">
        <f>AVERAGE('26.07 BUSEGA-NATEETE'!N85,'27.07 52BUSEGA-NATEETEh'!N85)</f>
        <v>0</v>
      </c>
      <c r="O85" s="15">
        <f t="shared" si="35"/>
        <v>45.5</v>
      </c>
      <c r="P85" s="15">
        <f t="shared" si="36"/>
        <v>107</v>
      </c>
      <c r="R85" s="8"/>
      <c r="T85"/>
    </row>
    <row r="86" spans="2:20" ht="23.1" customHeight="1" x14ac:dyDescent="0.25">
      <c r="B86" s="24" t="s">
        <v>126</v>
      </c>
      <c r="C86" s="49">
        <f>AVERAGE('26.07 BUSEGA-NATEETE'!C86,'27.07 52BUSEGA-NATEETEh'!C86)</f>
        <v>17.5</v>
      </c>
      <c r="D86" s="49">
        <f>AVERAGE('26.07 BUSEGA-NATEETE'!D86,'27.07 52BUSEGA-NATEETEh'!D86)</f>
        <v>1.5</v>
      </c>
      <c r="E86" s="49">
        <f>AVERAGE('26.07 BUSEGA-NATEETE'!E86,'27.07 52BUSEGA-NATEETEh'!E86)</f>
        <v>2.5</v>
      </c>
      <c r="F86" s="49">
        <f>AVERAGE('26.07 BUSEGA-NATEETE'!F86,'27.07 52BUSEGA-NATEETEh'!F86)</f>
        <v>6</v>
      </c>
      <c r="G86" s="49">
        <f>AVERAGE('26.07 BUSEGA-NATEETE'!G86,'27.07 52BUSEGA-NATEETEh'!G86)</f>
        <v>0</v>
      </c>
      <c r="H86" s="49">
        <f>AVERAGE('26.07 BUSEGA-NATEETE'!H86,'27.07 52BUSEGA-NATEETEh'!H86)</f>
        <v>2.5</v>
      </c>
      <c r="I86" s="49">
        <f>AVERAGE('26.07 BUSEGA-NATEETE'!I86,'27.07 52BUSEGA-NATEETEh'!I86)</f>
        <v>7.5</v>
      </c>
      <c r="J86" s="49">
        <f>AVERAGE('26.07 BUSEGA-NATEETE'!J86,'27.07 52BUSEGA-NATEETEh'!J86)</f>
        <v>8</v>
      </c>
      <c r="K86" s="49">
        <f>AVERAGE('26.07 BUSEGA-NATEETE'!K86,'27.07 52BUSEGA-NATEETEh'!K86)</f>
        <v>3</v>
      </c>
      <c r="L86" s="49">
        <f>AVERAGE('26.07 BUSEGA-NATEETE'!L86,'27.07 52BUSEGA-NATEETEh'!L86)</f>
        <v>5</v>
      </c>
      <c r="M86" s="49">
        <f>AVERAGE('26.07 BUSEGA-NATEETE'!M86,'27.07 52BUSEGA-NATEETEh'!M86)</f>
        <v>29.5</v>
      </c>
      <c r="N86" s="49">
        <f>AVERAGE('26.07 BUSEGA-NATEETE'!N86,'27.07 52BUSEGA-NATEETEh'!N86)</f>
        <v>0</v>
      </c>
      <c r="O86" s="15">
        <f t="shared" si="35"/>
        <v>53.5</v>
      </c>
      <c r="P86" s="15">
        <f t="shared" si="36"/>
        <v>83</v>
      </c>
      <c r="R86" s="8"/>
      <c r="T86"/>
    </row>
    <row r="87" spans="2:20" ht="23.1" customHeight="1" x14ac:dyDescent="0.25">
      <c r="B87" s="23" t="s">
        <v>127</v>
      </c>
      <c r="C87" s="49">
        <f>AVERAGE('26.07 BUSEGA-NATEETE'!C87,'27.07 52BUSEGA-NATEETEh'!C87)</f>
        <v>11.5</v>
      </c>
      <c r="D87" s="49">
        <f>AVERAGE('26.07 BUSEGA-NATEETE'!D87,'27.07 52BUSEGA-NATEETEh'!D87)</f>
        <v>1</v>
      </c>
      <c r="E87" s="49">
        <f>AVERAGE('26.07 BUSEGA-NATEETE'!E87,'27.07 52BUSEGA-NATEETEh'!E87)</f>
        <v>0.5</v>
      </c>
      <c r="F87" s="49">
        <f>AVERAGE('26.07 BUSEGA-NATEETE'!F87,'27.07 52BUSEGA-NATEETEh'!F87)</f>
        <v>3</v>
      </c>
      <c r="G87" s="49">
        <f>AVERAGE('26.07 BUSEGA-NATEETE'!G87,'27.07 52BUSEGA-NATEETEh'!G87)</f>
        <v>0</v>
      </c>
      <c r="H87" s="49">
        <f>AVERAGE('26.07 BUSEGA-NATEETE'!H87,'27.07 52BUSEGA-NATEETEh'!H87)</f>
        <v>1</v>
      </c>
      <c r="I87" s="49">
        <f>AVERAGE('26.07 BUSEGA-NATEETE'!I87,'27.07 52BUSEGA-NATEETEh'!I87)</f>
        <v>4</v>
      </c>
      <c r="J87" s="49">
        <f>AVERAGE('26.07 BUSEGA-NATEETE'!J87,'27.07 52BUSEGA-NATEETEh'!J87)</f>
        <v>5</v>
      </c>
      <c r="K87" s="49">
        <f>AVERAGE('26.07 BUSEGA-NATEETE'!K87,'27.07 52BUSEGA-NATEETEh'!K87)</f>
        <v>2.5</v>
      </c>
      <c r="L87" s="49">
        <f>AVERAGE('26.07 BUSEGA-NATEETE'!L87,'27.07 52BUSEGA-NATEETEh'!L87)</f>
        <v>1.5</v>
      </c>
      <c r="M87" s="49">
        <f>AVERAGE('26.07 BUSEGA-NATEETE'!M87,'27.07 52BUSEGA-NATEETEh'!M87)</f>
        <v>36</v>
      </c>
      <c r="N87" s="49">
        <f>AVERAGE('26.07 BUSEGA-NATEETE'!N87,'27.07 52BUSEGA-NATEETEh'!N87)</f>
        <v>0</v>
      </c>
      <c r="O87" s="15">
        <f t="shared" si="35"/>
        <v>30</v>
      </c>
      <c r="P87" s="15">
        <f t="shared" si="36"/>
        <v>66</v>
      </c>
      <c r="R87" s="8"/>
      <c r="T87"/>
    </row>
    <row r="88" spans="2:20" ht="23.1" customHeight="1" x14ac:dyDescent="0.25">
      <c r="B88" s="25" t="s">
        <v>128</v>
      </c>
      <c r="C88" s="49">
        <f>AVERAGE('26.07 BUSEGA-NATEETE'!C88,'27.07 52BUSEGA-NATEETEh'!C88)</f>
        <v>14.5</v>
      </c>
      <c r="D88" s="49">
        <f>AVERAGE('26.07 BUSEGA-NATEETE'!D88,'27.07 52BUSEGA-NATEETEh'!D88)</f>
        <v>3.5</v>
      </c>
      <c r="E88" s="49">
        <f>AVERAGE('26.07 BUSEGA-NATEETE'!E88,'27.07 52BUSEGA-NATEETEh'!E88)</f>
        <v>2</v>
      </c>
      <c r="F88" s="49">
        <f>AVERAGE('26.07 BUSEGA-NATEETE'!F88,'27.07 52BUSEGA-NATEETEh'!F88)</f>
        <v>5</v>
      </c>
      <c r="G88" s="49">
        <f>AVERAGE('26.07 BUSEGA-NATEETE'!G88,'27.07 52BUSEGA-NATEETEh'!G88)</f>
        <v>0</v>
      </c>
      <c r="H88" s="49">
        <f>AVERAGE('26.07 BUSEGA-NATEETE'!H88,'27.07 52BUSEGA-NATEETEh'!H88)</f>
        <v>1</v>
      </c>
      <c r="I88" s="49">
        <f>AVERAGE('26.07 BUSEGA-NATEETE'!I88,'27.07 52BUSEGA-NATEETEh'!I88)</f>
        <v>7.5</v>
      </c>
      <c r="J88" s="49">
        <f>AVERAGE('26.07 BUSEGA-NATEETE'!J88,'27.07 52BUSEGA-NATEETEh'!J88)</f>
        <v>7.5</v>
      </c>
      <c r="K88" s="49">
        <f>AVERAGE('26.07 BUSEGA-NATEETE'!K88,'27.07 52BUSEGA-NATEETEh'!K88)</f>
        <v>3.5</v>
      </c>
      <c r="L88" s="49">
        <f>AVERAGE('26.07 BUSEGA-NATEETE'!L88,'27.07 52BUSEGA-NATEETEh'!L88)</f>
        <v>1.5</v>
      </c>
      <c r="M88" s="49">
        <f>AVERAGE('26.07 BUSEGA-NATEETE'!M88,'27.07 52BUSEGA-NATEETEh'!M88)</f>
        <v>33.5</v>
      </c>
      <c r="N88" s="49">
        <f>AVERAGE('26.07 BUSEGA-NATEETE'!N88,'27.07 52BUSEGA-NATEETEh'!N88)</f>
        <v>0</v>
      </c>
      <c r="O88" s="15">
        <f t="shared" si="35"/>
        <v>46</v>
      </c>
      <c r="P88" s="15">
        <f t="shared" si="36"/>
        <v>79.5</v>
      </c>
      <c r="R88" s="8"/>
      <c r="T88"/>
    </row>
    <row r="89" spans="2:20" ht="23.1" customHeight="1" x14ac:dyDescent="0.25">
      <c r="B89" s="23" t="s">
        <v>129</v>
      </c>
      <c r="C89" s="49">
        <f>AVERAGE('26.07 BUSEGA-NATEETE'!C89,'27.07 52BUSEGA-NATEETEh'!C89)</f>
        <v>11.5</v>
      </c>
      <c r="D89" s="49">
        <f>AVERAGE('26.07 BUSEGA-NATEETE'!D89,'27.07 52BUSEGA-NATEETEh'!D89)</f>
        <v>3</v>
      </c>
      <c r="E89" s="49">
        <f>AVERAGE('26.07 BUSEGA-NATEETE'!E89,'27.07 52BUSEGA-NATEETEh'!E89)</f>
        <v>3.5</v>
      </c>
      <c r="F89" s="49">
        <f>AVERAGE('26.07 BUSEGA-NATEETE'!F89,'27.07 52BUSEGA-NATEETEh'!F89)</f>
        <v>3</v>
      </c>
      <c r="G89" s="49">
        <f>AVERAGE('26.07 BUSEGA-NATEETE'!G89,'27.07 52BUSEGA-NATEETEh'!G89)</f>
        <v>0.5</v>
      </c>
      <c r="H89" s="49">
        <f>AVERAGE('26.07 BUSEGA-NATEETE'!H89,'27.07 52BUSEGA-NATEETEh'!H89)</f>
        <v>1.5</v>
      </c>
      <c r="I89" s="49">
        <f>AVERAGE('26.07 BUSEGA-NATEETE'!I89,'27.07 52BUSEGA-NATEETEh'!I89)</f>
        <v>9.5</v>
      </c>
      <c r="J89" s="49">
        <f>AVERAGE('26.07 BUSEGA-NATEETE'!J89,'27.07 52BUSEGA-NATEETEh'!J89)</f>
        <v>9.5</v>
      </c>
      <c r="K89" s="49">
        <f>AVERAGE('26.07 BUSEGA-NATEETE'!K89,'27.07 52BUSEGA-NATEETEh'!K89)</f>
        <v>2</v>
      </c>
      <c r="L89" s="49">
        <f>AVERAGE('26.07 BUSEGA-NATEETE'!L89,'27.07 52BUSEGA-NATEETEh'!L89)</f>
        <v>3</v>
      </c>
      <c r="M89" s="49">
        <f>AVERAGE('26.07 BUSEGA-NATEETE'!M89,'27.07 52BUSEGA-NATEETEh'!M89)</f>
        <v>36.5</v>
      </c>
      <c r="N89" s="49">
        <f>AVERAGE('26.07 BUSEGA-NATEETE'!N89,'27.07 52BUSEGA-NATEETEh'!N89)</f>
        <v>0</v>
      </c>
      <c r="O89" s="15">
        <f t="shared" si="35"/>
        <v>47</v>
      </c>
      <c r="P89" s="15">
        <f t="shared" si="36"/>
        <v>83.5</v>
      </c>
      <c r="R89" s="8"/>
      <c r="T89"/>
    </row>
    <row r="90" spans="2:20" ht="23.1" customHeight="1" x14ac:dyDescent="0.25">
      <c r="B90" s="24" t="s">
        <v>130</v>
      </c>
      <c r="C90" s="49">
        <f>AVERAGE('26.07 BUSEGA-NATEETE'!C90,'27.07 52BUSEGA-NATEETEh'!C90)</f>
        <v>11</v>
      </c>
      <c r="D90" s="49">
        <f>AVERAGE('26.07 BUSEGA-NATEETE'!D90,'27.07 52BUSEGA-NATEETEh'!D90)</f>
        <v>1</v>
      </c>
      <c r="E90" s="49">
        <f>AVERAGE('26.07 BUSEGA-NATEETE'!E90,'27.07 52BUSEGA-NATEETEh'!E90)</f>
        <v>1</v>
      </c>
      <c r="F90" s="49">
        <f>AVERAGE('26.07 BUSEGA-NATEETE'!F90,'27.07 52BUSEGA-NATEETEh'!F90)</f>
        <v>3.5</v>
      </c>
      <c r="G90" s="49">
        <f>AVERAGE('26.07 BUSEGA-NATEETE'!G90,'27.07 52BUSEGA-NATEETEh'!G90)</f>
        <v>1</v>
      </c>
      <c r="H90" s="49">
        <f>AVERAGE('26.07 BUSEGA-NATEETE'!H90,'27.07 52BUSEGA-NATEETEh'!H90)</f>
        <v>0.5</v>
      </c>
      <c r="I90" s="49">
        <f>AVERAGE('26.07 BUSEGA-NATEETE'!I90,'27.07 52BUSEGA-NATEETEh'!I90)</f>
        <v>5.5</v>
      </c>
      <c r="J90" s="49">
        <f>AVERAGE('26.07 BUSEGA-NATEETE'!J90,'27.07 52BUSEGA-NATEETEh'!J90)</f>
        <v>4.5</v>
      </c>
      <c r="K90" s="49">
        <f>AVERAGE('26.07 BUSEGA-NATEETE'!K90,'27.07 52BUSEGA-NATEETEh'!K90)</f>
        <v>0.5</v>
      </c>
      <c r="L90" s="49">
        <f>AVERAGE('26.07 BUSEGA-NATEETE'!L90,'27.07 52BUSEGA-NATEETEh'!L90)</f>
        <v>2</v>
      </c>
      <c r="M90" s="49">
        <f>AVERAGE('26.07 BUSEGA-NATEETE'!M90,'27.07 52BUSEGA-NATEETEh'!M90)</f>
        <v>38.5</v>
      </c>
      <c r="N90" s="49">
        <f>AVERAGE('26.07 BUSEGA-NATEETE'!N90,'27.07 52BUSEGA-NATEETEh'!N90)</f>
        <v>0</v>
      </c>
      <c r="O90" s="15">
        <f t="shared" si="35"/>
        <v>30.5</v>
      </c>
      <c r="P90" s="15">
        <f t="shared" si="36"/>
        <v>69</v>
      </c>
      <c r="R90" s="8"/>
      <c r="T90"/>
    </row>
    <row r="91" spans="2:20" ht="23.1" customHeight="1" x14ac:dyDescent="0.25">
      <c r="B91" s="23" t="s">
        <v>131</v>
      </c>
      <c r="C91" s="49">
        <f>AVERAGE('26.07 BUSEGA-NATEETE'!C91,'27.07 52BUSEGA-NATEETEh'!C91)</f>
        <v>15.5</v>
      </c>
      <c r="D91" s="49">
        <f>AVERAGE('26.07 BUSEGA-NATEETE'!D91,'27.07 52BUSEGA-NATEETEh'!D91)</f>
        <v>4.5</v>
      </c>
      <c r="E91" s="49">
        <f>AVERAGE('26.07 BUSEGA-NATEETE'!E91,'27.07 52BUSEGA-NATEETEh'!E91)</f>
        <v>1</v>
      </c>
      <c r="F91" s="49">
        <f>AVERAGE('26.07 BUSEGA-NATEETE'!F91,'27.07 52BUSEGA-NATEETEh'!F91)</f>
        <v>1.5</v>
      </c>
      <c r="G91" s="49">
        <f>AVERAGE('26.07 BUSEGA-NATEETE'!G91,'27.07 52BUSEGA-NATEETEh'!G91)</f>
        <v>0</v>
      </c>
      <c r="H91" s="49">
        <f>AVERAGE('26.07 BUSEGA-NATEETE'!H91,'27.07 52BUSEGA-NATEETEh'!H91)</f>
        <v>2</v>
      </c>
      <c r="I91" s="49">
        <f>AVERAGE('26.07 BUSEGA-NATEETE'!I91,'27.07 52BUSEGA-NATEETEh'!I91)</f>
        <v>7</v>
      </c>
      <c r="J91" s="49">
        <f>AVERAGE('26.07 BUSEGA-NATEETE'!J91,'27.07 52BUSEGA-NATEETEh'!J91)</f>
        <v>8</v>
      </c>
      <c r="K91" s="49">
        <f>AVERAGE('26.07 BUSEGA-NATEETE'!K91,'27.07 52BUSEGA-NATEETEh'!K91)</f>
        <v>4</v>
      </c>
      <c r="L91" s="49">
        <f>AVERAGE('26.07 BUSEGA-NATEETE'!L91,'27.07 52BUSEGA-NATEETEh'!L91)</f>
        <v>1.5</v>
      </c>
      <c r="M91" s="49">
        <f>AVERAGE('26.07 BUSEGA-NATEETE'!M91,'27.07 52BUSEGA-NATEETEh'!M91)</f>
        <v>32.5</v>
      </c>
      <c r="N91" s="49">
        <f>AVERAGE('26.07 BUSEGA-NATEETE'!N91,'27.07 52BUSEGA-NATEETEh'!N91)</f>
        <v>0</v>
      </c>
      <c r="O91" s="15">
        <f t="shared" si="35"/>
        <v>45</v>
      </c>
      <c r="P91" s="15">
        <f t="shared" si="36"/>
        <v>77.5</v>
      </c>
      <c r="R91" s="8"/>
      <c r="T91"/>
    </row>
    <row r="92" spans="2:20" ht="23.1" customHeight="1" x14ac:dyDescent="0.25">
      <c r="B92" s="25" t="s">
        <v>132</v>
      </c>
      <c r="C92" s="49">
        <f>AVERAGE('26.07 BUSEGA-NATEETE'!C92,'27.07 52BUSEGA-NATEETEh'!C92)</f>
        <v>15</v>
      </c>
      <c r="D92" s="49">
        <f>AVERAGE('26.07 BUSEGA-NATEETE'!D92,'27.07 52BUSEGA-NATEETEh'!D92)</f>
        <v>1.5</v>
      </c>
      <c r="E92" s="49">
        <f>AVERAGE('26.07 BUSEGA-NATEETE'!E92,'27.07 52BUSEGA-NATEETEh'!E92)</f>
        <v>1.5</v>
      </c>
      <c r="F92" s="49">
        <f>AVERAGE('26.07 BUSEGA-NATEETE'!F92,'27.07 52BUSEGA-NATEETEh'!F92)</f>
        <v>3.5</v>
      </c>
      <c r="G92" s="49">
        <f>AVERAGE('26.07 BUSEGA-NATEETE'!G92,'27.07 52BUSEGA-NATEETEh'!G92)</f>
        <v>0.5</v>
      </c>
      <c r="H92" s="49">
        <f>AVERAGE('26.07 BUSEGA-NATEETE'!H92,'27.07 52BUSEGA-NATEETEh'!H92)</f>
        <v>4.5</v>
      </c>
      <c r="I92" s="49">
        <f>AVERAGE('26.07 BUSEGA-NATEETE'!I92,'27.07 52BUSEGA-NATEETEh'!I92)</f>
        <v>5.5</v>
      </c>
      <c r="J92" s="49">
        <f>AVERAGE('26.07 BUSEGA-NATEETE'!J92,'27.07 52BUSEGA-NATEETEh'!J92)</f>
        <v>7</v>
      </c>
      <c r="K92" s="49">
        <f>AVERAGE('26.07 BUSEGA-NATEETE'!K92,'27.07 52BUSEGA-NATEETEh'!K92)</f>
        <v>3.5</v>
      </c>
      <c r="L92" s="49">
        <f>AVERAGE('26.07 BUSEGA-NATEETE'!L92,'27.07 52BUSEGA-NATEETEh'!L92)</f>
        <v>1.5</v>
      </c>
      <c r="M92" s="49">
        <f>AVERAGE('26.07 BUSEGA-NATEETE'!M92,'27.07 52BUSEGA-NATEETEh'!M92)</f>
        <v>28</v>
      </c>
      <c r="N92" s="49">
        <f>AVERAGE('26.07 BUSEGA-NATEETE'!N92,'27.07 52BUSEGA-NATEETEh'!N92)</f>
        <v>0</v>
      </c>
      <c r="O92" s="15">
        <f t="shared" si="35"/>
        <v>44</v>
      </c>
      <c r="P92" s="15">
        <f t="shared" si="36"/>
        <v>72</v>
      </c>
      <c r="R92" s="8"/>
      <c r="T92"/>
    </row>
    <row r="93" spans="2:20" ht="23.1" customHeight="1" x14ac:dyDescent="0.25">
      <c r="B93" s="23" t="s">
        <v>133</v>
      </c>
      <c r="C93" s="49">
        <f>AVERAGE('26.07 BUSEGA-NATEETE'!C93,'27.07 52BUSEGA-NATEETEh'!C93)</f>
        <v>7.5</v>
      </c>
      <c r="D93" s="49">
        <f>AVERAGE('26.07 BUSEGA-NATEETE'!D93,'27.07 52BUSEGA-NATEETEh'!D93)</f>
        <v>1</v>
      </c>
      <c r="E93" s="49">
        <f>AVERAGE('26.07 BUSEGA-NATEETE'!E93,'27.07 52BUSEGA-NATEETEh'!E93)</f>
        <v>2.5</v>
      </c>
      <c r="F93" s="49">
        <f>AVERAGE('26.07 BUSEGA-NATEETE'!F93,'27.07 52BUSEGA-NATEETEh'!F93)</f>
        <v>2</v>
      </c>
      <c r="G93" s="49">
        <f>AVERAGE('26.07 BUSEGA-NATEETE'!G93,'27.07 52BUSEGA-NATEETEh'!G93)</f>
        <v>0.5</v>
      </c>
      <c r="H93" s="49">
        <f>AVERAGE('26.07 BUSEGA-NATEETE'!H93,'27.07 52BUSEGA-NATEETEh'!H93)</f>
        <v>6.5</v>
      </c>
      <c r="I93" s="49">
        <f>AVERAGE('26.07 BUSEGA-NATEETE'!I93,'27.07 52BUSEGA-NATEETEh'!I93)</f>
        <v>2</v>
      </c>
      <c r="J93" s="49">
        <f>AVERAGE('26.07 BUSEGA-NATEETE'!J93,'27.07 52BUSEGA-NATEETEh'!J93)</f>
        <v>11.5</v>
      </c>
      <c r="K93" s="49">
        <f>AVERAGE('26.07 BUSEGA-NATEETE'!K93,'27.07 52BUSEGA-NATEETEh'!K93)</f>
        <v>4.5</v>
      </c>
      <c r="L93" s="49">
        <f>AVERAGE('26.07 BUSEGA-NATEETE'!L93,'27.07 52BUSEGA-NATEETEh'!L93)</f>
        <v>0.5</v>
      </c>
      <c r="M93" s="49">
        <f>AVERAGE('26.07 BUSEGA-NATEETE'!M93,'27.07 52BUSEGA-NATEETEh'!M93)</f>
        <v>53.5</v>
      </c>
      <c r="N93" s="49">
        <f>AVERAGE('26.07 BUSEGA-NATEETE'!N93,'27.07 52BUSEGA-NATEETEh'!N93)</f>
        <v>0</v>
      </c>
      <c r="O93" s="15">
        <f t="shared" si="35"/>
        <v>38.5</v>
      </c>
      <c r="P93" s="15">
        <f t="shared" si="36"/>
        <v>92</v>
      </c>
      <c r="R93" s="8"/>
      <c r="T93"/>
    </row>
    <row r="94" spans="2:20" ht="23.1" customHeight="1" x14ac:dyDescent="0.25">
      <c r="B94" s="24" t="s">
        <v>134</v>
      </c>
      <c r="C94" s="49">
        <f>AVERAGE('26.07 BUSEGA-NATEETE'!C94,'27.07 52BUSEGA-NATEETEh'!C94)</f>
        <v>12.5</v>
      </c>
      <c r="D94" s="49">
        <f>AVERAGE('26.07 BUSEGA-NATEETE'!D94,'27.07 52BUSEGA-NATEETEh'!D94)</f>
        <v>1</v>
      </c>
      <c r="E94" s="49">
        <f>AVERAGE('26.07 BUSEGA-NATEETE'!E94,'27.07 52BUSEGA-NATEETEh'!E94)</f>
        <v>2</v>
      </c>
      <c r="F94" s="49">
        <f>AVERAGE('26.07 BUSEGA-NATEETE'!F94,'27.07 52BUSEGA-NATEETEh'!F94)</f>
        <v>4</v>
      </c>
      <c r="G94" s="49">
        <f>AVERAGE('26.07 BUSEGA-NATEETE'!G94,'27.07 52BUSEGA-NATEETEh'!G94)</f>
        <v>4</v>
      </c>
      <c r="H94" s="49">
        <f>AVERAGE('26.07 BUSEGA-NATEETE'!H94,'27.07 52BUSEGA-NATEETEh'!H94)</f>
        <v>5</v>
      </c>
      <c r="I94" s="49">
        <f>AVERAGE('26.07 BUSEGA-NATEETE'!I94,'27.07 52BUSEGA-NATEETEh'!I94)</f>
        <v>5.5</v>
      </c>
      <c r="J94" s="49">
        <f>AVERAGE('26.07 BUSEGA-NATEETE'!J94,'27.07 52BUSEGA-NATEETEh'!J94)</f>
        <v>18</v>
      </c>
      <c r="K94" s="49">
        <f>AVERAGE('26.07 BUSEGA-NATEETE'!K94,'27.07 52BUSEGA-NATEETEh'!K94)</f>
        <v>12.5</v>
      </c>
      <c r="L94" s="49">
        <f>AVERAGE('26.07 BUSEGA-NATEETE'!L94,'27.07 52BUSEGA-NATEETEh'!L94)</f>
        <v>3</v>
      </c>
      <c r="M94" s="49">
        <f>AVERAGE('26.07 BUSEGA-NATEETE'!M94,'27.07 52BUSEGA-NATEETEh'!M94)</f>
        <v>63.5</v>
      </c>
      <c r="N94" s="49">
        <f>AVERAGE('26.07 BUSEGA-NATEETE'!N94,'27.07 52BUSEGA-NATEETEh'!N94)</f>
        <v>0</v>
      </c>
      <c r="O94" s="15">
        <f t="shared" si="35"/>
        <v>67.5</v>
      </c>
      <c r="P94" s="15">
        <f t="shared" si="36"/>
        <v>131</v>
      </c>
      <c r="R94" s="8"/>
      <c r="T94"/>
    </row>
    <row r="95" spans="2:20" ht="23.1" customHeight="1" x14ac:dyDescent="0.25">
      <c r="B95" s="23" t="s">
        <v>135</v>
      </c>
      <c r="C95" s="49">
        <f>AVERAGE('26.07 BUSEGA-NATEETE'!C95,'27.07 52BUSEGA-NATEETEh'!C95)</f>
        <v>10.5</v>
      </c>
      <c r="D95" s="49">
        <f>AVERAGE('26.07 BUSEGA-NATEETE'!D95,'27.07 52BUSEGA-NATEETEh'!D95)</f>
        <v>3</v>
      </c>
      <c r="E95" s="49">
        <f>AVERAGE('26.07 BUSEGA-NATEETE'!E95,'27.07 52BUSEGA-NATEETEh'!E95)</f>
        <v>2</v>
      </c>
      <c r="F95" s="49">
        <f>AVERAGE('26.07 BUSEGA-NATEETE'!F95,'27.07 52BUSEGA-NATEETEh'!F95)</f>
        <v>2.5</v>
      </c>
      <c r="G95" s="49">
        <f>AVERAGE('26.07 BUSEGA-NATEETE'!G95,'27.07 52BUSEGA-NATEETEh'!G95)</f>
        <v>2.5</v>
      </c>
      <c r="H95" s="49">
        <f>AVERAGE('26.07 BUSEGA-NATEETE'!H95,'27.07 52BUSEGA-NATEETEh'!H95)</f>
        <v>11.5</v>
      </c>
      <c r="I95" s="49">
        <f>AVERAGE('26.07 BUSEGA-NATEETE'!I95,'27.07 52BUSEGA-NATEETEh'!I95)</f>
        <v>4</v>
      </c>
      <c r="J95" s="49">
        <f>AVERAGE('26.07 BUSEGA-NATEETE'!J95,'27.07 52BUSEGA-NATEETEh'!J95)</f>
        <v>11.5</v>
      </c>
      <c r="K95" s="49">
        <f>AVERAGE('26.07 BUSEGA-NATEETE'!K95,'27.07 52BUSEGA-NATEETEh'!K95)</f>
        <v>5</v>
      </c>
      <c r="L95" s="49">
        <f>AVERAGE('26.07 BUSEGA-NATEETE'!L95,'27.07 52BUSEGA-NATEETEh'!L95)</f>
        <v>4</v>
      </c>
      <c r="M95" s="49">
        <f>AVERAGE('26.07 BUSEGA-NATEETE'!M95,'27.07 52BUSEGA-NATEETEh'!M95)</f>
        <v>51</v>
      </c>
      <c r="N95" s="49">
        <f>AVERAGE('26.07 BUSEGA-NATEETE'!N95,'27.07 52BUSEGA-NATEETEh'!N95)</f>
        <v>0</v>
      </c>
      <c r="O95" s="15">
        <f t="shared" si="35"/>
        <v>56.5</v>
      </c>
      <c r="P95" s="15">
        <f t="shared" si="36"/>
        <v>107.5</v>
      </c>
      <c r="R95" s="8"/>
      <c r="T95"/>
    </row>
    <row r="96" spans="2:20" ht="23.1" customHeight="1" x14ac:dyDescent="0.25">
      <c r="B96" s="25" t="s">
        <v>136</v>
      </c>
      <c r="C96" s="49">
        <f>AVERAGE('26.07 BUSEGA-NATEETE'!C96,'27.07 52BUSEGA-NATEETEh'!C96)</f>
        <v>8</v>
      </c>
      <c r="D96" s="49">
        <f>AVERAGE('26.07 BUSEGA-NATEETE'!D96,'27.07 52BUSEGA-NATEETEh'!D96)</f>
        <v>0</v>
      </c>
      <c r="E96" s="49">
        <f>AVERAGE('26.07 BUSEGA-NATEETE'!E96,'27.07 52BUSEGA-NATEETEh'!E96)</f>
        <v>2</v>
      </c>
      <c r="F96" s="49">
        <f>AVERAGE('26.07 BUSEGA-NATEETE'!F96,'27.07 52BUSEGA-NATEETEh'!F96)</f>
        <v>6</v>
      </c>
      <c r="G96" s="49">
        <f>AVERAGE('26.07 BUSEGA-NATEETE'!G96,'27.07 52BUSEGA-NATEETEh'!G96)</f>
        <v>1</v>
      </c>
      <c r="H96" s="49">
        <f>AVERAGE('26.07 BUSEGA-NATEETE'!H96,'27.07 52BUSEGA-NATEETEh'!H96)</f>
        <v>9.5</v>
      </c>
      <c r="I96" s="49">
        <f>AVERAGE('26.07 BUSEGA-NATEETE'!I96,'27.07 52BUSEGA-NATEETEh'!I96)</f>
        <v>7</v>
      </c>
      <c r="J96" s="49">
        <f>AVERAGE('26.07 BUSEGA-NATEETE'!J96,'27.07 52BUSEGA-NATEETEh'!J96)</f>
        <v>12</v>
      </c>
      <c r="K96" s="49">
        <f>AVERAGE('26.07 BUSEGA-NATEETE'!K96,'27.07 52BUSEGA-NATEETEh'!K96)</f>
        <v>4.5</v>
      </c>
      <c r="L96" s="49">
        <f>AVERAGE('26.07 BUSEGA-NATEETE'!L96,'27.07 52BUSEGA-NATEETEh'!L96)</f>
        <v>2.5</v>
      </c>
      <c r="M96" s="49">
        <f>AVERAGE('26.07 BUSEGA-NATEETE'!M96,'27.07 52BUSEGA-NATEETEh'!M96)</f>
        <v>49.5</v>
      </c>
      <c r="N96" s="49">
        <f>AVERAGE('26.07 BUSEGA-NATEETE'!N96,'27.07 52BUSEGA-NATEETEh'!N96)</f>
        <v>0</v>
      </c>
      <c r="O96" s="15">
        <f t="shared" si="35"/>
        <v>52.5</v>
      </c>
      <c r="P96" s="15">
        <f t="shared" si="36"/>
        <v>102</v>
      </c>
      <c r="R96" s="8"/>
      <c r="T96"/>
    </row>
    <row r="97" spans="2:20" ht="23.1" customHeight="1" x14ac:dyDescent="0.25">
      <c r="B97" s="23" t="s">
        <v>137</v>
      </c>
      <c r="C97" s="49">
        <f>AVERAGE('26.07 BUSEGA-NATEETE'!C97,'27.07 52BUSEGA-NATEETEh'!C97)</f>
        <v>7</v>
      </c>
      <c r="D97" s="49">
        <f>AVERAGE('26.07 BUSEGA-NATEETE'!D97,'27.07 52BUSEGA-NATEETEh'!D97)</f>
        <v>2</v>
      </c>
      <c r="E97" s="49">
        <f>AVERAGE('26.07 BUSEGA-NATEETE'!E97,'27.07 52BUSEGA-NATEETEh'!E97)</f>
        <v>1</v>
      </c>
      <c r="F97" s="49">
        <f>AVERAGE('26.07 BUSEGA-NATEETE'!F97,'27.07 52BUSEGA-NATEETEh'!F97)</f>
        <v>9</v>
      </c>
      <c r="G97" s="49">
        <f>AVERAGE('26.07 BUSEGA-NATEETE'!G97,'27.07 52BUSEGA-NATEETEh'!G97)</f>
        <v>2.5</v>
      </c>
      <c r="H97" s="49">
        <f>AVERAGE('26.07 BUSEGA-NATEETE'!H97,'27.07 52BUSEGA-NATEETEh'!H97)</f>
        <v>3.5</v>
      </c>
      <c r="I97" s="49">
        <f>AVERAGE('26.07 BUSEGA-NATEETE'!I97,'27.07 52BUSEGA-NATEETEh'!I97)</f>
        <v>9</v>
      </c>
      <c r="J97" s="49">
        <f>AVERAGE('26.07 BUSEGA-NATEETE'!J97,'27.07 52BUSEGA-NATEETEh'!J97)</f>
        <v>12</v>
      </c>
      <c r="K97" s="49">
        <f>AVERAGE('26.07 BUSEGA-NATEETE'!K97,'27.07 52BUSEGA-NATEETEh'!K97)</f>
        <v>5</v>
      </c>
      <c r="L97" s="49">
        <f>AVERAGE('26.07 BUSEGA-NATEETE'!L97,'27.07 52BUSEGA-NATEETEh'!L97)</f>
        <v>1.5</v>
      </c>
      <c r="M97" s="49">
        <f>AVERAGE('26.07 BUSEGA-NATEETE'!M97,'27.07 52BUSEGA-NATEETEh'!M97)</f>
        <v>60.5</v>
      </c>
      <c r="N97" s="49">
        <f>AVERAGE('26.07 BUSEGA-NATEETE'!N97,'27.07 52BUSEGA-NATEETEh'!N97)</f>
        <v>0</v>
      </c>
      <c r="O97" s="15">
        <f t="shared" si="35"/>
        <v>52.5</v>
      </c>
      <c r="P97" s="15">
        <f t="shared" si="36"/>
        <v>113</v>
      </c>
      <c r="R97" s="8"/>
      <c r="T97"/>
    </row>
    <row r="98" spans="2:20" ht="23.1" customHeight="1" x14ac:dyDescent="0.25">
      <c r="B98" s="24" t="s">
        <v>138</v>
      </c>
      <c r="C98" s="49">
        <f>AVERAGE('26.07 BUSEGA-NATEETE'!C98,'27.07 52BUSEGA-NATEETEh'!C98)</f>
        <v>7.5</v>
      </c>
      <c r="D98" s="49">
        <f>AVERAGE('26.07 BUSEGA-NATEETE'!D98,'27.07 52BUSEGA-NATEETEh'!D98)</f>
        <v>1.5</v>
      </c>
      <c r="E98" s="49">
        <f>AVERAGE('26.07 BUSEGA-NATEETE'!E98,'27.07 52BUSEGA-NATEETEh'!E98)</f>
        <v>4</v>
      </c>
      <c r="F98" s="49">
        <f>AVERAGE('26.07 BUSEGA-NATEETE'!F98,'27.07 52BUSEGA-NATEETEh'!F98)</f>
        <v>10.5</v>
      </c>
      <c r="G98" s="49">
        <f>AVERAGE('26.07 BUSEGA-NATEETE'!G98,'27.07 52BUSEGA-NATEETEh'!G98)</f>
        <v>1.5</v>
      </c>
      <c r="H98" s="49">
        <f>AVERAGE('26.07 BUSEGA-NATEETE'!H98,'27.07 52BUSEGA-NATEETEh'!H98)</f>
        <v>5</v>
      </c>
      <c r="I98" s="49">
        <f>AVERAGE('26.07 BUSEGA-NATEETE'!I98,'27.07 52BUSEGA-NATEETEh'!I98)</f>
        <v>14.5</v>
      </c>
      <c r="J98" s="49">
        <f>AVERAGE('26.07 BUSEGA-NATEETE'!J98,'27.07 52BUSEGA-NATEETEh'!J98)</f>
        <v>8.5</v>
      </c>
      <c r="K98" s="49">
        <f>AVERAGE('26.07 BUSEGA-NATEETE'!K98,'27.07 52BUSEGA-NATEETEh'!K98)</f>
        <v>5</v>
      </c>
      <c r="L98" s="49">
        <f>AVERAGE('26.07 BUSEGA-NATEETE'!L98,'27.07 52BUSEGA-NATEETEh'!L98)</f>
        <v>6</v>
      </c>
      <c r="M98" s="49">
        <f>AVERAGE('26.07 BUSEGA-NATEETE'!M98,'27.07 52BUSEGA-NATEETEh'!M98)</f>
        <v>60</v>
      </c>
      <c r="N98" s="49">
        <f>AVERAGE('26.07 BUSEGA-NATEETE'!N98,'27.07 52BUSEGA-NATEETEh'!N98)</f>
        <v>0</v>
      </c>
      <c r="O98" s="15">
        <f t="shared" si="35"/>
        <v>64</v>
      </c>
      <c r="P98" s="15">
        <f t="shared" si="36"/>
        <v>124</v>
      </c>
      <c r="R98" s="8"/>
      <c r="T98"/>
    </row>
    <row r="99" spans="2:20" ht="23.1" customHeight="1" x14ac:dyDescent="0.25">
      <c r="B99" s="23" t="s">
        <v>139</v>
      </c>
      <c r="C99" s="49">
        <f>AVERAGE('26.07 BUSEGA-NATEETE'!C99,'27.07 52BUSEGA-NATEETEh'!C99)</f>
        <v>17</v>
      </c>
      <c r="D99" s="49">
        <f>AVERAGE('26.07 BUSEGA-NATEETE'!D99,'27.07 52BUSEGA-NATEETEh'!D99)</f>
        <v>1.5</v>
      </c>
      <c r="E99" s="49">
        <f>AVERAGE('26.07 BUSEGA-NATEETE'!E99,'27.07 52BUSEGA-NATEETEh'!E99)</f>
        <v>4</v>
      </c>
      <c r="F99" s="49">
        <f>AVERAGE('26.07 BUSEGA-NATEETE'!F99,'27.07 52BUSEGA-NATEETEh'!F99)</f>
        <v>25</v>
      </c>
      <c r="G99" s="49">
        <f>AVERAGE('26.07 BUSEGA-NATEETE'!G99,'27.07 52BUSEGA-NATEETEh'!G99)</f>
        <v>0.5</v>
      </c>
      <c r="H99" s="49">
        <f>AVERAGE('26.07 BUSEGA-NATEETE'!H99,'27.07 52BUSEGA-NATEETEh'!H99)</f>
        <v>1</v>
      </c>
      <c r="I99" s="49">
        <f>AVERAGE('26.07 BUSEGA-NATEETE'!I99,'27.07 52BUSEGA-NATEETEh'!I99)</f>
        <v>4</v>
      </c>
      <c r="J99" s="49">
        <f>AVERAGE('26.07 BUSEGA-NATEETE'!J99,'27.07 52BUSEGA-NATEETEh'!J99)</f>
        <v>6.5</v>
      </c>
      <c r="K99" s="49">
        <f>AVERAGE('26.07 BUSEGA-NATEETE'!K99,'27.07 52BUSEGA-NATEETEh'!K99)</f>
        <v>2</v>
      </c>
      <c r="L99" s="49">
        <f>AVERAGE('26.07 BUSEGA-NATEETE'!L99,'27.07 52BUSEGA-NATEETEh'!L99)</f>
        <v>1.5</v>
      </c>
      <c r="M99" s="49">
        <f>AVERAGE('26.07 BUSEGA-NATEETE'!M99,'27.07 52BUSEGA-NATEETEh'!M99)</f>
        <v>48.5</v>
      </c>
      <c r="N99" s="49">
        <f>AVERAGE('26.07 BUSEGA-NATEETE'!N99,'27.07 52BUSEGA-NATEETEh'!N99)</f>
        <v>0</v>
      </c>
      <c r="O99" s="15">
        <f t="shared" si="35"/>
        <v>63</v>
      </c>
      <c r="P99" s="15">
        <f t="shared" si="36"/>
        <v>111.5</v>
      </c>
      <c r="R99" s="8"/>
      <c r="T99"/>
    </row>
    <row r="100" spans="2:20" ht="23.1" customHeight="1" x14ac:dyDescent="0.25">
      <c r="B100" s="25" t="s">
        <v>140</v>
      </c>
      <c r="C100" s="49">
        <f>AVERAGE('26.07 BUSEGA-NATEETE'!C100,'27.07 52BUSEGA-NATEETEh'!C100)</f>
        <v>13.5</v>
      </c>
      <c r="D100" s="49">
        <f>AVERAGE('26.07 BUSEGA-NATEETE'!D100,'27.07 52BUSEGA-NATEETEh'!D100)</f>
        <v>1.5</v>
      </c>
      <c r="E100" s="49">
        <f>AVERAGE('26.07 BUSEGA-NATEETE'!E100,'27.07 52BUSEGA-NATEETEh'!E100)</f>
        <v>6</v>
      </c>
      <c r="F100" s="49">
        <f>AVERAGE('26.07 BUSEGA-NATEETE'!F100,'27.07 52BUSEGA-NATEETEh'!F100)</f>
        <v>31.5</v>
      </c>
      <c r="G100" s="49">
        <f>AVERAGE('26.07 BUSEGA-NATEETE'!G100,'27.07 52BUSEGA-NATEETEh'!G100)</f>
        <v>1</v>
      </c>
      <c r="H100" s="49">
        <f>AVERAGE('26.07 BUSEGA-NATEETE'!H100,'27.07 52BUSEGA-NATEETEh'!H100)</f>
        <v>3</v>
      </c>
      <c r="I100" s="49">
        <f>AVERAGE('26.07 BUSEGA-NATEETE'!I100,'27.07 52BUSEGA-NATEETEh'!I100)</f>
        <v>8</v>
      </c>
      <c r="J100" s="49">
        <f>AVERAGE('26.07 BUSEGA-NATEETE'!J100,'27.07 52BUSEGA-NATEETEh'!J100)</f>
        <v>5.5</v>
      </c>
      <c r="K100" s="49">
        <f>AVERAGE('26.07 BUSEGA-NATEETE'!K100,'27.07 52BUSEGA-NATEETEh'!K100)</f>
        <v>1</v>
      </c>
      <c r="L100" s="49">
        <f>AVERAGE('26.07 BUSEGA-NATEETE'!L100,'27.07 52BUSEGA-NATEETEh'!L100)</f>
        <v>2</v>
      </c>
      <c r="M100" s="49">
        <f>AVERAGE('26.07 BUSEGA-NATEETE'!M100,'27.07 52BUSEGA-NATEETEh'!M100)</f>
        <v>61.5</v>
      </c>
      <c r="N100" s="49">
        <f>AVERAGE('26.07 BUSEGA-NATEETE'!N100,'27.07 52BUSEGA-NATEETEh'!N100)</f>
        <v>0</v>
      </c>
      <c r="O100" s="15">
        <f t="shared" si="35"/>
        <v>73</v>
      </c>
      <c r="P100" s="15">
        <f t="shared" si="36"/>
        <v>134.5</v>
      </c>
      <c r="R100" s="8"/>
      <c r="T100"/>
    </row>
    <row r="101" spans="2:20" ht="23.1" customHeight="1" x14ac:dyDescent="0.25">
      <c r="B101" s="23" t="s">
        <v>141</v>
      </c>
      <c r="C101" s="49">
        <f>AVERAGE('26.07 BUSEGA-NATEETE'!C101,'27.07 52BUSEGA-NATEETEh'!C101)</f>
        <v>18</v>
      </c>
      <c r="D101" s="49">
        <f>AVERAGE('26.07 BUSEGA-NATEETE'!D101,'27.07 52BUSEGA-NATEETEh'!D101)</f>
        <v>1.5</v>
      </c>
      <c r="E101" s="49">
        <f>AVERAGE('26.07 BUSEGA-NATEETE'!E101,'27.07 52BUSEGA-NATEETEh'!E101)</f>
        <v>6.5</v>
      </c>
      <c r="F101" s="49">
        <f>AVERAGE('26.07 BUSEGA-NATEETE'!F101,'27.07 52BUSEGA-NATEETEh'!F101)</f>
        <v>40</v>
      </c>
      <c r="G101" s="49">
        <f>AVERAGE('26.07 BUSEGA-NATEETE'!G101,'27.07 52BUSEGA-NATEETEh'!G101)</f>
        <v>2</v>
      </c>
      <c r="H101" s="49">
        <f>AVERAGE('26.07 BUSEGA-NATEETE'!H101,'27.07 52BUSEGA-NATEETEh'!H101)</f>
        <v>2.5</v>
      </c>
      <c r="I101" s="49">
        <f>AVERAGE('26.07 BUSEGA-NATEETE'!I101,'27.07 52BUSEGA-NATEETEh'!I101)</f>
        <v>5.5</v>
      </c>
      <c r="J101" s="49">
        <f>AVERAGE('26.07 BUSEGA-NATEETE'!J101,'27.07 52BUSEGA-NATEETEh'!J101)</f>
        <v>5</v>
      </c>
      <c r="K101" s="49">
        <f>AVERAGE('26.07 BUSEGA-NATEETE'!K101,'27.07 52BUSEGA-NATEETEh'!K101)</f>
        <v>3.5</v>
      </c>
      <c r="L101" s="49">
        <f>AVERAGE('26.07 BUSEGA-NATEETE'!L101,'27.07 52BUSEGA-NATEETEh'!L101)</f>
        <v>2</v>
      </c>
      <c r="M101" s="49">
        <f>AVERAGE('26.07 BUSEGA-NATEETE'!M101,'27.07 52BUSEGA-NATEETEh'!M101)</f>
        <v>83.5</v>
      </c>
      <c r="N101" s="49">
        <f>AVERAGE('26.07 BUSEGA-NATEETE'!N101,'27.07 52BUSEGA-NATEETEh'!N101)</f>
        <v>0</v>
      </c>
      <c r="O101" s="15">
        <f t="shared" si="35"/>
        <v>86.5</v>
      </c>
      <c r="P101" s="15">
        <f t="shared" si="36"/>
        <v>170</v>
      </c>
      <c r="R101" s="8"/>
      <c r="T101"/>
    </row>
    <row r="102" spans="2:20" ht="23.1" customHeight="1" x14ac:dyDescent="0.25">
      <c r="B102" s="24" t="s">
        <v>142</v>
      </c>
      <c r="C102" s="49">
        <f>AVERAGE('26.07 BUSEGA-NATEETE'!C102,'27.07 52BUSEGA-NATEETEh'!C102)</f>
        <v>28</v>
      </c>
      <c r="D102" s="49">
        <f>AVERAGE('26.07 BUSEGA-NATEETE'!D102,'27.07 52BUSEGA-NATEETEh'!D102)</f>
        <v>3.5</v>
      </c>
      <c r="E102" s="49">
        <f>AVERAGE('26.07 BUSEGA-NATEETE'!E102,'27.07 52BUSEGA-NATEETEh'!E102)</f>
        <v>4.5</v>
      </c>
      <c r="F102" s="49">
        <f>AVERAGE('26.07 BUSEGA-NATEETE'!F102,'27.07 52BUSEGA-NATEETEh'!F102)</f>
        <v>53</v>
      </c>
      <c r="G102" s="49">
        <f>AVERAGE('26.07 BUSEGA-NATEETE'!G102,'27.07 52BUSEGA-NATEETEh'!G102)</f>
        <v>1</v>
      </c>
      <c r="H102" s="49">
        <f>AVERAGE('26.07 BUSEGA-NATEETE'!H102,'27.07 52BUSEGA-NATEETEh'!H102)</f>
        <v>1.5</v>
      </c>
      <c r="I102" s="49">
        <f>AVERAGE('26.07 BUSEGA-NATEETE'!I102,'27.07 52BUSEGA-NATEETEh'!I102)</f>
        <v>2.5</v>
      </c>
      <c r="J102" s="49">
        <f>AVERAGE('26.07 BUSEGA-NATEETE'!J102,'27.07 52BUSEGA-NATEETEh'!J102)</f>
        <v>8</v>
      </c>
      <c r="K102" s="49">
        <f>AVERAGE('26.07 BUSEGA-NATEETE'!K102,'27.07 52BUSEGA-NATEETEh'!K102)</f>
        <v>1.5</v>
      </c>
      <c r="L102" s="49">
        <f>AVERAGE('26.07 BUSEGA-NATEETE'!L102,'27.07 52BUSEGA-NATEETEh'!L102)</f>
        <v>2</v>
      </c>
      <c r="M102" s="49">
        <f>AVERAGE('26.07 BUSEGA-NATEETE'!M102,'27.07 52BUSEGA-NATEETEh'!M102)</f>
        <v>102</v>
      </c>
      <c r="N102" s="49">
        <f>AVERAGE('26.07 BUSEGA-NATEETE'!N102,'27.07 52BUSEGA-NATEETEh'!N102)</f>
        <v>0</v>
      </c>
      <c r="O102" s="15">
        <f t="shared" si="35"/>
        <v>105.5</v>
      </c>
      <c r="P102" s="15">
        <f t="shared" si="36"/>
        <v>207.5</v>
      </c>
      <c r="R102" s="8"/>
      <c r="T102"/>
    </row>
    <row r="103" spans="2:20" ht="23.1" customHeight="1" x14ac:dyDescent="0.25">
      <c r="B103" s="23" t="s">
        <v>143</v>
      </c>
      <c r="C103" s="49">
        <f>AVERAGE('26.07 BUSEGA-NATEETE'!C103,'27.07 52BUSEGA-NATEETEh'!C103)</f>
        <v>41</v>
      </c>
      <c r="D103" s="49">
        <f>AVERAGE('26.07 BUSEGA-NATEETE'!D103,'27.07 52BUSEGA-NATEETEh'!D103)</f>
        <v>1.5</v>
      </c>
      <c r="E103" s="49">
        <f>AVERAGE('26.07 BUSEGA-NATEETE'!E103,'27.07 52BUSEGA-NATEETEh'!E103)</f>
        <v>10.5</v>
      </c>
      <c r="F103" s="49">
        <f>AVERAGE('26.07 BUSEGA-NATEETE'!F103,'27.07 52BUSEGA-NATEETEh'!F103)</f>
        <v>50</v>
      </c>
      <c r="G103" s="49">
        <f>AVERAGE('26.07 BUSEGA-NATEETE'!G103,'27.07 52BUSEGA-NATEETEh'!G103)</f>
        <v>0</v>
      </c>
      <c r="H103" s="49">
        <f>AVERAGE('26.07 BUSEGA-NATEETE'!H103,'27.07 52BUSEGA-NATEETEh'!H103)</f>
        <v>0.5</v>
      </c>
      <c r="I103" s="49">
        <f>AVERAGE('26.07 BUSEGA-NATEETE'!I103,'27.07 52BUSEGA-NATEETEh'!I103)</f>
        <v>7</v>
      </c>
      <c r="J103" s="49">
        <f>AVERAGE('26.07 BUSEGA-NATEETE'!J103,'27.07 52BUSEGA-NATEETEh'!J103)</f>
        <v>13.5</v>
      </c>
      <c r="K103" s="49">
        <f>AVERAGE('26.07 BUSEGA-NATEETE'!K103,'27.07 52BUSEGA-NATEETEh'!K103)</f>
        <v>1</v>
      </c>
      <c r="L103" s="49">
        <f>AVERAGE('26.07 BUSEGA-NATEETE'!L103,'27.07 52BUSEGA-NATEETEh'!L103)</f>
        <v>1</v>
      </c>
      <c r="M103" s="49">
        <f>AVERAGE('26.07 BUSEGA-NATEETE'!M103,'27.07 52BUSEGA-NATEETEh'!M103)</f>
        <v>92.5</v>
      </c>
      <c r="N103" s="49">
        <f>AVERAGE('26.07 BUSEGA-NATEETE'!N103,'27.07 52BUSEGA-NATEETEh'!N103)</f>
        <v>0</v>
      </c>
      <c r="O103" s="15">
        <f t="shared" si="35"/>
        <v>126</v>
      </c>
      <c r="P103" s="15">
        <f t="shared" si="36"/>
        <v>218.5</v>
      </c>
      <c r="R103" s="8"/>
      <c r="T103"/>
    </row>
    <row r="104" spans="2:20" ht="23.1" customHeight="1" x14ac:dyDescent="0.25">
      <c r="B104" s="25" t="s">
        <v>144</v>
      </c>
      <c r="C104" s="49">
        <f>AVERAGE('26.07 BUSEGA-NATEETE'!C104,'27.07 52BUSEGA-NATEETEh'!C104)</f>
        <v>43.5</v>
      </c>
      <c r="D104" s="49">
        <f>AVERAGE('26.07 BUSEGA-NATEETE'!D104,'27.07 52BUSEGA-NATEETEh'!D104)</f>
        <v>2</v>
      </c>
      <c r="E104" s="49">
        <f>AVERAGE('26.07 BUSEGA-NATEETE'!E104,'27.07 52BUSEGA-NATEETEh'!E104)</f>
        <v>11.5</v>
      </c>
      <c r="F104" s="49">
        <f>AVERAGE('26.07 BUSEGA-NATEETE'!F104,'27.07 52BUSEGA-NATEETEh'!F104)</f>
        <v>51</v>
      </c>
      <c r="G104" s="49">
        <f>AVERAGE('26.07 BUSEGA-NATEETE'!G104,'27.07 52BUSEGA-NATEETEh'!G104)</f>
        <v>1.5</v>
      </c>
      <c r="H104" s="49">
        <f>AVERAGE('26.07 BUSEGA-NATEETE'!H104,'27.07 52BUSEGA-NATEETEh'!H104)</f>
        <v>1</v>
      </c>
      <c r="I104" s="49">
        <f>AVERAGE('26.07 BUSEGA-NATEETE'!I104,'27.07 52BUSEGA-NATEETEh'!I104)</f>
        <v>12.5</v>
      </c>
      <c r="J104" s="49">
        <f>AVERAGE('26.07 BUSEGA-NATEETE'!J104,'27.07 52BUSEGA-NATEETEh'!J104)</f>
        <v>8.5</v>
      </c>
      <c r="K104" s="49">
        <f>AVERAGE('26.07 BUSEGA-NATEETE'!K104,'27.07 52BUSEGA-NATEETEh'!K104)</f>
        <v>3</v>
      </c>
      <c r="L104" s="49">
        <f>AVERAGE('26.07 BUSEGA-NATEETE'!L104,'27.07 52BUSEGA-NATEETEh'!L104)</f>
        <v>1</v>
      </c>
      <c r="M104" s="49">
        <f>AVERAGE('26.07 BUSEGA-NATEETE'!M104,'27.07 52BUSEGA-NATEETEh'!M104)</f>
        <v>111</v>
      </c>
      <c r="N104" s="49">
        <f>AVERAGE('26.07 BUSEGA-NATEETE'!N104,'27.07 52BUSEGA-NATEETEh'!N104)</f>
        <v>0</v>
      </c>
      <c r="O104" s="15">
        <f t="shared" si="35"/>
        <v>135.5</v>
      </c>
      <c r="P104" s="15">
        <f t="shared" si="36"/>
        <v>246.5</v>
      </c>
      <c r="R104" s="8"/>
      <c r="T104"/>
    </row>
    <row r="105" spans="2:20" ht="23.1" customHeight="1" x14ac:dyDescent="0.25">
      <c r="B105" s="23" t="s">
        <v>145</v>
      </c>
      <c r="C105" s="49">
        <f>AVERAGE('26.07 BUSEGA-NATEETE'!C105,'27.07 52BUSEGA-NATEETEh'!C105)</f>
        <v>51.5</v>
      </c>
      <c r="D105" s="49">
        <f>AVERAGE('26.07 BUSEGA-NATEETE'!D105,'27.07 52BUSEGA-NATEETEh'!D105)</f>
        <v>7.5</v>
      </c>
      <c r="E105" s="49">
        <f>AVERAGE('26.07 BUSEGA-NATEETE'!E105,'27.07 52BUSEGA-NATEETEh'!E105)</f>
        <v>8</v>
      </c>
      <c r="F105" s="49">
        <f>AVERAGE('26.07 BUSEGA-NATEETE'!F105,'27.07 52BUSEGA-NATEETEh'!F105)</f>
        <v>56</v>
      </c>
      <c r="G105" s="49">
        <f>AVERAGE('26.07 BUSEGA-NATEETE'!G105,'27.07 52BUSEGA-NATEETEh'!G105)</f>
        <v>0.5</v>
      </c>
      <c r="H105" s="49">
        <f>AVERAGE('26.07 BUSEGA-NATEETE'!H105,'27.07 52BUSEGA-NATEETEh'!H105)</f>
        <v>1</v>
      </c>
      <c r="I105" s="49">
        <f>AVERAGE('26.07 BUSEGA-NATEETE'!I105,'27.07 52BUSEGA-NATEETEh'!I105)</f>
        <v>6</v>
      </c>
      <c r="J105" s="49">
        <f>AVERAGE('26.07 BUSEGA-NATEETE'!J105,'27.07 52BUSEGA-NATEETEh'!J105)</f>
        <v>4</v>
      </c>
      <c r="K105" s="49">
        <f>AVERAGE('26.07 BUSEGA-NATEETE'!K105,'27.07 52BUSEGA-NATEETEh'!K105)</f>
        <v>1</v>
      </c>
      <c r="L105" s="49">
        <f>AVERAGE('26.07 BUSEGA-NATEETE'!L105,'27.07 52BUSEGA-NATEETEh'!L105)</f>
        <v>1</v>
      </c>
      <c r="M105" s="49">
        <f>AVERAGE('26.07 BUSEGA-NATEETE'!M105,'27.07 52BUSEGA-NATEETEh'!M105)</f>
        <v>140</v>
      </c>
      <c r="N105" s="49">
        <f>AVERAGE('26.07 BUSEGA-NATEETE'!N105,'27.07 52BUSEGA-NATEETEh'!N105)</f>
        <v>0</v>
      </c>
      <c r="O105" s="15">
        <f t="shared" si="35"/>
        <v>136.5</v>
      </c>
      <c r="P105" s="15">
        <f t="shared" si="36"/>
        <v>276.5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4658</v>
      </c>
      <c r="D106" s="16">
        <f t="shared" ref="D106:P106" si="37">SUM(D10:D105)</f>
        <v>620</v>
      </c>
      <c r="E106" s="16">
        <f t="shared" si="37"/>
        <v>679.57142857142856</v>
      </c>
      <c r="F106" s="16">
        <f t="shared" si="37"/>
        <v>4205.5714285714294</v>
      </c>
      <c r="G106" s="16">
        <f t="shared" si="37"/>
        <v>141.78571428571428</v>
      </c>
      <c r="H106" s="16">
        <f t="shared" si="37"/>
        <v>193.71428571428569</v>
      </c>
      <c r="I106" s="16">
        <f t="shared" si="37"/>
        <v>771.35714285714266</v>
      </c>
      <c r="J106" s="16">
        <f t="shared" si="37"/>
        <v>608.28571428571422</v>
      </c>
      <c r="K106" s="16">
        <f t="shared" si="37"/>
        <v>250.85714285714283</v>
      </c>
      <c r="L106" s="16">
        <f t="shared" si="37"/>
        <v>250.78571428571431</v>
      </c>
      <c r="M106" s="16">
        <f t="shared" si="37"/>
        <v>14403.642857142859</v>
      </c>
      <c r="N106" s="16">
        <f t="shared" si="37"/>
        <v>0.14285714285714285</v>
      </c>
      <c r="O106" s="16">
        <f t="shared" si="37"/>
        <v>12380.071428571431</v>
      </c>
      <c r="P106" s="16">
        <f t="shared" si="37"/>
        <v>26783.714285714283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0.17391165207002124</v>
      </c>
      <c r="D107" s="43">
        <f t="shared" si="38"/>
        <v>2.3148395080165987E-2</v>
      </c>
      <c r="E107" s="43">
        <f t="shared" si="38"/>
        <v>2.5372561151232629E-2</v>
      </c>
      <c r="F107" s="43">
        <f t="shared" si="38"/>
        <v>0.15701972413940246</v>
      </c>
      <c r="G107" s="43">
        <f t="shared" si="38"/>
        <v>5.2937285984020147E-3</v>
      </c>
      <c r="H107" s="43">
        <f t="shared" si="38"/>
        <v>7.232540029655548E-3</v>
      </c>
      <c r="I107" s="43">
        <f t="shared" si="38"/>
        <v>2.8799483694782541E-2</v>
      </c>
      <c r="J107" s="43">
        <f t="shared" si="38"/>
        <v>2.2711029090172065E-2</v>
      </c>
      <c r="K107" s="43">
        <f t="shared" si="38"/>
        <v>9.366032663772228E-3</v>
      </c>
      <c r="L107" s="43">
        <f t="shared" si="38"/>
        <v>9.3633657979795837E-3</v>
      </c>
      <c r="M107" s="43">
        <f t="shared" si="38"/>
        <v>0.53777615395282863</v>
      </c>
      <c r="N107" s="43">
        <f t="shared" si="38"/>
        <v>5.333731585291702E-6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0.37624984854691573</v>
      </c>
      <c r="D108" s="44">
        <f t="shared" ref="D108:N108" si="39">D106/$O$106</f>
        <v>5.0080486496154521E-2</v>
      </c>
      <c r="E108" s="44">
        <f t="shared" si="39"/>
        <v>5.4892367341522363E-2</v>
      </c>
      <c r="F108" s="44">
        <f t="shared" si="39"/>
        <v>0.33970494054384637</v>
      </c>
      <c r="G108" s="44">
        <f t="shared" si="39"/>
        <v>1.1452737983279577E-2</v>
      </c>
      <c r="H108" s="44">
        <f t="shared" si="39"/>
        <v>1.5647267209397586E-2</v>
      </c>
      <c r="I108" s="44">
        <f t="shared" si="39"/>
        <v>6.2306356413821727E-2</v>
      </c>
      <c r="J108" s="44">
        <f t="shared" si="39"/>
        <v>4.9134265322724871E-2</v>
      </c>
      <c r="K108" s="44">
        <f t="shared" si="39"/>
        <v>2.0262980250517818E-2</v>
      </c>
      <c r="L108" s="44">
        <f t="shared" si="39"/>
        <v>2.0257210609216422E-2</v>
      </c>
      <c r="M108" s="44"/>
      <c r="N108" s="44">
        <f t="shared" si="39"/>
        <v>1.1539282602800581E-5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-0.249977111117893"/>
  </sheetPr>
  <dimension ref="B1:AF174"/>
  <sheetViews>
    <sheetView tabSelected="1" view="pageBreakPreview" topLeftCell="A97" zoomScale="60" workbookViewId="0">
      <selection activeCell="F110" sqref="F1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4" t="str">
        <f>'28.07 NATEETE-BUSEGA'!C3:G3</f>
        <v>MCC - C1 - STN10 - MASAKA ROAD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5" t="s">
        <v>169</v>
      </c>
      <c r="E5" s="66"/>
      <c r="F5" s="41" t="s">
        <v>1</v>
      </c>
      <c r="G5" s="62" t="str">
        <f>'Avg Week NATEETE-BUSEGA'!G5:H5</f>
        <v>GOD'S MERCY SUPERMARKET</v>
      </c>
      <c r="H5" s="63"/>
      <c r="I5" s="14"/>
      <c r="J5" s="2" t="s">
        <v>5</v>
      </c>
      <c r="K5" s="62" t="str">
        <f>'Avg Week NATEETE-BUSEGA'!K5:L5</f>
        <v>BONIFACE/IVAN</v>
      </c>
      <c r="L5" s="63"/>
      <c r="M5" s="10"/>
      <c r="N5" s="10"/>
      <c r="O5" s="3"/>
      <c r="P5" s="3"/>
    </row>
    <row r="6" spans="2:32" ht="23.25" customHeight="1" x14ac:dyDescent="0.25">
      <c r="C6" s="2" t="s">
        <v>4</v>
      </c>
      <c r="D6" s="67" t="s">
        <v>161</v>
      </c>
      <c r="E6" s="68"/>
      <c r="F6" s="2" t="s">
        <v>2</v>
      </c>
      <c r="G6" s="67" t="s">
        <v>161</v>
      </c>
      <c r="H6" s="68"/>
      <c r="J6" s="2" t="s">
        <v>21</v>
      </c>
      <c r="K6" s="62" t="str">
        <f>'Avg Week NATEETE-BUSEGA'!K6:L6</f>
        <v>BEATRACE</v>
      </c>
      <c r="L6" s="6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BUSEGA-NATEETE'!C10+'Avg Week NATEETE-BUSEGA'!C10</f>
        <v>118.42857142857142</v>
      </c>
      <c r="D10" s="49">
        <f>'Avg Week BUSEGA-NATEETE'!D10+'Avg Week NATEETE-BUSEGA'!D10</f>
        <v>13.285714285714285</v>
      </c>
      <c r="E10" s="49">
        <f>'Avg Week BUSEGA-NATEETE'!E10+'Avg Week NATEETE-BUSEGA'!E10</f>
        <v>8.2857142857142865</v>
      </c>
      <c r="F10" s="49">
        <f>'Avg Week BUSEGA-NATEETE'!F10+'Avg Week NATEETE-BUSEGA'!F10</f>
        <v>108.71428571428571</v>
      </c>
      <c r="G10" s="49">
        <f>'Avg Week BUSEGA-NATEETE'!G10+'Avg Week NATEETE-BUSEGA'!G10</f>
        <v>4.2857142857142856</v>
      </c>
      <c r="H10" s="49">
        <f>'Avg Week BUSEGA-NATEETE'!H10+'Avg Week NATEETE-BUSEGA'!H10</f>
        <v>2.7142857142857144</v>
      </c>
      <c r="I10" s="49">
        <f>'Avg Week BUSEGA-NATEETE'!I10+'Avg Week NATEETE-BUSEGA'!I10</f>
        <v>14.285714285714285</v>
      </c>
      <c r="J10" s="49">
        <f>'Avg Week BUSEGA-NATEETE'!J10+'Avg Week NATEETE-BUSEGA'!J10</f>
        <v>7.1428571428571423</v>
      </c>
      <c r="K10" s="49">
        <f>'Avg Week BUSEGA-NATEETE'!K10+'Avg Week NATEETE-BUSEGA'!K10</f>
        <v>1.4285714285714286</v>
      </c>
      <c r="L10" s="49">
        <f>'Avg Week BUSEGA-NATEETE'!L10+'Avg Week NATEETE-BUSEGA'!L10</f>
        <v>3.1428571428571428</v>
      </c>
      <c r="M10" s="49">
        <f>'Avg Week BUSEGA-NATEETE'!M10+'Avg Week NATEETE-BUSEGA'!M10</f>
        <v>356.28571428571428</v>
      </c>
      <c r="N10" s="49">
        <f>'Avg Week BUSEGA-NATEETE'!N10+'Avg Week NATEETE-BUSEGA'!N10</f>
        <v>0</v>
      </c>
      <c r="O10" s="15">
        <f t="shared" ref="O10:O73" si="0">SUM(C10:L10,N10)</f>
        <v>281.71428571428572</v>
      </c>
      <c r="P10" s="15">
        <f t="shared" ref="P10:P56" si="1">SUM(C10:N10)</f>
        <v>638</v>
      </c>
      <c r="R10" s="1" t="s">
        <v>6</v>
      </c>
      <c r="S10" s="17">
        <f t="shared" ref="S10:AF10" si="2">SUM(C10:C13)</f>
        <v>487.85714285714283</v>
      </c>
      <c r="T10" s="17">
        <f t="shared" si="2"/>
        <v>56.428571428571431</v>
      </c>
      <c r="U10" s="17">
        <f t="shared" si="2"/>
        <v>47.285714285714292</v>
      </c>
      <c r="V10" s="17">
        <f t="shared" si="2"/>
        <v>453.42857142857144</v>
      </c>
      <c r="W10" s="17">
        <f t="shared" si="2"/>
        <v>23.142857142857146</v>
      </c>
      <c r="X10" s="17">
        <f t="shared" si="2"/>
        <v>10.428571428571429</v>
      </c>
      <c r="Y10" s="17">
        <f t="shared" si="2"/>
        <v>53.857142857142854</v>
      </c>
      <c r="Z10" s="17">
        <f t="shared" si="2"/>
        <v>34.142857142857139</v>
      </c>
      <c r="AA10" s="17">
        <f t="shared" si="2"/>
        <v>9.2857142857142865</v>
      </c>
      <c r="AB10" s="17">
        <f t="shared" si="2"/>
        <v>12.285714285714286</v>
      </c>
      <c r="AC10" s="17">
        <f t="shared" si="2"/>
        <v>1538.8571428571429</v>
      </c>
      <c r="AD10" s="17">
        <f t="shared" si="2"/>
        <v>0</v>
      </c>
      <c r="AE10" s="31">
        <f t="shared" si="2"/>
        <v>1188.1428571428571</v>
      </c>
      <c r="AF10" s="31">
        <f t="shared" si="2"/>
        <v>2727</v>
      </c>
    </row>
    <row r="11" spans="2:32" s="6" customFormat="1" ht="23.1" customHeight="1" x14ac:dyDescent="0.25">
      <c r="B11" s="23" t="s">
        <v>38</v>
      </c>
      <c r="C11" s="49">
        <f>'Avg Week BUSEGA-NATEETE'!C11+'Avg Week NATEETE-BUSEGA'!C11</f>
        <v>124.28571428571428</v>
      </c>
      <c r="D11" s="49">
        <f>'Avg Week BUSEGA-NATEETE'!D11+'Avg Week NATEETE-BUSEGA'!D11</f>
        <v>9.7142857142857153</v>
      </c>
      <c r="E11" s="49">
        <f>'Avg Week BUSEGA-NATEETE'!E11+'Avg Week NATEETE-BUSEGA'!E11</f>
        <v>13.142857142857142</v>
      </c>
      <c r="F11" s="49">
        <f>'Avg Week BUSEGA-NATEETE'!F11+'Avg Week NATEETE-BUSEGA'!F11</f>
        <v>108.57142857142858</v>
      </c>
      <c r="G11" s="49">
        <f>'Avg Week BUSEGA-NATEETE'!G11+'Avg Week NATEETE-BUSEGA'!G11</f>
        <v>4.7142857142857144</v>
      </c>
      <c r="H11" s="49">
        <f>'Avg Week BUSEGA-NATEETE'!H11+'Avg Week NATEETE-BUSEGA'!H11</f>
        <v>3.1428571428571432</v>
      </c>
      <c r="I11" s="49">
        <f>'Avg Week BUSEGA-NATEETE'!I11+'Avg Week NATEETE-BUSEGA'!I11</f>
        <v>13.857142857142858</v>
      </c>
      <c r="J11" s="49">
        <f>'Avg Week BUSEGA-NATEETE'!J11+'Avg Week NATEETE-BUSEGA'!J11</f>
        <v>7.7142857142857135</v>
      </c>
      <c r="K11" s="49">
        <f>'Avg Week BUSEGA-NATEETE'!K11+'Avg Week NATEETE-BUSEGA'!K11</f>
        <v>3</v>
      </c>
      <c r="L11" s="49">
        <f>'Avg Week BUSEGA-NATEETE'!L11+'Avg Week NATEETE-BUSEGA'!L11</f>
        <v>2.1428571428571428</v>
      </c>
      <c r="M11" s="49">
        <f>'Avg Week BUSEGA-NATEETE'!M11+'Avg Week NATEETE-BUSEGA'!M11</f>
        <v>372.57142857142856</v>
      </c>
      <c r="N11" s="49">
        <f>'Avg Week BUSEGA-NATEETE'!N11+'Avg Week NATEETE-BUSEGA'!N11</f>
        <v>0</v>
      </c>
      <c r="O11" s="15">
        <f t="shared" si="0"/>
        <v>290.28571428571433</v>
      </c>
      <c r="P11" s="15">
        <f t="shared" si="1"/>
        <v>662.85714285714289</v>
      </c>
      <c r="R11" s="1" t="s">
        <v>7</v>
      </c>
      <c r="S11" s="17">
        <f t="shared" ref="S11:AF11" si="3">SUM(C14:C17)</f>
        <v>464.57142857142856</v>
      </c>
      <c r="T11" s="17">
        <f t="shared" si="3"/>
        <v>71.714285714285708</v>
      </c>
      <c r="U11" s="17">
        <f t="shared" si="3"/>
        <v>56.999999999999993</v>
      </c>
      <c r="V11" s="17">
        <f t="shared" si="3"/>
        <v>471.85714285714283</v>
      </c>
      <c r="W11" s="17">
        <f t="shared" si="3"/>
        <v>12.857142857142858</v>
      </c>
      <c r="X11" s="17">
        <f t="shared" si="3"/>
        <v>10.714285714285715</v>
      </c>
      <c r="Y11" s="17">
        <f t="shared" si="3"/>
        <v>61.142857142857139</v>
      </c>
      <c r="Z11" s="17">
        <f t="shared" si="3"/>
        <v>38.428571428571431</v>
      </c>
      <c r="AA11" s="17">
        <f t="shared" si="3"/>
        <v>13.428571428571427</v>
      </c>
      <c r="AB11" s="17">
        <f t="shared" si="3"/>
        <v>11.857142857142858</v>
      </c>
      <c r="AC11" s="17">
        <f t="shared" si="3"/>
        <v>1955.7142857142856</v>
      </c>
      <c r="AD11" s="17">
        <f t="shared" si="3"/>
        <v>0.14285714285714285</v>
      </c>
      <c r="AE11" s="31">
        <f t="shared" si="3"/>
        <v>1213.7142857142856</v>
      </c>
      <c r="AF11" s="31">
        <f t="shared" si="3"/>
        <v>3169.4285714285716</v>
      </c>
    </row>
    <row r="12" spans="2:32" ht="23.1" customHeight="1" x14ac:dyDescent="0.25">
      <c r="B12" s="23" t="s">
        <v>39</v>
      </c>
      <c r="C12" s="49">
        <f>'Avg Week BUSEGA-NATEETE'!C12+'Avg Week NATEETE-BUSEGA'!C12</f>
        <v>118.57142857142857</v>
      </c>
      <c r="D12" s="49">
        <f>'Avg Week BUSEGA-NATEETE'!D12+'Avg Week NATEETE-BUSEGA'!D12</f>
        <v>15.428571428571429</v>
      </c>
      <c r="E12" s="49">
        <f>'Avg Week BUSEGA-NATEETE'!E12+'Avg Week NATEETE-BUSEGA'!E12</f>
        <v>11.714285714285714</v>
      </c>
      <c r="F12" s="49">
        <f>'Avg Week BUSEGA-NATEETE'!F12+'Avg Week NATEETE-BUSEGA'!F12</f>
        <v>128.14285714285714</v>
      </c>
      <c r="G12" s="49">
        <f>'Avg Week BUSEGA-NATEETE'!G12+'Avg Week NATEETE-BUSEGA'!G12</f>
        <v>5.8571428571428577</v>
      </c>
      <c r="H12" s="49">
        <f>'Avg Week BUSEGA-NATEETE'!H12+'Avg Week NATEETE-BUSEGA'!H12</f>
        <v>2.4285714285714288</v>
      </c>
      <c r="I12" s="49">
        <f>'Avg Week BUSEGA-NATEETE'!I12+'Avg Week NATEETE-BUSEGA'!I12</f>
        <v>13</v>
      </c>
      <c r="J12" s="49">
        <f>'Avg Week BUSEGA-NATEETE'!J12+'Avg Week NATEETE-BUSEGA'!J12</f>
        <v>10.714285714285715</v>
      </c>
      <c r="K12" s="49">
        <f>'Avg Week BUSEGA-NATEETE'!K12+'Avg Week NATEETE-BUSEGA'!K12</f>
        <v>1.8571428571428572</v>
      </c>
      <c r="L12" s="49">
        <f>'Avg Week BUSEGA-NATEETE'!L12+'Avg Week NATEETE-BUSEGA'!L12</f>
        <v>3.4285714285714288</v>
      </c>
      <c r="M12" s="49">
        <f>'Avg Week BUSEGA-NATEETE'!M12+'Avg Week NATEETE-BUSEGA'!M12</f>
        <v>353.85714285714289</v>
      </c>
      <c r="N12" s="49">
        <f>'Avg Week BUSEGA-NATEETE'!N12+'Avg Week NATEETE-BUSEGA'!N12</f>
        <v>0</v>
      </c>
      <c r="O12" s="15">
        <f t="shared" si="0"/>
        <v>311.14285714285717</v>
      </c>
      <c r="P12" s="15">
        <f t="shared" si="1"/>
        <v>665</v>
      </c>
      <c r="R12" s="1" t="s">
        <v>8</v>
      </c>
      <c r="S12" s="17">
        <f t="shared" ref="S12:AF12" si="4">SUM(C18:C21)</f>
        <v>531.14285714285711</v>
      </c>
      <c r="T12" s="17">
        <f t="shared" si="4"/>
        <v>77.857142857142861</v>
      </c>
      <c r="U12" s="17">
        <f t="shared" si="4"/>
        <v>59.285714285714285</v>
      </c>
      <c r="V12" s="17">
        <f t="shared" si="4"/>
        <v>547.28571428571433</v>
      </c>
      <c r="W12" s="17">
        <f t="shared" si="4"/>
        <v>11.285714285714285</v>
      </c>
      <c r="X12" s="17">
        <f t="shared" si="4"/>
        <v>8.5714285714285694</v>
      </c>
      <c r="Y12" s="17">
        <f t="shared" si="4"/>
        <v>66.714285714285722</v>
      </c>
      <c r="Z12" s="17">
        <f t="shared" si="4"/>
        <v>36.714285714285708</v>
      </c>
      <c r="AA12" s="17">
        <f t="shared" si="4"/>
        <v>11.857142857142858</v>
      </c>
      <c r="AB12" s="17">
        <f t="shared" si="4"/>
        <v>12.428571428571429</v>
      </c>
      <c r="AC12" s="17">
        <f t="shared" si="4"/>
        <v>1842.8571428571429</v>
      </c>
      <c r="AD12" s="17">
        <f t="shared" si="4"/>
        <v>0</v>
      </c>
      <c r="AE12" s="31">
        <f t="shared" si="4"/>
        <v>1363.1428571428571</v>
      </c>
      <c r="AF12" s="31">
        <f t="shared" si="4"/>
        <v>3206</v>
      </c>
    </row>
    <row r="13" spans="2:32" ht="23.1" customHeight="1" x14ac:dyDescent="0.25">
      <c r="B13" s="23" t="s">
        <v>40</v>
      </c>
      <c r="C13" s="49">
        <f>'Avg Week BUSEGA-NATEETE'!C13+'Avg Week NATEETE-BUSEGA'!C13</f>
        <v>126.57142857142857</v>
      </c>
      <c r="D13" s="49">
        <f>'Avg Week BUSEGA-NATEETE'!D13+'Avg Week NATEETE-BUSEGA'!D13</f>
        <v>18</v>
      </c>
      <c r="E13" s="49">
        <f>'Avg Week BUSEGA-NATEETE'!E13+'Avg Week NATEETE-BUSEGA'!E13</f>
        <v>14.142857142857142</v>
      </c>
      <c r="F13" s="49">
        <f>'Avg Week BUSEGA-NATEETE'!F13+'Avg Week NATEETE-BUSEGA'!F13</f>
        <v>108</v>
      </c>
      <c r="G13" s="49">
        <f>'Avg Week BUSEGA-NATEETE'!G13+'Avg Week NATEETE-BUSEGA'!G13</f>
        <v>8.2857142857142865</v>
      </c>
      <c r="H13" s="49">
        <f>'Avg Week BUSEGA-NATEETE'!H13+'Avg Week NATEETE-BUSEGA'!H13</f>
        <v>2.1428571428571428</v>
      </c>
      <c r="I13" s="49">
        <f>'Avg Week BUSEGA-NATEETE'!I13+'Avg Week NATEETE-BUSEGA'!I13</f>
        <v>12.714285714285714</v>
      </c>
      <c r="J13" s="49">
        <f>'Avg Week BUSEGA-NATEETE'!J13+'Avg Week NATEETE-BUSEGA'!J13</f>
        <v>8.5714285714285712</v>
      </c>
      <c r="K13" s="49">
        <f>'Avg Week BUSEGA-NATEETE'!K13+'Avg Week NATEETE-BUSEGA'!K13</f>
        <v>3</v>
      </c>
      <c r="L13" s="49">
        <f>'Avg Week BUSEGA-NATEETE'!L13+'Avg Week NATEETE-BUSEGA'!L13</f>
        <v>3.5714285714285712</v>
      </c>
      <c r="M13" s="49">
        <f>'Avg Week BUSEGA-NATEETE'!M13+'Avg Week NATEETE-BUSEGA'!M13</f>
        <v>456.14285714285717</v>
      </c>
      <c r="N13" s="49">
        <f>'Avg Week BUSEGA-NATEETE'!N13+'Avg Week NATEETE-BUSEGA'!N13</f>
        <v>0</v>
      </c>
      <c r="O13" s="15">
        <f t="shared" si="0"/>
        <v>304.99999999999994</v>
      </c>
      <c r="P13" s="15">
        <f t="shared" si="1"/>
        <v>761.14285714285711</v>
      </c>
      <c r="R13" s="1" t="s">
        <v>9</v>
      </c>
      <c r="S13" s="17">
        <f t="shared" ref="S13:AF13" si="5">SUM(C22:C25)</f>
        <v>499</v>
      </c>
      <c r="T13" s="17">
        <f t="shared" si="5"/>
        <v>73</v>
      </c>
      <c r="U13" s="17">
        <f t="shared" si="5"/>
        <v>69.714285714285708</v>
      </c>
      <c r="V13" s="17">
        <f t="shared" si="5"/>
        <v>510.57142857142856</v>
      </c>
      <c r="W13" s="17">
        <f t="shared" si="5"/>
        <v>9.5714285714285712</v>
      </c>
      <c r="X13" s="17">
        <f t="shared" si="5"/>
        <v>8.4285714285714288</v>
      </c>
      <c r="Y13" s="17">
        <f t="shared" si="5"/>
        <v>70.428571428571431</v>
      </c>
      <c r="Z13" s="17">
        <f t="shared" si="5"/>
        <v>48.857142857142861</v>
      </c>
      <c r="AA13" s="17">
        <f t="shared" si="5"/>
        <v>13.857142857142858</v>
      </c>
      <c r="AB13" s="17">
        <f t="shared" si="5"/>
        <v>16.428571428571427</v>
      </c>
      <c r="AC13" s="17">
        <f t="shared" si="5"/>
        <v>1721.8571428571429</v>
      </c>
      <c r="AD13" s="17">
        <f t="shared" si="5"/>
        <v>0.14285714285714285</v>
      </c>
      <c r="AE13" s="31">
        <f t="shared" si="5"/>
        <v>1320</v>
      </c>
      <c r="AF13" s="31">
        <f t="shared" si="5"/>
        <v>3041.8571428571431</v>
      </c>
    </row>
    <row r="14" spans="2:32" ht="23.1" customHeight="1" x14ac:dyDescent="0.25">
      <c r="B14" s="23" t="s">
        <v>41</v>
      </c>
      <c r="C14" s="49">
        <f>'Avg Week BUSEGA-NATEETE'!C14+'Avg Week NATEETE-BUSEGA'!C14</f>
        <v>107.85714285714286</v>
      </c>
      <c r="D14" s="49">
        <f>'Avg Week BUSEGA-NATEETE'!D14+'Avg Week NATEETE-BUSEGA'!D14</f>
        <v>16.571428571428569</v>
      </c>
      <c r="E14" s="49">
        <f>'Avg Week BUSEGA-NATEETE'!E14+'Avg Week NATEETE-BUSEGA'!E14</f>
        <v>12.714285714285715</v>
      </c>
      <c r="F14" s="49">
        <f>'Avg Week BUSEGA-NATEETE'!F14+'Avg Week NATEETE-BUSEGA'!F14</f>
        <v>105</v>
      </c>
      <c r="G14" s="49">
        <f>'Avg Week BUSEGA-NATEETE'!G14+'Avg Week NATEETE-BUSEGA'!G14</f>
        <v>4.7142857142857144</v>
      </c>
      <c r="H14" s="49">
        <f>'Avg Week BUSEGA-NATEETE'!H14+'Avg Week NATEETE-BUSEGA'!H14</f>
        <v>3.8571428571428568</v>
      </c>
      <c r="I14" s="49">
        <f>'Avg Week BUSEGA-NATEETE'!I14+'Avg Week NATEETE-BUSEGA'!I14</f>
        <v>16.428571428571431</v>
      </c>
      <c r="J14" s="49">
        <f>'Avg Week BUSEGA-NATEETE'!J14+'Avg Week NATEETE-BUSEGA'!J14</f>
        <v>10.142857142857142</v>
      </c>
      <c r="K14" s="49">
        <f>'Avg Week BUSEGA-NATEETE'!K14+'Avg Week NATEETE-BUSEGA'!K14</f>
        <v>4</v>
      </c>
      <c r="L14" s="49">
        <f>'Avg Week BUSEGA-NATEETE'!L14+'Avg Week NATEETE-BUSEGA'!L14</f>
        <v>3.5714285714285712</v>
      </c>
      <c r="M14" s="49">
        <f>'Avg Week BUSEGA-NATEETE'!M14+'Avg Week NATEETE-BUSEGA'!M14</f>
        <v>451.57142857142856</v>
      </c>
      <c r="N14" s="49">
        <f>'Avg Week BUSEGA-NATEETE'!N14+'Avg Week NATEETE-BUSEGA'!N14</f>
        <v>0.14285714285714285</v>
      </c>
      <c r="O14" s="15">
        <f t="shared" si="0"/>
        <v>285.00000000000006</v>
      </c>
      <c r="P14" s="15">
        <f t="shared" si="1"/>
        <v>736.57142857142856</v>
      </c>
      <c r="R14" s="1" t="s">
        <v>10</v>
      </c>
      <c r="S14" s="17">
        <f t="shared" ref="S14:AF14" si="6">SUM(C26:C29)</f>
        <v>492.57142857142856</v>
      </c>
      <c r="T14" s="17">
        <f t="shared" si="6"/>
        <v>79.714285714285722</v>
      </c>
      <c r="U14" s="17">
        <f t="shared" si="6"/>
        <v>73.428571428571431</v>
      </c>
      <c r="V14" s="17">
        <f t="shared" si="6"/>
        <v>506.71428571428578</v>
      </c>
      <c r="W14" s="17">
        <f t="shared" si="6"/>
        <v>9.8571428571428577</v>
      </c>
      <c r="X14" s="17">
        <f t="shared" si="6"/>
        <v>10.571428571428571</v>
      </c>
      <c r="Y14" s="17">
        <f t="shared" si="6"/>
        <v>74.285714285714292</v>
      </c>
      <c r="Z14" s="17">
        <f t="shared" si="6"/>
        <v>43.428571428571431</v>
      </c>
      <c r="AA14" s="17">
        <f t="shared" si="6"/>
        <v>15.142857142857142</v>
      </c>
      <c r="AB14" s="17">
        <f t="shared" si="6"/>
        <v>21.428571428571427</v>
      </c>
      <c r="AC14" s="17">
        <f t="shared" si="6"/>
        <v>1569.8571428571427</v>
      </c>
      <c r="AD14" s="17">
        <f t="shared" si="6"/>
        <v>0</v>
      </c>
      <c r="AE14" s="31">
        <f t="shared" si="6"/>
        <v>1327.1428571428571</v>
      </c>
      <c r="AF14" s="31">
        <f t="shared" si="6"/>
        <v>2897</v>
      </c>
    </row>
    <row r="15" spans="2:32" ht="23.1" customHeight="1" x14ac:dyDescent="0.25">
      <c r="B15" s="23" t="s">
        <v>42</v>
      </c>
      <c r="C15" s="49">
        <f>'Avg Week BUSEGA-NATEETE'!C15+'Avg Week NATEETE-BUSEGA'!C15</f>
        <v>118.28571428571428</v>
      </c>
      <c r="D15" s="49">
        <f>'Avg Week BUSEGA-NATEETE'!D15+'Avg Week NATEETE-BUSEGA'!D15</f>
        <v>17.714285714285715</v>
      </c>
      <c r="E15" s="49">
        <f>'Avg Week BUSEGA-NATEETE'!E15+'Avg Week NATEETE-BUSEGA'!E15</f>
        <v>14.142857142857142</v>
      </c>
      <c r="F15" s="49">
        <f>'Avg Week BUSEGA-NATEETE'!F15+'Avg Week NATEETE-BUSEGA'!F15</f>
        <v>116.28571428571429</v>
      </c>
      <c r="G15" s="49">
        <f>'Avg Week BUSEGA-NATEETE'!G15+'Avg Week NATEETE-BUSEGA'!G15</f>
        <v>3.7142857142857144</v>
      </c>
      <c r="H15" s="49">
        <f>'Avg Week BUSEGA-NATEETE'!H15+'Avg Week NATEETE-BUSEGA'!H15</f>
        <v>2.1428571428571428</v>
      </c>
      <c r="I15" s="49">
        <f>'Avg Week BUSEGA-NATEETE'!I15+'Avg Week NATEETE-BUSEGA'!I15</f>
        <v>14</v>
      </c>
      <c r="J15" s="49">
        <f>'Avg Week BUSEGA-NATEETE'!J15+'Avg Week NATEETE-BUSEGA'!J15</f>
        <v>10.142857142857142</v>
      </c>
      <c r="K15" s="49">
        <f>'Avg Week BUSEGA-NATEETE'!K15+'Avg Week NATEETE-BUSEGA'!K15</f>
        <v>2.7142857142857144</v>
      </c>
      <c r="L15" s="49">
        <f>'Avg Week BUSEGA-NATEETE'!L15+'Avg Week NATEETE-BUSEGA'!L15</f>
        <v>2.4285714285714284</v>
      </c>
      <c r="M15" s="49">
        <f>'Avg Week BUSEGA-NATEETE'!M15+'Avg Week NATEETE-BUSEGA'!M15</f>
        <v>442.28571428571428</v>
      </c>
      <c r="N15" s="49">
        <f>'Avg Week BUSEGA-NATEETE'!N15+'Avg Week NATEETE-BUSEGA'!N15</f>
        <v>0</v>
      </c>
      <c r="O15" s="15">
        <f t="shared" si="0"/>
        <v>301.57142857142867</v>
      </c>
      <c r="P15" s="15">
        <f t="shared" si="1"/>
        <v>743.85714285714289</v>
      </c>
      <c r="R15" s="1" t="s">
        <v>11</v>
      </c>
      <c r="S15" s="17">
        <f t="shared" ref="S15:AF15" si="7">SUM(C30:C33)</f>
        <v>442.42857142857144</v>
      </c>
      <c r="T15" s="17">
        <f t="shared" si="7"/>
        <v>80.714285714285722</v>
      </c>
      <c r="U15" s="17">
        <f t="shared" si="7"/>
        <v>68.285714285714292</v>
      </c>
      <c r="V15" s="17">
        <f t="shared" si="7"/>
        <v>449.57142857142856</v>
      </c>
      <c r="W15" s="17">
        <f t="shared" si="7"/>
        <v>9.5714285714285712</v>
      </c>
      <c r="X15" s="17">
        <f t="shared" si="7"/>
        <v>10.571428571428571</v>
      </c>
      <c r="Y15" s="17">
        <f t="shared" si="7"/>
        <v>81.428571428571445</v>
      </c>
      <c r="Z15" s="17">
        <f t="shared" si="7"/>
        <v>45.285714285714285</v>
      </c>
      <c r="AA15" s="17">
        <f t="shared" si="7"/>
        <v>15.714285714285714</v>
      </c>
      <c r="AB15" s="17">
        <f t="shared" si="7"/>
        <v>21.857142857142858</v>
      </c>
      <c r="AC15" s="17">
        <f t="shared" si="7"/>
        <v>1448.5714285714287</v>
      </c>
      <c r="AD15" s="17">
        <f t="shared" si="7"/>
        <v>0</v>
      </c>
      <c r="AE15" s="31">
        <f t="shared" si="7"/>
        <v>1225.4285714285713</v>
      </c>
      <c r="AF15" s="31">
        <f t="shared" si="7"/>
        <v>2674</v>
      </c>
    </row>
    <row r="16" spans="2:32" ht="23.1" customHeight="1" x14ac:dyDescent="0.25">
      <c r="B16" s="23" t="s">
        <v>43</v>
      </c>
      <c r="C16" s="49">
        <f>'Avg Week BUSEGA-NATEETE'!C16+'Avg Week NATEETE-BUSEGA'!C16</f>
        <v>125.57142857142857</v>
      </c>
      <c r="D16" s="49">
        <f>'Avg Week BUSEGA-NATEETE'!D16+'Avg Week NATEETE-BUSEGA'!D16</f>
        <v>18.857142857142858</v>
      </c>
      <c r="E16" s="49">
        <f>'Avg Week BUSEGA-NATEETE'!E16+'Avg Week NATEETE-BUSEGA'!E16</f>
        <v>16.857142857142854</v>
      </c>
      <c r="F16" s="49">
        <f>'Avg Week BUSEGA-NATEETE'!F16+'Avg Week NATEETE-BUSEGA'!F16</f>
        <v>129.57142857142856</v>
      </c>
      <c r="G16" s="49">
        <f>'Avg Week BUSEGA-NATEETE'!G16+'Avg Week NATEETE-BUSEGA'!G16</f>
        <v>1.8571428571428572</v>
      </c>
      <c r="H16" s="49">
        <f>'Avg Week BUSEGA-NATEETE'!H16+'Avg Week NATEETE-BUSEGA'!H16</f>
        <v>2.4285714285714284</v>
      </c>
      <c r="I16" s="49">
        <f>'Avg Week BUSEGA-NATEETE'!I16+'Avg Week NATEETE-BUSEGA'!I16</f>
        <v>14.142857142857142</v>
      </c>
      <c r="J16" s="49">
        <f>'Avg Week BUSEGA-NATEETE'!J16+'Avg Week NATEETE-BUSEGA'!J16</f>
        <v>8.5714285714285712</v>
      </c>
      <c r="K16" s="49">
        <f>'Avg Week BUSEGA-NATEETE'!K16+'Avg Week NATEETE-BUSEGA'!K16</f>
        <v>2.8571428571428572</v>
      </c>
      <c r="L16" s="49">
        <f>'Avg Week BUSEGA-NATEETE'!L16+'Avg Week NATEETE-BUSEGA'!L16</f>
        <v>2.8571428571428572</v>
      </c>
      <c r="M16" s="49">
        <f>'Avg Week BUSEGA-NATEETE'!M16+'Avg Week NATEETE-BUSEGA'!M16</f>
        <v>529.71428571428567</v>
      </c>
      <c r="N16" s="49">
        <f>'Avg Week BUSEGA-NATEETE'!N16+'Avg Week NATEETE-BUSEGA'!N16</f>
        <v>0</v>
      </c>
      <c r="O16" s="15">
        <f t="shared" si="0"/>
        <v>323.5714285714285</v>
      </c>
      <c r="P16" s="15">
        <f t="shared" si="1"/>
        <v>853.28571428571422</v>
      </c>
      <c r="R16" s="1" t="s">
        <v>12</v>
      </c>
      <c r="S16" s="17">
        <f t="shared" ref="S16:AF16" si="8">SUM(C34:C37)</f>
        <v>438</v>
      </c>
      <c r="T16" s="17">
        <f t="shared" si="8"/>
        <v>69.142857142857139</v>
      </c>
      <c r="U16" s="17">
        <f t="shared" si="8"/>
        <v>62.714285714285722</v>
      </c>
      <c r="V16" s="17">
        <f t="shared" si="8"/>
        <v>447.85714285714278</v>
      </c>
      <c r="W16" s="17">
        <f t="shared" si="8"/>
        <v>10.428571428571429</v>
      </c>
      <c r="X16" s="17">
        <f t="shared" si="8"/>
        <v>10.857142857142858</v>
      </c>
      <c r="Y16" s="17">
        <f t="shared" si="8"/>
        <v>68.285714285714278</v>
      </c>
      <c r="Z16" s="17">
        <f t="shared" si="8"/>
        <v>48.714285714285715</v>
      </c>
      <c r="AA16" s="17">
        <f t="shared" si="8"/>
        <v>18</v>
      </c>
      <c r="AB16" s="17">
        <f t="shared" si="8"/>
        <v>19.857142857142854</v>
      </c>
      <c r="AC16" s="17">
        <f t="shared" si="8"/>
        <v>1424.8571428571431</v>
      </c>
      <c r="AD16" s="17">
        <f t="shared" si="8"/>
        <v>7</v>
      </c>
      <c r="AE16" s="31">
        <f t="shared" si="8"/>
        <v>1200.8571428571429</v>
      </c>
      <c r="AF16" s="31">
        <f t="shared" si="8"/>
        <v>2625.7142857142858</v>
      </c>
    </row>
    <row r="17" spans="2:32" ht="23.1" customHeight="1" x14ac:dyDescent="0.25">
      <c r="B17" s="23" t="s">
        <v>44</v>
      </c>
      <c r="C17" s="49">
        <f>'Avg Week BUSEGA-NATEETE'!C17+'Avg Week NATEETE-BUSEGA'!C17</f>
        <v>112.85714285714286</v>
      </c>
      <c r="D17" s="49">
        <f>'Avg Week BUSEGA-NATEETE'!D17+'Avg Week NATEETE-BUSEGA'!D17</f>
        <v>18.571428571428573</v>
      </c>
      <c r="E17" s="49">
        <f>'Avg Week BUSEGA-NATEETE'!E17+'Avg Week NATEETE-BUSEGA'!E17</f>
        <v>13.285714285714285</v>
      </c>
      <c r="F17" s="49">
        <f>'Avg Week BUSEGA-NATEETE'!F17+'Avg Week NATEETE-BUSEGA'!F17</f>
        <v>121</v>
      </c>
      <c r="G17" s="49">
        <f>'Avg Week BUSEGA-NATEETE'!G17+'Avg Week NATEETE-BUSEGA'!G17</f>
        <v>2.5714285714285712</v>
      </c>
      <c r="H17" s="49">
        <f>'Avg Week BUSEGA-NATEETE'!H17+'Avg Week NATEETE-BUSEGA'!H17</f>
        <v>2.2857142857142856</v>
      </c>
      <c r="I17" s="49">
        <f>'Avg Week BUSEGA-NATEETE'!I17+'Avg Week NATEETE-BUSEGA'!I17</f>
        <v>16.571428571428569</v>
      </c>
      <c r="J17" s="49">
        <f>'Avg Week BUSEGA-NATEETE'!J17+'Avg Week NATEETE-BUSEGA'!J17</f>
        <v>9.571428571428573</v>
      </c>
      <c r="K17" s="49">
        <f>'Avg Week BUSEGA-NATEETE'!K17+'Avg Week NATEETE-BUSEGA'!K17</f>
        <v>3.8571428571428568</v>
      </c>
      <c r="L17" s="49">
        <f>'Avg Week BUSEGA-NATEETE'!L17+'Avg Week NATEETE-BUSEGA'!L17</f>
        <v>3</v>
      </c>
      <c r="M17" s="49">
        <f>'Avg Week BUSEGA-NATEETE'!M17+'Avg Week NATEETE-BUSEGA'!M17</f>
        <v>532.14285714285711</v>
      </c>
      <c r="N17" s="49">
        <f>'Avg Week BUSEGA-NATEETE'!N17+'Avg Week NATEETE-BUSEGA'!N17</f>
        <v>0</v>
      </c>
      <c r="O17" s="15">
        <f t="shared" si="0"/>
        <v>303.5714285714285</v>
      </c>
      <c r="P17" s="15">
        <f t="shared" si="1"/>
        <v>835.71428571428555</v>
      </c>
      <c r="R17" s="1" t="s">
        <v>13</v>
      </c>
      <c r="S17" s="17">
        <f t="shared" ref="S17:AF17" si="9">SUM(C38:C41)</f>
        <v>444.28571428571428</v>
      </c>
      <c r="T17" s="17">
        <f t="shared" si="9"/>
        <v>66</v>
      </c>
      <c r="U17" s="17">
        <f t="shared" si="9"/>
        <v>66.714285714285722</v>
      </c>
      <c r="V17" s="17">
        <f t="shared" si="9"/>
        <v>446.14285714285717</v>
      </c>
      <c r="W17" s="17">
        <f t="shared" si="9"/>
        <v>10.714285714285714</v>
      </c>
      <c r="X17" s="17">
        <f t="shared" si="9"/>
        <v>12.142857142857142</v>
      </c>
      <c r="Y17" s="17">
        <f t="shared" si="9"/>
        <v>77.857142857142861</v>
      </c>
      <c r="Z17" s="17">
        <f t="shared" si="9"/>
        <v>56.428571428571431</v>
      </c>
      <c r="AA17" s="17">
        <f t="shared" si="9"/>
        <v>17.142857142857142</v>
      </c>
      <c r="AB17" s="17">
        <f t="shared" si="9"/>
        <v>22.285714285714285</v>
      </c>
      <c r="AC17" s="17">
        <f t="shared" si="9"/>
        <v>1318.1428571428569</v>
      </c>
      <c r="AD17" s="17">
        <f t="shared" si="9"/>
        <v>0.14285714285714285</v>
      </c>
      <c r="AE17" s="31">
        <f t="shared" si="9"/>
        <v>1219.8571428571429</v>
      </c>
      <c r="AF17" s="31">
        <f t="shared" si="9"/>
        <v>2538</v>
      </c>
    </row>
    <row r="18" spans="2:32" ht="23.1" customHeight="1" x14ac:dyDescent="0.25">
      <c r="B18" s="23" t="s">
        <v>45</v>
      </c>
      <c r="C18" s="49">
        <f>'Avg Week BUSEGA-NATEETE'!C18+'Avg Week NATEETE-BUSEGA'!C18</f>
        <v>124.57142857142858</v>
      </c>
      <c r="D18" s="49">
        <f>'Avg Week BUSEGA-NATEETE'!D18+'Avg Week NATEETE-BUSEGA'!D18</f>
        <v>18.714285714285715</v>
      </c>
      <c r="E18" s="49">
        <f>'Avg Week BUSEGA-NATEETE'!E18+'Avg Week NATEETE-BUSEGA'!E18</f>
        <v>15.428571428571429</v>
      </c>
      <c r="F18" s="49">
        <f>'Avg Week BUSEGA-NATEETE'!F18+'Avg Week NATEETE-BUSEGA'!F18</f>
        <v>141.28571428571428</v>
      </c>
      <c r="G18" s="49">
        <f>'Avg Week BUSEGA-NATEETE'!G18+'Avg Week NATEETE-BUSEGA'!G18</f>
        <v>2.8571428571428572</v>
      </c>
      <c r="H18" s="49">
        <f>'Avg Week BUSEGA-NATEETE'!H18+'Avg Week NATEETE-BUSEGA'!H18</f>
        <v>2.2857142857142856</v>
      </c>
      <c r="I18" s="49">
        <f>'Avg Week BUSEGA-NATEETE'!I18+'Avg Week NATEETE-BUSEGA'!I18</f>
        <v>17.285714285714285</v>
      </c>
      <c r="J18" s="49">
        <f>'Avg Week BUSEGA-NATEETE'!J18+'Avg Week NATEETE-BUSEGA'!J18</f>
        <v>10.857142857142858</v>
      </c>
      <c r="K18" s="49">
        <f>'Avg Week BUSEGA-NATEETE'!K18+'Avg Week NATEETE-BUSEGA'!K18</f>
        <v>2.4285714285714288</v>
      </c>
      <c r="L18" s="49">
        <f>'Avg Week BUSEGA-NATEETE'!L18+'Avg Week NATEETE-BUSEGA'!L18</f>
        <v>2.8571428571428568</v>
      </c>
      <c r="M18" s="49">
        <f>'Avg Week BUSEGA-NATEETE'!M18+'Avg Week NATEETE-BUSEGA'!M18</f>
        <v>515.85714285714289</v>
      </c>
      <c r="N18" s="49">
        <f>'Avg Week BUSEGA-NATEETE'!N18+'Avg Week NATEETE-BUSEGA'!N18</f>
        <v>0</v>
      </c>
      <c r="O18" s="15">
        <f t="shared" si="0"/>
        <v>338.5714285714285</v>
      </c>
      <c r="P18" s="15">
        <f t="shared" si="1"/>
        <v>854.42857142857133</v>
      </c>
      <c r="R18" s="1" t="s">
        <v>14</v>
      </c>
      <c r="S18" s="17">
        <f t="shared" ref="S18:AF18" si="10">SUM(C42:C45)</f>
        <v>473.71428571428578</v>
      </c>
      <c r="T18" s="17">
        <f t="shared" si="10"/>
        <v>56.857142857142854</v>
      </c>
      <c r="U18" s="17">
        <f t="shared" si="10"/>
        <v>80.142857142857139</v>
      </c>
      <c r="V18" s="17">
        <f t="shared" si="10"/>
        <v>443</v>
      </c>
      <c r="W18" s="17">
        <f t="shared" si="10"/>
        <v>17.285714285714285</v>
      </c>
      <c r="X18" s="17">
        <f t="shared" si="10"/>
        <v>13.714285714285715</v>
      </c>
      <c r="Y18" s="17">
        <f t="shared" si="10"/>
        <v>91.285714285714292</v>
      </c>
      <c r="Z18" s="17">
        <f t="shared" si="10"/>
        <v>60.571428571428577</v>
      </c>
      <c r="AA18" s="17">
        <f t="shared" si="10"/>
        <v>21.857142857142858</v>
      </c>
      <c r="AB18" s="17">
        <f t="shared" si="10"/>
        <v>51.714285714285722</v>
      </c>
      <c r="AC18" s="17">
        <f t="shared" si="10"/>
        <v>1232.4285714285716</v>
      </c>
      <c r="AD18" s="17">
        <f t="shared" si="10"/>
        <v>0.14285714285714285</v>
      </c>
      <c r="AE18" s="31">
        <f t="shared" si="10"/>
        <v>1310.2857142857142</v>
      </c>
      <c r="AF18" s="31">
        <f t="shared" si="10"/>
        <v>2542.7142857142853</v>
      </c>
    </row>
    <row r="19" spans="2:32" ht="23.1" customHeight="1" x14ac:dyDescent="0.25">
      <c r="B19" s="23" t="s">
        <v>46</v>
      </c>
      <c r="C19" s="49">
        <f>'Avg Week BUSEGA-NATEETE'!C19+'Avg Week NATEETE-BUSEGA'!C19</f>
        <v>134.42857142857142</v>
      </c>
      <c r="D19" s="49">
        <f>'Avg Week BUSEGA-NATEETE'!D19+'Avg Week NATEETE-BUSEGA'!D19</f>
        <v>20.142857142857142</v>
      </c>
      <c r="E19" s="49">
        <f>'Avg Week BUSEGA-NATEETE'!E19+'Avg Week NATEETE-BUSEGA'!E19</f>
        <v>16.142857142857142</v>
      </c>
      <c r="F19" s="49">
        <f>'Avg Week BUSEGA-NATEETE'!F19+'Avg Week NATEETE-BUSEGA'!F19</f>
        <v>132</v>
      </c>
      <c r="G19" s="49">
        <f>'Avg Week BUSEGA-NATEETE'!G19+'Avg Week NATEETE-BUSEGA'!G19</f>
        <v>4.4285714285714288</v>
      </c>
      <c r="H19" s="49">
        <f>'Avg Week BUSEGA-NATEETE'!H19+'Avg Week NATEETE-BUSEGA'!H19</f>
        <v>2.4285714285714284</v>
      </c>
      <c r="I19" s="49">
        <f>'Avg Week BUSEGA-NATEETE'!I19+'Avg Week NATEETE-BUSEGA'!I19</f>
        <v>14.714285714285714</v>
      </c>
      <c r="J19" s="49">
        <f>'Avg Week BUSEGA-NATEETE'!J19+'Avg Week NATEETE-BUSEGA'!J19</f>
        <v>8.2857142857142847</v>
      </c>
      <c r="K19" s="49">
        <f>'Avg Week BUSEGA-NATEETE'!K19+'Avg Week NATEETE-BUSEGA'!K19</f>
        <v>2.8571428571428572</v>
      </c>
      <c r="L19" s="49">
        <f>'Avg Week BUSEGA-NATEETE'!L19+'Avg Week NATEETE-BUSEGA'!L19</f>
        <v>3.5714285714285712</v>
      </c>
      <c r="M19" s="49">
        <f>'Avg Week BUSEGA-NATEETE'!M19+'Avg Week NATEETE-BUSEGA'!M19</f>
        <v>417</v>
      </c>
      <c r="N19" s="49">
        <f>'Avg Week BUSEGA-NATEETE'!N19+'Avg Week NATEETE-BUSEGA'!N19</f>
        <v>0</v>
      </c>
      <c r="O19" s="15">
        <f t="shared" si="0"/>
        <v>338.99999999999994</v>
      </c>
      <c r="P19" s="15">
        <f t="shared" si="1"/>
        <v>756</v>
      </c>
      <c r="R19" s="1" t="s">
        <v>15</v>
      </c>
      <c r="S19" s="17">
        <f t="shared" ref="S19:AF19" si="11">SUM(C46:C49)</f>
        <v>440.28571428571433</v>
      </c>
      <c r="T19" s="17">
        <f t="shared" si="11"/>
        <v>56.571428571428569</v>
      </c>
      <c r="U19" s="17">
        <f t="shared" si="11"/>
        <v>72.857142857142847</v>
      </c>
      <c r="V19" s="17">
        <f t="shared" si="11"/>
        <v>457.28571428571433</v>
      </c>
      <c r="W19" s="17">
        <f t="shared" si="11"/>
        <v>16</v>
      </c>
      <c r="X19" s="17">
        <f t="shared" si="11"/>
        <v>20.857142857142858</v>
      </c>
      <c r="Y19" s="17">
        <f t="shared" si="11"/>
        <v>81.285714285714278</v>
      </c>
      <c r="Z19" s="17">
        <f t="shared" si="11"/>
        <v>56.571428571428569</v>
      </c>
      <c r="AA19" s="17">
        <f t="shared" si="11"/>
        <v>26.428571428571427</v>
      </c>
      <c r="AB19" s="17">
        <f t="shared" si="11"/>
        <v>35.142857142857139</v>
      </c>
      <c r="AC19" s="17">
        <f t="shared" si="11"/>
        <v>1417.5714285714284</v>
      </c>
      <c r="AD19" s="17">
        <f t="shared" si="11"/>
        <v>0.2857142857142857</v>
      </c>
      <c r="AE19" s="31">
        <f t="shared" si="11"/>
        <v>1263.5714285714287</v>
      </c>
      <c r="AF19" s="31">
        <f t="shared" si="11"/>
        <v>2681.1428571428569</v>
      </c>
    </row>
    <row r="20" spans="2:32" ht="23.1" customHeight="1" x14ac:dyDescent="0.25">
      <c r="B20" s="23" t="s">
        <v>47</v>
      </c>
      <c r="C20" s="49">
        <f>'Avg Week BUSEGA-NATEETE'!C20+'Avg Week NATEETE-BUSEGA'!C20</f>
        <v>126.57142857142858</v>
      </c>
      <c r="D20" s="49">
        <f>'Avg Week BUSEGA-NATEETE'!D20+'Avg Week NATEETE-BUSEGA'!D20</f>
        <v>19</v>
      </c>
      <c r="E20" s="49">
        <f>'Avg Week BUSEGA-NATEETE'!E20+'Avg Week NATEETE-BUSEGA'!E20</f>
        <v>13.285714285714286</v>
      </c>
      <c r="F20" s="49">
        <f>'Avg Week BUSEGA-NATEETE'!F20+'Avg Week NATEETE-BUSEGA'!F20</f>
        <v>131.57142857142858</v>
      </c>
      <c r="G20" s="49">
        <f>'Avg Week BUSEGA-NATEETE'!G20+'Avg Week NATEETE-BUSEGA'!G20</f>
        <v>1.7142857142857142</v>
      </c>
      <c r="H20" s="49">
        <f>'Avg Week BUSEGA-NATEETE'!H20+'Avg Week NATEETE-BUSEGA'!H20</f>
        <v>2.1428571428571428</v>
      </c>
      <c r="I20" s="49">
        <f>'Avg Week BUSEGA-NATEETE'!I20+'Avg Week NATEETE-BUSEGA'!I20</f>
        <v>15.714285714285715</v>
      </c>
      <c r="J20" s="49">
        <f>'Avg Week BUSEGA-NATEETE'!J20+'Avg Week NATEETE-BUSEGA'!J20</f>
        <v>8.4285714285714288</v>
      </c>
      <c r="K20" s="49">
        <f>'Avg Week BUSEGA-NATEETE'!K20+'Avg Week NATEETE-BUSEGA'!K20</f>
        <v>3.2857142857142856</v>
      </c>
      <c r="L20" s="49">
        <f>'Avg Week BUSEGA-NATEETE'!L20+'Avg Week NATEETE-BUSEGA'!L20</f>
        <v>3.1428571428571428</v>
      </c>
      <c r="M20" s="49">
        <f>'Avg Week BUSEGA-NATEETE'!M20+'Avg Week NATEETE-BUSEGA'!M20</f>
        <v>438.85714285714289</v>
      </c>
      <c r="N20" s="49">
        <f>'Avg Week BUSEGA-NATEETE'!N20+'Avg Week NATEETE-BUSEGA'!N20</f>
        <v>0</v>
      </c>
      <c r="O20" s="15">
        <f t="shared" si="0"/>
        <v>324.85714285714295</v>
      </c>
      <c r="P20" s="15">
        <f t="shared" si="1"/>
        <v>763.71428571428578</v>
      </c>
      <c r="R20" s="1" t="s">
        <v>16</v>
      </c>
      <c r="S20" s="17">
        <f t="shared" ref="S20:AF20" si="12">SUM(C50:C53)</f>
        <v>499.42857142857144</v>
      </c>
      <c r="T20" s="17">
        <f t="shared" si="12"/>
        <v>69.285714285714292</v>
      </c>
      <c r="U20" s="17">
        <f t="shared" si="12"/>
        <v>82.571428571428555</v>
      </c>
      <c r="V20" s="17">
        <f t="shared" si="12"/>
        <v>436.57142857142856</v>
      </c>
      <c r="W20" s="17">
        <f t="shared" si="12"/>
        <v>14.428571428571429</v>
      </c>
      <c r="X20" s="17">
        <f t="shared" si="12"/>
        <v>19.714285714285715</v>
      </c>
      <c r="Y20" s="17">
        <f t="shared" si="12"/>
        <v>79.428571428571431</v>
      </c>
      <c r="Z20" s="17">
        <f t="shared" si="12"/>
        <v>60.285714285714292</v>
      </c>
      <c r="AA20" s="17">
        <f t="shared" si="12"/>
        <v>22</v>
      </c>
      <c r="AB20" s="17">
        <f t="shared" si="12"/>
        <v>29.571428571428569</v>
      </c>
      <c r="AC20" s="17">
        <f t="shared" si="12"/>
        <v>1638.5714285714284</v>
      </c>
      <c r="AD20" s="17">
        <f t="shared" si="12"/>
        <v>0.14285714285714285</v>
      </c>
      <c r="AE20" s="31">
        <f t="shared" si="12"/>
        <v>1313.4285714285713</v>
      </c>
      <c r="AF20" s="31">
        <f t="shared" si="12"/>
        <v>2952</v>
      </c>
    </row>
    <row r="21" spans="2:32" ht="23.1" customHeight="1" x14ac:dyDescent="0.25">
      <c r="B21" s="23" t="s">
        <v>48</v>
      </c>
      <c r="C21" s="49">
        <f>'Avg Week BUSEGA-NATEETE'!C21+'Avg Week NATEETE-BUSEGA'!C21</f>
        <v>145.57142857142858</v>
      </c>
      <c r="D21" s="49">
        <f>'Avg Week BUSEGA-NATEETE'!D21+'Avg Week NATEETE-BUSEGA'!D21</f>
        <v>20</v>
      </c>
      <c r="E21" s="49">
        <f>'Avg Week BUSEGA-NATEETE'!E21+'Avg Week NATEETE-BUSEGA'!E21</f>
        <v>14.428571428571429</v>
      </c>
      <c r="F21" s="49">
        <f>'Avg Week BUSEGA-NATEETE'!F21+'Avg Week NATEETE-BUSEGA'!F21</f>
        <v>142.42857142857142</v>
      </c>
      <c r="G21" s="49">
        <f>'Avg Week BUSEGA-NATEETE'!G21+'Avg Week NATEETE-BUSEGA'!G21</f>
        <v>2.2857142857142856</v>
      </c>
      <c r="H21" s="49">
        <f>'Avg Week BUSEGA-NATEETE'!H21+'Avg Week NATEETE-BUSEGA'!H21</f>
        <v>1.7142857142857144</v>
      </c>
      <c r="I21" s="49">
        <f>'Avg Week BUSEGA-NATEETE'!I21+'Avg Week NATEETE-BUSEGA'!I21</f>
        <v>19</v>
      </c>
      <c r="J21" s="49">
        <f>'Avg Week BUSEGA-NATEETE'!J21+'Avg Week NATEETE-BUSEGA'!J21</f>
        <v>9.1428571428571423</v>
      </c>
      <c r="K21" s="49">
        <f>'Avg Week BUSEGA-NATEETE'!K21+'Avg Week NATEETE-BUSEGA'!K21</f>
        <v>3.2857142857142856</v>
      </c>
      <c r="L21" s="49">
        <f>'Avg Week BUSEGA-NATEETE'!L21+'Avg Week NATEETE-BUSEGA'!L21</f>
        <v>2.8571428571428572</v>
      </c>
      <c r="M21" s="49">
        <f>'Avg Week BUSEGA-NATEETE'!M21+'Avg Week NATEETE-BUSEGA'!M21</f>
        <v>471.14285714285711</v>
      </c>
      <c r="N21" s="49">
        <f>'Avg Week BUSEGA-NATEETE'!N21+'Avg Week NATEETE-BUSEGA'!N21</f>
        <v>0</v>
      </c>
      <c r="O21" s="15">
        <f t="shared" si="0"/>
        <v>360.71428571428572</v>
      </c>
      <c r="P21" s="15">
        <f t="shared" si="1"/>
        <v>831.85714285714289</v>
      </c>
      <c r="R21" s="36" t="s">
        <v>20</v>
      </c>
      <c r="S21" s="34">
        <f t="shared" ref="S21:AF33" si="13">SUM(C54:C57)</f>
        <v>471</v>
      </c>
      <c r="T21" s="17">
        <f t="shared" si="13"/>
        <v>65.285714285714278</v>
      </c>
      <c r="U21" s="17">
        <f t="shared" si="13"/>
        <v>72.714285714285722</v>
      </c>
      <c r="V21" s="17">
        <f t="shared" si="13"/>
        <v>438.57142857142856</v>
      </c>
      <c r="W21" s="17">
        <f t="shared" si="13"/>
        <v>15</v>
      </c>
      <c r="X21" s="17">
        <f t="shared" si="13"/>
        <v>22.857142857142858</v>
      </c>
      <c r="Y21" s="17">
        <f t="shared" si="13"/>
        <v>69.571428571428569</v>
      </c>
      <c r="Z21" s="17">
        <f t="shared" si="13"/>
        <v>57.285714285714292</v>
      </c>
      <c r="AA21" s="17">
        <f t="shared" si="13"/>
        <v>28.571428571428577</v>
      </c>
      <c r="AB21" s="17">
        <f t="shared" si="13"/>
        <v>60.714285714285715</v>
      </c>
      <c r="AC21" s="17">
        <f t="shared" si="13"/>
        <v>1551.2857142857142</v>
      </c>
      <c r="AD21" s="17">
        <f t="shared" si="13"/>
        <v>0</v>
      </c>
      <c r="AE21" s="31">
        <f t="shared" si="13"/>
        <v>1301.5714285714287</v>
      </c>
      <c r="AF21" s="31">
        <f t="shared" si="13"/>
        <v>2852.8571428571431</v>
      </c>
    </row>
    <row r="22" spans="2:32" ht="23.1" customHeight="1" x14ac:dyDescent="0.25">
      <c r="B22" s="23" t="s">
        <v>49</v>
      </c>
      <c r="C22" s="49">
        <f>'Avg Week BUSEGA-NATEETE'!C22+'Avg Week NATEETE-BUSEGA'!C22</f>
        <v>140.14285714285714</v>
      </c>
      <c r="D22" s="49">
        <f>'Avg Week BUSEGA-NATEETE'!D22+'Avg Week NATEETE-BUSEGA'!D22</f>
        <v>19.714285714285715</v>
      </c>
      <c r="E22" s="49">
        <f>'Avg Week BUSEGA-NATEETE'!E22+'Avg Week NATEETE-BUSEGA'!E22</f>
        <v>15.285714285714285</v>
      </c>
      <c r="F22" s="49">
        <f>'Avg Week BUSEGA-NATEETE'!F22+'Avg Week NATEETE-BUSEGA'!F22</f>
        <v>149.14285714285714</v>
      </c>
      <c r="G22" s="49">
        <f>'Avg Week BUSEGA-NATEETE'!G22+'Avg Week NATEETE-BUSEGA'!G22</f>
        <v>2.7142857142857144</v>
      </c>
      <c r="H22" s="49">
        <f>'Avg Week BUSEGA-NATEETE'!H22+'Avg Week NATEETE-BUSEGA'!H22</f>
        <v>1.2857142857142856</v>
      </c>
      <c r="I22" s="49">
        <f>'Avg Week BUSEGA-NATEETE'!I22+'Avg Week NATEETE-BUSEGA'!I22</f>
        <v>19.285714285714285</v>
      </c>
      <c r="J22" s="49">
        <f>'Avg Week BUSEGA-NATEETE'!J22+'Avg Week NATEETE-BUSEGA'!J22</f>
        <v>11.142857142857142</v>
      </c>
      <c r="K22" s="49">
        <f>'Avg Week BUSEGA-NATEETE'!K22+'Avg Week NATEETE-BUSEGA'!K22</f>
        <v>2.2857142857142856</v>
      </c>
      <c r="L22" s="49">
        <f>'Avg Week BUSEGA-NATEETE'!L22+'Avg Week NATEETE-BUSEGA'!L22</f>
        <v>4.1428571428571423</v>
      </c>
      <c r="M22" s="49">
        <f>'Avg Week BUSEGA-NATEETE'!M22+'Avg Week NATEETE-BUSEGA'!M22</f>
        <v>469.42857142857144</v>
      </c>
      <c r="N22" s="49">
        <f>'Avg Week BUSEGA-NATEETE'!N22+'Avg Week NATEETE-BUSEGA'!N22</f>
        <v>0</v>
      </c>
      <c r="O22" s="15">
        <f t="shared" si="0"/>
        <v>365.14285714285717</v>
      </c>
      <c r="P22" s="15">
        <f t="shared" si="1"/>
        <v>834.57142857142867</v>
      </c>
      <c r="R22" s="1" t="s">
        <v>146</v>
      </c>
      <c r="S22" s="34">
        <f>SUM(C58:C61)</f>
        <v>403</v>
      </c>
      <c r="T22" s="34">
        <f t="shared" ref="T22:AD22" si="14">SUM(D58:D61)</f>
        <v>49</v>
      </c>
      <c r="U22" s="34">
        <f t="shared" si="14"/>
        <v>51</v>
      </c>
      <c r="V22" s="34">
        <f t="shared" si="14"/>
        <v>303.5</v>
      </c>
      <c r="W22" s="34">
        <f t="shared" si="14"/>
        <v>11</v>
      </c>
      <c r="X22" s="34">
        <f t="shared" si="14"/>
        <v>11.5</v>
      </c>
      <c r="Y22" s="34">
        <f t="shared" si="14"/>
        <v>51</v>
      </c>
      <c r="Z22" s="34">
        <f t="shared" si="14"/>
        <v>36</v>
      </c>
      <c r="AA22" s="34">
        <f t="shared" si="14"/>
        <v>9.5</v>
      </c>
      <c r="AB22" s="34">
        <f t="shared" si="14"/>
        <v>17</v>
      </c>
      <c r="AC22" s="34">
        <f t="shared" si="14"/>
        <v>1723.5</v>
      </c>
      <c r="AD22" s="34">
        <f t="shared" si="14"/>
        <v>0</v>
      </c>
      <c r="AE22" s="31">
        <f t="shared" si="13"/>
        <v>1233.2142857142858</v>
      </c>
      <c r="AF22" s="31">
        <f t="shared" si="13"/>
        <v>2781.5</v>
      </c>
    </row>
    <row r="23" spans="2:32" ht="23.1" customHeight="1" x14ac:dyDescent="0.25">
      <c r="B23" s="23" t="s">
        <v>50</v>
      </c>
      <c r="C23" s="49">
        <f>'Avg Week BUSEGA-NATEETE'!C23+'Avg Week NATEETE-BUSEGA'!C23</f>
        <v>129.42857142857144</v>
      </c>
      <c r="D23" s="49">
        <f>'Avg Week BUSEGA-NATEETE'!D23+'Avg Week NATEETE-BUSEGA'!D23</f>
        <v>19.857142857142854</v>
      </c>
      <c r="E23" s="49">
        <f>'Avg Week BUSEGA-NATEETE'!E23+'Avg Week NATEETE-BUSEGA'!E23</f>
        <v>18</v>
      </c>
      <c r="F23" s="49">
        <f>'Avg Week BUSEGA-NATEETE'!F23+'Avg Week NATEETE-BUSEGA'!F23</f>
        <v>129.71428571428572</v>
      </c>
      <c r="G23" s="49">
        <f>'Avg Week BUSEGA-NATEETE'!G23+'Avg Week NATEETE-BUSEGA'!G23</f>
        <v>2.1428571428571428</v>
      </c>
      <c r="H23" s="49">
        <f>'Avg Week BUSEGA-NATEETE'!H23+'Avg Week NATEETE-BUSEGA'!H23</f>
        <v>2.4285714285714288</v>
      </c>
      <c r="I23" s="49">
        <f>'Avg Week BUSEGA-NATEETE'!I23+'Avg Week NATEETE-BUSEGA'!I23</f>
        <v>15.285714285714285</v>
      </c>
      <c r="J23" s="49">
        <f>'Avg Week BUSEGA-NATEETE'!J23+'Avg Week NATEETE-BUSEGA'!J23</f>
        <v>12.428571428571429</v>
      </c>
      <c r="K23" s="49">
        <f>'Avg Week BUSEGA-NATEETE'!K23+'Avg Week NATEETE-BUSEGA'!K23</f>
        <v>2.1428571428571428</v>
      </c>
      <c r="L23" s="49">
        <f>'Avg Week BUSEGA-NATEETE'!L23+'Avg Week NATEETE-BUSEGA'!L23</f>
        <v>3.2857142857142856</v>
      </c>
      <c r="M23" s="49">
        <f>'Avg Week BUSEGA-NATEETE'!M23+'Avg Week NATEETE-BUSEGA'!M23</f>
        <v>437</v>
      </c>
      <c r="N23" s="49">
        <f>'Avg Week BUSEGA-NATEETE'!N23+'Avg Week NATEETE-BUSEGA'!N23</f>
        <v>0</v>
      </c>
      <c r="O23" s="15">
        <f t="shared" si="0"/>
        <v>334.71428571428578</v>
      </c>
      <c r="P23" s="15">
        <f t="shared" si="1"/>
        <v>771.71428571428578</v>
      </c>
      <c r="R23" s="1" t="s">
        <v>147</v>
      </c>
      <c r="S23" s="34">
        <f>SUM(C62:C65)</f>
        <v>443.5</v>
      </c>
      <c r="T23" s="34">
        <f t="shared" ref="T23:AD23" si="15">SUM(D62:D65)</f>
        <v>52.5</v>
      </c>
      <c r="U23" s="34">
        <f t="shared" si="15"/>
        <v>50</v>
      </c>
      <c r="V23" s="34">
        <f t="shared" si="15"/>
        <v>305</v>
      </c>
      <c r="W23" s="34">
        <f t="shared" si="15"/>
        <v>16.5</v>
      </c>
      <c r="X23" s="34">
        <f t="shared" si="15"/>
        <v>10.5</v>
      </c>
      <c r="Y23" s="34">
        <f t="shared" si="15"/>
        <v>42</v>
      </c>
      <c r="Z23" s="34">
        <f t="shared" si="15"/>
        <v>27.5</v>
      </c>
      <c r="AA23" s="34">
        <f t="shared" si="15"/>
        <v>20.5</v>
      </c>
      <c r="AB23" s="34">
        <f t="shared" si="15"/>
        <v>10</v>
      </c>
      <c r="AC23" s="34">
        <f t="shared" si="15"/>
        <v>1838.5</v>
      </c>
      <c r="AD23" s="34">
        <f t="shared" si="15"/>
        <v>0</v>
      </c>
      <c r="AE23" s="31">
        <f t="shared" si="13"/>
        <v>1136.3571428571429</v>
      </c>
      <c r="AF23" s="31">
        <f t="shared" si="13"/>
        <v>2726.5714285714284</v>
      </c>
    </row>
    <row r="24" spans="2:32" ht="23.1" customHeight="1" x14ac:dyDescent="0.25">
      <c r="B24" s="23" t="s">
        <v>51</v>
      </c>
      <c r="C24" s="49">
        <f>'Avg Week BUSEGA-NATEETE'!C24+'Avg Week NATEETE-BUSEGA'!C24</f>
        <v>112.85714285714286</v>
      </c>
      <c r="D24" s="49">
        <f>'Avg Week BUSEGA-NATEETE'!D24+'Avg Week NATEETE-BUSEGA'!D24</f>
        <v>16</v>
      </c>
      <c r="E24" s="49">
        <f>'Avg Week BUSEGA-NATEETE'!E24+'Avg Week NATEETE-BUSEGA'!E24</f>
        <v>19.857142857142858</v>
      </c>
      <c r="F24" s="49">
        <f>'Avg Week BUSEGA-NATEETE'!F24+'Avg Week NATEETE-BUSEGA'!F24</f>
        <v>118.57142857142857</v>
      </c>
      <c r="G24" s="49">
        <f>'Avg Week BUSEGA-NATEETE'!G24+'Avg Week NATEETE-BUSEGA'!G24</f>
        <v>2.1428571428571428</v>
      </c>
      <c r="H24" s="49">
        <f>'Avg Week BUSEGA-NATEETE'!H24+'Avg Week NATEETE-BUSEGA'!H24</f>
        <v>2.1428571428571428</v>
      </c>
      <c r="I24" s="49">
        <f>'Avg Week BUSEGA-NATEETE'!I24+'Avg Week NATEETE-BUSEGA'!I24</f>
        <v>18.428571428571427</v>
      </c>
      <c r="J24" s="49">
        <f>'Avg Week BUSEGA-NATEETE'!J24+'Avg Week NATEETE-BUSEGA'!J24</f>
        <v>12.428571428571429</v>
      </c>
      <c r="K24" s="49">
        <f>'Avg Week BUSEGA-NATEETE'!K24+'Avg Week NATEETE-BUSEGA'!K24</f>
        <v>5.5714285714285721</v>
      </c>
      <c r="L24" s="49">
        <f>'Avg Week BUSEGA-NATEETE'!L24+'Avg Week NATEETE-BUSEGA'!L24</f>
        <v>4.7142857142857144</v>
      </c>
      <c r="M24" s="49">
        <f>'Avg Week BUSEGA-NATEETE'!M24+'Avg Week NATEETE-BUSEGA'!M24</f>
        <v>416.57142857142856</v>
      </c>
      <c r="N24" s="49">
        <f>'Avg Week BUSEGA-NATEETE'!N24+'Avg Week NATEETE-BUSEGA'!N24</f>
        <v>0</v>
      </c>
      <c r="O24" s="15">
        <f t="shared" si="0"/>
        <v>312.71428571428578</v>
      </c>
      <c r="P24" s="15">
        <f t="shared" si="1"/>
        <v>729.28571428571433</v>
      </c>
      <c r="R24" s="1" t="s">
        <v>148</v>
      </c>
      <c r="S24" s="34">
        <f>SUM(C66:C69)</f>
        <v>355</v>
      </c>
      <c r="T24" s="34">
        <f t="shared" ref="T24:AD24" si="16">SUM(D66:D69)</f>
        <v>51</v>
      </c>
      <c r="U24" s="34">
        <f t="shared" si="16"/>
        <v>42</v>
      </c>
      <c r="V24" s="34">
        <f t="shared" si="16"/>
        <v>240.5</v>
      </c>
      <c r="W24" s="34">
        <f t="shared" si="16"/>
        <v>13.5</v>
      </c>
      <c r="X24" s="34">
        <f t="shared" si="16"/>
        <v>10.5</v>
      </c>
      <c r="Y24" s="34">
        <f t="shared" si="16"/>
        <v>39.5</v>
      </c>
      <c r="Z24" s="34">
        <f t="shared" si="16"/>
        <v>19.5</v>
      </c>
      <c r="AA24" s="34">
        <f t="shared" si="16"/>
        <v>20</v>
      </c>
      <c r="AB24" s="34">
        <f t="shared" si="16"/>
        <v>12.5</v>
      </c>
      <c r="AC24" s="34">
        <f t="shared" si="16"/>
        <v>1859</v>
      </c>
      <c r="AD24" s="34">
        <f t="shared" si="16"/>
        <v>0</v>
      </c>
      <c r="AE24" s="31">
        <f t="shared" si="13"/>
        <v>1012.0714285714287</v>
      </c>
      <c r="AF24" s="31">
        <f t="shared" si="13"/>
        <v>2674.7857142857147</v>
      </c>
    </row>
    <row r="25" spans="2:32" ht="23.1" customHeight="1" x14ac:dyDescent="0.25">
      <c r="B25" s="23" t="s">
        <v>52</v>
      </c>
      <c r="C25" s="49">
        <f>'Avg Week BUSEGA-NATEETE'!C25+'Avg Week NATEETE-BUSEGA'!C25</f>
        <v>116.57142857142858</v>
      </c>
      <c r="D25" s="49">
        <f>'Avg Week BUSEGA-NATEETE'!D25+'Avg Week NATEETE-BUSEGA'!D25</f>
        <v>17.428571428571431</v>
      </c>
      <c r="E25" s="49">
        <f>'Avg Week BUSEGA-NATEETE'!E25+'Avg Week NATEETE-BUSEGA'!E25</f>
        <v>16.571428571428569</v>
      </c>
      <c r="F25" s="49">
        <f>'Avg Week BUSEGA-NATEETE'!F25+'Avg Week NATEETE-BUSEGA'!F25</f>
        <v>113.14285714285714</v>
      </c>
      <c r="G25" s="49">
        <f>'Avg Week BUSEGA-NATEETE'!G25+'Avg Week NATEETE-BUSEGA'!G25</f>
        <v>2.5714285714285712</v>
      </c>
      <c r="H25" s="49">
        <f>'Avg Week BUSEGA-NATEETE'!H25+'Avg Week NATEETE-BUSEGA'!H25</f>
        <v>2.5714285714285712</v>
      </c>
      <c r="I25" s="49">
        <f>'Avg Week BUSEGA-NATEETE'!I25+'Avg Week NATEETE-BUSEGA'!I25</f>
        <v>17.428571428571431</v>
      </c>
      <c r="J25" s="49">
        <f>'Avg Week BUSEGA-NATEETE'!J25+'Avg Week NATEETE-BUSEGA'!J25</f>
        <v>12.857142857142858</v>
      </c>
      <c r="K25" s="49">
        <f>'Avg Week BUSEGA-NATEETE'!K25+'Avg Week NATEETE-BUSEGA'!K25</f>
        <v>3.8571428571428572</v>
      </c>
      <c r="L25" s="49">
        <f>'Avg Week BUSEGA-NATEETE'!L25+'Avg Week NATEETE-BUSEGA'!L25</f>
        <v>4.2857142857142856</v>
      </c>
      <c r="M25" s="49">
        <f>'Avg Week BUSEGA-NATEETE'!M25+'Avg Week NATEETE-BUSEGA'!M25</f>
        <v>398.85714285714289</v>
      </c>
      <c r="N25" s="49">
        <f>'Avg Week BUSEGA-NATEETE'!N25+'Avg Week NATEETE-BUSEGA'!N25</f>
        <v>0.14285714285714285</v>
      </c>
      <c r="O25" s="15">
        <f t="shared" si="0"/>
        <v>307.42857142857133</v>
      </c>
      <c r="P25" s="15">
        <f t="shared" si="1"/>
        <v>706.28571428571422</v>
      </c>
      <c r="R25" s="1" t="s">
        <v>149</v>
      </c>
      <c r="S25" s="34">
        <f>SUM(C70:C73)</f>
        <v>468.5</v>
      </c>
      <c r="T25" s="34">
        <f t="shared" ref="T25:AD25" si="17">SUM(D70:D73)</f>
        <v>55.5</v>
      </c>
      <c r="U25" s="34">
        <f t="shared" si="17"/>
        <v>53.5</v>
      </c>
      <c r="V25" s="34">
        <f t="shared" si="17"/>
        <v>274</v>
      </c>
      <c r="W25" s="34">
        <f t="shared" si="17"/>
        <v>6.5</v>
      </c>
      <c r="X25" s="34">
        <f t="shared" si="17"/>
        <v>10.5</v>
      </c>
      <c r="Y25" s="34">
        <f t="shared" si="17"/>
        <v>57.5</v>
      </c>
      <c r="Z25" s="34">
        <f t="shared" si="17"/>
        <v>32</v>
      </c>
      <c r="AA25" s="34">
        <f t="shared" si="17"/>
        <v>12</v>
      </c>
      <c r="AB25" s="34">
        <f t="shared" si="17"/>
        <v>16</v>
      </c>
      <c r="AC25" s="34">
        <f t="shared" si="17"/>
        <v>1544</v>
      </c>
      <c r="AD25" s="34">
        <f t="shared" si="17"/>
        <v>0</v>
      </c>
      <c r="AE25" s="31">
        <f t="shared" si="13"/>
        <v>942.5</v>
      </c>
      <c r="AF25" s="31">
        <f t="shared" si="13"/>
        <v>2666</v>
      </c>
    </row>
    <row r="26" spans="2:32" ht="23.1" customHeight="1" x14ac:dyDescent="0.25">
      <c r="B26" s="23" t="s">
        <v>53</v>
      </c>
      <c r="C26" s="49">
        <f>'Avg Week BUSEGA-NATEETE'!C26+'Avg Week NATEETE-BUSEGA'!C26</f>
        <v>133.85714285714286</v>
      </c>
      <c r="D26" s="49">
        <f>'Avg Week BUSEGA-NATEETE'!D26+'Avg Week NATEETE-BUSEGA'!D26</f>
        <v>20.714285714285715</v>
      </c>
      <c r="E26" s="49">
        <f>'Avg Week BUSEGA-NATEETE'!E26+'Avg Week NATEETE-BUSEGA'!E26</f>
        <v>21.714285714285715</v>
      </c>
      <c r="F26" s="49">
        <f>'Avg Week BUSEGA-NATEETE'!F26+'Avg Week NATEETE-BUSEGA'!F26</f>
        <v>132.71428571428572</v>
      </c>
      <c r="G26" s="49">
        <f>'Avg Week BUSEGA-NATEETE'!G26+'Avg Week NATEETE-BUSEGA'!G26</f>
        <v>1.7142857142857144</v>
      </c>
      <c r="H26" s="49">
        <f>'Avg Week BUSEGA-NATEETE'!H26+'Avg Week NATEETE-BUSEGA'!H26</f>
        <v>2.2857142857142856</v>
      </c>
      <c r="I26" s="49">
        <f>'Avg Week BUSEGA-NATEETE'!I26+'Avg Week NATEETE-BUSEGA'!I26</f>
        <v>20.714285714285715</v>
      </c>
      <c r="J26" s="49">
        <f>'Avg Week BUSEGA-NATEETE'!J26+'Avg Week NATEETE-BUSEGA'!J26</f>
        <v>11.714285714285715</v>
      </c>
      <c r="K26" s="49">
        <f>'Avg Week BUSEGA-NATEETE'!K26+'Avg Week NATEETE-BUSEGA'!K26</f>
        <v>4</v>
      </c>
      <c r="L26" s="49">
        <f>'Avg Week BUSEGA-NATEETE'!L26+'Avg Week NATEETE-BUSEGA'!L26</f>
        <v>4.8571428571428577</v>
      </c>
      <c r="M26" s="49">
        <f>'Avg Week BUSEGA-NATEETE'!M26+'Avg Week NATEETE-BUSEGA'!M26</f>
        <v>427.57142857142856</v>
      </c>
      <c r="N26" s="49">
        <f>'Avg Week BUSEGA-NATEETE'!N26+'Avg Week NATEETE-BUSEGA'!N26</f>
        <v>0</v>
      </c>
      <c r="O26" s="15">
        <f t="shared" si="0"/>
        <v>354.28571428571428</v>
      </c>
      <c r="P26" s="15">
        <f t="shared" si="1"/>
        <v>781.85714285714289</v>
      </c>
      <c r="R26" s="1" t="s">
        <v>150</v>
      </c>
      <c r="S26" s="34">
        <f>SUM(C74:C77)</f>
        <v>420.5</v>
      </c>
      <c r="T26" s="34">
        <f t="shared" ref="T26:AD26" si="18">SUM(D74:D77)</f>
        <v>54</v>
      </c>
      <c r="U26" s="34">
        <f t="shared" si="18"/>
        <v>46</v>
      </c>
      <c r="V26" s="34">
        <f t="shared" si="18"/>
        <v>193</v>
      </c>
      <c r="W26" s="34">
        <f t="shared" si="18"/>
        <v>4</v>
      </c>
      <c r="X26" s="34">
        <f t="shared" si="18"/>
        <v>10.5</v>
      </c>
      <c r="Y26" s="34">
        <f t="shared" si="18"/>
        <v>37.5</v>
      </c>
      <c r="Z26" s="34">
        <f t="shared" si="18"/>
        <v>26</v>
      </c>
      <c r="AA26" s="34">
        <f t="shared" si="18"/>
        <v>12</v>
      </c>
      <c r="AB26" s="34">
        <f t="shared" si="18"/>
        <v>10.5</v>
      </c>
      <c r="AC26" s="34">
        <f t="shared" si="18"/>
        <v>1158.5</v>
      </c>
      <c r="AD26" s="34">
        <f t="shared" si="18"/>
        <v>0</v>
      </c>
      <c r="AE26" s="31">
        <f t="shared" si="13"/>
        <v>961</v>
      </c>
      <c r="AF26" s="31">
        <f t="shared" si="13"/>
        <v>2731.5</v>
      </c>
    </row>
    <row r="27" spans="2:32" ht="23.1" customHeight="1" x14ac:dyDescent="0.25">
      <c r="B27" s="23" t="s">
        <v>54</v>
      </c>
      <c r="C27" s="49">
        <f>'Avg Week BUSEGA-NATEETE'!C27+'Avg Week NATEETE-BUSEGA'!C27</f>
        <v>127.42857142857142</v>
      </c>
      <c r="D27" s="49">
        <f>'Avg Week BUSEGA-NATEETE'!D27+'Avg Week NATEETE-BUSEGA'!D27</f>
        <v>22.857142857142858</v>
      </c>
      <c r="E27" s="49">
        <f>'Avg Week BUSEGA-NATEETE'!E27+'Avg Week NATEETE-BUSEGA'!E27</f>
        <v>16.714285714285715</v>
      </c>
      <c r="F27" s="49">
        <f>'Avg Week BUSEGA-NATEETE'!F27+'Avg Week NATEETE-BUSEGA'!F27</f>
        <v>122.42857142857142</v>
      </c>
      <c r="G27" s="49">
        <f>'Avg Week BUSEGA-NATEETE'!G27+'Avg Week NATEETE-BUSEGA'!G27</f>
        <v>2.7142857142857144</v>
      </c>
      <c r="H27" s="49">
        <f>'Avg Week BUSEGA-NATEETE'!H27+'Avg Week NATEETE-BUSEGA'!H27</f>
        <v>3</v>
      </c>
      <c r="I27" s="49">
        <f>'Avg Week BUSEGA-NATEETE'!I27+'Avg Week NATEETE-BUSEGA'!I27</f>
        <v>19</v>
      </c>
      <c r="J27" s="49">
        <f>'Avg Week BUSEGA-NATEETE'!J27+'Avg Week NATEETE-BUSEGA'!J27</f>
        <v>10.285714285714285</v>
      </c>
      <c r="K27" s="49">
        <f>'Avg Week BUSEGA-NATEETE'!K27+'Avg Week NATEETE-BUSEGA'!K27</f>
        <v>4.4285714285714288</v>
      </c>
      <c r="L27" s="49">
        <f>'Avg Week BUSEGA-NATEETE'!L27+'Avg Week NATEETE-BUSEGA'!L27</f>
        <v>5.2857142857142856</v>
      </c>
      <c r="M27" s="49">
        <f>'Avg Week BUSEGA-NATEETE'!M27+'Avg Week NATEETE-BUSEGA'!M27</f>
        <v>372.57142857142856</v>
      </c>
      <c r="N27" s="49">
        <f>'Avg Week BUSEGA-NATEETE'!N27+'Avg Week NATEETE-BUSEGA'!N27</f>
        <v>0</v>
      </c>
      <c r="O27" s="15">
        <f t="shared" si="0"/>
        <v>334.14285714285717</v>
      </c>
      <c r="P27" s="15">
        <f t="shared" si="1"/>
        <v>706.71428571428578</v>
      </c>
      <c r="R27" s="1" t="s">
        <v>151</v>
      </c>
      <c r="S27" s="34">
        <f>SUM(C78:C81)</f>
        <v>300.5</v>
      </c>
      <c r="T27" s="34">
        <f t="shared" ref="T27:AD27" si="19">SUM(D78:D81)</f>
        <v>38.5</v>
      </c>
      <c r="U27" s="34">
        <f t="shared" si="19"/>
        <v>43</v>
      </c>
      <c r="V27" s="34">
        <f t="shared" si="19"/>
        <v>128</v>
      </c>
      <c r="W27" s="34">
        <f t="shared" si="19"/>
        <v>4.5</v>
      </c>
      <c r="X27" s="34">
        <f t="shared" si="19"/>
        <v>16</v>
      </c>
      <c r="Y27" s="34">
        <f t="shared" si="19"/>
        <v>36</v>
      </c>
      <c r="Z27" s="34">
        <f t="shared" si="19"/>
        <v>25.5</v>
      </c>
      <c r="AA27" s="34">
        <f t="shared" si="19"/>
        <v>10</v>
      </c>
      <c r="AB27" s="34">
        <f t="shared" si="19"/>
        <v>10</v>
      </c>
      <c r="AC27" s="34">
        <f t="shared" si="19"/>
        <v>796.5</v>
      </c>
      <c r="AD27" s="34">
        <f t="shared" si="19"/>
        <v>0</v>
      </c>
      <c r="AE27" s="31">
        <f t="shared" si="13"/>
        <v>950.5</v>
      </c>
      <c r="AF27" s="31">
        <f t="shared" si="13"/>
        <v>2737.5</v>
      </c>
    </row>
    <row r="28" spans="2:32" ht="23.1" customHeight="1" x14ac:dyDescent="0.25">
      <c r="B28" s="23" t="s">
        <v>55</v>
      </c>
      <c r="C28" s="49">
        <f>'Avg Week BUSEGA-NATEETE'!C28+'Avg Week NATEETE-BUSEGA'!C28</f>
        <v>112.42857142857144</v>
      </c>
      <c r="D28" s="49">
        <f>'Avg Week BUSEGA-NATEETE'!D28+'Avg Week NATEETE-BUSEGA'!D28</f>
        <v>18.714285714285715</v>
      </c>
      <c r="E28" s="49">
        <f>'Avg Week BUSEGA-NATEETE'!E28+'Avg Week NATEETE-BUSEGA'!E28</f>
        <v>19</v>
      </c>
      <c r="F28" s="49">
        <f>'Avg Week BUSEGA-NATEETE'!F28+'Avg Week NATEETE-BUSEGA'!F28</f>
        <v>123.71428571428572</v>
      </c>
      <c r="G28" s="49">
        <f>'Avg Week BUSEGA-NATEETE'!G28+'Avg Week NATEETE-BUSEGA'!G28</f>
        <v>3.2857142857142856</v>
      </c>
      <c r="H28" s="49">
        <f>'Avg Week BUSEGA-NATEETE'!H28+'Avg Week NATEETE-BUSEGA'!H28</f>
        <v>2.8571428571428572</v>
      </c>
      <c r="I28" s="49">
        <f>'Avg Week BUSEGA-NATEETE'!I28+'Avg Week NATEETE-BUSEGA'!I28</f>
        <v>17</v>
      </c>
      <c r="J28" s="49">
        <f>'Avg Week BUSEGA-NATEETE'!J28+'Avg Week NATEETE-BUSEGA'!J28</f>
        <v>11.857142857142858</v>
      </c>
      <c r="K28" s="49">
        <f>'Avg Week BUSEGA-NATEETE'!K28+'Avg Week NATEETE-BUSEGA'!K28</f>
        <v>2.7142857142857144</v>
      </c>
      <c r="L28" s="49">
        <f>'Avg Week BUSEGA-NATEETE'!L28+'Avg Week NATEETE-BUSEGA'!L28</f>
        <v>5.2857142857142856</v>
      </c>
      <c r="M28" s="49">
        <f>'Avg Week BUSEGA-NATEETE'!M28+'Avg Week NATEETE-BUSEGA'!M28</f>
        <v>409.14285714285711</v>
      </c>
      <c r="N28" s="49">
        <f>'Avg Week BUSEGA-NATEETE'!N28+'Avg Week NATEETE-BUSEGA'!N28</f>
        <v>0</v>
      </c>
      <c r="O28" s="15">
        <f t="shared" si="0"/>
        <v>316.85714285714283</v>
      </c>
      <c r="P28" s="15">
        <f t="shared" si="1"/>
        <v>726</v>
      </c>
      <c r="R28" s="1" t="s">
        <v>152</v>
      </c>
      <c r="S28" s="34">
        <f>SUM(C82:C85)</f>
        <v>208.5</v>
      </c>
      <c r="T28" s="34">
        <f>SUM(D82:D85)</f>
        <v>22.5</v>
      </c>
      <c r="U28" s="34">
        <f t="shared" ref="U28:AD28" si="20">SUM(E82:E85)</f>
        <v>21</v>
      </c>
      <c r="V28" s="34">
        <f t="shared" si="20"/>
        <v>50</v>
      </c>
      <c r="W28" s="34">
        <f t="shared" si="20"/>
        <v>2.5</v>
      </c>
      <c r="X28" s="34">
        <f t="shared" si="20"/>
        <v>5.5</v>
      </c>
      <c r="Y28" s="34">
        <f t="shared" si="20"/>
        <v>34.5</v>
      </c>
      <c r="Z28" s="34">
        <f t="shared" si="20"/>
        <v>38.5</v>
      </c>
      <c r="AA28" s="34">
        <f t="shared" si="20"/>
        <v>21</v>
      </c>
      <c r="AB28" s="34">
        <f t="shared" si="20"/>
        <v>6</v>
      </c>
      <c r="AC28" s="34">
        <f t="shared" si="20"/>
        <v>507.5</v>
      </c>
      <c r="AD28" s="34">
        <f t="shared" si="20"/>
        <v>0</v>
      </c>
      <c r="AE28" s="31">
        <f t="shared" si="13"/>
        <v>966.5</v>
      </c>
      <c r="AF28" s="31">
        <f t="shared" si="13"/>
        <v>2768</v>
      </c>
    </row>
    <row r="29" spans="2:32" ht="23.1" customHeight="1" x14ac:dyDescent="0.25">
      <c r="B29" s="23" t="s">
        <v>56</v>
      </c>
      <c r="C29" s="49">
        <f>'Avg Week BUSEGA-NATEETE'!C29+'Avg Week NATEETE-BUSEGA'!C29</f>
        <v>118.85714285714286</v>
      </c>
      <c r="D29" s="49">
        <f>'Avg Week BUSEGA-NATEETE'!D29+'Avg Week NATEETE-BUSEGA'!D29</f>
        <v>17.428571428571431</v>
      </c>
      <c r="E29" s="49">
        <f>'Avg Week BUSEGA-NATEETE'!E29+'Avg Week NATEETE-BUSEGA'!E29</f>
        <v>16</v>
      </c>
      <c r="F29" s="49">
        <f>'Avg Week BUSEGA-NATEETE'!F29+'Avg Week NATEETE-BUSEGA'!F29</f>
        <v>127.85714285714286</v>
      </c>
      <c r="G29" s="49">
        <f>'Avg Week BUSEGA-NATEETE'!G29+'Avg Week NATEETE-BUSEGA'!G29</f>
        <v>2.1428571428571428</v>
      </c>
      <c r="H29" s="49">
        <f>'Avg Week BUSEGA-NATEETE'!H29+'Avg Week NATEETE-BUSEGA'!H29</f>
        <v>2.4285714285714288</v>
      </c>
      <c r="I29" s="49">
        <f>'Avg Week BUSEGA-NATEETE'!I29+'Avg Week NATEETE-BUSEGA'!I29</f>
        <v>17.571428571428573</v>
      </c>
      <c r="J29" s="49">
        <f>'Avg Week BUSEGA-NATEETE'!J29+'Avg Week NATEETE-BUSEGA'!J29</f>
        <v>9.5714285714285712</v>
      </c>
      <c r="K29" s="49">
        <f>'Avg Week BUSEGA-NATEETE'!K29+'Avg Week NATEETE-BUSEGA'!K29</f>
        <v>4</v>
      </c>
      <c r="L29" s="49">
        <f>'Avg Week BUSEGA-NATEETE'!L29+'Avg Week NATEETE-BUSEGA'!L29</f>
        <v>6</v>
      </c>
      <c r="M29" s="49">
        <f>'Avg Week BUSEGA-NATEETE'!M29+'Avg Week NATEETE-BUSEGA'!M29</f>
        <v>360.57142857142856</v>
      </c>
      <c r="N29" s="49">
        <f>'Avg Week BUSEGA-NATEETE'!N29+'Avg Week NATEETE-BUSEGA'!N29</f>
        <v>0</v>
      </c>
      <c r="O29" s="15">
        <f t="shared" si="0"/>
        <v>321.85714285714283</v>
      </c>
      <c r="P29" s="15">
        <f t="shared" si="1"/>
        <v>682.42857142857133</v>
      </c>
      <c r="R29" s="1" t="s">
        <v>153</v>
      </c>
      <c r="S29" s="34">
        <f>SUM(C86:C89)</f>
        <v>119</v>
      </c>
      <c r="T29" s="34">
        <f t="shared" ref="T29:AD29" si="21">SUM(D86:D89)</f>
        <v>15</v>
      </c>
      <c r="U29" s="34">
        <f t="shared" si="21"/>
        <v>14</v>
      </c>
      <c r="V29" s="34">
        <f t="shared" si="21"/>
        <v>22</v>
      </c>
      <c r="W29" s="34">
        <f t="shared" si="21"/>
        <v>0.5</v>
      </c>
      <c r="X29" s="34">
        <f t="shared" si="21"/>
        <v>8.5</v>
      </c>
      <c r="Y29" s="34">
        <f t="shared" si="21"/>
        <v>36.5</v>
      </c>
      <c r="Z29" s="34">
        <f t="shared" si="21"/>
        <v>40.5</v>
      </c>
      <c r="AA29" s="34">
        <f t="shared" si="21"/>
        <v>12</v>
      </c>
      <c r="AB29" s="34">
        <f t="shared" si="21"/>
        <v>15</v>
      </c>
      <c r="AC29" s="34">
        <f t="shared" si="21"/>
        <v>309</v>
      </c>
      <c r="AD29" s="34">
        <f t="shared" si="21"/>
        <v>0</v>
      </c>
      <c r="AE29" s="31">
        <f t="shared" si="13"/>
        <v>978</v>
      </c>
      <c r="AF29" s="31">
        <f t="shared" si="13"/>
        <v>2816.5</v>
      </c>
    </row>
    <row r="30" spans="2:32" ht="23.1" customHeight="1" x14ac:dyDescent="0.25">
      <c r="B30" s="23" t="s">
        <v>57</v>
      </c>
      <c r="C30" s="49">
        <f>'Avg Week BUSEGA-NATEETE'!C30+'Avg Week NATEETE-BUSEGA'!C30</f>
        <v>125.14285714285714</v>
      </c>
      <c r="D30" s="49">
        <f>'Avg Week BUSEGA-NATEETE'!D30+'Avg Week NATEETE-BUSEGA'!D30</f>
        <v>23.428571428571431</v>
      </c>
      <c r="E30" s="49">
        <f>'Avg Week BUSEGA-NATEETE'!E30+'Avg Week NATEETE-BUSEGA'!E30</f>
        <v>16.571428571428573</v>
      </c>
      <c r="F30" s="49">
        <f>'Avg Week BUSEGA-NATEETE'!F30+'Avg Week NATEETE-BUSEGA'!F30</f>
        <v>122.14285714285714</v>
      </c>
      <c r="G30" s="49">
        <f>'Avg Week BUSEGA-NATEETE'!G30+'Avg Week NATEETE-BUSEGA'!G30</f>
        <v>2.7142857142857144</v>
      </c>
      <c r="H30" s="49">
        <f>'Avg Week BUSEGA-NATEETE'!H30+'Avg Week NATEETE-BUSEGA'!H30</f>
        <v>2.5714285714285716</v>
      </c>
      <c r="I30" s="49">
        <f>'Avg Week BUSEGA-NATEETE'!I30+'Avg Week NATEETE-BUSEGA'!I30</f>
        <v>26.571428571428573</v>
      </c>
      <c r="J30" s="49">
        <f>'Avg Week BUSEGA-NATEETE'!J30+'Avg Week NATEETE-BUSEGA'!J30</f>
        <v>10.571428571428573</v>
      </c>
      <c r="K30" s="49">
        <f>'Avg Week BUSEGA-NATEETE'!K30+'Avg Week NATEETE-BUSEGA'!K30</f>
        <v>4.4285714285714288</v>
      </c>
      <c r="L30" s="49">
        <f>'Avg Week BUSEGA-NATEETE'!L30+'Avg Week NATEETE-BUSEGA'!L30</f>
        <v>5.1428571428571423</v>
      </c>
      <c r="M30" s="49">
        <f>'Avg Week BUSEGA-NATEETE'!M30+'Avg Week NATEETE-BUSEGA'!M30</f>
        <v>384.42857142857144</v>
      </c>
      <c r="N30" s="49">
        <f>'Avg Week BUSEGA-NATEETE'!N30+'Avg Week NATEETE-BUSEGA'!N30</f>
        <v>0</v>
      </c>
      <c r="O30" s="15">
        <f t="shared" si="0"/>
        <v>339.28571428571428</v>
      </c>
      <c r="P30" s="15">
        <f t="shared" si="1"/>
        <v>723.71428571428578</v>
      </c>
      <c r="R30" s="1" t="s">
        <v>154</v>
      </c>
      <c r="S30" s="34">
        <f>SUM(C90:C93)</f>
        <v>120.5</v>
      </c>
      <c r="T30" s="34">
        <f t="shared" ref="T30:AD30" si="22">SUM(D90:D93)</f>
        <v>15.5</v>
      </c>
      <c r="U30" s="34">
        <f t="shared" si="22"/>
        <v>14.5</v>
      </c>
      <c r="V30" s="34">
        <f t="shared" si="22"/>
        <v>16</v>
      </c>
      <c r="W30" s="34">
        <f t="shared" si="22"/>
        <v>2</v>
      </c>
      <c r="X30" s="34">
        <f t="shared" si="22"/>
        <v>15.5</v>
      </c>
      <c r="Y30" s="34">
        <f t="shared" si="22"/>
        <v>25</v>
      </c>
      <c r="Z30" s="34">
        <f t="shared" si="22"/>
        <v>36.5</v>
      </c>
      <c r="AA30" s="34">
        <f t="shared" si="22"/>
        <v>16</v>
      </c>
      <c r="AB30" s="34">
        <f t="shared" si="22"/>
        <v>6</v>
      </c>
      <c r="AC30" s="34">
        <f t="shared" si="22"/>
        <v>328.5</v>
      </c>
      <c r="AD30" s="34">
        <f t="shared" si="22"/>
        <v>0</v>
      </c>
      <c r="AE30" s="31">
        <f t="shared" si="13"/>
        <v>984.5</v>
      </c>
      <c r="AF30" s="31">
        <f t="shared" si="13"/>
        <v>2901.5</v>
      </c>
    </row>
    <row r="31" spans="2:32" ht="23.1" customHeight="1" x14ac:dyDescent="0.25">
      <c r="B31" s="24" t="s">
        <v>58</v>
      </c>
      <c r="C31" s="49">
        <f>'Avg Week BUSEGA-NATEETE'!C31+'Avg Week NATEETE-BUSEGA'!C31</f>
        <v>92.428571428571416</v>
      </c>
      <c r="D31" s="49">
        <f>'Avg Week BUSEGA-NATEETE'!D31+'Avg Week NATEETE-BUSEGA'!D31</f>
        <v>17.428571428571431</v>
      </c>
      <c r="E31" s="49">
        <f>'Avg Week BUSEGA-NATEETE'!E31+'Avg Week NATEETE-BUSEGA'!E31</f>
        <v>19.142857142857146</v>
      </c>
      <c r="F31" s="49">
        <f>'Avg Week BUSEGA-NATEETE'!F31+'Avg Week NATEETE-BUSEGA'!F31</f>
        <v>97.285714285714278</v>
      </c>
      <c r="G31" s="49">
        <f>'Avg Week BUSEGA-NATEETE'!G31+'Avg Week NATEETE-BUSEGA'!G31</f>
        <v>2.8571428571428572</v>
      </c>
      <c r="H31" s="49">
        <f>'Avg Week BUSEGA-NATEETE'!H31+'Avg Week NATEETE-BUSEGA'!H31</f>
        <v>2.5714285714285712</v>
      </c>
      <c r="I31" s="49">
        <f>'Avg Week BUSEGA-NATEETE'!I31+'Avg Week NATEETE-BUSEGA'!I31</f>
        <v>17.285714285714285</v>
      </c>
      <c r="J31" s="49">
        <f>'Avg Week BUSEGA-NATEETE'!J31+'Avg Week NATEETE-BUSEGA'!J31</f>
        <v>11.857142857142858</v>
      </c>
      <c r="K31" s="49">
        <f>'Avg Week BUSEGA-NATEETE'!K31+'Avg Week NATEETE-BUSEGA'!K31</f>
        <v>3.8571428571428568</v>
      </c>
      <c r="L31" s="49">
        <f>'Avg Week BUSEGA-NATEETE'!L31+'Avg Week NATEETE-BUSEGA'!L31</f>
        <v>5.4285714285714288</v>
      </c>
      <c r="M31" s="49">
        <f>'Avg Week BUSEGA-NATEETE'!M31+'Avg Week NATEETE-BUSEGA'!M31</f>
        <v>393.42857142857144</v>
      </c>
      <c r="N31" s="49">
        <f>'Avg Week BUSEGA-NATEETE'!N31+'Avg Week NATEETE-BUSEGA'!N31</f>
        <v>0</v>
      </c>
      <c r="O31" s="15">
        <f t="shared" si="0"/>
        <v>270.14285714285711</v>
      </c>
      <c r="P31" s="15">
        <f t="shared" si="1"/>
        <v>663.57142857142856</v>
      </c>
      <c r="R31" s="1" t="s">
        <v>155</v>
      </c>
      <c r="S31" s="34">
        <f>SUM(C94:C97)</f>
        <v>113.5</v>
      </c>
      <c r="T31" s="34">
        <f t="shared" ref="T31:AD31" si="23">SUM(D94:D97)</f>
        <v>11.5</v>
      </c>
      <c r="U31" s="34">
        <f t="shared" si="23"/>
        <v>16.5</v>
      </c>
      <c r="V31" s="34">
        <f t="shared" si="23"/>
        <v>37.5</v>
      </c>
      <c r="W31" s="34">
        <f t="shared" si="23"/>
        <v>11</v>
      </c>
      <c r="X31" s="34">
        <f t="shared" si="23"/>
        <v>31</v>
      </c>
      <c r="Y31" s="34">
        <f t="shared" si="23"/>
        <v>32.5</v>
      </c>
      <c r="Z31" s="34">
        <f t="shared" si="23"/>
        <v>58</v>
      </c>
      <c r="AA31" s="34">
        <f t="shared" si="23"/>
        <v>28.5</v>
      </c>
      <c r="AB31" s="34">
        <f t="shared" si="23"/>
        <v>11</v>
      </c>
      <c r="AC31" s="34">
        <f t="shared" si="23"/>
        <v>377.5</v>
      </c>
      <c r="AD31" s="34">
        <f t="shared" si="23"/>
        <v>0</v>
      </c>
      <c r="AE31" s="31">
        <f t="shared" si="13"/>
        <v>942</v>
      </c>
      <c r="AF31" s="31">
        <f t="shared" si="13"/>
        <v>2871.5</v>
      </c>
    </row>
    <row r="32" spans="2:32" ht="23.1" customHeight="1" x14ac:dyDescent="0.25">
      <c r="B32" s="24" t="s">
        <v>59</v>
      </c>
      <c r="C32" s="49">
        <f>'Avg Week BUSEGA-NATEETE'!C32+'Avg Week NATEETE-BUSEGA'!C32</f>
        <v>111.85714285714286</v>
      </c>
      <c r="D32" s="49">
        <f>'Avg Week BUSEGA-NATEETE'!D32+'Avg Week NATEETE-BUSEGA'!D32</f>
        <v>19.428571428571431</v>
      </c>
      <c r="E32" s="49">
        <f>'Avg Week BUSEGA-NATEETE'!E32+'Avg Week NATEETE-BUSEGA'!E32</f>
        <v>14.428571428571427</v>
      </c>
      <c r="F32" s="49">
        <f>'Avg Week BUSEGA-NATEETE'!F32+'Avg Week NATEETE-BUSEGA'!F32</f>
        <v>116.57142857142857</v>
      </c>
      <c r="G32" s="49">
        <f>'Avg Week BUSEGA-NATEETE'!G32+'Avg Week NATEETE-BUSEGA'!G32</f>
        <v>2.4285714285714288</v>
      </c>
      <c r="H32" s="49">
        <f>'Avg Week BUSEGA-NATEETE'!H32+'Avg Week NATEETE-BUSEGA'!H32</f>
        <v>2.8571428571428572</v>
      </c>
      <c r="I32" s="49">
        <f>'Avg Week BUSEGA-NATEETE'!I32+'Avg Week NATEETE-BUSEGA'!I32</f>
        <v>21.714285714285715</v>
      </c>
      <c r="J32" s="49">
        <f>'Avg Week BUSEGA-NATEETE'!J32+'Avg Week NATEETE-BUSEGA'!J32</f>
        <v>10.571428571428571</v>
      </c>
      <c r="K32" s="49">
        <f>'Avg Week BUSEGA-NATEETE'!K32+'Avg Week NATEETE-BUSEGA'!K32</f>
        <v>4.4285714285714288</v>
      </c>
      <c r="L32" s="49">
        <f>'Avg Week BUSEGA-NATEETE'!L32+'Avg Week NATEETE-BUSEGA'!L32</f>
        <v>6.4285714285714288</v>
      </c>
      <c r="M32" s="49">
        <f>'Avg Week BUSEGA-NATEETE'!M32+'Avg Week NATEETE-BUSEGA'!M32</f>
        <v>343.57142857142856</v>
      </c>
      <c r="N32" s="49">
        <f>'Avg Week BUSEGA-NATEETE'!N32+'Avg Week NATEETE-BUSEGA'!N32</f>
        <v>0</v>
      </c>
      <c r="O32" s="15">
        <f t="shared" si="0"/>
        <v>310.71428571428572</v>
      </c>
      <c r="P32" s="15">
        <f t="shared" si="1"/>
        <v>654.28571428571422</v>
      </c>
      <c r="R32" s="1" t="s">
        <v>156</v>
      </c>
      <c r="S32" s="34">
        <f>SUM(C98:C101)</f>
        <v>130</v>
      </c>
      <c r="T32" s="34">
        <f t="shared" ref="T32:AD32" si="24">SUM(D98:D101)</f>
        <v>14</v>
      </c>
      <c r="U32" s="34">
        <f t="shared" si="24"/>
        <v>32.5</v>
      </c>
      <c r="V32" s="34">
        <f t="shared" si="24"/>
        <v>152</v>
      </c>
      <c r="W32" s="34">
        <f t="shared" si="24"/>
        <v>5</v>
      </c>
      <c r="X32" s="34">
        <f t="shared" si="24"/>
        <v>17.5</v>
      </c>
      <c r="Y32" s="34">
        <f t="shared" si="24"/>
        <v>44</v>
      </c>
      <c r="Z32" s="34">
        <f t="shared" si="24"/>
        <v>31</v>
      </c>
      <c r="AA32" s="34">
        <f t="shared" si="24"/>
        <v>14.5</v>
      </c>
      <c r="AB32" s="34">
        <f t="shared" si="24"/>
        <v>16</v>
      </c>
      <c r="AC32" s="34">
        <f t="shared" si="24"/>
        <v>456.5</v>
      </c>
      <c r="AD32" s="34">
        <f t="shared" si="24"/>
        <v>0</v>
      </c>
      <c r="AE32" s="31">
        <f t="shared" si="13"/>
        <v>875</v>
      </c>
      <c r="AF32" s="31">
        <f t="shared" si="13"/>
        <v>2780.5</v>
      </c>
    </row>
    <row r="33" spans="2:32" ht="23.1" customHeight="1" x14ac:dyDescent="0.25">
      <c r="B33" s="23" t="s">
        <v>60</v>
      </c>
      <c r="C33" s="49">
        <f>'Avg Week BUSEGA-NATEETE'!C33+'Avg Week NATEETE-BUSEGA'!C33</f>
        <v>113</v>
      </c>
      <c r="D33" s="49">
        <f>'Avg Week BUSEGA-NATEETE'!D33+'Avg Week NATEETE-BUSEGA'!D33</f>
        <v>20.428571428571427</v>
      </c>
      <c r="E33" s="49">
        <f>'Avg Week BUSEGA-NATEETE'!E33+'Avg Week NATEETE-BUSEGA'!E33</f>
        <v>18.142857142857142</v>
      </c>
      <c r="F33" s="49">
        <f>'Avg Week BUSEGA-NATEETE'!F33+'Avg Week NATEETE-BUSEGA'!F33</f>
        <v>113.57142857142857</v>
      </c>
      <c r="G33" s="49">
        <f>'Avg Week BUSEGA-NATEETE'!G33+'Avg Week NATEETE-BUSEGA'!G33</f>
        <v>1.5714285714285716</v>
      </c>
      <c r="H33" s="49">
        <f>'Avg Week BUSEGA-NATEETE'!H33+'Avg Week NATEETE-BUSEGA'!H33</f>
        <v>2.5714285714285716</v>
      </c>
      <c r="I33" s="49">
        <f>'Avg Week BUSEGA-NATEETE'!I33+'Avg Week NATEETE-BUSEGA'!I33</f>
        <v>15.857142857142858</v>
      </c>
      <c r="J33" s="49">
        <f>'Avg Week BUSEGA-NATEETE'!J33+'Avg Week NATEETE-BUSEGA'!J33</f>
        <v>12.285714285714285</v>
      </c>
      <c r="K33" s="49">
        <f>'Avg Week BUSEGA-NATEETE'!K33+'Avg Week NATEETE-BUSEGA'!K33</f>
        <v>3</v>
      </c>
      <c r="L33" s="49">
        <f>'Avg Week BUSEGA-NATEETE'!L33+'Avg Week NATEETE-BUSEGA'!L33</f>
        <v>4.8571428571428568</v>
      </c>
      <c r="M33" s="49">
        <f>'Avg Week BUSEGA-NATEETE'!M33+'Avg Week NATEETE-BUSEGA'!M33</f>
        <v>327.14285714285711</v>
      </c>
      <c r="N33" s="49">
        <f>'Avg Week BUSEGA-NATEETE'!N33+'Avg Week NATEETE-BUSEGA'!N33</f>
        <v>0</v>
      </c>
      <c r="O33" s="15">
        <f t="shared" si="0"/>
        <v>305.28571428571416</v>
      </c>
      <c r="P33" s="15">
        <f t="shared" si="1"/>
        <v>632.42857142857133</v>
      </c>
      <c r="R33" s="1" t="s">
        <v>157</v>
      </c>
      <c r="S33" s="34">
        <f>SUM(C102:C105)</f>
        <v>282.5</v>
      </c>
      <c r="T33" s="34">
        <f t="shared" ref="T33:AD33" si="25">SUM(D102:D105)</f>
        <v>37</v>
      </c>
      <c r="U33" s="34">
        <f t="shared" si="25"/>
        <v>57</v>
      </c>
      <c r="V33" s="34">
        <f t="shared" si="25"/>
        <v>349</v>
      </c>
      <c r="W33" s="34">
        <f t="shared" si="25"/>
        <v>7.5</v>
      </c>
      <c r="X33" s="34">
        <f t="shared" si="25"/>
        <v>9.5</v>
      </c>
      <c r="Y33" s="34">
        <f t="shared" si="25"/>
        <v>51</v>
      </c>
      <c r="Z33" s="34">
        <f t="shared" si="25"/>
        <v>49</v>
      </c>
      <c r="AA33" s="34">
        <f t="shared" si="25"/>
        <v>14</v>
      </c>
      <c r="AB33" s="34">
        <f t="shared" si="25"/>
        <v>12</v>
      </c>
      <c r="AC33" s="34">
        <f t="shared" si="25"/>
        <v>836.5</v>
      </c>
      <c r="AD33" s="34">
        <f t="shared" si="25"/>
        <v>0</v>
      </c>
      <c r="AE33" s="31">
        <f t="shared" si="13"/>
        <v>804</v>
      </c>
      <c r="AF33" s="31">
        <f t="shared" si="13"/>
        <v>2663</v>
      </c>
    </row>
    <row r="34" spans="2:32" ht="23.1" customHeight="1" x14ac:dyDescent="0.25">
      <c r="B34" s="24" t="s">
        <v>61</v>
      </c>
      <c r="C34" s="49">
        <f>'Avg Week BUSEGA-NATEETE'!C34+'Avg Week NATEETE-BUSEGA'!C34</f>
        <v>114.14285714285714</v>
      </c>
      <c r="D34" s="49">
        <f>'Avg Week BUSEGA-NATEETE'!D34+'Avg Week NATEETE-BUSEGA'!D34</f>
        <v>15.142857142857142</v>
      </c>
      <c r="E34" s="49">
        <f>'Avg Week BUSEGA-NATEETE'!E34+'Avg Week NATEETE-BUSEGA'!E34</f>
        <v>19.285714285714285</v>
      </c>
      <c r="F34" s="49">
        <f>'Avg Week BUSEGA-NATEETE'!F34+'Avg Week NATEETE-BUSEGA'!F34</f>
        <v>114</v>
      </c>
      <c r="G34" s="49">
        <f>'Avg Week BUSEGA-NATEETE'!G34+'Avg Week NATEETE-BUSEGA'!G34</f>
        <v>2</v>
      </c>
      <c r="H34" s="49">
        <f>'Avg Week BUSEGA-NATEETE'!H34+'Avg Week NATEETE-BUSEGA'!H34</f>
        <v>1.2857142857142856</v>
      </c>
      <c r="I34" s="49">
        <f>'Avg Week BUSEGA-NATEETE'!I34+'Avg Week NATEETE-BUSEGA'!I34</f>
        <v>17.714285714285715</v>
      </c>
      <c r="J34" s="49">
        <f>'Avg Week BUSEGA-NATEETE'!J34+'Avg Week NATEETE-BUSEGA'!J34</f>
        <v>10.857142857142858</v>
      </c>
      <c r="K34" s="49">
        <f>'Avg Week BUSEGA-NATEETE'!K34+'Avg Week NATEETE-BUSEGA'!K34</f>
        <v>4.7142857142857135</v>
      </c>
      <c r="L34" s="49">
        <f>'Avg Week BUSEGA-NATEETE'!L34+'Avg Week NATEETE-BUSEGA'!L34</f>
        <v>5.2857142857142856</v>
      </c>
      <c r="M34" s="49">
        <f>'Avg Week BUSEGA-NATEETE'!M34+'Avg Week NATEETE-BUSEGA'!M34</f>
        <v>358.71428571428572</v>
      </c>
      <c r="N34" s="49">
        <f>'Avg Week BUSEGA-NATEETE'!N34+'Avg Week NATEETE-BUSEGA'!N34</f>
        <v>0</v>
      </c>
      <c r="O34" s="15">
        <f t="shared" si="0"/>
        <v>304.42857142857139</v>
      </c>
      <c r="P34" s="15">
        <f t="shared" si="1"/>
        <v>663.14285714285711</v>
      </c>
      <c r="R34" s="38" t="s">
        <v>90</v>
      </c>
      <c r="S34" s="39">
        <f t="shared" ref="S34:AF34" si="26">MAX(S10:S12)</f>
        <v>531.14285714285711</v>
      </c>
      <c r="T34" s="39">
        <f t="shared" si="26"/>
        <v>77.857142857142861</v>
      </c>
      <c r="U34" s="39">
        <f t="shared" si="26"/>
        <v>59.285714285714285</v>
      </c>
      <c r="V34" s="39">
        <f t="shared" si="26"/>
        <v>547.28571428571433</v>
      </c>
      <c r="W34" s="39">
        <f t="shared" si="26"/>
        <v>23.142857142857146</v>
      </c>
      <c r="X34" s="39">
        <f t="shared" si="26"/>
        <v>10.714285714285715</v>
      </c>
      <c r="Y34" s="39">
        <f t="shared" si="26"/>
        <v>66.714285714285722</v>
      </c>
      <c r="Z34" s="39">
        <f t="shared" si="26"/>
        <v>38.428571428571431</v>
      </c>
      <c r="AA34" s="39">
        <f t="shared" si="26"/>
        <v>13.428571428571427</v>
      </c>
      <c r="AB34" s="39">
        <f t="shared" si="26"/>
        <v>12.428571428571429</v>
      </c>
      <c r="AC34" s="39">
        <f t="shared" si="26"/>
        <v>1955.7142857142856</v>
      </c>
      <c r="AD34" s="39">
        <f t="shared" si="26"/>
        <v>0.14285714285714285</v>
      </c>
      <c r="AE34" s="40">
        <f t="shared" si="26"/>
        <v>1363.1428571428571</v>
      </c>
      <c r="AF34" s="40">
        <f t="shared" si="26"/>
        <v>3206</v>
      </c>
    </row>
    <row r="35" spans="2:32" ht="23.1" customHeight="1" x14ac:dyDescent="0.25">
      <c r="B35" s="24" t="s">
        <v>62</v>
      </c>
      <c r="C35" s="49">
        <f>'Avg Week BUSEGA-NATEETE'!C35+'Avg Week NATEETE-BUSEGA'!C35</f>
        <v>106.28571428571428</v>
      </c>
      <c r="D35" s="49">
        <f>'Avg Week BUSEGA-NATEETE'!D35+'Avg Week NATEETE-BUSEGA'!D35</f>
        <v>21</v>
      </c>
      <c r="E35" s="49">
        <f>'Avg Week BUSEGA-NATEETE'!E35+'Avg Week NATEETE-BUSEGA'!E35</f>
        <v>14.142857142857142</v>
      </c>
      <c r="F35" s="49">
        <f>'Avg Week BUSEGA-NATEETE'!F35+'Avg Week NATEETE-BUSEGA'!F35</f>
        <v>118.28571428571428</v>
      </c>
      <c r="G35" s="49">
        <f>'Avg Week BUSEGA-NATEETE'!G35+'Avg Week NATEETE-BUSEGA'!G35</f>
        <v>2.2857142857142856</v>
      </c>
      <c r="H35" s="49">
        <f>'Avg Week BUSEGA-NATEETE'!H35+'Avg Week NATEETE-BUSEGA'!H35</f>
        <v>2.5714285714285712</v>
      </c>
      <c r="I35" s="49">
        <f>'Avg Week BUSEGA-NATEETE'!I35+'Avg Week NATEETE-BUSEGA'!I35</f>
        <v>17</v>
      </c>
      <c r="J35" s="49">
        <f>'Avg Week BUSEGA-NATEETE'!J35+'Avg Week NATEETE-BUSEGA'!J35</f>
        <v>13</v>
      </c>
      <c r="K35" s="49">
        <f>'Avg Week BUSEGA-NATEETE'!K35+'Avg Week NATEETE-BUSEGA'!K35</f>
        <v>3.4285714285714288</v>
      </c>
      <c r="L35" s="49">
        <f>'Avg Week BUSEGA-NATEETE'!L35+'Avg Week NATEETE-BUSEGA'!L35</f>
        <v>5</v>
      </c>
      <c r="M35" s="49">
        <f>'Avg Week BUSEGA-NATEETE'!M35+'Avg Week NATEETE-BUSEGA'!M35</f>
        <v>393</v>
      </c>
      <c r="N35" s="49">
        <f>'Avg Week BUSEGA-NATEETE'!N35+'Avg Week NATEETE-BUSEGA'!N35</f>
        <v>0</v>
      </c>
      <c r="O35" s="15">
        <f t="shared" si="0"/>
        <v>302.99999999999994</v>
      </c>
      <c r="P35" s="15">
        <f t="shared" si="1"/>
        <v>696</v>
      </c>
      <c r="R35" s="38" t="s">
        <v>91</v>
      </c>
      <c r="S35" s="39">
        <f t="shared" ref="S35:AF35" si="27">MAX(S13:S18)</f>
        <v>499</v>
      </c>
      <c r="T35" s="39">
        <f t="shared" si="27"/>
        <v>80.714285714285722</v>
      </c>
      <c r="U35" s="39">
        <f t="shared" si="27"/>
        <v>80.142857142857139</v>
      </c>
      <c r="V35" s="39">
        <f t="shared" si="27"/>
        <v>510.57142857142856</v>
      </c>
      <c r="W35" s="39">
        <f t="shared" si="27"/>
        <v>17.285714285714285</v>
      </c>
      <c r="X35" s="39">
        <f t="shared" si="27"/>
        <v>13.714285714285715</v>
      </c>
      <c r="Y35" s="39">
        <f t="shared" si="27"/>
        <v>91.285714285714292</v>
      </c>
      <c r="Z35" s="39">
        <f t="shared" si="27"/>
        <v>60.571428571428577</v>
      </c>
      <c r="AA35" s="39">
        <f t="shared" si="27"/>
        <v>21.857142857142858</v>
      </c>
      <c r="AB35" s="39">
        <f t="shared" si="27"/>
        <v>51.714285714285722</v>
      </c>
      <c r="AC35" s="39">
        <f t="shared" si="27"/>
        <v>1721.8571428571429</v>
      </c>
      <c r="AD35" s="39">
        <f t="shared" si="27"/>
        <v>7</v>
      </c>
      <c r="AE35" s="40">
        <f t="shared" si="27"/>
        <v>1327.1428571428571</v>
      </c>
      <c r="AF35" s="40">
        <f t="shared" si="27"/>
        <v>3041.8571428571431</v>
      </c>
    </row>
    <row r="36" spans="2:32" ht="23.1" customHeight="1" x14ac:dyDescent="0.25">
      <c r="B36" s="24" t="s">
        <v>63</v>
      </c>
      <c r="C36" s="49">
        <f>'Avg Week BUSEGA-NATEETE'!C36+'Avg Week NATEETE-BUSEGA'!C36</f>
        <v>112</v>
      </c>
      <c r="D36" s="49">
        <f>'Avg Week BUSEGA-NATEETE'!D36+'Avg Week NATEETE-BUSEGA'!D36</f>
        <v>22.714285714285715</v>
      </c>
      <c r="E36" s="49">
        <f>'Avg Week BUSEGA-NATEETE'!E36+'Avg Week NATEETE-BUSEGA'!E36</f>
        <v>14.428571428571427</v>
      </c>
      <c r="F36" s="49">
        <f>'Avg Week BUSEGA-NATEETE'!F36+'Avg Week NATEETE-BUSEGA'!F36</f>
        <v>113.42857142857142</v>
      </c>
      <c r="G36" s="49">
        <f>'Avg Week BUSEGA-NATEETE'!G36+'Avg Week NATEETE-BUSEGA'!G36</f>
        <v>2.4285714285714288</v>
      </c>
      <c r="H36" s="49">
        <f>'Avg Week BUSEGA-NATEETE'!H36+'Avg Week NATEETE-BUSEGA'!H36</f>
        <v>3.2857142857142856</v>
      </c>
      <c r="I36" s="49">
        <f>'Avg Week BUSEGA-NATEETE'!I36+'Avg Week NATEETE-BUSEGA'!I36</f>
        <v>17</v>
      </c>
      <c r="J36" s="49">
        <f>'Avg Week BUSEGA-NATEETE'!J36+'Avg Week NATEETE-BUSEGA'!J36</f>
        <v>11.857142857142858</v>
      </c>
      <c r="K36" s="49">
        <f>'Avg Week BUSEGA-NATEETE'!K36+'Avg Week NATEETE-BUSEGA'!K36</f>
        <v>5.4285714285714288</v>
      </c>
      <c r="L36" s="49">
        <f>'Avg Week BUSEGA-NATEETE'!L36+'Avg Week NATEETE-BUSEGA'!L36</f>
        <v>5.1428571428571423</v>
      </c>
      <c r="M36" s="49">
        <f>'Avg Week BUSEGA-NATEETE'!M36+'Avg Week NATEETE-BUSEGA'!M36</f>
        <v>351.71428571428572</v>
      </c>
      <c r="N36" s="49">
        <f>'Avg Week BUSEGA-NATEETE'!N36+'Avg Week NATEETE-BUSEGA'!N36</f>
        <v>0</v>
      </c>
      <c r="O36" s="15">
        <f t="shared" si="0"/>
        <v>307.71428571428572</v>
      </c>
      <c r="P36" s="15">
        <f t="shared" si="1"/>
        <v>659.42857142857144</v>
      </c>
      <c r="R36" s="38" t="s">
        <v>92</v>
      </c>
      <c r="S36" s="39">
        <f t="shared" ref="S36:AF36" si="28">MAX(S19:S21)</f>
        <v>499.42857142857144</v>
      </c>
      <c r="T36" s="39">
        <f t="shared" si="28"/>
        <v>69.285714285714292</v>
      </c>
      <c r="U36" s="39">
        <f t="shared" si="28"/>
        <v>82.571428571428555</v>
      </c>
      <c r="V36" s="39">
        <f t="shared" si="28"/>
        <v>457.28571428571433</v>
      </c>
      <c r="W36" s="39">
        <f t="shared" si="28"/>
        <v>16</v>
      </c>
      <c r="X36" s="39">
        <f t="shared" si="28"/>
        <v>22.857142857142858</v>
      </c>
      <c r="Y36" s="39">
        <f t="shared" si="28"/>
        <v>81.285714285714278</v>
      </c>
      <c r="Z36" s="39">
        <f t="shared" si="28"/>
        <v>60.285714285714292</v>
      </c>
      <c r="AA36" s="39">
        <f t="shared" si="28"/>
        <v>28.571428571428577</v>
      </c>
      <c r="AB36" s="39">
        <f t="shared" si="28"/>
        <v>60.714285714285715</v>
      </c>
      <c r="AC36" s="39">
        <f t="shared" si="28"/>
        <v>1638.5714285714284</v>
      </c>
      <c r="AD36" s="39">
        <f t="shared" si="28"/>
        <v>0.2857142857142857</v>
      </c>
      <c r="AE36" s="40">
        <f t="shared" si="28"/>
        <v>1313.4285714285713</v>
      </c>
      <c r="AF36" s="40">
        <f t="shared" si="28"/>
        <v>2952</v>
      </c>
    </row>
    <row r="37" spans="2:32" ht="23.1" customHeight="1" x14ac:dyDescent="0.25">
      <c r="B37" s="23" t="s">
        <v>64</v>
      </c>
      <c r="C37" s="49">
        <f>'Avg Week BUSEGA-NATEETE'!C37+'Avg Week NATEETE-BUSEGA'!C37</f>
        <v>105.57142857142857</v>
      </c>
      <c r="D37" s="49">
        <f>'Avg Week BUSEGA-NATEETE'!D37+'Avg Week NATEETE-BUSEGA'!D37</f>
        <v>10.285714285714285</v>
      </c>
      <c r="E37" s="49">
        <f>'Avg Week BUSEGA-NATEETE'!E37+'Avg Week NATEETE-BUSEGA'!E37</f>
        <v>14.857142857142858</v>
      </c>
      <c r="F37" s="49">
        <f>'Avg Week BUSEGA-NATEETE'!F37+'Avg Week NATEETE-BUSEGA'!F37</f>
        <v>102.14285714285714</v>
      </c>
      <c r="G37" s="49">
        <f>'Avg Week BUSEGA-NATEETE'!G37+'Avg Week NATEETE-BUSEGA'!G37</f>
        <v>3.7142857142857144</v>
      </c>
      <c r="H37" s="49">
        <f>'Avg Week BUSEGA-NATEETE'!H37+'Avg Week NATEETE-BUSEGA'!H37</f>
        <v>3.7142857142857144</v>
      </c>
      <c r="I37" s="49">
        <f>'Avg Week BUSEGA-NATEETE'!I37+'Avg Week NATEETE-BUSEGA'!I37</f>
        <v>16.571428571428569</v>
      </c>
      <c r="J37" s="49">
        <f>'Avg Week BUSEGA-NATEETE'!J37+'Avg Week NATEETE-BUSEGA'!J37</f>
        <v>13</v>
      </c>
      <c r="K37" s="49">
        <f>'Avg Week BUSEGA-NATEETE'!K37+'Avg Week NATEETE-BUSEGA'!K37</f>
        <v>4.4285714285714288</v>
      </c>
      <c r="L37" s="49">
        <f>'Avg Week BUSEGA-NATEETE'!L37+'Avg Week NATEETE-BUSEGA'!L37</f>
        <v>4.4285714285714288</v>
      </c>
      <c r="M37" s="49">
        <f>'Avg Week BUSEGA-NATEETE'!M37+'Avg Week NATEETE-BUSEGA'!M37</f>
        <v>321.42857142857144</v>
      </c>
      <c r="N37" s="49">
        <f>'Avg Week BUSEGA-NATEETE'!N37+'Avg Week NATEETE-BUSEGA'!N37</f>
        <v>7</v>
      </c>
      <c r="O37" s="15">
        <f t="shared" si="0"/>
        <v>285.71428571428578</v>
      </c>
      <c r="P37" s="15">
        <f t="shared" si="1"/>
        <v>607.14285714285722</v>
      </c>
      <c r="R37" s="37" t="s">
        <v>85</v>
      </c>
      <c r="S37" s="35">
        <f t="shared" ref="S37:AF37" si="29">SUM(S10:S12)</f>
        <v>1483.5714285714284</v>
      </c>
      <c r="T37" s="16">
        <f t="shared" si="29"/>
        <v>206</v>
      </c>
      <c r="U37" s="16">
        <f t="shared" si="29"/>
        <v>163.57142857142856</v>
      </c>
      <c r="V37" s="16">
        <f t="shared" si="29"/>
        <v>1472.5714285714284</v>
      </c>
      <c r="W37" s="16">
        <f t="shared" si="29"/>
        <v>47.285714285714285</v>
      </c>
      <c r="X37" s="16">
        <f t="shared" si="29"/>
        <v>29.714285714285715</v>
      </c>
      <c r="Y37" s="16">
        <f t="shared" si="29"/>
        <v>181.71428571428572</v>
      </c>
      <c r="Z37" s="16">
        <f t="shared" si="29"/>
        <v>109.28571428571428</v>
      </c>
      <c r="AA37" s="16">
        <f t="shared" si="29"/>
        <v>34.571428571428569</v>
      </c>
      <c r="AB37" s="16">
        <f t="shared" si="29"/>
        <v>36.571428571428577</v>
      </c>
      <c r="AC37" s="16">
        <f t="shared" si="29"/>
        <v>5337.4285714285716</v>
      </c>
      <c r="AD37" s="16">
        <f t="shared" si="29"/>
        <v>0.14285714285714285</v>
      </c>
      <c r="AE37" s="32">
        <f t="shared" si="29"/>
        <v>3765</v>
      </c>
      <c r="AF37" s="32">
        <f t="shared" si="29"/>
        <v>9102.4285714285725</v>
      </c>
    </row>
    <row r="38" spans="2:32" ht="23.1" customHeight="1" x14ac:dyDescent="0.25">
      <c r="B38" s="24" t="s">
        <v>65</v>
      </c>
      <c r="C38" s="49">
        <f>'Avg Week BUSEGA-NATEETE'!C38+'Avg Week NATEETE-BUSEGA'!C38</f>
        <v>107.85714285714286</v>
      </c>
      <c r="D38" s="49">
        <f>'Avg Week BUSEGA-NATEETE'!D38+'Avg Week NATEETE-BUSEGA'!D38</f>
        <v>20.285714285714285</v>
      </c>
      <c r="E38" s="49">
        <f>'Avg Week BUSEGA-NATEETE'!E38+'Avg Week NATEETE-BUSEGA'!E38</f>
        <v>16.428571428571431</v>
      </c>
      <c r="F38" s="49">
        <f>'Avg Week BUSEGA-NATEETE'!F38+'Avg Week NATEETE-BUSEGA'!F38</f>
        <v>102</v>
      </c>
      <c r="G38" s="49">
        <f>'Avg Week BUSEGA-NATEETE'!G38+'Avg Week NATEETE-BUSEGA'!G38</f>
        <v>2.8571428571428572</v>
      </c>
      <c r="H38" s="49">
        <f>'Avg Week BUSEGA-NATEETE'!H38+'Avg Week NATEETE-BUSEGA'!H38</f>
        <v>2.2857142857142856</v>
      </c>
      <c r="I38" s="49">
        <f>'Avg Week BUSEGA-NATEETE'!I38+'Avg Week NATEETE-BUSEGA'!I38</f>
        <v>17.285714285714285</v>
      </c>
      <c r="J38" s="49">
        <f>'Avg Week BUSEGA-NATEETE'!J38+'Avg Week NATEETE-BUSEGA'!J38</f>
        <v>13.142857142857142</v>
      </c>
      <c r="K38" s="49">
        <f>'Avg Week BUSEGA-NATEETE'!K38+'Avg Week NATEETE-BUSEGA'!K38</f>
        <v>5.7142857142857144</v>
      </c>
      <c r="L38" s="49">
        <f>'Avg Week BUSEGA-NATEETE'!L38+'Avg Week NATEETE-BUSEGA'!L38</f>
        <v>5.1428571428571423</v>
      </c>
      <c r="M38" s="49">
        <f>'Avg Week BUSEGA-NATEETE'!M38+'Avg Week NATEETE-BUSEGA'!M38</f>
        <v>337.28571428571428</v>
      </c>
      <c r="N38" s="49">
        <f>'Avg Week BUSEGA-NATEETE'!N38+'Avg Week NATEETE-BUSEGA'!N38</f>
        <v>0.14285714285714285</v>
      </c>
      <c r="O38" s="15">
        <f t="shared" si="0"/>
        <v>293.14285714285722</v>
      </c>
      <c r="P38" s="15">
        <f t="shared" si="1"/>
        <v>630.42857142857144</v>
      </c>
      <c r="R38" s="28" t="s">
        <v>86</v>
      </c>
      <c r="S38" s="16">
        <f t="shared" ref="S38:AF38" si="30">SUM(S13:S18)</f>
        <v>2790</v>
      </c>
      <c r="T38" s="16">
        <f t="shared" si="30"/>
        <v>425.42857142857139</v>
      </c>
      <c r="U38" s="16">
        <f t="shared" si="30"/>
        <v>421</v>
      </c>
      <c r="V38" s="16">
        <f t="shared" si="30"/>
        <v>2803.8571428571431</v>
      </c>
      <c r="W38" s="16">
        <f t="shared" si="30"/>
        <v>67.428571428571431</v>
      </c>
      <c r="X38" s="16">
        <f t="shared" si="30"/>
        <v>66.285714285714278</v>
      </c>
      <c r="Y38" s="16">
        <f t="shared" si="30"/>
        <v>463.57142857142861</v>
      </c>
      <c r="Z38" s="16">
        <f t="shared" si="30"/>
        <v>303.28571428571428</v>
      </c>
      <c r="AA38" s="16">
        <f t="shared" si="30"/>
        <v>101.71428571428572</v>
      </c>
      <c r="AB38" s="16">
        <f t="shared" si="30"/>
        <v>153.57142857142856</v>
      </c>
      <c r="AC38" s="16">
        <f t="shared" si="30"/>
        <v>8715.7142857142862</v>
      </c>
      <c r="AD38" s="16">
        <f t="shared" si="30"/>
        <v>7.4285714285714297</v>
      </c>
      <c r="AE38" s="32">
        <f t="shared" si="30"/>
        <v>7603.5714285714294</v>
      </c>
      <c r="AF38" s="32">
        <f t="shared" si="30"/>
        <v>16319.285714285714</v>
      </c>
    </row>
    <row r="39" spans="2:32" ht="23.1" customHeight="1" x14ac:dyDescent="0.25">
      <c r="B39" s="24" t="s">
        <v>66</v>
      </c>
      <c r="C39" s="49">
        <f>'Avg Week BUSEGA-NATEETE'!C39+'Avg Week NATEETE-BUSEGA'!C39</f>
        <v>96</v>
      </c>
      <c r="D39" s="49">
        <f>'Avg Week BUSEGA-NATEETE'!D39+'Avg Week NATEETE-BUSEGA'!D39</f>
        <v>15.857142857142858</v>
      </c>
      <c r="E39" s="49">
        <f>'Avg Week BUSEGA-NATEETE'!E39+'Avg Week NATEETE-BUSEGA'!E39</f>
        <v>15.285714285714285</v>
      </c>
      <c r="F39" s="49">
        <f>'Avg Week BUSEGA-NATEETE'!F39+'Avg Week NATEETE-BUSEGA'!F39</f>
        <v>110.42857142857143</v>
      </c>
      <c r="G39" s="49">
        <f>'Avg Week BUSEGA-NATEETE'!G39+'Avg Week NATEETE-BUSEGA'!G39</f>
        <v>2.5714285714285716</v>
      </c>
      <c r="H39" s="49">
        <f>'Avg Week BUSEGA-NATEETE'!H39+'Avg Week NATEETE-BUSEGA'!H39</f>
        <v>3.4285714285714288</v>
      </c>
      <c r="I39" s="49">
        <f>'Avg Week BUSEGA-NATEETE'!I39+'Avg Week NATEETE-BUSEGA'!I39</f>
        <v>19.142857142857142</v>
      </c>
      <c r="J39" s="49">
        <f>'Avg Week BUSEGA-NATEETE'!J39+'Avg Week NATEETE-BUSEGA'!J39</f>
        <v>16</v>
      </c>
      <c r="K39" s="49">
        <f>'Avg Week BUSEGA-NATEETE'!K39+'Avg Week NATEETE-BUSEGA'!K39</f>
        <v>2.2857142857142856</v>
      </c>
      <c r="L39" s="49">
        <f>'Avg Week BUSEGA-NATEETE'!L39+'Avg Week NATEETE-BUSEGA'!L39</f>
        <v>6.4285714285714288</v>
      </c>
      <c r="M39" s="49">
        <f>'Avg Week BUSEGA-NATEETE'!M39+'Avg Week NATEETE-BUSEGA'!M39</f>
        <v>333.14285714285711</v>
      </c>
      <c r="N39" s="49">
        <f>'Avg Week BUSEGA-NATEETE'!N39+'Avg Week NATEETE-BUSEGA'!N39</f>
        <v>0</v>
      </c>
      <c r="O39" s="15">
        <f t="shared" si="0"/>
        <v>287.42857142857144</v>
      </c>
      <c r="P39" s="15">
        <f t="shared" si="1"/>
        <v>620.57142857142856</v>
      </c>
      <c r="R39" s="29" t="s">
        <v>87</v>
      </c>
      <c r="S39" s="16">
        <f t="shared" ref="S39:AF39" si="31">SUM(S19:S21)</f>
        <v>1410.7142857142858</v>
      </c>
      <c r="T39" s="16">
        <f t="shared" si="31"/>
        <v>191.14285714285714</v>
      </c>
      <c r="U39" s="16">
        <f t="shared" si="31"/>
        <v>228.14285714285711</v>
      </c>
      <c r="V39" s="16">
        <f t="shared" si="31"/>
        <v>1332.4285714285716</v>
      </c>
      <c r="W39" s="16">
        <f t="shared" si="31"/>
        <v>45.428571428571431</v>
      </c>
      <c r="X39" s="16">
        <f t="shared" si="31"/>
        <v>63.428571428571431</v>
      </c>
      <c r="Y39" s="16">
        <f t="shared" si="31"/>
        <v>230.28571428571428</v>
      </c>
      <c r="Z39" s="16">
        <f t="shared" si="31"/>
        <v>174.14285714285717</v>
      </c>
      <c r="AA39" s="16">
        <f t="shared" si="31"/>
        <v>77</v>
      </c>
      <c r="AB39" s="16">
        <f t="shared" si="31"/>
        <v>125.42857142857142</v>
      </c>
      <c r="AC39" s="16">
        <f t="shared" si="31"/>
        <v>4607.4285714285706</v>
      </c>
      <c r="AD39" s="16">
        <f t="shared" si="31"/>
        <v>0.42857142857142855</v>
      </c>
      <c r="AE39" s="32">
        <f t="shared" si="31"/>
        <v>3878.5714285714284</v>
      </c>
      <c r="AF39" s="32">
        <f t="shared" si="31"/>
        <v>8486</v>
      </c>
    </row>
    <row r="40" spans="2:32" ht="23.1" customHeight="1" x14ac:dyDescent="0.25">
      <c r="B40" s="24" t="s">
        <v>67</v>
      </c>
      <c r="C40" s="49">
        <f>'Avg Week BUSEGA-NATEETE'!C40+'Avg Week NATEETE-BUSEGA'!C40</f>
        <v>110.42857142857143</v>
      </c>
      <c r="D40" s="49">
        <f>'Avg Week BUSEGA-NATEETE'!D40+'Avg Week NATEETE-BUSEGA'!D40</f>
        <v>14.571428571428573</v>
      </c>
      <c r="E40" s="49">
        <f>'Avg Week BUSEGA-NATEETE'!E40+'Avg Week NATEETE-BUSEGA'!E40</f>
        <v>16.285714285714285</v>
      </c>
      <c r="F40" s="49">
        <f>'Avg Week BUSEGA-NATEETE'!F40+'Avg Week NATEETE-BUSEGA'!F40</f>
        <v>108.42857142857142</v>
      </c>
      <c r="G40" s="49">
        <f>'Avg Week BUSEGA-NATEETE'!G40+'Avg Week NATEETE-BUSEGA'!G40</f>
        <v>2.8571428571428568</v>
      </c>
      <c r="H40" s="49">
        <f>'Avg Week BUSEGA-NATEETE'!H40+'Avg Week NATEETE-BUSEGA'!H40</f>
        <v>3.4285714285714288</v>
      </c>
      <c r="I40" s="49">
        <f>'Avg Week BUSEGA-NATEETE'!I40+'Avg Week NATEETE-BUSEGA'!I40</f>
        <v>17.285714285714285</v>
      </c>
      <c r="J40" s="49">
        <f>'Avg Week BUSEGA-NATEETE'!J40+'Avg Week NATEETE-BUSEGA'!J40</f>
        <v>13.428571428571429</v>
      </c>
      <c r="K40" s="49">
        <f>'Avg Week BUSEGA-NATEETE'!K40+'Avg Week NATEETE-BUSEGA'!K40</f>
        <v>3.5714285714285712</v>
      </c>
      <c r="L40" s="49">
        <f>'Avg Week BUSEGA-NATEETE'!L40+'Avg Week NATEETE-BUSEGA'!L40</f>
        <v>5</v>
      </c>
      <c r="M40" s="49">
        <f>'Avg Week BUSEGA-NATEETE'!M40+'Avg Week NATEETE-BUSEGA'!M40</f>
        <v>318.14285714285711</v>
      </c>
      <c r="N40" s="49">
        <f>'Avg Week BUSEGA-NATEETE'!N40+'Avg Week NATEETE-BUSEGA'!N40</f>
        <v>0</v>
      </c>
      <c r="O40" s="15">
        <f t="shared" si="0"/>
        <v>295.28571428571428</v>
      </c>
      <c r="P40" s="15">
        <f t="shared" si="1"/>
        <v>613.42857142857133</v>
      </c>
      <c r="R40" s="5" t="s">
        <v>17</v>
      </c>
      <c r="S40" s="16">
        <f t="shared" ref="S40:AF40" si="32">SUM(S10:S21)</f>
        <v>5684.2857142857147</v>
      </c>
      <c r="T40" s="16">
        <f t="shared" si="32"/>
        <v>822.57142857142867</v>
      </c>
      <c r="U40" s="16">
        <f t="shared" si="32"/>
        <v>812.71428571428578</v>
      </c>
      <c r="V40" s="16">
        <f t="shared" si="32"/>
        <v>5608.8571428571422</v>
      </c>
      <c r="W40" s="16">
        <f t="shared" si="32"/>
        <v>160.14285714285711</v>
      </c>
      <c r="X40" s="16">
        <f t="shared" si="32"/>
        <v>159.42857142857144</v>
      </c>
      <c r="Y40" s="16">
        <f t="shared" si="32"/>
        <v>875.57142857142867</v>
      </c>
      <c r="Z40" s="16">
        <f t="shared" si="32"/>
        <v>586.71428571428578</v>
      </c>
      <c r="AA40" s="16">
        <f t="shared" si="32"/>
        <v>213.28571428571428</v>
      </c>
      <c r="AB40" s="16">
        <f t="shared" si="32"/>
        <v>315.57142857142856</v>
      </c>
      <c r="AC40" s="16">
        <f t="shared" si="32"/>
        <v>18660.571428571428</v>
      </c>
      <c r="AD40" s="16">
        <f t="shared" si="32"/>
        <v>8</v>
      </c>
      <c r="AE40" s="32">
        <f t="shared" si="32"/>
        <v>15247.142857142857</v>
      </c>
      <c r="AF40" s="32">
        <f t="shared" si="32"/>
        <v>33907.71428571429</v>
      </c>
    </row>
    <row r="41" spans="2:32" ht="23.1" customHeight="1" x14ac:dyDescent="0.25">
      <c r="B41" s="23" t="s">
        <v>68</v>
      </c>
      <c r="C41" s="49">
        <f>'Avg Week BUSEGA-NATEETE'!C41+'Avg Week NATEETE-BUSEGA'!C41</f>
        <v>130</v>
      </c>
      <c r="D41" s="49">
        <f>'Avg Week BUSEGA-NATEETE'!D41+'Avg Week NATEETE-BUSEGA'!D41</f>
        <v>15.285714285714285</v>
      </c>
      <c r="E41" s="49">
        <f>'Avg Week BUSEGA-NATEETE'!E41+'Avg Week NATEETE-BUSEGA'!E41</f>
        <v>18.714285714285715</v>
      </c>
      <c r="F41" s="49">
        <f>'Avg Week BUSEGA-NATEETE'!F41+'Avg Week NATEETE-BUSEGA'!F41</f>
        <v>125.28571428571428</v>
      </c>
      <c r="G41" s="49">
        <f>'Avg Week BUSEGA-NATEETE'!G41+'Avg Week NATEETE-BUSEGA'!G41</f>
        <v>2.4285714285714284</v>
      </c>
      <c r="H41" s="49">
        <f>'Avg Week BUSEGA-NATEETE'!H41+'Avg Week NATEETE-BUSEGA'!H41</f>
        <v>3</v>
      </c>
      <c r="I41" s="49">
        <f>'Avg Week BUSEGA-NATEETE'!I41+'Avg Week NATEETE-BUSEGA'!I41</f>
        <v>24.142857142857142</v>
      </c>
      <c r="J41" s="49">
        <f>'Avg Week BUSEGA-NATEETE'!J41+'Avg Week NATEETE-BUSEGA'!J41</f>
        <v>13.857142857142858</v>
      </c>
      <c r="K41" s="49">
        <f>'Avg Week BUSEGA-NATEETE'!K41+'Avg Week NATEETE-BUSEGA'!K41</f>
        <v>5.5714285714285712</v>
      </c>
      <c r="L41" s="49">
        <f>'Avg Week BUSEGA-NATEETE'!L41+'Avg Week NATEETE-BUSEGA'!L41</f>
        <v>5.7142857142857144</v>
      </c>
      <c r="M41" s="49">
        <f>'Avg Week BUSEGA-NATEETE'!M41+'Avg Week NATEETE-BUSEGA'!M41</f>
        <v>329.57142857142856</v>
      </c>
      <c r="N41" s="49">
        <f>'Avg Week BUSEGA-NATEETE'!N41+'Avg Week NATEETE-BUSEGA'!N41</f>
        <v>0</v>
      </c>
      <c r="O41" s="15">
        <f t="shared" si="0"/>
        <v>344</v>
      </c>
      <c r="P41" s="15">
        <f t="shared" si="1"/>
        <v>673.57142857142856</v>
      </c>
      <c r="R41" s="5" t="s">
        <v>183</v>
      </c>
      <c r="S41" s="16">
        <f>SUM(S10:S33)</f>
        <v>9049.2857142857138</v>
      </c>
      <c r="T41" s="16">
        <f t="shared" ref="T41:AD41" si="33">SUM(T10:T33)</f>
        <v>1238.5714285714287</v>
      </c>
      <c r="U41" s="16">
        <f t="shared" si="33"/>
        <v>1253.7142857142858</v>
      </c>
      <c r="V41" s="16">
        <f t="shared" si="33"/>
        <v>7679.3571428571422</v>
      </c>
      <c r="W41" s="16">
        <f t="shared" si="33"/>
        <v>244.64285714285711</v>
      </c>
      <c r="X41" s="16">
        <f t="shared" si="33"/>
        <v>316.42857142857144</v>
      </c>
      <c r="Y41" s="16">
        <f t="shared" si="33"/>
        <v>1362.5714285714287</v>
      </c>
      <c r="Z41" s="16">
        <f t="shared" si="33"/>
        <v>1006.7142857142858</v>
      </c>
      <c r="AA41" s="16">
        <f t="shared" si="33"/>
        <v>403.28571428571428</v>
      </c>
      <c r="AB41" s="16">
        <f t="shared" si="33"/>
        <v>457.57142857142856</v>
      </c>
      <c r="AC41" s="16">
        <f t="shared" si="33"/>
        <v>30396.071428571428</v>
      </c>
      <c r="AD41" s="16">
        <f t="shared" si="33"/>
        <v>8</v>
      </c>
      <c r="AE41" s="32">
        <f>SUM(AE10:AE33)</f>
        <v>27032.78571428571</v>
      </c>
      <c r="AF41" s="32">
        <f>SUM(AF10:AF33)</f>
        <v>67026.571428571435</v>
      </c>
    </row>
    <row r="42" spans="2:32" ht="23.1" customHeight="1" x14ac:dyDescent="0.25">
      <c r="B42" s="24" t="s">
        <v>69</v>
      </c>
      <c r="C42" s="49">
        <f>'Avg Week BUSEGA-NATEETE'!C42+'Avg Week NATEETE-BUSEGA'!C42</f>
        <v>115.71428571428572</v>
      </c>
      <c r="D42" s="49">
        <f>'Avg Week BUSEGA-NATEETE'!D42+'Avg Week NATEETE-BUSEGA'!D42</f>
        <v>13.714285714285715</v>
      </c>
      <c r="E42" s="49">
        <f>'Avg Week BUSEGA-NATEETE'!E42+'Avg Week NATEETE-BUSEGA'!E42</f>
        <v>20.571428571428569</v>
      </c>
      <c r="F42" s="49">
        <f>'Avg Week BUSEGA-NATEETE'!F42+'Avg Week NATEETE-BUSEGA'!F42</f>
        <v>108.57142857142857</v>
      </c>
      <c r="G42" s="49">
        <f>'Avg Week BUSEGA-NATEETE'!G42+'Avg Week NATEETE-BUSEGA'!G42</f>
        <v>3.4285714285714288</v>
      </c>
      <c r="H42" s="49">
        <f>'Avg Week BUSEGA-NATEETE'!H42+'Avg Week NATEETE-BUSEGA'!H42</f>
        <v>2.8571428571428568</v>
      </c>
      <c r="I42" s="49">
        <f>'Avg Week BUSEGA-NATEETE'!I42+'Avg Week NATEETE-BUSEGA'!I42</f>
        <v>30.571428571428569</v>
      </c>
      <c r="J42" s="49">
        <f>'Avg Week BUSEGA-NATEETE'!J42+'Avg Week NATEETE-BUSEGA'!J42</f>
        <v>16.428571428571431</v>
      </c>
      <c r="K42" s="49">
        <f>'Avg Week BUSEGA-NATEETE'!K42+'Avg Week NATEETE-BUSEGA'!K42</f>
        <v>6.7142857142857144</v>
      </c>
      <c r="L42" s="49">
        <f>'Avg Week BUSEGA-NATEETE'!L42+'Avg Week NATEETE-BUSEGA'!L42</f>
        <v>6.7142857142857144</v>
      </c>
      <c r="M42" s="49">
        <f>'Avg Week BUSEGA-NATEETE'!M42+'Avg Week NATEETE-BUSEGA'!M42</f>
        <v>350.71428571428572</v>
      </c>
      <c r="N42" s="49">
        <f>'Avg Week BUSEGA-NATEETE'!N42+'Avg Week NATEETE-BUSEGA'!N42</f>
        <v>0.14285714285714285</v>
      </c>
      <c r="O42" s="15">
        <f t="shared" si="0"/>
        <v>325.42857142857144</v>
      </c>
      <c r="P42" s="15">
        <f t="shared" si="1"/>
        <v>676.14285714285711</v>
      </c>
      <c r="R42" s="5" t="s">
        <v>160</v>
      </c>
      <c r="S42" s="48">
        <f>S41/S40</f>
        <v>1.5919829102789644</v>
      </c>
      <c r="T42" s="48">
        <f t="shared" ref="T42:AF42" si="34">T41/T40</f>
        <v>1.5057311566516152</v>
      </c>
      <c r="U42" s="48">
        <f t="shared" si="34"/>
        <v>1.5426261205835823</v>
      </c>
      <c r="V42" s="48">
        <f t="shared" si="34"/>
        <v>1.3691482858743824</v>
      </c>
      <c r="W42" s="48">
        <f t="shared" si="34"/>
        <v>1.5276538804638717</v>
      </c>
      <c r="X42" s="48">
        <f t="shared" si="34"/>
        <v>1.9847670250896057</v>
      </c>
      <c r="Y42" s="48">
        <f t="shared" si="34"/>
        <v>1.5562081905694241</v>
      </c>
      <c r="Z42" s="48">
        <f t="shared" si="34"/>
        <v>1.7158509861212563</v>
      </c>
      <c r="AA42" s="48">
        <f t="shared" si="34"/>
        <v>1.8908238446081715</v>
      </c>
      <c r="AB42" s="48">
        <f t="shared" si="34"/>
        <v>1.4499773653236758</v>
      </c>
      <c r="AC42" s="48">
        <f t="shared" si="34"/>
        <v>1.6288928527682509</v>
      </c>
      <c r="AD42" s="48">
        <f t="shared" si="34"/>
        <v>1</v>
      </c>
      <c r="AE42" s="53">
        <f t="shared" si="34"/>
        <v>1.7729738592710576</v>
      </c>
      <c r="AF42" s="53">
        <f t="shared" si="34"/>
        <v>1.976735171937275</v>
      </c>
    </row>
    <row r="43" spans="2:32" ht="23.1" customHeight="1" x14ac:dyDescent="0.25">
      <c r="B43" s="23" t="s">
        <v>70</v>
      </c>
      <c r="C43" s="49">
        <f>'Avg Week BUSEGA-NATEETE'!C43+'Avg Week NATEETE-BUSEGA'!C43</f>
        <v>124</v>
      </c>
      <c r="D43" s="49">
        <f>'Avg Week BUSEGA-NATEETE'!D43+'Avg Week NATEETE-BUSEGA'!D43</f>
        <v>15.285714285714286</v>
      </c>
      <c r="E43" s="49">
        <f>'Avg Week BUSEGA-NATEETE'!E43+'Avg Week NATEETE-BUSEGA'!E43</f>
        <v>19.857142857142858</v>
      </c>
      <c r="F43" s="49">
        <f>'Avg Week BUSEGA-NATEETE'!F43+'Avg Week NATEETE-BUSEGA'!F43</f>
        <v>103.14285714285714</v>
      </c>
      <c r="G43" s="49">
        <f>'Avg Week BUSEGA-NATEETE'!G43+'Avg Week NATEETE-BUSEGA'!G43</f>
        <v>3.2857142857142856</v>
      </c>
      <c r="H43" s="49">
        <f>'Avg Week BUSEGA-NATEETE'!H43+'Avg Week NATEETE-BUSEGA'!H43</f>
        <v>2.2857142857142856</v>
      </c>
      <c r="I43" s="49">
        <f>'Avg Week BUSEGA-NATEETE'!I43+'Avg Week NATEETE-BUSEGA'!I43</f>
        <v>19.428571428571431</v>
      </c>
      <c r="J43" s="49">
        <f>'Avg Week BUSEGA-NATEETE'!J43+'Avg Week NATEETE-BUSEGA'!J43</f>
        <v>14.142857142857142</v>
      </c>
      <c r="K43" s="49">
        <f>'Avg Week BUSEGA-NATEETE'!K43+'Avg Week NATEETE-BUSEGA'!K43</f>
        <v>4.7142857142857144</v>
      </c>
      <c r="L43" s="49">
        <f>'Avg Week BUSEGA-NATEETE'!L43+'Avg Week NATEETE-BUSEGA'!L43</f>
        <v>4.8571428571428577</v>
      </c>
      <c r="M43" s="49">
        <f>'Avg Week BUSEGA-NATEETE'!M43+'Avg Week NATEETE-BUSEGA'!M43</f>
        <v>314</v>
      </c>
      <c r="N43" s="49">
        <f>'Avg Week BUSEGA-NATEETE'!N43+'Avg Week NATEETE-BUSEGA'!N43</f>
        <v>0</v>
      </c>
      <c r="O43" s="15">
        <f t="shared" si="0"/>
        <v>311</v>
      </c>
      <c r="P43" s="15">
        <f t="shared" si="1"/>
        <v>625</v>
      </c>
    </row>
    <row r="44" spans="2:32" ht="23.1" customHeight="1" x14ac:dyDescent="0.25">
      <c r="B44" s="25" t="s">
        <v>71</v>
      </c>
      <c r="C44" s="49">
        <f>'Avg Week BUSEGA-NATEETE'!C44+'Avg Week NATEETE-BUSEGA'!C44</f>
        <v>122.14285714285714</v>
      </c>
      <c r="D44" s="49">
        <f>'Avg Week BUSEGA-NATEETE'!D44+'Avg Week NATEETE-BUSEGA'!D44</f>
        <v>14.285714285714285</v>
      </c>
      <c r="E44" s="49">
        <f>'Avg Week BUSEGA-NATEETE'!E44+'Avg Week NATEETE-BUSEGA'!E44</f>
        <v>23.285714285714285</v>
      </c>
      <c r="F44" s="49">
        <f>'Avg Week BUSEGA-NATEETE'!F44+'Avg Week NATEETE-BUSEGA'!F44</f>
        <v>115</v>
      </c>
      <c r="G44" s="49">
        <f>'Avg Week BUSEGA-NATEETE'!G44+'Avg Week NATEETE-BUSEGA'!G44</f>
        <v>3.2857142857142856</v>
      </c>
      <c r="H44" s="49">
        <f>'Avg Week BUSEGA-NATEETE'!H44+'Avg Week NATEETE-BUSEGA'!H44</f>
        <v>4.4285714285714288</v>
      </c>
      <c r="I44" s="49">
        <f>'Avg Week BUSEGA-NATEETE'!I44+'Avg Week NATEETE-BUSEGA'!I44</f>
        <v>19.857142857142858</v>
      </c>
      <c r="J44" s="49">
        <f>'Avg Week BUSEGA-NATEETE'!J44+'Avg Week NATEETE-BUSEGA'!J44</f>
        <v>13.285714285714285</v>
      </c>
      <c r="K44" s="49">
        <f>'Avg Week BUSEGA-NATEETE'!K44+'Avg Week NATEETE-BUSEGA'!K44</f>
        <v>5.7142857142857135</v>
      </c>
      <c r="L44" s="49">
        <f>'Avg Week BUSEGA-NATEETE'!L44+'Avg Week NATEETE-BUSEGA'!L44</f>
        <v>8.7142857142857153</v>
      </c>
      <c r="M44" s="49">
        <f>'Avg Week BUSEGA-NATEETE'!M44+'Avg Week NATEETE-BUSEGA'!M44</f>
        <v>309.71428571428572</v>
      </c>
      <c r="N44" s="49">
        <f>'Avg Week BUSEGA-NATEETE'!N44+'Avg Week NATEETE-BUSEGA'!N44</f>
        <v>0</v>
      </c>
      <c r="O44" s="15">
        <f t="shared" si="0"/>
        <v>329.99999999999994</v>
      </c>
      <c r="P44" s="15">
        <f t="shared" si="1"/>
        <v>639.71428571428567</v>
      </c>
    </row>
    <row r="45" spans="2:32" ht="23.1" customHeight="1" x14ac:dyDescent="0.25">
      <c r="B45" s="23" t="s">
        <v>72</v>
      </c>
      <c r="C45" s="49">
        <f>'Avg Week BUSEGA-NATEETE'!C45+'Avg Week NATEETE-BUSEGA'!C45</f>
        <v>111.85714285714286</v>
      </c>
      <c r="D45" s="49">
        <f>'Avg Week BUSEGA-NATEETE'!D45+'Avg Week NATEETE-BUSEGA'!D45</f>
        <v>13.571428571428571</v>
      </c>
      <c r="E45" s="49">
        <f>'Avg Week BUSEGA-NATEETE'!E45+'Avg Week NATEETE-BUSEGA'!E45</f>
        <v>16.428571428571427</v>
      </c>
      <c r="F45" s="49">
        <f>'Avg Week BUSEGA-NATEETE'!F45+'Avg Week NATEETE-BUSEGA'!F45</f>
        <v>116.28571428571429</v>
      </c>
      <c r="G45" s="49">
        <f>'Avg Week BUSEGA-NATEETE'!G45+'Avg Week NATEETE-BUSEGA'!G45</f>
        <v>7.2857142857142865</v>
      </c>
      <c r="H45" s="49">
        <f>'Avg Week BUSEGA-NATEETE'!H45+'Avg Week NATEETE-BUSEGA'!H45</f>
        <v>4.1428571428571432</v>
      </c>
      <c r="I45" s="49">
        <f>'Avg Week BUSEGA-NATEETE'!I45+'Avg Week NATEETE-BUSEGA'!I45</f>
        <v>21.428571428571431</v>
      </c>
      <c r="J45" s="49">
        <f>'Avg Week BUSEGA-NATEETE'!J45+'Avg Week NATEETE-BUSEGA'!J45</f>
        <v>16.714285714285715</v>
      </c>
      <c r="K45" s="49">
        <f>'Avg Week BUSEGA-NATEETE'!K45+'Avg Week NATEETE-BUSEGA'!K45</f>
        <v>4.7142857142857144</v>
      </c>
      <c r="L45" s="49">
        <f>'Avg Week BUSEGA-NATEETE'!L45+'Avg Week NATEETE-BUSEGA'!L45</f>
        <v>31.428571428571431</v>
      </c>
      <c r="M45" s="49">
        <f>'Avg Week BUSEGA-NATEETE'!M45+'Avg Week NATEETE-BUSEGA'!M45</f>
        <v>258</v>
      </c>
      <c r="N45" s="49">
        <f>'Avg Week BUSEGA-NATEETE'!N45+'Avg Week NATEETE-BUSEGA'!N45</f>
        <v>0</v>
      </c>
      <c r="O45" s="15">
        <f t="shared" si="0"/>
        <v>343.85714285714295</v>
      </c>
      <c r="P45" s="15">
        <f t="shared" si="1"/>
        <v>601.85714285714289</v>
      </c>
    </row>
    <row r="46" spans="2:32" ht="23.1" customHeight="1" x14ac:dyDescent="0.25">
      <c r="B46" s="24" t="s">
        <v>73</v>
      </c>
      <c r="C46" s="49">
        <f>'Avg Week BUSEGA-NATEETE'!C46+'Avg Week NATEETE-BUSEGA'!C46</f>
        <v>105.71428571428572</v>
      </c>
      <c r="D46" s="49">
        <f>'Avg Week BUSEGA-NATEETE'!D46+'Avg Week NATEETE-BUSEGA'!D46</f>
        <v>14.571428571428571</v>
      </c>
      <c r="E46" s="49">
        <f>'Avg Week BUSEGA-NATEETE'!E46+'Avg Week NATEETE-BUSEGA'!E46</f>
        <v>18.285714285714285</v>
      </c>
      <c r="F46" s="49">
        <f>'Avg Week BUSEGA-NATEETE'!F46+'Avg Week NATEETE-BUSEGA'!F46</f>
        <v>111.42857142857143</v>
      </c>
      <c r="G46" s="49">
        <f>'Avg Week BUSEGA-NATEETE'!G46+'Avg Week NATEETE-BUSEGA'!G46</f>
        <v>4.1428571428571432</v>
      </c>
      <c r="H46" s="49">
        <f>'Avg Week BUSEGA-NATEETE'!H46+'Avg Week NATEETE-BUSEGA'!H46</f>
        <v>2.5714285714285716</v>
      </c>
      <c r="I46" s="49">
        <f>'Avg Week BUSEGA-NATEETE'!I46+'Avg Week NATEETE-BUSEGA'!I46</f>
        <v>23</v>
      </c>
      <c r="J46" s="49">
        <f>'Avg Week BUSEGA-NATEETE'!J46+'Avg Week NATEETE-BUSEGA'!J46</f>
        <v>10.714285714285714</v>
      </c>
      <c r="K46" s="49">
        <f>'Avg Week BUSEGA-NATEETE'!K46+'Avg Week NATEETE-BUSEGA'!K46</f>
        <v>9</v>
      </c>
      <c r="L46" s="49">
        <f>'Avg Week BUSEGA-NATEETE'!L46+'Avg Week NATEETE-BUSEGA'!L46</f>
        <v>8.5714285714285712</v>
      </c>
      <c r="M46" s="49">
        <f>'Avg Week BUSEGA-NATEETE'!M46+'Avg Week NATEETE-BUSEGA'!M46</f>
        <v>309.14285714285711</v>
      </c>
      <c r="N46" s="49">
        <f>'Avg Week BUSEGA-NATEETE'!N46+'Avg Week NATEETE-BUSEGA'!N46</f>
        <v>0</v>
      </c>
      <c r="O46" s="15">
        <f t="shared" si="0"/>
        <v>308</v>
      </c>
      <c r="P46" s="15">
        <f t="shared" si="1"/>
        <v>617.14285714285711</v>
      </c>
      <c r="R46" s="8"/>
      <c r="T46"/>
    </row>
    <row r="47" spans="2:32" ht="23.1" customHeight="1" x14ac:dyDescent="0.25">
      <c r="B47" s="24" t="s">
        <v>74</v>
      </c>
      <c r="C47" s="49">
        <f>'Avg Week BUSEGA-NATEETE'!C47+'Avg Week NATEETE-BUSEGA'!C47</f>
        <v>117.14285714285714</v>
      </c>
      <c r="D47" s="49">
        <f>'Avg Week BUSEGA-NATEETE'!D47+'Avg Week NATEETE-BUSEGA'!D47</f>
        <v>13</v>
      </c>
      <c r="E47" s="49">
        <f>'Avg Week BUSEGA-NATEETE'!E47+'Avg Week NATEETE-BUSEGA'!E47</f>
        <v>17</v>
      </c>
      <c r="F47" s="49">
        <f>'Avg Week BUSEGA-NATEETE'!F47+'Avg Week NATEETE-BUSEGA'!F47</f>
        <v>119.42857142857143</v>
      </c>
      <c r="G47" s="49">
        <f>'Avg Week BUSEGA-NATEETE'!G47+'Avg Week NATEETE-BUSEGA'!G47</f>
        <v>5.2857142857142856</v>
      </c>
      <c r="H47" s="49">
        <f>'Avg Week BUSEGA-NATEETE'!H47+'Avg Week NATEETE-BUSEGA'!H47</f>
        <v>5.4285714285714288</v>
      </c>
      <c r="I47" s="49">
        <f>'Avg Week BUSEGA-NATEETE'!I47+'Avg Week NATEETE-BUSEGA'!I47</f>
        <v>19.714285714285715</v>
      </c>
      <c r="J47" s="49">
        <f>'Avg Week BUSEGA-NATEETE'!J47+'Avg Week NATEETE-BUSEGA'!J47</f>
        <v>13.142857142857142</v>
      </c>
      <c r="K47" s="49">
        <f>'Avg Week BUSEGA-NATEETE'!K47+'Avg Week NATEETE-BUSEGA'!K47</f>
        <v>5</v>
      </c>
      <c r="L47" s="49">
        <f>'Avg Week BUSEGA-NATEETE'!L47+'Avg Week NATEETE-BUSEGA'!L47</f>
        <v>10.285714285714285</v>
      </c>
      <c r="M47" s="49">
        <f>'Avg Week BUSEGA-NATEETE'!M47+'Avg Week NATEETE-BUSEGA'!M47</f>
        <v>338.42857142857144</v>
      </c>
      <c r="N47" s="49">
        <f>'Avg Week BUSEGA-NATEETE'!N47+'Avg Week NATEETE-BUSEGA'!N47</f>
        <v>0</v>
      </c>
      <c r="O47" s="15">
        <f t="shared" si="0"/>
        <v>325.42857142857144</v>
      </c>
      <c r="P47" s="15">
        <f t="shared" si="1"/>
        <v>663.85714285714289</v>
      </c>
      <c r="R47" s="8"/>
      <c r="T47"/>
    </row>
    <row r="48" spans="2:32" ht="23.1" customHeight="1" x14ac:dyDescent="0.25">
      <c r="B48" s="24" t="s">
        <v>75</v>
      </c>
      <c r="C48" s="49">
        <f>'Avg Week BUSEGA-NATEETE'!C48+'Avg Week NATEETE-BUSEGA'!C48</f>
        <v>98.857142857142861</v>
      </c>
      <c r="D48" s="49">
        <f>'Avg Week BUSEGA-NATEETE'!D48+'Avg Week NATEETE-BUSEGA'!D48</f>
        <v>12.857142857142858</v>
      </c>
      <c r="E48" s="49">
        <f>'Avg Week BUSEGA-NATEETE'!E48+'Avg Week NATEETE-BUSEGA'!E48</f>
        <v>15.428571428571427</v>
      </c>
      <c r="F48" s="49">
        <f>'Avg Week BUSEGA-NATEETE'!F48+'Avg Week NATEETE-BUSEGA'!F48</f>
        <v>109</v>
      </c>
      <c r="G48" s="49">
        <f>'Avg Week BUSEGA-NATEETE'!G48+'Avg Week NATEETE-BUSEGA'!G48</f>
        <v>3.2857142857142856</v>
      </c>
      <c r="H48" s="49">
        <f>'Avg Week BUSEGA-NATEETE'!H48+'Avg Week NATEETE-BUSEGA'!H48</f>
        <v>7.1428571428571423</v>
      </c>
      <c r="I48" s="49">
        <f>'Avg Week BUSEGA-NATEETE'!I48+'Avg Week NATEETE-BUSEGA'!I48</f>
        <v>19.285714285714285</v>
      </c>
      <c r="J48" s="49">
        <f>'Avg Week BUSEGA-NATEETE'!J48+'Avg Week NATEETE-BUSEGA'!J48</f>
        <v>17.285714285714285</v>
      </c>
      <c r="K48" s="49">
        <f>'Avg Week BUSEGA-NATEETE'!K48+'Avg Week NATEETE-BUSEGA'!K48</f>
        <v>6.2857142857142865</v>
      </c>
      <c r="L48" s="49">
        <f>'Avg Week BUSEGA-NATEETE'!L48+'Avg Week NATEETE-BUSEGA'!L48</f>
        <v>8.7142857142857153</v>
      </c>
      <c r="M48" s="49">
        <f>'Avg Week BUSEGA-NATEETE'!M48+'Avg Week NATEETE-BUSEGA'!M48</f>
        <v>408.71428571428572</v>
      </c>
      <c r="N48" s="49">
        <f>'Avg Week BUSEGA-NATEETE'!N48+'Avg Week NATEETE-BUSEGA'!N48</f>
        <v>0.14285714285714285</v>
      </c>
      <c r="O48" s="15">
        <f t="shared" si="0"/>
        <v>298.28571428571433</v>
      </c>
      <c r="P48" s="15">
        <f t="shared" si="1"/>
        <v>707</v>
      </c>
      <c r="R48" s="8"/>
      <c r="T48"/>
    </row>
    <row r="49" spans="2:20" ht="23.1" customHeight="1" x14ac:dyDescent="0.25">
      <c r="B49" s="23" t="s">
        <v>76</v>
      </c>
      <c r="C49" s="49">
        <f>'Avg Week BUSEGA-NATEETE'!C49+'Avg Week NATEETE-BUSEGA'!C49</f>
        <v>118.57142857142858</v>
      </c>
      <c r="D49" s="49">
        <f>'Avg Week BUSEGA-NATEETE'!D49+'Avg Week NATEETE-BUSEGA'!D49</f>
        <v>16.142857142857142</v>
      </c>
      <c r="E49" s="49">
        <f>'Avg Week BUSEGA-NATEETE'!E49+'Avg Week NATEETE-BUSEGA'!E49</f>
        <v>22.142857142857142</v>
      </c>
      <c r="F49" s="49">
        <f>'Avg Week BUSEGA-NATEETE'!F49+'Avg Week NATEETE-BUSEGA'!F49</f>
        <v>117.42857142857142</v>
      </c>
      <c r="G49" s="49">
        <f>'Avg Week BUSEGA-NATEETE'!G49+'Avg Week NATEETE-BUSEGA'!G49</f>
        <v>3.2857142857142856</v>
      </c>
      <c r="H49" s="49">
        <f>'Avg Week BUSEGA-NATEETE'!H49+'Avg Week NATEETE-BUSEGA'!H49</f>
        <v>5.7142857142857144</v>
      </c>
      <c r="I49" s="49">
        <f>'Avg Week BUSEGA-NATEETE'!I49+'Avg Week NATEETE-BUSEGA'!I49</f>
        <v>19.285714285714285</v>
      </c>
      <c r="J49" s="49">
        <f>'Avg Week BUSEGA-NATEETE'!J49+'Avg Week NATEETE-BUSEGA'!J49</f>
        <v>15.428571428571431</v>
      </c>
      <c r="K49" s="49">
        <f>'Avg Week BUSEGA-NATEETE'!K49+'Avg Week NATEETE-BUSEGA'!K49</f>
        <v>6.1428571428571423</v>
      </c>
      <c r="L49" s="49">
        <f>'Avg Week BUSEGA-NATEETE'!L49+'Avg Week NATEETE-BUSEGA'!L49</f>
        <v>7.5714285714285712</v>
      </c>
      <c r="M49" s="49">
        <f>'Avg Week BUSEGA-NATEETE'!M49+'Avg Week NATEETE-BUSEGA'!M49</f>
        <v>361.28571428571428</v>
      </c>
      <c r="N49" s="49">
        <f>'Avg Week BUSEGA-NATEETE'!N49+'Avg Week NATEETE-BUSEGA'!N49</f>
        <v>0.14285714285714285</v>
      </c>
      <c r="O49" s="15">
        <f t="shared" si="0"/>
        <v>331.85714285714289</v>
      </c>
      <c r="P49" s="15">
        <f t="shared" si="1"/>
        <v>693.14285714285711</v>
      </c>
      <c r="R49" s="8"/>
      <c r="T49"/>
    </row>
    <row r="50" spans="2:20" ht="23.1" customHeight="1" x14ac:dyDescent="0.25">
      <c r="B50" s="24" t="s">
        <v>77</v>
      </c>
      <c r="C50" s="49">
        <f>'Avg Week BUSEGA-NATEETE'!C50+'Avg Week NATEETE-BUSEGA'!C50</f>
        <v>130</v>
      </c>
      <c r="D50" s="49">
        <f>'Avg Week BUSEGA-NATEETE'!D50+'Avg Week NATEETE-BUSEGA'!D50</f>
        <v>13.142857142857142</v>
      </c>
      <c r="E50" s="49">
        <f>'Avg Week BUSEGA-NATEETE'!E50+'Avg Week NATEETE-BUSEGA'!E50</f>
        <v>15.285714285714285</v>
      </c>
      <c r="F50" s="49">
        <f>'Avg Week BUSEGA-NATEETE'!F50+'Avg Week NATEETE-BUSEGA'!F50</f>
        <v>117.71428571428572</v>
      </c>
      <c r="G50" s="49">
        <f>'Avg Week BUSEGA-NATEETE'!G50+'Avg Week NATEETE-BUSEGA'!G50</f>
        <v>2.4285714285714284</v>
      </c>
      <c r="H50" s="49">
        <f>'Avg Week BUSEGA-NATEETE'!H50+'Avg Week NATEETE-BUSEGA'!H50</f>
        <v>4.4285714285714288</v>
      </c>
      <c r="I50" s="49">
        <f>'Avg Week BUSEGA-NATEETE'!I50+'Avg Week NATEETE-BUSEGA'!I50</f>
        <v>24.857142857142858</v>
      </c>
      <c r="J50" s="49">
        <f>'Avg Week BUSEGA-NATEETE'!J50+'Avg Week NATEETE-BUSEGA'!J50</f>
        <v>15.428571428571427</v>
      </c>
      <c r="K50" s="49">
        <f>'Avg Week BUSEGA-NATEETE'!K50+'Avg Week NATEETE-BUSEGA'!K50</f>
        <v>5.2857142857142856</v>
      </c>
      <c r="L50" s="49">
        <f>'Avg Week BUSEGA-NATEETE'!L50+'Avg Week NATEETE-BUSEGA'!L50</f>
        <v>8.2857142857142847</v>
      </c>
      <c r="M50" s="49">
        <f>'Avg Week BUSEGA-NATEETE'!M50+'Avg Week NATEETE-BUSEGA'!M50</f>
        <v>443.28571428571428</v>
      </c>
      <c r="N50" s="49">
        <f>'Avg Week BUSEGA-NATEETE'!N50+'Avg Week NATEETE-BUSEGA'!N50</f>
        <v>0</v>
      </c>
      <c r="O50" s="15">
        <f t="shared" si="0"/>
        <v>336.85714285714283</v>
      </c>
      <c r="P50" s="15">
        <f t="shared" si="1"/>
        <v>780.14285714285711</v>
      </c>
      <c r="R50" s="8"/>
      <c r="T50"/>
    </row>
    <row r="51" spans="2:20" ht="23.1" customHeight="1" x14ac:dyDescent="0.25">
      <c r="B51" s="24" t="s">
        <v>78</v>
      </c>
      <c r="C51" s="49">
        <f>'Avg Week BUSEGA-NATEETE'!C51+'Avg Week NATEETE-BUSEGA'!C51</f>
        <v>118</v>
      </c>
      <c r="D51" s="49">
        <f>'Avg Week BUSEGA-NATEETE'!D51+'Avg Week NATEETE-BUSEGA'!D51</f>
        <v>15.285714285714285</v>
      </c>
      <c r="E51" s="49">
        <f>'Avg Week BUSEGA-NATEETE'!E51+'Avg Week NATEETE-BUSEGA'!E51</f>
        <v>30.571428571428569</v>
      </c>
      <c r="F51" s="49">
        <f>'Avg Week BUSEGA-NATEETE'!F51+'Avg Week NATEETE-BUSEGA'!F51</f>
        <v>103</v>
      </c>
      <c r="G51" s="49">
        <f>'Avg Week BUSEGA-NATEETE'!G51+'Avg Week NATEETE-BUSEGA'!G51</f>
        <v>3.8571428571428577</v>
      </c>
      <c r="H51" s="49">
        <f>'Avg Week BUSEGA-NATEETE'!H51+'Avg Week NATEETE-BUSEGA'!H51</f>
        <v>6</v>
      </c>
      <c r="I51" s="49">
        <f>'Avg Week BUSEGA-NATEETE'!I51+'Avg Week NATEETE-BUSEGA'!I51</f>
        <v>16.857142857142858</v>
      </c>
      <c r="J51" s="49">
        <f>'Avg Week BUSEGA-NATEETE'!J51+'Avg Week NATEETE-BUSEGA'!J51</f>
        <v>12.857142857142858</v>
      </c>
      <c r="K51" s="49">
        <f>'Avg Week BUSEGA-NATEETE'!K51+'Avg Week NATEETE-BUSEGA'!K51</f>
        <v>6.1428571428571423</v>
      </c>
      <c r="L51" s="49">
        <f>'Avg Week BUSEGA-NATEETE'!L51+'Avg Week NATEETE-BUSEGA'!L51</f>
        <v>8.1428571428571423</v>
      </c>
      <c r="M51" s="49">
        <f>'Avg Week BUSEGA-NATEETE'!M51+'Avg Week NATEETE-BUSEGA'!M51</f>
        <v>407.71428571428572</v>
      </c>
      <c r="N51" s="49">
        <f>'Avg Week BUSEGA-NATEETE'!N51+'Avg Week NATEETE-BUSEGA'!N51</f>
        <v>0</v>
      </c>
      <c r="O51" s="15">
        <f t="shared" si="0"/>
        <v>320.71428571428567</v>
      </c>
      <c r="P51" s="15">
        <f t="shared" si="1"/>
        <v>728.42857142857133</v>
      </c>
      <c r="R51" s="8"/>
      <c r="T51"/>
    </row>
    <row r="52" spans="2:20" ht="23.1" customHeight="1" x14ac:dyDescent="0.25">
      <c r="B52" s="24" t="s">
        <v>79</v>
      </c>
      <c r="C52" s="49">
        <f>'Avg Week BUSEGA-NATEETE'!C52+'Avg Week NATEETE-BUSEGA'!C52</f>
        <v>126.28571428571429</v>
      </c>
      <c r="D52" s="49">
        <f>'Avg Week BUSEGA-NATEETE'!D52+'Avg Week NATEETE-BUSEGA'!D52</f>
        <v>19</v>
      </c>
      <c r="E52" s="49">
        <f>'Avg Week BUSEGA-NATEETE'!E52+'Avg Week NATEETE-BUSEGA'!E52</f>
        <v>18.428571428571431</v>
      </c>
      <c r="F52" s="49">
        <f>'Avg Week BUSEGA-NATEETE'!F52+'Avg Week NATEETE-BUSEGA'!F52</f>
        <v>112.57142857142856</v>
      </c>
      <c r="G52" s="49">
        <f>'Avg Week BUSEGA-NATEETE'!G52+'Avg Week NATEETE-BUSEGA'!G52</f>
        <v>4.1428571428571423</v>
      </c>
      <c r="H52" s="49">
        <f>'Avg Week BUSEGA-NATEETE'!H52+'Avg Week NATEETE-BUSEGA'!H52</f>
        <v>6.1428571428571432</v>
      </c>
      <c r="I52" s="49">
        <f>'Avg Week BUSEGA-NATEETE'!I52+'Avg Week NATEETE-BUSEGA'!I52</f>
        <v>21</v>
      </c>
      <c r="J52" s="49">
        <f>'Avg Week BUSEGA-NATEETE'!J52+'Avg Week NATEETE-BUSEGA'!J52</f>
        <v>19.571428571428573</v>
      </c>
      <c r="K52" s="49">
        <f>'Avg Week BUSEGA-NATEETE'!K52+'Avg Week NATEETE-BUSEGA'!K52</f>
        <v>5.7142857142857144</v>
      </c>
      <c r="L52" s="49">
        <f>'Avg Week BUSEGA-NATEETE'!L52+'Avg Week NATEETE-BUSEGA'!L52</f>
        <v>7.1428571428571423</v>
      </c>
      <c r="M52" s="49">
        <f>'Avg Week BUSEGA-NATEETE'!M52+'Avg Week NATEETE-BUSEGA'!M52</f>
        <v>376.28571428571433</v>
      </c>
      <c r="N52" s="49">
        <f>'Avg Week BUSEGA-NATEETE'!N52+'Avg Week NATEETE-BUSEGA'!N52</f>
        <v>0.14285714285714285</v>
      </c>
      <c r="O52" s="15">
        <f t="shared" si="0"/>
        <v>340.14285714285722</v>
      </c>
      <c r="P52" s="15">
        <f t="shared" si="1"/>
        <v>716.42857142857156</v>
      </c>
      <c r="R52" s="8"/>
      <c r="T52"/>
    </row>
    <row r="53" spans="2:20" ht="23.1" customHeight="1" x14ac:dyDescent="0.25">
      <c r="B53" s="23" t="s">
        <v>80</v>
      </c>
      <c r="C53" s="49">
        <f>'Avg Week BUSEGA-NATEETE'!C53+'Avg Week NATEETE-BUSEGA'!C53</f>
        <v>125.14285714285714</v>
      </c>
      <c r="D53" s="49">
        <f>'Avg Week BUSEGA-NATEETE'!D53+'Avg Week NATEETE-BUSEGA'!D53</f>
        <v>21.857142857142858</v>
      </c>
      <c r="E53" s="49">
        <f>'Avg Week BUSEGA-NATEETE'!E53+'Avg Week NATEETE-BUSEGA'!E53</f>
        <v>18.285714285714285</v>
      </c>
      <c r="F53" s="49">
        <f>'Avg Week BUSEGA-NATEETE'!F53+'Avg Week NATEETE-BUSEGA'!F53</f>
        <v>103.28571428571428</v>
      </c>
      <c r="G53" s="49">
        <f>'Avg Week BUSEGA-NATEETE'!G53+'Avg Week NATEETE-BUSEGA'!G53</f>
        <v>4</v>
      </c>
      <c r="H53" s="49">
        <f>'Avg Week BUSEGA-NATEETE'!H53+'Avg Week NATEETE-BUSEGA'!H53</f>
        <v>3.1428571428571428</v>
      </c>
      <c r="I53" s="49">
        <f>'Avg Week BUSEGA-NATEETE'!I53+'Avg Week NATEETE-BUSEGA'!I53</f>
        <v>16.714285714285715</v>
      </c>
      <c r="J53" s="49">
        <f>'Avg Week BUSEGA-NATEETE'!J53+'Avg Week NATEETE-BUSEGA'!J53</f>
        <v>12.428571428571429</v>
      </c>
      <c r="K53" s="49">
        <f>'Avg Week BUSEGA-NATEETE'!K53+'Avg Week NATEETE-BUSEGA'!K53</f>
        <v>4.8571428571428577</v>
      </c>
      <c r="L53" s="49">
        <f>'Avg Week BUSEGA-NATEETE'!L53+'Avg Week NATEETE-BUSEGA'!L53</f>
        <v>6</v>
      </c>
      <c r="M53" s="49">
        <f>'Avg Week BUSEGA-NATEETE'!M53+'Avg Week NATEETE-BUSEGA'!M53</f>
        <v>411.28571428571428</v>
      </c>
      <c r="N53" s="49">
        <f>'Avg Week BUSEGA-NATEETE'!N53+'Avg Week NATEETE-BUSEGA'!N53</f>
        <v>0</v>
      </c>
      <c r="O53" s="15">
        <f t="shared" si="0"/>
        <v>315.71428571428572</v>
      </c>
      <c r="P53" s="15">
        <f t="shared" si="1"/>
        <v>727</v>
      </c>
      <c r="R53" s="8"/>
      <c r="T53"/>
    </row>
    <row r="54" spans="2:20" ht="23.1" customHeight="1" x14ac:dyDescent="0.25">
      <c r="B54" s="23" t="s">
        <v>81</v>
      </c>
      <c r="C54" s="49">
        <f>'Avg Week BUSEGA-NATEETE'!C54+'Avg Week NATEETE-BUSEGA'!C54</f>
        <v>112.57142857142857</v>
      </c>
      <c r="D54" s="49">
        <f>'Avg Week BUSEGA-NATEETE'!D54+'Avg Week NATEETE-BUSEGA'!D54</f>
        <v>17.285714285714285</v>
      </c>
      <c r="E54" s="49">
        <f>'Avg Week BUSEGA-NATEETE'!E54+'Avg Week NATEETE-BUSEGA'!E54</f>
        <v>15.857142857142858</v>
      </c>
      <c r="F54" s="49">
        <f>'Avg Week BUSEGA-NATEETE'!F54+'Avg Week NATEETE-BUSEGA'!F54</f>
        <v>110.57142857142857</v>
      </c>
      <c r="G54" s="49">
        <f>'Avg Week BUSEGA-NATEETE'!G54+'Avg Week NATEETE-BUSEGA'!G54</f>
        <v>2.7142857142857144</v>
      </c>
      <c r="H54" s="49">
        <f>'Avg Week BUSEGA-NATEETE'!H54+'Avg Week NATEETE-BUSEGA'!H54</f>
        <v>4</v>
      </c>
      <c r="I54" s="49">
        <f>'Avg Week BUSEGA-NATEETE'!I54+'Avg Week NATEETE-BUSEGA'!I54</f>
        <v>16.142857142857142</v>
      </c>
      <c r="J54" s="49">
        <f>'Avg Week BUSEGA-NATEETE'!J54+'Avg Week NATEETE-BUSEGA'!J54</f>
        <v>15.285714285714286</v>
      </c>
      <c r="K54" s="49">
        <f>'Avg Week BUSEGA-NATEETE'!K54+'Avg Week NATEETE-BUSEGA'!K54</f>
        <v>4.7142857142857144</v>
      </c>
      <c r="L54" s="49">
        <f>'Avg Week BUSEGA-NATEETE'!L54+'Avg Week NATEETE-BUSEGA'!L54</f>
        <v>5.7142857142857144</v>
      </c>
      <c r="M54" s="49">
        <f>'Avg Week BUSEGA-NATEETE'!M54+'Avg Week NATEETE-BUSEGA'!M54</f>
        <v>428</v>
      </c>
      <c r="N54" s="49">
        <f>'Avg Week BUSEGA-NATEETE'!N54+'Avg Week NATEETE-BUSEGA'!N54</f>
        <v>0</v>
      </c>
      <c r="O54" s="15">
        <f t="shared" si="0"/>
        <v>304.85714285714289</v>
      </c>
      <c r="P54" s="15">
        <f t="shared" si="1"/>
        <v>732.85714285714289</v>
      </c>
      <c r="R54" s="8"/>
      <c r="T54"/>
    </row>
    <row r="55" spans="2:20" ht="23.1" customHeight="1" x14ac:dyDescent="0.25">
      <c r="B55" s="23" t="s">
        <v>82</v>
      </c>
      <c r="C55" s="49">
        <f>'Avg Week BUSEGA-NATEETE'!C55+'Avg Week NATEETE-BUSEGA'!C55</f>
        <v>114.85714285714286</v>
      </c>
      <c r="D55" s="49">
        <f>'Avg Week BUSEGA-NATEETE'!D55+'Avg Week NATEETE-BUSEGA'!D55</f>
        <v>17.285714285714285</v>
      </c>
      <c r="E55" s="49">
        <f>'Avg Week BUSEGA-NATEETE'!E55+'Avg Week NATEETE-BUSEGA'!E55</f>
        <v>22</v>
      </c>
      <c r="F55" s="49">
        <f>'Avg Week BUSEGA-NATEETE'!F55+'Avg Week NATEETE-BUSEGA'!F55</f>
        <v>110.57142857142858</v>
      </c>
      <c r="G55" s="49">
        <f>'Avg Week BUSEGA-NATEETE'!G55+'Avg Week NATEETE-BUSEGA'!G55</f>
        <v>3.7142857142857144</v>
      </c>
      <c r="H55" s="49">
        <f>'Avg Week BUSEGA-NATEETE'!H55+'Avg Week NATEETE-BUSEGA'!H55</f>
        <v>6.8571428571428568</v>
      </c>
      <c r="I55" s="49">
        <f>'Avg Week BUSEGA-NATEETE'!I55+'Avg Week NATEETE-BUSEGA'!I55</f>
        <v>21.285714285714285</v>
      </c>
      <c r="J55" s="49">
        <f>'Avg Week BUSEGA-NATEETE'!J55+'Avg Week NATEETE-BUSEGA'!J55</f>
        <v>15.857142857142858</v>
      </c>
      <c r="K55" s="49">
        <f>'Avg Week BUSEGA-NATEETE'!K55+'Avg Week NATEETE-BUSEGA'!K55</f>
        <v>10.714285714285715</v>
      </c>
      <c r="L55" s="49">
        <f>'Avg Week BUSEGA-NATEETE'!L55+'Avg Week NATEETE-BUSEGA'!L55</f>
        <v>7.7142857142857144</v>
      </c>
      <c r="M55" s="49">
        <f>'Avg Week BUSEGA-NATEETE'!M55+'Avg Week NATEETE-BUSEGA'!M55</f>
        <v>385.57142857142856</v>
      </c>
      <c r="N55" s="49">
        <f>'Avg Week BUSEGA-NATEETE'!N55+'Avg Week NATEETE-BUSEGA'!N55</f>
        <v>0</v>
      </c>
      <c r="O55" s="15">
        <f t="shared" si="0"/>
        <v>330.85714285714283</v>
      </c>
      <c r="P55" s="15">
        <f t="shared" si="1"/>
        <v>716.42857142857133</v>
      </c>
      <c r="R55" s="8"/>
      <c r="T55"/>
    </row>
    <row r="56" spans="2:20" ht="23.1" customHeight="1" x14ac:dyDescent="0.25">
      <c r="B56" s="23" t="s">
        <v>83</v>
      </c>
      <c r="C56" s="49">
        <f>'Avg Week BUSEGA-NATEETE'!C56+'Avg Week NATEETE-BUSEGA'!C56</f>
        <v>122.28571428571429</v>
      </c>
      <c r="D56" s="49">
        <f>'Avg Week BUSEGA-NATEETE'!D56+'Avg Week NATEETE-BUSEGA'!D56</f>
        <v>16.142857142857142</v>
      </c>
      <c r="E56" s="49">
        <f>'Avg Week BUSEGA-NATEETE'!E56+'Avg Week NATEETE-BUSEGA'!E56</f>
        <v>18.285714285714285</v>
      </c>
      <c r="F56" s="49">
        <f>'Avg Week BUSEGA-NATEETE'!F56+'Avg Week NATEETE-BUSEGA'!F56</f>
        <v>107.85714285714286</v>
      </c>
      <c r="G56" s="49">
        <f>'Avg Week BUSEGA-NATEETE'!G56+'Avg Week NATEETE-BUSEGA'!G56</f>
        <v>4.1428571428571423</v>
      </c>
      <c r="H56" s="49">
        <f>'Avg Week BUSEGA-NATEETE'!H56+'Avg Week NATEETE-BUSEGA'!H56</f>
        <v>7.8571428571428577</v>
      </c>
      <c r="I56" s="49">
        <f>'Avg Week BUSEGA-NATEETE'!I56+'Avg Week NATEETE-BUSEGA'!I56</f>
        <v>17.142857142857142</v>
      </c>
      <c r="J56" s="49">
        <f>'Avg Week BUSEGA-NATEETE'!J56+'Avg Week NATEETE-BUSEGA'!J56</f>
        <v>15</v>
      </c>
      <c r="K56" s="49">
        <f>'Avg Week BUSEGA-NATEETE'!K56+'Avg Week NATEETE-BUSEGA'!K56</f>
        <v>7.7142857142857135</v>
      </c>
      <c r="L56" s="49">
        <f>'Avg Week BUSEGA-NATEETE'!L56+'Avg Week NATEETE-BUSEGA'!L56</f>
        <v>40.857142857142854</v>
      </c>
      <c r="M56" s="49">
        <f>'Avg Week BUSEGA-NATEETE'!M56+'Avg Week NATEETE-BUSEGA'!M56</f>
        <v>362</v>
      </c>
      <c r="N56" s="49">
        <f>'Avg Week BUSEGA-NATEETE'!N56+'Avg Week NATEETE-BUSEGA'!N56</f>
        <v>0</v>
      </c>
      <c r="O56" s="15">
        <f t="shared" si="0"/>
        <v>357.28571428571428</v>
      </c>
      <c r="P56" s="15">
        <f t="shared" si="1"/>
        <v>719.28571428571422</v>
      </c>
      <c r="R56" s="8"/>
      <c r="T56"/>
    </row>
    <row r="57" spans="2:20" ht="23.1" customHeight="1" x14ac:dyDescent="0.25">
      <c r="B57" s="23" t="s">
        <v>84</v>
      </c>
      <c r="C57" s="49">
        <f>'Avg Week BUSEGA-NATEETE'!C57+'Avg Week NATEETE-BUSEGA'!C57</f>
        <v>121.28571428571429</v>
      </c>
      <c r="D57" s="49">
        <f>'Avg Week BUSEGA-NATEETE'!D57+'Avg Week NATEETE-BUSEGA'!D57</f>
        <v>14.571428571428571</v>
      </c>
      <c r="E57" s="49">
        <f>'Avg Week BUSEGA-NATEETE'!E57+'Avg Week NATEETE-BUSEGA'!E57</f>
        <v>16.571428571428573</v>
      </c>
      <c r="F57" s="49">
        <f>'Avg Week BUSEGA-NATEETE'!F57+'Avg Week NATEETE-BUSEGA'!F57</f>
        <v>109.57142857142857</v>
      </c>
      <c r="G57" s="49">
        <f>'Avg Week BUSEGA-NATEETE'!G57+'Avg Week NATEETE-BUSEGA'!G57</f>
        <v>4.4285714285714288</v>
      </c>
      <c r="H57" s="49">
        <f>'Avg Week BUSEGA-NATEETE'!H57+'Avg Week NATEETE-BUSEGA'!H57</f>
        <v>4.1428571428571432</v>
      </c>
      <c r="I57" s="49">
        <f>'Avg Week BUSEGA-NATEETE'!I57+'Avg Week NATEETE-BUSEGA'!I57</f>
        <v>15</v>
      </c>
      <c r="J57" s="49">
        <f>'Avg Week BUSEGA-NATEETE'!J57+'Avg Week NATEETE-BUSEGA'!J57</f>
        <v>11.142857142857142</v>
      </c>
      <c r="K57" s="49">
        <f>'Avg Week BUSEGA-NATEETE'!K57+'Avg Week NATEETE-BUSEGA'!K57</f>
        <v>5.4285714285714288</v>
      </c>
      <c r="L57" s="49">
        <f>'Avg Week BUSEGA-NATEETE'!L57+'Avg Week NATEETE-BUSEGA'!L57</f>
        <v>6.4285714285714288</v>
      </c>
      <c r="M57" s="49">
        <f>'Avg Week BUSEGA-NATEETE'!M57+'Avg Week NATEETE-BUSEGA'!M57</f>
        <v>375.71428571428572</v>
      </c>
      <c r="N57" s="49">
        <f>'Avg Week BUSEGA-NATEETE'!N57+'Avg Week NATEETE-BUSEGA'!N57</f>
        <v>0</v>
      </c>
      <c r="O57" s="15">
        <f t="shared" si="0"/>
        <v>308.57142857142867</v>
      </c>
      <c r="P57" s="15">
        <f>SUM(C57:N57)</f>
        <v>684.28571428571445</v>
      </c>
      <c r="R57" s="8"/>
      <c r="T57"/>
    </row>
    <row r="58" spans="2:20" ht="23.1" customHeight="1" x14ac:dyDescent="0.25">
      <c r="B58" s="23" t="s">
        <v>99</v>
      </c>
      <c r="C58" s="49">
        <f>'Avg Week BUSEGA-NATEETE'!C58+'Avg Week NATEETE-BUSEGA'!C58</f>
        <v>101</v>
      </c>
      <c r="D58" s="49">
        <f>'Avg Week BUSEGA-NATEETE'!D58+'Avg Week NATEETE-BUSEGA'!D58</f>
        <v>11</v>
      </c>
      <c r="E58" s="49">
        <f>'Avg Week BUSEGA-NATEETE'!E58+'Avg Week NATEETE-BUSEGA'!E58</f>
        <v>15.5</v>
      </c>
      <c r="F58" s="49">
        <f>'Avg Week BUSEGA-NATEETE'!F58+'Avg Week NATEETE-BUSEGA'!F58</f>
        <v>64.5</v>
      </c>
      <c r="G58" s="49">
        <f>'Avg Week BUSEGA-NATEETE'!G58+'Avg Week NATEETE-BUSEGA'!G58</f>
        <v>1.5</v>
      </c>
      <c r="H58" s="49">
        <f>'Avg Week BUSEGA-NATEETE'!H58+'Avg Week NATEETE-BUSEGA'!H58</f>
        <v>0.5</v>
      </c>
      <c r="I58" s="49">
        <f>'Avg Week BUSEGA-NATEETE'!I58+'Avg Week NATEETE-BUSEGA'!I58</f>
        <v>21</v>
      </c>
      <c r="J58" s="49">
        <f>'Avg Week BUSEGA-NATEETE'!J58+'Avg Week NATEETE-BUSEGA'!J58</f>
        <v>10.5</v>
      </c>
      <c r="K58" s="49">
        <f>'Avg Week BUSEGA-NATEETE'!K58+'Avg Week NATEETE-BUSEGA'!K58</f>
        <v>5</v>
      </c>
      <c r="L58" s="49">
        <f>'Avg Week BUSEGA-NATEETE'!L58+'Avg Week NATEETE-BUSEGA'!L58</f>
        <v>6</v>
      </c>
      <c r="M58" s="49">
        <f>'Avg Week BUSEGA-NATEETE'!M58+'Avg Week NATEETE-BUSEGA'!M58</f>
        <v>425</v>
      </c>
      <c r="N58" s="49">
        <f>'Avg Week BUSEGA-NATEETE'!N58+'Avg Week NATEETE-BUSEGA'!N58</f>
        <v>0</v>
      </c>
      <c r="O58" s="15">
        <f t="shared" si="0"/>
        <v>236.5</v>
      </c>
      <c r="P58" s="15">
        <f t="shared" ref="P58:P105" si="35">SUM(C58:N58)</f>
        <v>661.5</v>
      </c>
      <c r="R58" s="8"/>
      <c r="T58"/>
    </row>
    <row r="59" spans="2:20" ht="23.1" customHeight="1" x14ac:dyDescent="0.25">
      <c r="B59" s="23" t="s">
        <v>100</v>
      </c>
      <c r="C59" s="49">
        <f>'Avg Week BUSEGA-NATEETE'!C59+'Avg Week NATEETE-BUSEGA'!C59</f>
        <v>96</v>
      </c>
      <c r="D59" s="49">
        <f>'Avg Week BUSEGA-NATEETE'!D59+'Avg Week NATEETE-BUSEGA'!D59</f>
        <v>10.5</v>
      </c>
      <c r="E59" s="49">
        <f>'Avg Week BUSEGA-NATEETE'!E59+'Avg Week NATEETE-BUSEGA'!E59</f>
        <v>10</v>
      </c>
      <c r="F59" s="49">
        <f>'Avg Week BUSEGA-NATEETE'!F59+'Avg Week NATEETE-BUSEGA'!F59</f>
        <v>81.5</v>
      </c>
      <c r="G59" s="49">
        <f>'Avg Week BUSEGA-NATEETE'!G59+'Avg Week NATEETE-BUSEGA'!G59</f>
        <v>3</v>
      </c>
      <c r="H59" s="49">
        <f>'Avg Week BUSEGA-NATEETE'!H59+'Avg Week NATEETE-BUSEGA'!H59</f>
        <v>2.5</v>
      </c>
      <c r="I59" s="49">
        <f>'Avg Week BUSEGA-NATEETE'!I59+'Avg Week NATEETE-BUSEGA'!I59</f>
        <v>13.5</v>
      </c>
      <c r="J59" s="49">
        <f>'Avg Week BUSEGA-NATEETE'!J59+'Avg Week NATEETE-BUSEGA'!J59</f>
        <v>12.5</v>
      </c>
      <c r="K59" s="49">
        <f>'Avg Week BUSEGA-NATEETE'!K59+'Avg Week NATEETE-BUSEGA'!K59</f>
        <v>2</v>
      </c>
      <c r="L59" s="49">
        <f>'Avg Week BUSEGA-NATEETE'!L59+'Avg Week NATEETE-BUSEGA'!L59</f>
        <v>2.5</v>
      </c>
      <c r="M59" s="49">
        <f>'Avg Week BUSEGA-NATEETE'!M59+'Avg Week NATEETE-BUSEGA'!M59</f>
        <v>427.5</v>
      </c>
      <c r="N59" s="49">
        <f>'Avg Week BUSEGA-NATEETE'!N59+'Avg Week NATEETE-BUSEGA'!N59</f>
        <v>0</v>
      </c>
      <c r="O59" s="15">
        <f t="shared" si="0"/>
        <v>234</v>
      </c>
      <c r="P59" s="15">
        <f t="shared" si="35"/>
        <v>661.5</v>
      </c>
      <c r="R59" s="8"/>
      <c r="T59"/>
    </row>
    <row r="60" spans="2:20" ht="23.1" customHeight="1" x14ac:dyDescent="0.25">
      <c r="B60" s="23" t="s">
        <v>101</v>
      </c>
      <c r="C60" s="49">
        <f>'Avg Week BUSEGA-NATEETE'!C60+'Avg Week NATEETE-BUSEGA'!C60</f>
        <v>111</v>
      </c>
      <c r="D60" s="49">
        <f>'Avg Week BUSEGA-NATEETE'!D60+'Avg Week NATEETE-BUSEGA'!D60</f>
        <v>14.5</v>
      </c>
      <c r="E60" s="49">
        <f>'Avg Week BUSEGA-NATEETE'!E60+'Avg Week NATEETE-BUSEGA'!E60</f>
        <v>15</v>
      </c>
      <c r="F60" s="49">
        <f>'Avg Week BUSEGA-NATEETE'!F60+'Avg Week NATEETE-BUSEGA'!F60</f>
        <v>71</v>
      </c>
      <c r="G60" s="49">
        <f>'Avg Week BUSEGA-NATEETE'!G60+'Avg Week NATEETE-BUSEGA'!G60</f>
        <v>2</v>
      </c>
      <c r="H60" s="49">
        <f>'Avg Week BUSEGA-NATEETE'!H60+'Avg Week NATEETE-BUSEGA'!H60</f>
        <v>3</v>
      </c>
      <c r="I60" s="49">
        <f>'Avg Week BUSEGA-NATEETE'!I60+'Avg Week NATEETE-BUSEGA'!I60</f>
        <v>6.5</v>
      </c>
      <c r="J60" s="49">
        <f>'Avg Week BUSEGA-NATEETE'!J60+'Avg Week NATEETE-BUSEGA'!J60</f>
        <v>4.5</v>
      </c>
      <c r="K60" s="49">
        <f>'Avg Week BUSEGA-NATEETE'!K60+'Avg Week NATEETE-BUSEGA'!K60</f>
        <v>1</v>
      </c>
      <c r="L60" s="49">
        <f>'Avg Week BUSEGA-NATEETE'!L60+'Avg Week NATEETE-BUSEGA'!L60</f>
        <v>4.5</v>
      </c>
      <c r="M60" s="49">
        <f>'Avg Week BUSEGA-NATEETE'!M60+'Avg Week NATEETE-BUSEGA'!M60</f>
        <v>434.5</v>
      </c>
      <c r="N60" s="49">
        <f>'Avg Week BUSEGA-NATEETE'!N60+'Avg Week NATEETE-BUSEGA'!N60</f>
        <v>0</v>
      </c>
      <c r="O60" s="15">
        <f t="shared" si="0"/>
        <v>233</v>
      </c>
      <c r="P60" s="15">
        <f t="shared" si="35"/>
        <v>667.5</v>
      </c>
      <c r="R60" s="8"/>
      <c r="T60"/>
    </row>
    <row r="61" spans="2:20" ht="23.1" customHeight="1" x14ac:dyDescent="0.25">
      <c r="B61" s="23" t="s">
        <v>102</v>
      </c>
      <c r="C61" s="49">
        <f>'Avg Week BUSEGA-NATEETE'!C61+'Avg Week NATEETE-BUSEGA'!C61</f>
        <v>95</v>
      </c>
      <c r="D61" s="49">
        <f>'Avg Week BUSEGA-NATEETE'!D61+'Avg Week NATEETE-BUSEGA'!D61</f>
        <v>13</v>
      </c>
      <c r="E61" s="49">
        <f>'Avg Week BUSEGA-NATEETE'!E61+'Avg Week NATEETE-BUSEGA'!E61</f>
        <v>10.5</v>
      </c>
      <c r="F61" s="49">
        <f>'Avg Week BUSEGA-NATEETE'!F61+'Avg Week NATEETE-BUSEGA'!F61</f>
        <v>86.5</v>
      </c>
      <c r="G61" s="49">
        <f>'Avg Week BUSEGA-NATEETE'!G61+'Avg Week NATEETE-BUSEGA'!G61</f>
        <v>4.5</v>
      </c>
      <c r="H61" s="49">
        <f>'Avg Week BUSEGA-NATEETE'!H61+'Avg Week NATEETE-BUSEGA'!H61</f>
        <v>5.5</v>
      </c>
      <c r="I61" s="49">
        <f>'Avg Week BUSEGA-NATEETE'!I61+'Avg Week NATEETE-BUSEGA'!I61</f>
        <v>10</v>
      </c>
      <c r="J61" s="49">
        <f>'Avg Week BUSEGA-NATEETE'!J61+'Avg Week NATEETE-BUSEGA'!J61</f>
        <v>8.5</v>
      </c>
      <c r="K61" s="49">
        <f>'Avg Week BUSEGA-NATEETE'!K61+'Avg Week NATEETE-BUSEGA'!K61</f>
        <v>1.5</v>
      </c>
      <c r="L61" s="49">
        <f>'Avg Week BUSEGA-NATEETE'!L61+'Avg Week NATEETE-BUSEGA'!L61</f>
        <v>4</v>
      </c>
      <c r="M61" s="49">
        <f>'Avg Week BUSEGA-NATEETE'!M61+'Avg Week NATEETE-BUSEGA'!M61</f>
        <v>436.5</v>
      </c>
      <c r="N61" s="49">
        <f>'Avg Week BUSEGA-NATEETE'!N61+'Avg Week NATEETE-BUSEGA'!N61</f>
        <v>0</v>
      </c>
      <c r="O61" s="15">
        <f t="shared" si="0"/>
        <v>239</v>
      </c>
      <c r="P61" s="15">
        <f t="shared" si="35"/>
        <v>675.5</v>
      </c>
      <c r="R61" s="8"/>
      <c r="T61"/>
    </row>
    <row r="62" spans="2:20" ht="23.1" customHeight="1" x14ac:dyDescent="0.25">
      <c r="B62" s="23" t="s">
        <v>107</v>
      </c>
      <c r="C62" s="49">
        <f>'Avg Week BUSEGA-NATEETE'!C62+'Avg Week NATEETE-BUSEGA'!C62</f>
        <v>107</v>
      </c>
      <c r="D62" s="49">
        <f>'Avg Week BUSEGA-NATEETE'!D62+'Avg Week NATEETE-BUSEGA'!D62</f>
        <v>12.5</v>
      </c>
      <c r="E62" s="49">
        <f>'Avg Week BUSEGA-NATEETE'!E62+'Avg Week NATEETE-BUSEGA'!E62</f>
        <v>13.5</v>
      </c>
      <c r="F62" s="49">
        <f>'Avg Week BUSEGA-NATEETE'!F62+'Avg Week NATEETE-BUSEGA'!F62</f>
        <v>84.5</v>
      </c>
      <c r="G62" s="49">
        <f>'Avg Week BUSEGA-NATEETE'!G62+'Avg Week NATEETE-BUSEGA'!G62</f>
        <v>3.5</v>
      </c>
      <c r="H62" s="49">
        <f>'Avg Week BUSEGA-NATEETE'!H62+'Avg Week NATEETE-BUSEGA'!H62</f>
        <v>4</v>
      </c>
      <c r="I62" s="49">
        <f>'Avg Week BUSEGA-NATEETE'!I62+'Avg Week NATEETE-BUSEGA'!I62</f>
        <v>10.5</v>
      </c>
      <c r="J62" s="49">
        <f>'Avg Week BUSEGA-NATEETE'!J62+'Avg Week NATEETE-BUSEGA'!J62</f>
        <v>8</v>
      </c>
      <c r="K62" s="49">
        <f>'Avg Week BUSEGA-NATEETE'!K62+'Avg Week NATEETE-BUSEGA'!K62</f>
        <v>7.5</v>
      </c>
      <c r="L62" s="49">
        <f>'Avg Week BUSEGA-NATEETE'!L62+'Avg Week NATEETE-BUSEGA'!L62</f>
        <v>4</v>
      </c>
      <c r="M62" s="49">
        <f>'Avg Week BUSEGA-NATEETE'!M62+'Avg Week NATEETE-BUSEGA'!M62</f>
        <v>472</v>
      </c>
      <c r="N62" s="49">
        <f>'Avg Week BUSEGA-NATEETE'!N62+'Avg Week NATEETE-BUSEGA'!N62</f>
        <v>0</v>
      </c>
      <c r="O62" s="15">
        <f t="shared" si="0"/>
        <v>255</v>
      </c>
      <c r="P62" s="15">
        <f t="shared" si="35"/>
        <v>727</v>
      </c>
      <c r="R62" s="8"/>
      <c r="T62"/>
    </row>
    <row r="63" spans="2:20" ht="23.1" customHeight="1" x14ac:dyDescent="0.25">
      <c r="B63" s="23" t="s">
        <v>108</v>
      </c>
      <c r="C63" s="49">
        <f>'Avg Week BUSEGA-NATEETE'!C63+'Avg Week NATEETE-BUSEGA'!C63</f>
        <v>96</v>
      </c>
      <c r="D63" s="49">
        <f>'Avg Week BUSEGA-NATEETE'!D63+'Avg Week NATEETE-BUSEGA'!D63</f>
        <v>15.5</v>
      </c>
      <c r="E63" s="49">
        <f>'Avg Week BUSEGA-NATEETE'!E63+'Avg Week NATEETE-BUSEGA'!E63</f>
        <v>15.5</v>
      </c>
      <c r="F63" s="49">
        <f>'Avg Week BUSEGA-NATEETE'!F63+'Avg Week NATEETE-BUSEGA'!F63</f>
        <v>69.5</v>
      </c>
      <c r="G63" s="49">
        <f>'Avg Week BUSEGA-NATEETE'!G63+'Avg Week NATEETE-BUSEGA'!G63</f>
        <v>3</v>
      </c>
      <c r="H63" s="49">
        <f>'Avg Week BUSEGA-NATEETE'!H63+'Avg Week NATEETE-BUSEGA'!H63</f>
        <v>3</v>
      </c>
      <c r="I63" s="49">
        <f>'Avg Week BUSEGA-NATEETE'!I63+'Avg Week NATEETE-BUSEGA'!I63</f>
        <v>8.5</v>
      </c>
      <c r="J63" s="49">
        <f>'Avg Week BUSEGA-NATEETE'!J63+'Avg Week NATEETE-BUSEGA'!J63</f>
        <v>5.5</v>
      </c>
      <c r="K63" s="49">
        <f>'Avg Week BUSEGA-NATEETE'!K63+'Avg Week NATEETE-BUSEGA'!K63</f>
        <v>5.5</v>
      </c>
      <c r="L63" s="49">
        <f>'Avg Week BUSEGA-NATEETE'!L63+'Avg Week NATEETE-BUSEGA'!L63</f>
        <v>1.5</v>
      </c>
      <c r="M63" s="49">
        <f>'Avg Week BUSEGA-NATEETE'!M63+'Avg Week NATEETE-BUSEGA'!M63</f>
        <v>444</v>
      </c>
      <c r="N63" s="49">
        <f>'Avg Week BUSEGA-NATEETE'!N63+'Avg Week NATEETE-BUSEGA'!N63</f>
        <v>0</v>
      </c>
      <c r="O63" s="15">
        <f t="shared" si="0"/>
        <v>223.5</v>
      </c>
      <c r="P63" s="15">
        <f t="shared" si="35"/>
        <v>667.5</v>
      </c>
      <c r="R63" s="8"/>
      <c r="T63"/>
    </row>
    <row r="64" spans="2:20" ht="23.1" customHeight="1" x14ac:dyDescent="0.25">
      <c r="B64" s="23" t="s">
        <v>109</v>
      </c>
      <c r="C64" s="49">
        <f>'Avg Week BUSEGA-NATEETE'!C64+'Avg Week NATEETE-BUSEGA'!C64</f>
        <v>118.5</v>
      </c>
      <c r="D64" s="49">
        <f>'Avg Week BUSEGA-NATEETE'!D64+'Avg Week NATEETE-BUSEGA'!D64</f>
        <v>9</v>
      </c>
      <c r="E64" s="49">
        <f>'Avg Week BUSEGA-NATEETE'!E64+'Avg Week NATEETE-BUSEGA'!E64</f>
        <v>8.5</v>
      </c>
      <c r="F64" s="49">
        <f>'Avg Week BUSEGA-NATEETE'!F64+'Avg Week NATEETE-BUSEGA'!F64</f>
        <v>83.5</v>
      </c>
      <c r="G64" s="49">
        <f>'Avg Week BUSEGA-NATEETE'!G64+'Avg Week NATEETE-BUSEGA'!G64</f>
        <v>6</v>
      </c>
      <c r="H64" s="49">
        <f>'Avg Week BUSEGA-NATEETE'!H64+'Avg Week NATEETE-BUSEGA'!H64</f>
        <v>1</v>
      </c>
      <c r="I64" s="49">
        <f>'Avg Week BUSEGA-NATEETE'!I64+'Avg Week NATEETE-BUSEGA'!I64</f>
        <v>10.5</v>
      </c>
      <c r="J64" s="49">
        <f>'Avg Week BUSEGA-NATEETE'!J64+'Avg Week NATEETE-BUSEGA'!J64</f>
        <v>7</v>
      </c>
      <c r="K64" s="49">
        <f>'Avg Week BUSEGA-NATEETE'!K64+'Avg Week NATEETE-BUSEGA'!K64</f>
        <v>2.5</v>
      </c>
      <c r="L64" s="49">
        <f>'Avg Week BUSEGA-NATEETE'!L64+'Avg Week NATEETE-BUSEGA'!L64</f>
        <v>2.5</v>
      </c>
      <c r="M64" s="49">
        <f>'Avg Week BUSEGA-NATEETE'!M64+'Avg Week NATEETE-BUSEGA'!M64</f>
        <v>449</v>
      </c>
      <c r="N64" s="49">
        <f>'Avg Week BUSEGA-NATEETE'!N64+'Avg Week NATEETE-BUSEGA'!N64</f>
        <v>0</v>
      </c>
      <c r="O64" s="15">
        <f t="shared" si="0"/>
        <v>249</v>
      </c>
      <c r="P64" s="15">
        <f t="shared" si="35"/>
        <v>698</v>
      </c>
      <c r="R64" s="8"/>
      <c r="T64"/>
    </row>
    <row r="65" spans="2:20" ht="23.1" customHeight="1" x14ac:dyDescent="0.25">
      <c r="B65" s="23" t="s">
        <v>158</v>
      </c>
      <c r="C65" s="49">
        <f>'Avg Week BUSEGA-NATEETE'!C65+'Avg Week NATEETE-BUSEGA'!C65</f>
        <v>122</v>
      </c>
      <c r="D65" s="49">
        <f>'Avg Week BUSEGA-NATEETE'!D65+'Avg Week NATEETE-BUSEGA'!D65</f>
        <v>15.5</v>
      </c>
      <c r="E65" s="49">
        <f>'Avg Week BUSEGA-NATEETE'!E65+'Avg Week NATEETE-BUSEGA'!E65</f>
        <v>12.5</v>
      </c>
      <c r="F65" s="49">
        <f>'Avg Week BUSEGA-NATEETE'!F65+'Avg Week NATEETE-BUSEGA'!F65</f>
        <v>67.5</v>
      </c>
      <c r="G65" s="49">
        <f>'Avg Week BUSEGA-NATEETE'!G65+'Avg Week NATEETE-BUSEGA'!G65</f>
        <v>4</v>
      </c>
      <c r="H65" s="49">
        <f>'Avg Week BUSEGA-NATEETE'!H65+'Avg Week NATEETE-BUSEGA'!H65</f>
        <v>2.5</v>
      </c>
      <c r="I65" s="49">
        <f>'Avg Week BUSEGA-NATEETE'!I65+'Avg Week NATEETE-BUSEGA'!I65</f>
        <v>12.5</v>
      </c>
      <c r="J65" s="49">
        <f>'Avg Week BUSEGA-NATEETE'!J65+'Avg Week NATEETE-BUSEGA'!J65</f>
        <v>7</v>
      </c>
      <c r="K65" s="49">
        <f>'Avg Week BUSEGA-NATEETE'!K65+'Avg Week NATEETE-BUSEGA'!K65</f>
        <v>5</v>
      </c>
      <c r="L65" s="49">
        <f>'Avg Week BUSEGA-NATEETE'!L65+'Avg Week NATEETE-BUSEGA'!L65</f>
        <v>2</v>
      </c>
      <c r="M65" s="49">
        <f>'Avg Week BUSEGA-NATEETE'!M65+'Avg Week NATEETE-BUSEGA'!M65</f>
        <v>473.5</v>
      </c>
      <c r="N65" s="49">
        <f>'Avg Week BUSEGA-NATEETE'!N65+'Avg Week NATEETE-BUSEGA'!N65</f>
        <v>0</v>
      </c>
      <c r="O65" s="15">
        <f t="shared" si="0"/>
        <v>250.5</v>
      </c>
      <c r="P65" s="15">
        <f t="shared" si="35"/>
        <v>724</v>
      </c>
      <c r="R65" s="8"/>
      <c r="T65"/>
    </row>
    <row r="66" spans="2:20" ht="23.1" customHeight="1" x14ac:dyDescent="0.25">
      <c r="B66" s="23" t="s">
        <v>103</v>
      </c>
      <c r="C66" s="49">
        <f>'Avg Week BUSEGA-NATEETE'!C66+'Avg Week NATEETE-BUSEGA'!C66</f>
        <v>102</v>
      </c>
      <c r="D66" s="49">
        <f>'Avg Week BUSEGA-NATEETE'!D66+'Avg Week NATEETE-BUSEGA'!D66</f>
        <v>17</v>
      </c>
      <c r="E66" s="49">
        <f>'Avg Week BUSEGA-NATEETE'!E66+'Avg Week NATEETE-BUSEGA'!E66</f>
        <v>15</v>
      </c>
      <c r="F66" s="49">
        <f>'Avg Week BUSEGA-NATEETE'!F66+'Avg Week NATEETE-BUSEGA'!F66</f>
        <v>88.5</v>
      </c>
      <c r="G66" s="49">
        <f>'Avg Week BUSEGA-NATEETE'!G66+'Avg Week NATEETE-BUSEGA'!G66</f>
        <v>7</v>
      </c>
      <c r="H66" s="49">
        <f>'Avg Week BUSEGA-NATEETE'!H66+'Avg Week NATEETE-BUSEGA'!H66</f>
        <v>2</v>
      </c>
      <c r="I66" s="49">
        <f>'Avg Week BUSEGA-NATEETE'!I66+'Avg Week NATEETE-BUSEGA'!I66</f>
        <v>12.5</v>
      </c>
      <c r="J66" s="49">
        <f>'Avg Week BUSEGA-NATEETE'!J66+'Avg Week NATEETE-BUSEGA'!J66</f>
        <v>5.5</v>
      </c>
      <c r="K66" s="49">
        <f>'Avg Week BUSEGA-NATEETE'!K66+'Avg Week NATEETE-BUSEGA'!K66</f>
        <v>7</v>
      </c>
      <c r="L66" s="49">
        <f>'Avg Week BUSEGA-NATEETE'!L66+'Avg Week NATEETE-BUSEGA'!L66</f>
        <v>5</v>
      </c>
      <c r="M66" s="49">
        <f>'Avg Week BUSEGA-NATEETE'!M66+'Avg Week NATEETE-BUSEGA'!M66</f>
        <v>550.5</v>
      </c>
      <c r="N66" s="49">
        <f>'Avg Week BUSEGA-NATEETE'!N66+'Avg Week NATEETE-BUSEGA'!N66</f>
        <v>0</v>
      </c>
      <c r="O66" s="15">
        <f t="shared" si="0"/>
        <v>261.5</v>
      </c>
      <c r="P66" s="15">
        <f t="shared" si="35"/>
        <v>812</v>
      </c>
      <c r="R66" s="8"/>
      <c r="T66"/>
    </row>
    <row r="67" spans="2:20" ht="23.1" customHeight="1" x14ac:dyDescent="0.25">
      <c r="B67" s="23" t="s">
        <v>104</v>
      </c>
      <c r="C67" s="49">
        <f>'Avg Week BUSEGA-NATEETE'!C67+'Avg Week NATEETE-BUSEGA'!C67</f>
        <v>91</v>
      </c>
      <c r="D67" s="49">
        <f>'Avg Week BUSEGA-NATEETE'!D67+'Avg Week NATEETE-BUSEGA'!D67</f>
        <v>9</v>
      </c>
      <c r="E67" s="49">
        <f>'Avg Week BUSEGA-NATEETE'!E67+'Avg Week NATEETE-BUSEGA'!E67</f>
        <v>7</v>
      </c>
      <c r="F67" s="49">
        <f>'Avg Week BUSEGA-NATEETE'!F67+'Avg Week NATEETE-BUSEGA'!F67</f>
        <v>59.5</v>
      </c>
      <c r="G67" s="49">
        <f>'Avg Week BUSEGA-NATEETE'!G67+'Avg Week NATEETE-BUSEGA'!G67</f>
        <v>1.5</v>
      </c>
      <c r="H67" s="49">
        <f>'Avg Week BUSEGA-NATEETE'!H67+'Avg Week NATEETE-BUSEGA'!H67</f>
        <v>1.5</v>
      </c>
      <c r="I67" s="49">
        <f>'Avg Week BUSEGA-NATEETE'!I67+'Avg Week NATEETE-BUSEGA'!I67</f>
        <v>3.5</v>
      </c>
      <c r="J67" s="49">
        <f>'Avg Week BUSEGA-NATEETE'!J67+'Avg Week NATEETE-BUSEGA'!J67</f>
        <v>3</v>
      </c>
      <c r="K67" s="49">
        <f>'Avg Week BUSEGA-NATEETE'!K67+'Avg Week NATEETE-BUSEGA'!K67</f>
        <v>3</v>
      </c>
      <c r="L67" s="49">
        <f>'Avg Week BUSEGA-NATEETE'!L67+'Avg Week NATEETE-BUSEGA'!L67</f>
        <v>2</v>
      </c>
      <c r="M67" s="49">
        <f>'Avg Week BUSEGA-NATEETE'!M67+'Avg Week NATEETE-BUSEGA'!M67</f>
        <v>456.5</v>
      </c>
      <c r="N67" s="49">
        <f>'Avg Week BUSEGA-NATEETE'!N67+'Avg Week NATEETE-BUSEGA'!N67</f>
        <v>0</v>
      </c>
      <c r="O67" s="15">
        <f t="shared" si="0"/>
        <v>181</v>
      </c>
      <c r="P67" s="15">
        <f t="shared" si="35"/>
        <v>637.5</v>
      </c>
      <c r="R67" s="8"/>
      <c r="T67"/>
    </row>
    <row r="68" spans="2:20" ht="23.1" customHeight="1" x14ac:dyDescent="0.25">
      <c r="B68" s="23" t="s">
        <v>105</v>
      </c>
      <c r="C68" s="49">
        <f>'Avg Week BUSEGA-NATEETE'!C68+'Avg Week NATEETE-BUSEGA'!C68</f>
        <v>82</v>
      </c>
      <c r="D68" s="49">
        <f>'Avg Week BUSEGA-NATEETE'!D68+'Avg Week NATEETE-BUSEGA'!D68</f>
        <v>12</v>
      </c>
      <c r="E68" s="49">
        <f>'Avg Week BUSEGA-NATEETE'!E68+'Avg Week NATEETE-BUSEGA'!E68</f>
        <v>12</v>
      </c>
      <c r="F68" s="49">
        <f>'Avg Week BUSEGA-NATEETE'!F68+'Avg Week NATEETE-BUSEGA'!F68</f>
        <v>43</v>
      </c>
      <c r="G68" s="49">
        <f>'Avg Week BUSEGA-NATEETE'!G68+'Avg Week NATEETE-BUSEGA'!G68</f>
        <v>2.5</v>
      </c>
      <c r="H68" s="49">
        <f>'Avg Week BUSEGA-NATEETE'!H68+'Avg Week NATEETE-BUSEGA'!H68</f>
        <v>4.5</v>
      </c>
      <c r="I68" s="49">
        <f>'Avg Week BUSEGA-NATEETE'!I68+'Avg Week NATEETE-BUSEGA'!I68</f>
        <v>12.5</v>
      </c>
      <c r="J68" s="49">
        <f>'Avg Week BUSEGA-NATEETE'!J68+'Avg Week NATEETE-BUSEGA'!J68</f>
        <v>5.5</v>
      </c>
      <c r="K68" s="49">
        <f>'Avg Week BUSEGA-NATEETE'!K68+'Avg Week NATEETE-BUSEGA'!K68</f>
        <v>4.5</v>
      </c>
      <c r="L68" s="49">
        <f>'Avg Week BUSEGA-NATEETE'!L68+'Avg Week NATEETE-BUSEGA'!L68</f>
        <v>3.5</v>
      </c>
      <c r="M68" s="49">
        <f>'Avg Week BUSEGA-NATEETE'!M68+'Avg Week NATEETE-BUSEGA'!M68</f>
        <v>425</v>
      </c>
      <c r="N68" s="49">
        <f>'Avg Week BUSEGA-NATEETE'!N68+'Avg Week NATEETE-BUSEGA'!N68</f>
        <v>0</v>
      </c>
      <c r="O68" s="15">
        <f t="shared" si="0"/>
        <v>182</v>
      </c>
      <c r="P68" s="15">
        <f t="shared" si="35"/>
        <v>607</v>
      </c>
      <c r="R68" s="8"/>
      <c r="T68"/>
    </row>
    <row r="69" spans="2:20" ht="23.1" customHeight="1" x14ac:dyDescent="0.25">
      <c r="B69" s="23" t="s">
        <v>106</v>
      </c>
      <c r="C69" s="49">
        <f>'Avg Week BUSEGA-NATEETE'!C69+'Avg Week NATEETE-BUSEGA'!C69</f>
        <v>80</v>
      </c>
      <c r="D69" s="49">
        <f>'Avg Week BUSEGA-NATEETE'!D69+'Avg Week NATEETE-BUSEGA'!D69</f>
        <v>13</v>
      </c>
      <c r="E69" s="49">
        <f>'Avg Week BUSEGA-NATEETE'!E69+'Avg Week NATEETE-BUSEGA'!E69</f>
        <v>8</v>
      </c>
      <c r="F69" s="49">
        <f>'Avg Week BUSEGA-NATEETE'!F69+'Avg Week NATEETE-BUSEGA'!F69</f>
        <v>49.5</v>
      </c>
      <c r="G69" s="49">
        <f>'Avg Week BUSEGA-NATEETE'!G69+'Avg Week NATEETE-BUSEGA'!G69</f>
        <v>2.5</v>
      </c>
      <c r="H69" s="49">
        <f>'Avg Week BUSEGA-NATEETE'!H69+'Avg Week NATEETE-BUSEGA'!H69</f>
        <v>2.5</v>
      </c>
      <c r="I69" s="49">
        <f>'Avg Week BUSEGA-NATEETE'!I69+'Avg Week NATEETE-BUSEGA'!I69</f>
        <v>11</v>
      </c>
      <c r="J69" s="49">
        <f>'Avg Week BUSEGA-NATEETE'!J69+'Avg Week NATEETE-BUSEGA'!J69</f>
        <v>5.5</v>
      </c>
      <c r="K69" s="49">
        <f>'Avg Week BUSEGA-NATEETE'!K69+'Avg Week NATEETE-BUSEGA'!K69</f>
        <v>5.5</v>
      </c>
      <c r="L69" s="49">
        <f>'Avg Week BUSEGA-NATEETE'!L69+'Avg Week NATEETE-BUSEGA'!L69</f>
        <v>2</v>
      </c>
      <c r="M69" s="49">
        <f>'Avg Week BUSEGA-NATEETE'!M69+'Avg Week NATEETE-BUSEGA'!M69</f>
        <v>427</v>
      </c>
      <c r="N69" s="49">
        <f>'Avg Week BUSEGA-NATEETE'!N69+'Avg Week NATEETE-BUSEGA'!N69</f>
        <v>0</v>
      </c>
      <c r="O69" s="15">
        <f t="shared" si="0"/>
        <v>179.5</v>
      </c>
      <c r="P69" s="15">
        <f t="shared" si="35"/>
        <v>606.5</v>
      </c>
      <c r="R69" s="8"/>
      <c r="T69"/>
    </row>
    <row r="70" spans="2:20" ht="23.1" customHeight="1" x14ac:dyDescent="0.25">
      <c r="B70" s="23" t="s">
        <v>110</v>
      </c>
      <c r="C70" s="49">
        <f>'Avg Week BUSEGA-NATEETE'!C70+'Avg Week NATEETE-BUSEGA'!C70</f>
        <v>114</v>
      </c>
      <c r="D70" s="49">
        <f>'Avg Week BUSEGA-NATEETE'!D70+'Avg Week NATEETE-BUSEGA'!D70</f>
        <v>13</v>
      </c>
      <c r="E70" s="49">
        <f>'Avg Week BUSEGA-NATEETE'!E70+'Avg Week NATEETE-BUSEGA'!E70</f>
        <v>11.5</v>
      </c>
      <c r="F70" s="49">
        <f>'Avg Week BUSEGA-NATEETE'!F70+'Avg Week NATEETE-BUSEGA'!F70</f>
        <v>79</v>
      </c>
      <c r="G70" s="49">
        <f>'Avg Week BUSEGA-NATEETE'!G70+'Avg Week NATEETE-BUSEGA'!G70</f>
        <v>2</v>
      </c>
      <c r="H70" s="49">
        <f>'Avg Week BUSEGA-NATEETE'!H70+'Avg Week NATEETE-BUSEGA'!H70</f>
        <v>2</v>
      </c>
      <c r="I70" s="49">
        <f>'Avg Week BUSEGA-NATEETE'!I70+'Avg Week NATEETE-BUSEGA'!I70</f>
        <v>15</v>
      </c>
      <c r="J70" s="49">
        <f>'Avg Week BUSEGA-NATEETE'!J70+'Avg Week NATEETE-BUSEGA'!J70</f>
        <v>7.5</v>
      </c>
      <c r="K70" s="49">
        <f>'Avg Week BUSEGA-NATEETE'!K70+'Avg Week NATEETE-BUSEGA'!K70</f>
        <v>3</v>
      </c>
      <c r="L70" s="49">
        <f>'Avg Week BUSEGA-NATEETE'!L70+'Avg Week NATEETE-BUSEGA'!L70</f>
        <v>3.5</v>
      </c>
      <c r="M70" s="49">
        <f>'Avg Week BUSEGA-NATEETE'!M70+'Avg Week NATEETE-BUSEGA'!M70</f>
        <v>388.5</v>
      </c>
      <c r="N70" s="49">
        <f>'Avg Week BUSEGA-NATEETE'!N70+'Avg Week NATEETE-BUSEGA'!N70</f>
        <v>0</v>
      </c>
      <c r="O70" s="15">
        <f t="shared" si="0"/>
        <v>250.5</v>
      </c>
      <c r="P70" s="15">
        <f t="shared" si="35"/>
        <v>639</v>
      </c>
      <c r="R70" s="8"/>
      <c r="T70"/>
    </row>
    <row r="71" spans="2:20" ht="23.1" customHeight="1" x14ac:dyDescent="0.25">
      <c r="B71" s="23" t="s">
        <v>111</v>
      </c>
      <c r="C71" s="49">
        <f>'Avg Week BUSEGA-NATEETE'!C71+'Avg Week NATEETE-BUSEGA'!C71</f>
        <v>94</v>
      </c>
      <c r="D71" s="49">
        <f>'Avg Week BUSEGA-NATEETE'!D71+'Avg Week NATEETE-BUSEGA'!D71</f>
        <v>11</v>
      </c>
      <c r="E71" s="49">
        <f>'Avg Week BUSEGA-NATEETE'!E71+'Avg Week NATEETE-BUSEGA'!E71</f>
        <v>9</v>
      </c>
      <c r="F71" s="49">
        <f>'Avg Week BUSEGA-NATEETE'!F71+'Avg Week NATEETE-BUSEGA'!F71</f>
        <v>65</v>
      </c>
      <c r="G71" s="49">
        <f>'Avg Week BUSEGA-NATEETE'!G71+'Avg Week NATEETE-BUSEGA'!G71</f>
        <v>2</v>
      </c>
      <c r="H71" s="49">
        <f>'Avg Week BUSEGA-NATEETE'!H71+'Avg Week NATEETE-BUSEGA'!H71</f>
        <v>2</v>
      </c>
      <c r="I71" s="49">
        <f>'Avg Week BUSEGA-NATEETE'!I71+'Avg Week NATEETE-BUSEGA'!I71</f>
        <v>14</v>
      </c>
      <c r="J71" s="49">
        <f>'Avg Week BUSEGA-NATEETE'!J71+'Avg Week NATEETE-BUSEGA'!J71</f>
        <v>5.5</v>
      </c>
      <c r="K71" s="49">
        <f>'Avg Week BUSEGA-NATEETE'!K71+'Avg Week NATEETE-BUSEGA'!K71</f>
        <v>3.5</v>
      </c>
      <c r="L71" s="49">
        <f>'Avg Week BUSEGA-NATEETE'!L71+'Avg Week NATEETE-BUSEGA'!L71</f>
        <v>5</v>
      </c>
      <c r="M71" s="49">
        <f>'Avg Week BUSEGA-NATEETE'!M71+'Avg Week NATEETE-BUSEGA'!M71</f>
        <v>398</v>
      </c>
      <c r="N71" s="49">
        <f>'Avg Week BUSEGA-NATEETE'!N71+'Avg Week NATEETE-BUSEGA'!N71</f>
        <v>0</v>
      </c>
      <c r="O71" s="15">
        <f t="shared" si="0"/>
        <v>211</v>
      </c>
      <c r="P71" s="15">
        <f t="shared" si="35"/>
        <v>609</v>
      </c>
      <c r="R71" s="8"/>
      <c r="T71"/>
    </row>
    <row r="72" spans="2:20" ht="23.1" customHeight="1" x14ac:dyDescent="0.25">
      <c r="B72" s="23" t="s">
        <v>112</v>
      </c>
      <c r="C72" s="49">
        <f>'Avg Week BUSEGA-NATEETE'!C72+'Avg Week NATEETE-BUSEGA'!C72</f>
        <v>120</v>
      </c>
      <c r="D72" s="49">
        <f>'Avg Week BUSEGA-NATEETE'!D72+'Avg Week NATEETE-BUSEGA'!D72</f>
        <v>16.5</v>
      </c>
      <c r="E72" s="49">
        <f>'Avg Week BUSEGA-NATEETE'!E72+'Avg Week NATEETE-BUSEGA'!E72</f>
        <v>12.5</v>
      </c>
      <c r="F72" s="49">
        <f>'Avg Week BUSEGA-NATEETE'!F72+'Avg Week NATEETE-BUSEGA'!F72</f>
        <v>69.5</v>
      </c>
      <c r="G72" s="49">
        <f>'Avg Week BUSEGA-NATEETE'!G72+'Avg Week NATEETE-BUSEGA'!G72</f>
        <v>2.5</v>
      </c>
      <c r="H72" s="49">
        <f>'Avg Week BUSEGA-NATEETE'!H72+'Avg Week NATEETE-BUSEGA'!H72</f>
        <v>4</v>
      </c>
      <c r="I72" s="49">
        <f>'Avg Week BUSEGA-NATEETE'!I72+'Avg Week NATEETE-BUSEGA'!I72</f>
        <v>14</v>
      </c>
      <c r="J72" s="49">
        <f>'Avg Week BUSEGA-NATEETE'!J72+'Avg Week NATEETE-BUSEGA'!J72</f>
        <v>10</v>
      </c>
      <c r="K72" s="49">
        <f>'Avg Week BUSEGA-NATEETE'!K72+'Avg Week NATEETE-BUSEGA'!K72</f>
        <v>3.5</v>
      </c>
      <c r="L72" s="49">
        <f>'Avg Week BUSEGA-NATEETE'!L72+'Avg Week NATEETE-BUSEGA'!L72</f>
        <v>4</v>
      </c>
      <c r="M72" s="49">
        <f>'Avg Week BUSEGA-NATEETE'!M72+'Avg Week NATEETE-BUSEGA'!M72</f>
        <v>406</v>
      </c>
      <c r="N72" s="49">
        <f>'Avg Week BUSEGA-NATEETE'!N72+'Avg Week NATEETE-BUSEGA'!N72</f>
        <v>0</v>
      </c>
      <c r="O72" s="15">
        <f t="shared" si="0"/>
        <v>256.5</v>
      </c>
      <c r="P72" s="15">
        <f t="shared" si="35"/>
        <v>662.5</v>
      </c>
      <c r="R72" s="8"/>
      <c r="T72"/>
    </row>
    <row r="73" spans="2:20" ht="23.1" customHeight="1" x14ac:dyDescent="0.25">
      <c r="B73" s="23" t="s">
        <v>113</v>
      </c>
      <c r="C73" s="49">
        <f>'Avg Week BUSEGA-NATEETE'!C73+'Avg Week NATEETE-BUSEGA'!C73</f>
        <v>140.5</v>
      </c>
      <c r="D73" s="49">
        <f>'Avg Week BUSEGA-NATEETE'!D73+'Avg Week NATEETE-BUSEGA'!D73</f>
        <v>15</v>
      </c>
      <c r="E73" s="49">
        <f>'Avg Week BUSEGA-NATEETE'!E73+'Avg Week NATEETE-BUSEGA'!E73</f>
        <v>20.5</v>
      </c>
      <c r="F73" s="49">
        <f>'Avg Week BUSEGA-NATEETE'!F73+'Avg Week NATEETE-BUSEGA'!F73</f>
        <v>60.5</v>
      </c>
      <c r="G73" s="49">
        <f>'Avg Week BUSEGA-NATEETE'!G73+'Avg Week NATEETE-BUSEGA'!G73</f>
        <v>0</v>
      </c>
      <c r="H73" s="49">
        <f>'Avg Week BUSEGA-NATEETE'!H73+'Avg Week NATEETE-BUSEGA'!H73</f>
        <v>2.5</v>
      </c>
      <c r="I73" s="49">
        <f>'Avg Week BUSEGA-NATEETE'!I73+'Avg Week NATEETE-BUSEGA'!I73</f>
        <v>14.5</v>
      </c>
      <c r="J73" s="49">
        <f>'Avg Week BUSEGA-NATEETE'!J73+'Avg Week NATEETE-BUSEGA'!J73</f>
        <v>9</v>
      </c>
      <c r="K73" s="49">
        <f>'Avg Week BUSEGA-NATEETE'!K73+'Avg Week NATEETE-BUSEGA'!K73</f>
        <v>2</v>
      </c>
      <c r="L73" s="49">
        <f>'Avg Week BUSEGA-NATEETE'!L73+'Avg Week NATEETE-BUSEGA'!L73</f>
        <v>3.5</v>
      </c>
      <c r="M73" s="49">
        <f>'Avg Week BUSEGA-NATEETE'!M73+'Avg Week NATEETE-BUSEGA'!M73</f>
        <v>351.5</v>
      </c>
      <c r="N73" s="49">
        <f>'Avg Week BUSEGA-NATEETE'!N73+'Avg Week NATEETE-BUSEGA'!N73</f>
        <v>0</v>
      </c>
      <c r="O73" s="15">
        <f t="shared" si="0"/>
        <v>268</v>
      </c>
      <c r="P73" s="15">
        <f t="shared" si="35"/>
        <v>619.5</v>
      </c>
      <c r="R73" s="8"/>
      <c r="T73"/>
    </row>
    <row r="74" spans="2:20" ht="23.1" customHeight="1" x14ac:dyDescent="0.25">
      <c r="B74" s="23" t="s">
        <v>114</v>
      </c>
      <c r="C74" s="49">
        <f>'Avg Week BUSEGA-NATEETE'!C74+'Avg Week NATEETE-BUSEGA'!C74</f>
        <v>120.5</v>
      </c>
      <c r="D74" s="49">
        <f>'Avg Week BUSEGA-NATEETE'!D74+'Avg Week NATEETE-BUSEGA'!D74</f>
        <v>14.5</v>
      </c>
      <c r="E74" s="49">
        <f>'Avg Week BUSEGA-NATEETE'!E74+'Avg Week NATEETE-BUSEGA'!E74</f>
        <v>13</v>
      </c>
      <c r="F74" s="49">
        <f>'Avg Week BUSEGA-NATEETE'!F74+'Avg Week NATEETE-BUSEGA'!F74</f>
        <v>47.5</v>
      </c>
      <c r="G74" s="49">
        <f>'Avg Week BUSEGA-NATEETE'!G74+'Avg Week NATEETE-BUSEGA'!G74</f>
        <v>1.5</v>
      </c>
      <c r="H74" s="49">
        <f>'Avg Week BUSEGA-NATEETE'!H74+'Avg Week NATEETE-BUSEGA'!H74</f>
        <v>2</v>
      </c>
      <c r="I74" s="49">
        <f>'Avg Week BUSEGA-NATEETE'!I74+'Avg Week NATEETE-BUSEGA'!I74</f>
        <v>9</v>
      </c>
      <c r="J74" s="49">
        <f>'Avg Week BUSEGA-NATEETE'!J74+'Avg Week NATEETE-BUSEGA'!J74</f>
        <v>5</v>
      </c>
      <c r="K74" s="49">
        <f>'Avg Week BUSEGA-NATEETE'!K74+'Avg Week NATEETE-BUSEGA'!K74</f>
        <v>1.5</v>
      </c>
      <c r="L74" s="49">
        <f>'Avg Week BUSEGA-NATEETE'!L74+'Avg Week NATEETE-BUSEGA'!L74</f>
        <v>3</v>
      </c>
      <c r="M74" s="49">
        <f>'Avg Week BUSEGA-NATEETE'!M74+'Avg Week NATEETE-BUSEGA'!M74</f>
        <v>327.5</v>
      </c>
      <c r="N74" s="49">
        <f>'Avg Week BUSEGA-NATEETE'!N74+'Avg Week NATEETE-BUSEGA'!N74</f>
        <v>0</v>
      </c>
      <c r="O74" s="15">
        <f t="shared" ref="O74:O105" si="36">SUM(C74:L74,N74)</f>
        <v>217.5</v>
      </c>
      <c r="P74" s="15">
        <f t="shared" si="35"/>
        <v>545</v>
      </c>
      <c r="R74" s="8"/>
      <c r="T74"/>
    </row>
    <row r="75" spans="2:20" ht="23.1" customHeight="1" x14ac:dyDescent="0.25">
      <c r="B75" s="23" t="s">
        <v>115</v>
      </c>
      <c r="C75" s="49">
        <f>'Avg Week BUSEGA-NATEETE'!C75+'Avg Week NATEETE-BUSEGA'!C75</f>
        <v>106</v>
      </c>
      <c r="D75" s="49">
        <f>'Avg Week BUSEGA-NATEETE'!D75+'Avg Week NATEETE-BUSEGA'!D75</f>
        <v>17.5</v>
      </c>
      <c r="E75" s="49">
        <f>'Avg Week BUSEGA-NATEETE'!E75+'Avg Week NATEETE-BUSEGA'!E75</f>
        <v>6.5</v>
      </c>
      <c r="F75" s="49">
        <f>'Avg Week BUSEGA-NATEETE'!F75+'Avg Week NATEETE-BUSEGA'!F75</f>
        <v>55</v>
      </c>
      <c r="G75" s="49">
        <f>'Avg Week BUSEGA-NATEETE'!G75+'Avg Week NATEETE-BUSEGA'!G75</f>
        <v>0</v>
      </c>
      <c r="H75" s="49">
        <f>'Avg Week BUSEGA-NATEETE'!H75+'Avg Week NATEETE-BUSEGA'!H75</f>
        <v>5</v>
      </c>
      <c r="I75" s="49">
        <f>'Avg Week BUSEGA-NATEETE'!I75+'Avg Week NATEETE-BUSEGA'!I75</f>
        <v>11</v>
      </c>
      <c r="J75" s="49">
        <f>'Avg Week BUSEGA-NATEETE'!J75+'Avg Week NATEETE-BUSEGA'!J75</f>
        <v>8</v>
      </c>
      <c r="K75" s="49">
        <f>'Avg Week BUSEGA-NATEETE'!K75+'Avg Week NATEETE-BUSEGA'!K75</f>
        <v>3.5</v>
      </c>
      <c r="L75" s="49">
        <f>'Avg Week BUSEGA-NATEETE'!L75+'Avg Week NATEETE-BUSEGA'!L75</f>
        <v>2.5</v>
      </c>
      <c r="M75" s="49">
        <f>'Avg Week BUSEGA-NATEETE'!M75+'Avg Week NATEETE-BUSEGA'!M75</f>
        <v>303.5</v>
      </c>
      <c r="N75" s="49">
        <f>'Avg Week BUSEGA-NATEETE'!N75+'Avg Week NATEETE-BUSEGA'!N75</f>
        <v>0</v>
      </c>
      <c r="O75" s="15">
        <f t="shared" si="36"/>
        <v>215</v>
      </c>
      <c r="P75" s="15">
        <f t="shared" si="35"/>
        <v>518.5</v>
      </c>
      <c r="R75" s="8"/>
      <c r="T75"/>
    </row>
    <row r="76" spans="2:20" ht="23.1" customHeight="1" x14ac:dyDescent="0.25">
      <c r="B76" s="23" t="s">
        <v>116</v>
      </c>
      <c r="C76" s="49">
        <f>'Avg Week BUSEGA-NATEETE'!C76+'Avg Week NATEETE-BUSEGA'!C76</f>
        <v>107</v>
      </c>
      <c r="D76" s="49">
        <f>'Avg Week BUSEGA-NATEETE'!D76+'Avg Week NATEETE-BUSEGA'!D76</f>
        <v>12</v>
      </c>
      <c r="E76" s="49">
        <f>'Avg Week BUSEGA-NATEETE'!E76+'Avg Week NATEETE-BUSEGA'!E76</f>
        <v>12.5</v>
      </c>
      <c r="F76" s="49">
        <f>'Avg Week BUSEGA-NATEETE'!F76+'Avg Week NATEETE-BUSEGA'!F76</f>
        <v>48.5</v>
      </c>
      <c r="G76" s="49">
        <f>'Avg Week BUSEGA-NATEETE'!G76+'Avg Week NATEETE-BUSEGA'!G76</f>
        <v>0.5</v>
      </c>
      <c r="H76" s="49">
        <f>'Avg Week BUSEGA-NATEETE'!H76+'Avg Week NATEETE-BUSEGA'!H76</f>
        <v>1</v>
      </c>
      <c r="I76" s="49">
        <f>'Avg Week BUSEGA-NATEETE'!I76+'Avg Week NATEETE-BUSEGA'!I76</f>
        <v>6.5</v>
      </c>
      <c r="J76" s="49">
        <f>'Avg Week BUSEGA-NATEETE'!J76+'Avg Week NATEETE-BUSEGA'!J76</f>
        <v>9</v>
      </c>
      <c r="K76" s="49">
        <f>'Avg Week BUSEGA-NATEETE'!K76+'Avg Week NATEETE-BUSEGA'!K76</f>
        <v>4</v>
      </c>
      <c r="L76" s="49">
        <f>'Avg Week BUSEGA-NATEETE'!L76+'Avg Week NATEETE-BUSEGA'!L76</f>
        <v>4</v>
      </c>
      <c r="M76" s="49">
        <f>'Avg Week BUSEGA-NATEETE'!M76+'Avg Week NATEETE-BUSEGA'!M76</f>
        <v>283</v>
      </c>
      <c r="N76" s="49">
        <f>'Avg Week BUSEGA-NATEETE'!N76+'Avg Week NATEETE-BUSEGA'!N76</f>
        <v>0</v>
      </c>
      <c r="O76" s="15">
        <f t="shared" si="36"/>
        <v>205</v>
      </c>
      <c r="P76" s="15">
        <f t="shared" si="35"/>
        <v>488</v>
      </c>
      <c r="R76" s="8"/>
      <c r="T76"/>
    </row>
    <row r="77" spans="2:20" ht="23.1" customHeight="1" x14ac:dyDescent="0.25">
      <c r="B77" s="23" t="s">
        <v>117</v>
      </c>
      <c r="C77" s="49">
        <f>'Avg Week BUSEGA-NATEETE'!C77+'Avg Week NATEETE-BUSEGA'!C77</f>
        <v>87</v>
      </c>
      <c r="D77" s="49">
        <f>'Avg Week BUSEGA-NATEETE'!D77+'Avg Week NATEETE-BUSEGA'!D77</f>
        <v>10</v>
      </c>
      <c r="E77" s="49">
        <f>'Avg Week BUSEGA-NATEETE'!E77+'Avg Week NATEETE-BUSEGA'!E77</f>
        <v>14</v>
      </c>
      <c r="F77" s="49">
        <f>'Avg Week BUSEGA-NATEETE'!F77+'Avg Week NATEETE-BUSEGA'!F77</f>
        <v>42</v>
      </c>
      <c r="G77" s="49">
        <f>'Avg Week BUSEGA-NATEETE'!G77+'Avg Week NATEETE-BUSEGA'!G77</f>
        <v>2</v>
      </c>
      <c r="H77" s="49">
        <f>'Avg Week BUSEGA-NATEETE'!H77+'Avg Week NATEETE-BUSEGA'!H77</f>
        <v>2.5</v>
      </c>
      <c r="I77" s="49">
        <f>'Avg Week BUSEGA-NATEETE'!I77+'Avg Week NATEETE-BUSEGA'!I77</f>
        <v>11</v>
      </c>
      <c r="J77" s="49">
        <f>'Avg Week BUSEGA-NATEETE'!J77+'Avg Week NATEETE-BUSEGA'!J77</f>
        <v>4</v>
      </c>
      <c r="K77" s="49">
        <f>'Avg Week BUSEGA-NATEETE'!K77+'Avg Week NATEETE-BUSEGA'!K77</f>
        <v>3</v>
      </c>
      <c r="L77" s="49">
        <f>'Avg Week BUSEGA-NATEETE'!L77+'Avg Week NATEETE-BUSEGA'!L77</f>
        <v>1</v>
      </c>
      <c r="M77" s="49">
        <f>'Avg Week BUSEGA-NATEETE'!M77+'Avg Week NATEETE-BUSEGA'!M77</f>
        <v>244.5</v>
      </c>
      <c r="N77" s="49">
        <f>'Avg Week BUSEGA-NATEETE'!N77+'Avg Week NATEETE-BUSEGA'!N77</f>
        <v>0</v>
      </c>
      <c r="O77" s="15">
        <f t="shared" si="36"/>
        <v>176.5</v>
      </c>
      <c r="P77" s="15">
        <f t="shared" si="35"/>
        <v>421</v>
      </c>
      <c r="R77" s="8"/>
      <c r="T77"/>
    </row>
    <row r="78" spans="2:20" ht="23.1" customHeight="1" x14ac:dyDescent="0.25">
      <c r="B78" s="24" t="s">
        <v>118</v>
      </c>
      <c r="C78" s="49">
        <f>'Avg Week BUSEGA-NATEETE'!C78+'Avg Week NATEETE-BUSEGA'!C78</f>
        <v>84</v>
      </c>
      <c r="D78" s="49">
        <f>'Avg Week BUSEGA-NATEETE'!D78+'Avg Week NATEETE-BUSEGA'!D78</f>
        <v>9.5</v>
      </c>
      <c r="E78" s="49">
        <f>'Avg Week BUSEGA-NATEETE'!E78+'Avg Week NATEETE-BUSEGA'!E78</f>
        <v>10</v>
      </c>
      <c r="F78" s="49">
        <f>'Avg Week BUSEGA-NATEETE'!F78+'Avg Week NATEETE-BUSEGA'!F78</f>
        <v>44</v>
      </c>
      <c r="G78" s="49">
        <f>'Avg Week BUSEGA-NATEETE'!G78+'Avg Week NATEETE-BUSEGA'!G78</f>
        <v>1</v>
      </c>
      <c r="H78" s="49">
        <f>'Avg Week BUSEGA-NATEETE'!H78+'Avg Week NATEETE-BUSEGA'!H78</f>
        <v>3</v>
      </c>
      <c r="I78" s="49">
        <f>'Avg Week BUSEGA-NATEETE'!I78+'Avg Week NATEETE-BUSEGA'!I78</f>
        <v>8.5</v>
      </c>
      <c r="J78" s="49">
        <f>'Avg Week BUSEGA-NATEETE'!J78+'Avg Week NATEETE-BUSEGA'!J78</f>
        <v>5.5</v>
      </c>
      <c r="K78" s="49">
        <f>'Avg Week BUSEGA-NATEETE'!K78+'Avg Week NATEETE-BUSEGA'!K78</f>
        <v>0.5</v>
      </c>
      <c r="L78" s="49">
        <f>'Avg Week BUSEGA-NATEETE'!L78+'Avg Week NATEETE-BUSEGA'!L78</f>
        <v>1</v>
      </c>
      <c r="M78" s="49">
        <f>'Avg Week BUSEGA-NATEETE'!M78+'Avg Week NATEETE-BUSEGA'!M78</f>
        <v>225</v>
      </c>
      <c r="N78" s="49">
        <f>'Avg Week BUSEGA-NATEETE'!N78+'Avg Week NATEETE-BUSEGA'!N78</f>
        <v>0</v>
      </c>
      <c r="O78" s="15">
        <f t="shared" si="36"/>
        <v>167</v>
      </c>
      <c r="P78" s="15">
        <f t="shared" si="35"/>
        <v>392</v>
      </c>
      <c r="R78" s="8"/>
      <c r="T78"/>
    </row>
    <row r="79" spans="2:20" ht="23.1" customHeight="1" x14ac:dyDescent="0.25">
      <c r="B79" s="23" t="s">
        <v>119</v>
      </c>
      <c r="C79" s="49">
        <f>'Avg Week BUSEGA-NATEETE'!C79+'Avg Week NATEETE-BUSEGA'!C79</f>
        <v>84.5</v>
      </c>
      <c r="D79" s="49">
        <f>'Avg Week BUSEGA-NATEETE'!D79+'Avg Week NATEETE-BUSEGA'!D79</f>
        <v>8.5</v>
      </c>
      <c r="E79" s="49">
        <f>'Avg Week BUSEGA-NATEETE'!E79+'Avg Week NATEETE-BUSEGA'!E79</f>
        <v>11.5</v>
      </c>
      <c r="F79" s="49">
        <f>'Avg Week BUSEGA-NATEETE'!F79+'Avg Week NATEETE-BUSEGA'!F79</f>
        <v>30.5</v>
      </c>
      <c r="G79" s="49">
        <f>'Avg Week BUSEGA-NATEETE'!G79+'Avg Week NATEETE-BUSEGA'!G79</f>
        <v>2.5</v>
      </c>
      <c r="H79" s="49">
        <f>'Avg Week BUSEGA-NATEETE'!H79+'Avg Week NATEETE-BUSEGA'!H79</f>
        <v>5.5</v>
      </c>
      <c r="I79" s="49">
        <f>'Avg Week BUSEGA-NATEETE'!I79+'Avg Week NATEETE-BUSEGA'!I79</f>
        <v>9.5</v>
      </c>
      <c r="J79" s="49">
        <f>'Avg Week BUSEGA-NATEETE'!J79+'Avg Week NATEETE-BUSEGA'!J79</f>
        <v>6.5</v>
      </c>
      <c r="K79" s="49">
        <f>'Avg Week BUSEGA-NATEETE'!K79+'Avg Week NATEETE-BUSEGA'!K79</f>
        <v>4.5</v>
      </c>
      <c r="L79" s="49">
        <f>'Avg Week BUSEGA-NATEETE'!L79+'Avg Week NATEETE-BUSEGA'!L79</f>
        <v>4.5</v>
      </c>
      <c r="M79" s="49">
        <f>'Avg Week BUSEGA-NATEETE'!M79+'Avg Week NATEETE-BUSEGA'!M79</f>
        <v>184.5</v>
      </c>
      <c r="N79" s="49">
        <f>'Avg Week BUSEGA-NATEETE'!N79+'Avg Week NATEETE-BUSEGA'!N79</f>
        <v>0</v>
      </c>
      <c r="O79" s="15">
        <f t="shared" si="36"/>
        <v>168</v>
      </c>
      <c r="P79" s="15">
        <f t="shared" si="35"/>
        <v>352.5</v>
      </c>
      <c r="R79" s="8"/>
      <c r="T79"/>
    </row>
    <row r="80" spans="2:20" ht="23.1" customHeight="1" x14ac:dyDescent="0.25">
      <c r="B80" s="25" t="s">
        <v>120</v>
      </c>
      <c r="C80" s="49">
        <f>'Avg Week BUSEGA-NATEETE'!C80+'Avg Week NATEETE-BUSEGA'!C80</f>
        <v>74</v>
      </c>
      <c r="D80" s="49">
        <f>'Avg Week BUSEGA-NATEETE'!D80+'Avg Week NATEETE-BUSEGA'!D80</f>
        <v>11.5</v>
      </c>
      <c r="E80" s="49">
        <f>'Avg Week BUSEGA-NATEETE'!E80+'Avg Week NATEETE-BUSEGA'!E80</f>
        <v>13.5</v>
      </c>
      <c r="F80" s="49">
        <f>'Avg Week BUSEGA-NATEETE'!F80+'Avg Week NATEETE-BUSEGA'!F80</f>
        <v>26</v>
      </c>
      <c r="G80" s="49">
        <f>'Avg Week BUSEGA-NATEETE'!G80+'Avg Week NATEETE-BUSEGA'!G80</f>
        <v>0.5</v>
      </c>
      <c r="H80" s="49">
        <f>'Avg Week BUSEGA-NATEETE'!H80+'Avg Week NATEETE-BUSEGA'!H80</f>
        <v>3.5</v>
      </c>
      <c r="I80" s="49">
        <f>'Avg Week BUSEGA-NATEETE'!I80+'Avg Week NATEETE-BUSEGA'!I80</f>
        <v>8</v>
      </c>
      <c r="J80" s="49">
        <f>'Avg Week BUSEGA-NATEETE'!J80+'Avg Week NATEETE-BUSEGA'!J80</f>
        <v>5.5</v>
      </c>
      <c r="K80" s="49">
        <f>'Avg Week BUSEGA-NATEETE'!K80+'Avg Week NATEETE-BUSEGA'!K80</f>
        <v>3.5</v>
      </c>
      <c r="L80" s="49">
        <f>'Avg Week BUSEGA-NATEETE'!L80+'Avg Week NATEETE-BUSEGA'!L80</f>
        <v>1.5</v>
      </c>
      <c r="M80" s="49">
        <f>'Avg Week BUSEGA-NATEETE'!M80+'Avg Week NATEETE-BUSEGA'!M80</f>
        <v>199</v>
      </c>
      <c r="N80" s="49">
        <f>'Avg Week BUSEGA-NATEETE'!N80+'Avg Week NATEETE-BUSEGA'!N80</f>
        <v>0</v>
      </c>
      <c r="O80" s="15">
        <f t="shared" si="36"/>
        <v>147.5</v>
      </c>
      <c r="P80" s="15">
        <f t="shared" si="35"/>
        <v>346.5</v>
      </c>
      <c r="R80" s="8"/>
      <c r="T80"/>
    </row>
    <row r="81" spans="2:20" ht="23.1" customHeight="1" x14ac:dyDescent="0.25">
      <c r="B81" s="23" t="s">
        <v>121</v>
      </c>
      <c r="C81" s="49">
        <f>'Avg Week BUSEGA-NATEETE'!C81+'Avg Week NATEETE-BUSEGA'!C81</f>
        <v>58</v>
      </c>
      <c r="D81" s="49">
        <f>'Avg Week BUSEGA-NATEETE'!D81+'Avg Week NATEETE-BUSEGA'!D81</f>
        <v>9</v>
      </c>
      <c r="E81" s="49">
        <f>'Avg Week BUSEGA-NATEETE'!E81+'Avg Week NATEETE-BUSEGA'!E81</f>
        <v>8</v>
      </c>
      <c r="F81" s="49">
        <f>'Avg Week BUSEGA-NATEETE'!F81+'Avg Week NATEETE-BUSEGA'!F81</f>
        <v>27.5</v>
      </c>
      <c r="G81" s="49">
        <f>'Avg Week BUSEGA-NATEETE'!G81+'Avg Week NATEETE-BUSEGA'!G81</f>
        <v>0.5</v>
      </c>
      <c r="H81" s="49">
        <f>'Avg Week BUSEGA-NATEETE'!H81+'Avg Week NATEETE-BUSEGA'!H81</f>
        <v>4</v>
      </c>
      <c r="I81" s="49">
        <f>'Avg Week BUSEGA-NATEETE'!I81+'Avg Week NATEETE-BUSEGA'!I81</f>
        <v>10</v>
      </c>
      <c r="J81" s="49">
        <f>'Avg Week BUSEGA-NATEETE'!J81+'Avg Week NATEETE-BUSEGA'!J81</f>
        <v>8</v>
      </c>
      <c r="K81" s="49">
        <f>'Avg Week BUSEGA-NATEETE'!K81+'Avg Week NATEETE-BUSEGA'!K81</f>
        <v>1.5</v>
      </c>
      <c r="L81" s="49">
        <f>'Avg Week BUSEGA-NATEETE'!L81+'Avg Week NATEETE-BUSEGA'!L81</f>
        <v>3</v>
      </c>
      <c r="M81" s="49">
        <f>'Avg Week BUSEGA-NATEETE'!M81+'Avg Week NATEETE-BUSEGA'!M81</f>
        <v>188</v>
      </c>
      <c r="N81" s="49">
        <f>'Avg Week BUSEGA-NATEETE'!N81+'Avg Week NATEETE-BUSEGA'!N81</f>
        <v>0</v>
      </c>
      <c r="O81" s="15">
        <f t="shared" si="36"/>
        <v>129.5</v>
      </c>
      <c r="P81" s="15">
        <f t="shared" si="35"/>
        <v>317.5</v>
      </c>
      <c r="R81" s="8"/>
      <c r="T81"/>
    </row>
    <row r="82" spans="2:20" ht="23.1" customHeight="1" x14ac:dyDescent="0.25">
      <c r="B82" s="24" t="s">
        <v>122</v>
      </c>
      <c r="C82" s="49">
        <f>'Avg Week BUSEGA-NATEETE'!C82+'Avg Week NATEETE-BUSEGA'!C82</f>
        <v>61.5</v>
      </c>
      <c r="D82" s="49">
        <f>'Avg Week BUSEGA-NATEETE'!D82+'Avg Week NATEETE-BUSEGA'!D82</f>
        <v>7.5</v>
      </c>
      <c r="E82" s="49">
        <f>'Avg Week BUSEGA-NATEETE'!E82+'Avg Week NATEETE-BUSEGA'!E82</f>
        <v>5</v>
      </c>
      <c r="F82" s="49">
        <f>'Avg Week BUSEGA-NATEETE'!F82+'Avg Week NATEETE-BUSEGA'!F82</f>
        <v>17.5</v>
      </c>
      <c r="G82" s="49">
        <f>'Avg Week BUSEGA-NATEETE'!G82+'Avg Week NATEETE-BUSEGA'!G82</f>
        <v>0.5</v>
      </c>
      <c r="H82" s="49">
        <f>'Avg Week BUSEGA-NATEETE'!H82+'Avg Week NATEETE-BUSEGA'!H82</f>
        <v>1.5</v>
      </c>
      <c r="I82" s="49">
        <f>'Avg Week BUSEGA-NATEETE'!I82+'Avg Week NATEETE-BUSEGA'!I82</f>
        <v>8</v>
      </c>
      <c r="J82" s="49">
        <f>'Avg Week BUSEGA-NATEETE'!J82+'Avg Week NATEETE-BUSEGA'!J82</f>
        <v>11</v>
      </c>
      <c r="K82" s="49">
        <f>'Avg Week BUSEGA-NATEETE'!K82+'Avg Week NATEETE-BUSEGA'!K82</f>
        <v>7</v>
      </c>
      <c r="L82" s="49">
        <f>'Avg Week BUSEGA-NATEETE'!L82+'Avg Week NATEETE-BUSEGA'!L82</f>
        <v>2</v>
      </c>
      <c r="M82" s="49">
        <f>'Avg Week BUSEGA-NATEETE'!M82+'Avg Week NATEETE-BUSEGA'!M82</f>
        <v>135</v>
      </c>
      <c r="N82" s="49">
        <f>'Avg Week BUSEGA-NATEETE'!N82+'Avg Week NATEETE-BUSEGA'!N82</f>
        <v>0</v>
      </c>
      <c r="O82" s="15">
        <f t="shared" si="36"/>
        <v>121.5</v>
      </c>
      <c r="P82" s="15">
        <f t="shared" si="35"/>
        <v>256.5</v>
      </c>
      <c r="R82" s="8"/>
      <c r="T82"/>
    </row>
    <row r="83" spans="2:20" ht="23.1" customHeight="1" x14ac:dyDescent="0.25">
      <c r="B83" s="23" t="s">
        <v>123</v>
      </c>
      <c r="C83" s="49">
        <f>'Avg Week BUSEGA-NATEETE'!C83+'Avg Week NATEETE-BUSEGA'!C83</f>
        <v>61</v>
      </c>
      <c r="D83" s="49">
        <f>'Avg Week BUSEGA-NATEETE'!D83+'Avg Week NATEETE-BUSEGA'!D83</f>
        <v>7</v>
      </c>
      <c r="E83" s="49">
        <f>'Avg Week BUSEGA-NATEETE'!E83+'Avg Week NATEETE-BUSEGA'!E83</f>
        <v>6</v>
      </c>
      <c r="F83" s="49">
        <f>'Avg Week BUSEGA-NATEETE'!F83+'Avg Week NATEETE-BUSEGA'!F83</f>
        <v>13</v>
      </c>
      <c r="G83" s="49">
        <f>'Avg Week BUSEGA-NATEETE'!G83+'Avg Week NATEETE-BUSEGA'!G83</f>
        <v>0</v>
      </c>
      <c r="H83" s="49">
        <f>'Avg Week BUSEGA-NATEETE'!H83+'Avg Week NATEETE-BUSEGA'!H83</f>
        <v>1.5</v>
      </c>
      <c r="I83" s="49">
        <f>'Avg Week BUSEGA-NATEETE'!I83+'Avg Week NATEETE-BUSEGA'!I83</f>
        <v>9.5</v>
      </c>
      <c r="J83" s="49">
        <f>'Avg Week BUSEGA-NATEETE'!J83+'Avg Week NATEETE-BUSEGA'!J83</f>
        <v>10</v>
      </c>
      <c r="K83" s="49">
        <f>'Avg Week BUSEGA-NATEETE'!K83+'Avg Week NATEETE-BUSEGA'!K83</f>
        <v>3</v>
      </c>
      <c r="L83" s="49">
        <f>'Avg Week BUSEGA-NATEETE'!L83+'Avg Week NATEETE-BUSEGA'!L83</f>
        <v>0</v>
      </c>
      <c r="M83" s="49">
        <f>'Avg Week BUSEGA-NATEETE'!M83+'Avg Week NATEETE-BUSEGA'!M83</f>
        <v>151</v>
      </c>
      <c r="N83" s="49">
        <f>'Avg Week BUSEGA-NATEETE'!N83+'Avg Week NATEETE-BUSEGA'!N83</f>
        <v>0</v>
      </c>
      <c r="O83" s="15">
        <f t="shared" si="36"/>
        <v>111</v>
      </c>
      <c r="P83" s="15">
        <f t="shared" si="35"/>
        <v>262</v>
      </c>
      <c r="R83" s="8"/>
      <c r="T83"/>
    </row>
    <row r="84" spans="2:20" ht="23.1" customHeight="1" x14ac:dyDescent="0.25">
      <c r="B84" s="25" t="s">
        <v>124</v>
      </c>
      <c r="C84" s="49">
        <f>'Avg Week BUSEGA-NATEETE'!C84+'Avg Week NATEETE-BUSEGA'!C84</f>
        <v>41</v>
      </c>
      <c r="D84" s="49">
        <f>'Avg Week BUSEGA-NATEETE'!D84+'Avg Week NATEETE-BUSEGA'!D84</f>
        <v>4.5</v>
      </c>
      <c r="E84" s="49">
        <f>'Avg Week BUSEGA-NATEETE'!E84+'Avg Week NATEETE-BUSEGA'!E84</f>
        <v>4.5</v>
      </c>
      <c r="F84" s="49">
        <f>'Avg Week BUSEGA-NATEETE'!F84+'Avg Week NATEETE-BUSEGA'!F84</f>
        <v>10.5</v>
      </c>
      <c r="G84" s="49">
        <f>'Avg Week BUSEGA-NATEETE'!G84+'Avg Week NATEETE-BUSEGA'!G84</f>
        <v>1.5</v>
      </c>
      <c r="H84" s="49">
        <f>'Avg Week BUSEGA-NATEETE'!H84+'Avg Week NATEETE-BUSEGA'!H84</f>
        <v>1</v>
      </c>
      <c r="I84" s="49">
        <f>'Avg Week BUSEGA-NATEETE'!I84+'Avg Week NATEETE-BUSEGA'!I84</f>
        <v>9</v>
      </c>
      <c r="J84" s="49">
        <f>'Avg Week BUSEGA-NATEETE'!J84+'Avg Week NATEETE-BUSEGA'!J84</f>
        <v>9</v>
      </c>
      <c r="K84" s="49">
        <f>'Avg Week BUSEGA-NATEETE'!K84+'Avg Week NATEETE-BUSEGA'!K84</f>
        <v>4</v>
      </c>
      <c r="L84" s="49">
        <f>'Avg Week BUSEGA-NATEETE'!L84+'Avg Week NATEETE-BUSEGA'!L84</f>
        <v>2</v>
      </c>
      <c r="M84" s="49">
        <f>'Avg Week BUSEGA-NATEETE'!M84+'Avg Week NATEETE-BUSEGA'!M84</f>
        <v>118</v>
      </c>
      <c r="N84" s="49">
        <f>'Avg Week BUSEGA-NATEETE'!N84+'Avg Week NATEETE-BUSEGA'!N84</f>
        <v>0</v>
      </c>
      <c r="O84" s="15">
        <f t="shared" si="36"/>
        <v>87</v>
      </c>
      <c r="P84" s="15">
        <f t="shared" si="35"/>
        <v>205</v>
      </c>
      <c r="R84" s="8"/>
      <c r="T84"/>
    </row>
    <row r="85" spans="2:20" ht="23.1" customHeight="1" x14ac:dyDescent="0.25">
      <c r="B85" s="23" t="s">
        <v>125</v>
      </c>
      <c r="C85" s="49">
        <f>'Avg Week BUSEGA-NATEETE'!C85+'Avg Week NATEETE-BUSEGA'!C85</f>
        <v>45</v>
      </c>
      <c r="D85" s="49">
        <f>'Avg Week BUSEGA-NATEETE'!D85+'Avg Week NATEETE-BUSEGA'!D85</f>
        <v>3.5</v>
      </c>
      <c r="E85" s="49">
        <f>'Avg Week BUSEGA-NATEETE'!E85+'Avg Week NATEETE-BUSEGA'!E85</f>
        <v>5.5</v>
      </c>
      <c r="F85" s="49">
        <f>'Avg Week BUSEGA-NATEETE'!F85+'Avg Week NATEETE-BUSEGA'!F85</f>
        <v>9</v>
      </c>
      <c r="G85" s="49">
        <f>'Avg Week BUSEGA-NATEETE'!G85+'Avg Week NATEETE-BUSEGA'!G85</f>
        <v>0.5</v>
      </c>
      <c r="H85" s="49">
        <f>'Avg Week BUSEGA-NATEETE'!H85+'Avg Week NATEETE-BUSEGA'!H85</f>
        <v>1.5</v>
      </c>
      <c r="I85" s="49">
        <f>'Avg Week BUSEGA-NATEETE'!I85+'Avg Week NATEETE-BUSEGA'!I85</f>
        <v>8</v>
      </c>
      <c r="J85" s="49">
        <f>'Avg Week BUSEGA-NATEETE'!J85+'Avg Week NATEETE-BUSEGA'!J85</f>
        <v>8.5</v>
      </c>
      <c r="K85" s="49">
        <f>'Avg Week BUSEGA-NATEETE'!K85+'Avg Week NATEETE-BUSEGA'!K85</f>
        <v>7</v>
      </c>
      <c r="L85" s="49">
        <f>'Avg Week BUSEGA-NATEETE'!L85+'Avg Week NATEETE-BUSEGA'!L85</f>
        <v>2</v>
      </c>
      <c r="M85" s="49">
        <f>'Avg Week BUSEGA-NATEETE'!M85+'Avg Week NATEETE-BUSEGA'!M85</f>
        <v>103.5</v>
      </c>
      <c r="N85" s="49">
        <f>'Avg Week BUSEGA-NATEETE'!N85+'Avg Week NATEETE-BUSEGA'!N85</f>
        <v>0</v>
      </c>
      <c r="O85" s="15">
        <f t="shared" si="36"/>
        <v>90.5</v>
      </c>
      <c r="P85" s="15">
        <f t="shared" si="35"/>
        <v>194</v>
      </c>
      <c r="R85" s="8"/>
      <c r="T85"/>
    </row>
    <row r="86" spans="2:20" ht="23.1" customHeight="1" x14ac:dyDescent="0.25">
      <c r="B86" s="24" t="s">
        <v>126</v>
      </c>
      <c r="C86" s="49">
        <f>'Avg Week BUSEGA-NATEETE'!C86+'Avg Week NATEETE-BUSEGA'!C86</f>
        <v>33</v>
      </c>
      <c r="D86" s="49">
        <f>'Avg Week BUSEGA-NATEETE'!D86+'Avg Week NATEETE-BUSEGA'!D86</f>
        <v>2</v>
      </c>
      <c r="E86" s="49">
        <f>'Avg Week BUSEGA-NATEETE'!E86+'Avg Week NATEETE-BUSEGA'!E86</f>
        <v>4.5</v>
      </c>
      <c r="F86" s="49">
        <f>'Avg Week BUSEGA-NATEETE'!F86+'Avg Week NATEETE-BUSEGA'!F86</f>
        <v>8</v>
      </c>
      <c r="G86" s="49">
        <f>'Avg Week BUSEGA-NATEETE'!G86+'Avg Week NATEETE-BUSEGA'!G86</f>
        <v>0</v>
      </c>
      <c r="H86" s="49">
        <f>'Avg Week BUSEGA-NATEETE'!H86+'Avg Week NATEETE-BUSEGA'!H86</f>
        <v>3.5</v>
      </c>
      <c r="I86" s="49">
        <f>'Avg Week BUSEGA-NATEETE'!I86+'Avg Week NATEETE-BUSEGA'!I86</f>
        <v>10.5</v>
      </c>
      <c r="J86" s="49">
        <f>'Avg Week BUSEGA-NATEETE'!J86+'Avg Week NATEETE-BUSEGA'!J86</f>
        <v>10</v>
      </c>
      <c r="K86" s="49">
        <f>'Avg Week BUSEGA-NATEETE'!K86+'Avg Week NATEETE-BUSEGA'!K86</f>
        <v>3</v>
      </c>
      <c r="L86" s="49">
        <f>'Avg Week BUSEGA-NATEETE'!L86+'Avg Week NATEETE-BUSEGA'!L86</f>
        <v>5</v>
      </c>
      <c r="M86" s="49">
        <f>'Avg Week BUSEGA-NATEETE'!M86+'Avg Week NATEETE-BUSEGA'!M86</f>
        <v>69</v>
      </c>
      <c r="N86" s="49">
        <f>'Avg Week BUSEGA-NATEETE'!N86+'Avg Week NATEETE-BUSEGA'!N86</f>
        <v>0</v>
      </c>
      <c r="O86" s="15">
        <f t="shared" si="36"/>
        <v>79.5</v>
      </c>
      <c r="P86" s="15">
        <f t="shared" si="35"/>
        <v>148.5</v>
      </c>
      <c r="R86" s="8"/>
      <c r="T86"/>
    </row>
    <row r="87" spans="2:20" ht="23.1" customHeight="1" x14ac:dyDescent="0.25">
      <c r="B87" s="23" t="s">
        <v>127</v>
      </c>
      <c r="C87" s="49">
        <f>'Avg Week BUSEGA-NATEETE'!C87+'Avg Week NATEETE-BUSEGA'!C87</f>
        <v>32</v>
      </c>
      <c r="D87" s="49">
        <f>'Avg Week BUSEGA-NATEETE'!D87+'Avg Week NATEETE-BUSEGA'!D87</f>
        <v>3</v>
      </c>
      <c r="E87" s="49">
        <f>'Avg Week BUSEGA-NATEETE'!E87+'Avg Week NATEETE-BUSEGA'!E87</f>
        <v>1</v>
      </c>
      <c r="F87" s="49">
        <f>'Avg Week BUSEGA-NATEETE'!F87+'Avg Week NATEETE-BUSEGA'!F87</f>
        <v>5</v>
      </c>
      <c r="G87" s="49">
        <f>'Avg Week BUSEGA-NATEETE'!G87+'Avg Week NATEETE-BUSEGA'!G87</f>
        <v>0</v>
      </c>
      <c r="H87" s="49">
        <f>'Avg Week BUSEGA-NATEETE'!H87+'Avg Week NATEETE-BUSEGA'!H87</f>
        <v>1.5</v>
      </c>
      <c r="I87" s="49">
        <f>'Avg Week BUSEGA-NATEETE'!I87+'Avg Week NATEETE-BUSEGA'!I87</f>
        <v>6</v>
      </c>
      <c r="J87" s="49">
        <f>'Avg Week BUSEGA-NATEETE'!J87+'Avg Week NATEETE-BUSEGA'!J87</f>
        <v>7</v>
      </c>
      <c r="K87" s="49">
        <f>'Avg Week BUSEGA-NATEETE'!K87+'Avg Week NATEETE-BUSEGA'!K87</f>
        <v>3</v>
      </c>
      <c r="L87" s="49">
        <f>'Avg Week BUSEGA-NATEETE'!L87+'Avg Week NATEETE-BUSEGA'!L87</f>
        <v>4.5</v>
      </c>
      <c r="M87" s="49">
        <f>'Avg Week BUSEGA-NATEETE'!M87+'Avg Week NATEETE-BUSEGA'!M87</f>
        <v>80</v>
      </c>
      <c r="N87" s="49">
        <f>'Avg Week BUSEGA-NATEETE'!N87+'Avg Week NATEETE-BUSEGA'!N87</f>
        <v>0</v>
      </c>
      <c r="O87" s="15">
        <f t="shared" si="36"/>
        <v>63</v>
      </c>
      <c r="P87" s="15">
        <f t="shared" si="35"/>
        <v>143</v>
      </c>
      <c r="R87" s="8"/>
      <c r="T87"/>
    </row>
    <row r="88" spans="2:20" ht="23.1" customHeight="1" x14ac:dyDescent="0.25">
      <c r="B88" s="25" t="s">
        <v>128</v>
      </c>
      <c r="C88" s="49">
        <f>'Avg Week BUSEGA-NATEETE'!C88+'Avg Week NATEETE-BUSEGA'!C88</f>
        <v>28</v>
      </c>
      <c r="D88" s="49">
        <f>'Avg Week BUSEGA-NATEETE'!D88+'Avg Week NATEETE-BUSEGA'!D88</f>
        <v>5.5</v>
      </c>
      <c r="E88" s="49">
        <f>'Avg Week BUSEGA-NATEETE'!E88+'Avg Week NATEETE-BUSEGA'!E88</f>
        <v>3.5</v>
      </c>
      <c r="F88" s="49">
        <f>'Avg Week BUSEGA-NATEETE'!F88+'Avg Week NATEETE-BUSEGA'!F88</f>
        <v>5.5</v>
      </c>
      <c r="G88" s="49">
        <f>'Avg Week BUSEGA-NATEETE'!G88+'Avg Week NATEETE-BUSEGA'!G88</f>
        <v>0</v>
      </c>
      <c r="H88" s="49">
        <f>'Avg Week BUSEGA-NATEETE'!H88+'Avg Week NATEETE-BUSEGA'!H88</f>
        <v>2</v>
      </c>
      <c r="I88" s="49">
        <f>'Avg Week BUSEGA-NATEETE'!I88+'Avg Week NATEETE-BUSEGA'!I88</f>
        <v>8</v>
      </c>
      <c r="J88" s="49">
        <f>'Avg Week BUSEGA-NATEETE'!J88+'Avg Week NATEETE-BUSEGA'!J88</f>
        <v>10</v>
      </c>
      <c r="K88" s="49">
        <f>'Avg Week BUSEGA-NATEETE'!K88+'Avg Week NATEETE-BUSEGA'!K88</f>
        <v>4</v>
      </c>
      <c r="L88" s="49">
        <f>'Avg Week BUSEGA-NATEETE'!L88+'Avg Week NATEETE-BUSEGA'!L88</f>
        <v>1.5</v>
      </c>
      <c r="M88" s="49">
        <f>'Avg Week BUSEGA-NATEETE'!M88+'Avg Week NATEETE-BUSEGA'!M88</f>
        <v>78</v>
      </c>
      <c r="N88" s="49">
        <f>'Avg Week BUSEGA-NATEETE'!N88+'Avg Week NATEETE-BUSEGA'!N88</f>
        <v>0</v>
      </c>
      <c r="O88" s="15">
        <f t="shared" si="36"/>
        <v>68</v>
      </c>
      <c r="P88" s="15">
        <f t="shared" si="35"/>
        <v>146</v>
      </c>
      <c r="R88" s="8"/>
      <c r="T88"/>
    </row>
    <row r="89" spans="2:20" ht="23.1" customHeight="1" x14ac:dyDescent="0.25">
      <c r="B89" s="23" t="s">
        <v>129</v>
      </c>
      <c r="C89" s="49">
        <f>'Avg Week BUSEGA-NATEETE'!C89+'Avg Week NATEETE-BUSEGA'!C89</f>
        <v>26</v>
      </c>
      <c r="D89" s="49">
        <f>'Avg Week BUSEGA-NATEETE'!D89+'Avg Week NATEETE-BUSEGA'!D89</f>
        <v>4.5</v>
      </c>
      <c r="E89" s="49">
        <f>'Avg Week BUSEGA-NATEETE'!E89+'Avg Week NATEETE-BUSEGA'!E89</f>
        <v>5</v>
      </c>
      <c r="F89" s="49">
        <f>'Avg Week BUSEGA-NATEETE'!F89+'Avg Week NATEETE-BUSEGA'!F89</f>
        <v>3.5</v>
      </c>
      <c r="G89" s="49">
        <f>'Avg Week BUSEGA-NATEETE'!G89+'Avg Week NATEETE-BUSEGA'!G89</f>
        <v>0.5</v>
      </c>
      <c r="H89" s="49">
        <f>'Avg Week BUSEGA-NATEETE'!H89+'Avg Week NATEETE-BUSEGA'!H89</f>
        <v>1.5</v>
      </c>
      <c r="I89" s="49">
        <f>'Avg Week BUSEGA-NATEETE'!I89+'Avg Week NATEETE-BUSEGA'!I89</f>
        <v>12</v>
      </c>
      <c r="J89" s="49">
        <f>'Avg Week BUSEGA-NATEETE'!J89+'Avg Week NATEETE-BUSEGA'!J89</f>
        <v>13.5</v>
      </c>
      <c r="K89" s="49">
        <f>'Avg Week BUSEGA-NATEETE'!K89+'Avg Week NATEETE-BUSEGA'!K89</f>
        <v>2</v>
      </c>
      <c r="L89" s="49">
        <f>'Avg Week BUSEGA-NATEETE'!L89+'Avg Week NATEETE-BUSEGA'!L89</f>
        <v>4</v>
      </c>
      <c r="M89" s="49">
        <f>'Avg Week BUSEGA-NATEETE'!M89+'Avg Week NATEETE-BUSEGA'!M89</f>
        <v>82</v>
      </c>
      <c r="N89" s="49">
        <f>'Avg Week BUSEGA-NATEETE'!N89+'Avg Week NATEETE-BUSEGA'!N89</f>
        <v>0</v>
      </c>
      <c r="O89" s="15">
        <f t="shared" si="36"/>
        <v>72.5</v>
      </c>
      <c r="P89" s="15">
        <f t="shared" si="35"/>
        <v>154.5</v>
      </c>
      <c r="R89" s="8"/>
      <c r="T89"/>
    </row>
    <row r="90" spans="2:20" ht="23.1" customHeight="1" x14ac:dyDescent="0.25">
      <c r="B90" s="24" t="s">
        <v>130</v>
      </c>
      <c r="C90" s="49">
        <f>'Avg Week BUSEGA-NATEETE'!C90+'Avg Week NATEETE-BUSEGA'!C90</f>
        <v>25.5</v>
      </c>
      <c r="D90" s="49">
        <f>'Avg Week BUSEGA-NATEETE'!D90+'Avg Week NATEETE-BUSEGA'!D90</f>
        <v>2.5</v>
      </c>
      <c r="E90" s="49">
        <f>'Avg Week BUSEGA-NATEETE'!E90+'Avg Week NATEETE-BUSEGA'!E90</f>
        <v>4</v>
      </c>
      <c r="F90" s="49">
        <f>'Avg Week BUSEGA-NATEETE'!F90+'Avg Week NATEETE-BUSEGA'!F90</f>
        <v>4</v>
      </c>
      <c r="G90" s="49">
        <f>'Avg Week BUSEGA-NATEETE'!G90+'Avg Week NATEETE-BUSEGA'!G90</f>
        <v>1</v>
      </c>
      <c r="H90" s="49">
        <f>'Avg Week BUSEGA-NATEETE'!H90+'Avg Week NATEETE-BUSEGA'!H90</f>
        <v>0.5</v>
      </c>
      <c r="I90" s="49">
        <f>'Avg Week BUSEGA-NATEETE'!I90+'Avg Week NATEETE-BUSEGA'!I90</f>
        <v>7.5</v>
      </c>
      <c r="J90" s="49">
        <f>'Avg Week BUSEGA-NATEETE'!J90+'Avg Week NATEETE-BUSEGA'!J90</f>
        <v>6.5</v>
      </c>
      <c r="K90" s="49">
        <f>'Avg Week BUSEGA-NATEETE'!K90+'Avg Week NATEETE-BUSEGA'!K90</f>
        <v>1</v>
      </c>
      <c r="L90" s="49">
        <f>'Avg Week BUSEGA-NATEETE'!L90+'Avg Week NATEETE-BUSEGA'!L90</f>
        <v>2.5</v>
      </c>
      <c r="M90" s="49">
        <f>'Avg Week BUSEGA-NATEETE'!M90+'Avg Week NATEETE-BUSEGA'!M90</f>
        <v>80.5</v>
      </c>
      <c r="N90" s="49">
        <f>'Avg Week BUSEGA-NATEETE'!N90+'Avg Week NATEETE-BUSEGA'!N90</f>
        <v>0</v>
      </c>
      <c r="O90" s="15">
        <f t="shared" si="36"/>
        <v>55</v>
      </c>
      <c r="P90" s="15">
        <f t="shared" si="35"/>
        <v>135.5</v>
      </c>
      <c r="R90" s="8"/>
      <c r="T90"/>
    </row>
    <row r="91" spans="2:20" ht="23.1" customHeight="1" x14ac:dyDescent="0.25">
      <c r="B91" s="23" t="s">
        <v>131</v>
      </c>
      <c r="C91" s="49">
        <f>'Avg Week BUSEGA-NATEETE'!C91+'Avg Week NATEETE-BUSEGA'!C91</f>
        <v>31</v>
      </c>
      <c r="D91" s="49">
        <f>'Avg Week BUSEGA-NATEETE'!D91+'Avg Week NATEETE-BUSEGA'!D91</f>
        <v>7</v>
      </c>
      <c r="E91" s="49">
        <f>'Avg Week BUSEGA-NATEETE'!E91+'Avg Week NATEETE-BUSEGA'!E91</f>
        <v>2.5</v>
      </c>
      <c r="F91" s="49">
        <f>'Avg Week BUSEGA-NATEETE'!F91+'Avg Week NATEETE-BUSEGA'!F91</f>
        <v>2.5</v>
      </c>
      <c r="G91" s="49">
        <f>'Avg Week BUSEGA-NATEETE'!G91+'Avg Week NATEETE-BUSEGA'!G91</f>
        <v>0</v>
      </c>
      <c r="H91" s="49">
        <f>'Avg Week BUSEGA-NATEETE'!H91+'Avg Week NATEETE-BUSEGA'!H91</f>
        <v>3</v>
      </c>
      <c r="I91" s="49">
        <f>'Avg Week BUSEGA-NATEETE'!I91+'Avg Week NATEETE-BUSEGA'!I91</f>
        <v>7</v>
      </c>
      <c r="J91" s="49">
        <f>'Avg Week BUSEGA-NATEETE'!J91+'Avg Week NATEETE-BUSEGA'!J91</f>
        <v>10</v>
      </c>
      <c r="K91" s="49">
        <f>'Avg Week BUSEGA-NATEETE'!K91+'Avg Week NATEETE-BUSEGA'!K91</f>
        <v>5</v>
      </c>
      <c r="L91" s="49">
        <f>'Avg Week BUSEGA-NATEETE'!L91+'Avg Week NATEETE-BUSEGA'!L91</f>
        <v>1.5</v>
      </c>
      <c r="M91" s="49">
        <f>'Avg Week BUSEGA-NATEETE'!M91+'Avg Week NATEETE-BUSEGA'!M91</f>
        <v>82.5</v>
      </c>
      <c r="N91" s="49">
        <f>'Avg Week BUSEGA-NATEETE'!N91+'Avg Week NATEETE-BUSEGA'!N91</f>
        <v>0</v>
      </c>
      <c r="O91" s="15">
        <f t="shared" si="36"/>
        <v>69.5</v>
      </c>
      <c r="P91" s="15">
        <f t="shared" si="35"/>
        <v>152</v>
      </c>
      <c r="R91" s="8"/>
      <c r="T91"/>
    </row>
    <row r="92" spans="2:20" ht="23.1" customHeight="1" x14ac:dyDescent="0.25">
      <c r="B92" s="25" t="s">
        <v>132</v>
      </c>
      <c r="C92" s="49">
        <f>'Avg Week BUSEGA-NATEETE'!C92+'Avg Week NATEETE-BUSEGA'!C92</f>
        <v>32</v>
      </c>
      <c r="D92" s="49">
        <f>'Avg Week BUSEGA-NATEETE'!D92+'Avg Week NATEETE-BUSEGA'!D92</f>
        <v>2.5</v>
      </c>
      <c r="E92" s="49">
        <f>'Avg Week BUSEGA-NATEETE'!E92+'Avg Week NATEETE-BUSEGA'!E92</f>
        <v>2.5</v>
      </c>
      <c r="F92" s="49">
        <f>'Avg Week BUSEGA-NATEETE'!F92+'Avg Week NATEETE-BUSEGA'!F92</f>
        <v>6.5</v>
      </c>
      <c r="G92" s="49">
        <f>'Avg Week BUSEGA-NATEETE'!G92+'Avg Week NATEETE-BUSEGA'!G92</f>
        <v>0.5</v>
      </c>
      <c r="H92" s="49">
        <f>'Avg Week BUSEGA-NATEETE'!H92+'Avg Week NATEETE-BUSEGA'!H92</f>
        <v>4.5</v>
      </c>
      <c r="I92" s="49">
        <f>'Avg Week BUSEGA-NATEETE'!I92+'Avg Week NATEETE-BUSEGA'!I92</f>
        <v>7</v>
      </c>
      <c r="J92" s="49">
        <f>'Avg Week BUSEGA-NATEETE'!J92+'Avg Week NATEETE-BUSEGA'!J92</f>
        <v>7.5</v>
      </c>
      <c r="K92" s="49">
        <f>'Avg Week BUSEGA-NATEETE'!K92+'Avg Week NATEETE-BUSEGA'!K92</f>
        <v>5</v>
      </c>
      <c r="L92" s="49">
        <f>'Avg Week BUSEGA-NATEETE'!L92+'Avg Week NATEETE-BUSEGA'!L92</f>
        <v>1.5</v>
      </c>
      <c r="M92" s="49">
        <f>'Avg Week BUSEGA-NATEETE'!M92+'Avg Week NATEETE-BUSEGA'!M92</f>
        <v>68.5</v>
      </c>
      <c r="N92" s="49">
        <f>'Avg Week BUSEGA-NATEETE'!N92+'Avg Week NATEETE-BUSEGA'!N92</f>
        <v>0</v>
      </c>
      <c r="O92" s="15">
        <f t="shared" si="36"/>
        <v>69.5</v>
      </c>
      <c r="P92" s="15">
        <f t="shared" si="35"/>
        <v>138</v>
      </c>
      <c r="R92" s="8"/>
      <c r="T92"/>
    </row>
    <row r="93" spans="2:20" ht="23.1" customHeight="1" x14ac:dyDescent="0.25">
      <c r="B93" s="23" t="s">
        <v>133</v>
      </c>
      <c r="C93" s="49">
        <f>'Avg Week BUSEGA-NATEETE'!C93+'Avg Week NATEETE-BUSEGA'!C93</f>
        <v>32</v>
      </c>
      <c r="D93" s="49">
        <f>'Avg Week BUSEGA-NATEETE'!D93+'Avg Week NATEETE-BUSEGA'!D93</f>
        <v>3.5</v>
      </c>
      <c r="E93" s="49">
        <f>'Avg Week BUSEGA-NATEETE'!E93+'Avg Week NATEETE-BUSEGA'!E93</f>
        <v>5.5</v>
      </c>
      <c r="F93" s="49">
        <f>'Avg Week BUSEGA-NATEETE'!F93+'Avg Week NATEETE-BUSEGA'!F93</f>
        <v>3</v>
      </c>
      <c r="G93" s="49">
        <f>'Avg Week BUSEGA-NATEETE'!G93+'Avg Week NATEETE-BUSEGA'!G93</f>
        <v>0.5</v>
      </c>
      <c r="H93" s="49">
        <f>'Avg Week BUSEGA-NATEETE'!H93+'Avg Week NATEETE-BUSEGA'!H93</f>
        <v>7.5</v>
      </c>
      <c r="I93" s="49">
        <f>'Avg Week BUSEGA-NATEETE'!I93+'Avg Week NATEETE-BUSEGA'!I93</f>
        <v>3.5</v>
      </c>
      <c r="J93" s="49">
        <f>'Avg Week BUSEGA-NATEETE'!J93+'Avg Week NATEETE-BUSEGA'!J93</f>
        <v>12.5</v>
      </c>
      <c r="K93" s="49">
        <f>'Avg Week BUSEGA-NATEETE'!K93+'Avg Week NATEETE-BUSEGA'!K93</f>
        <v>5</v>
      </c>
      <c r="L93" s="49">
        <f>'Avg Week BUSEGA-NATEETE'!L93+'Avg Week NATEETE-BUSEGA'!L93</f>
        <v>0.5</v>
      </c>
      <c r="M93" s="49">
        <f>'Avg Week BUSEGA-NATEETE'!M93+'Avg Week NATEETE-BUSEGA'!M93</f>
        <v>97</v>
      </c>
      <c r="N93" s="49">
        <f>'Avg Week BUSEGA-NATEETE'!N93+'Avg Week NATEETE-BUSEGA'!N93</f>
        <v>0</v>
      </c>
      <c r="O93" s="15">
        <f t="shared" si="36"/>
        <v>73.5</v>
      </c>
      <c r="P93" s="15">
        <f t="shared" si="35"/>
        <v>170.5</v>
      </c>
      <c r="R93" s="8"/>
      <c r="T93"/>
    </row>
    <row r="94" spans="2:20" ht="23.1" customHeight="1" x14ac:dyDescent="0.25">
      <c r="B94" s="24" t="s">
        <v>134</v>
      </c>
      <c r="C94" s="49">
        <f>'Avg Week BUSEGA-NATEETE'!C94+'Avg Week NATEETE-BUSEGA'!C94</f>
        <v>29</v>
      </c>
      <c r="D94" s="49">
        <f>'Avg Week BUSEGA-NATEETE'!D94+'Avg Week NATEETE-BUSEGA'!D94</f>
        <v>2</v>
      </c>
      <c r="E94" s="49">
        <f>'Avg Week BUSEGA-NATEETE'!E94+'Avg Week NATEETE-BUSEGA'!E94</f>
        <v>4</v>
      </c>
      <c r="F94" s="49">
        <f>'Avg Week BUSEGA-NATEETE'!F94+'Avg Week NATEETE-BUSEGA'!F94</f>
        <v>7</v>
      </c>
      <c r="G94" s="49">
        <f>'Avg Week BUSEGA-NATEETE'!G94+'Avg Week NATEETE-BUSEGA'!G94</f>
        <v>4</v>
      </c>
      <c r="H94" s="49">
        <f>'Avg Week BUSEGA-NATEETE'!H94+'Avg Week NATEETE-BUSEGA'!H94</f>
        <v>5.5</v>
      </c>
      <c r="I94" s="49">
        <f>'Avg Week BUSEGA-NATEETE'!I94+'Avg Week NATEETE-BUSEGA'!I94</f>
        <v>7.5</v>
      </c>
      <c r="J94" s="49">
        <f>'Avg Week BUSEGA-NATEETE'!J94+'Avg Week NATEETE-BUSEGA'!J94</f>
        <v>21</v>
      </c>
      <c r="K94" s="49">
        <f>'Avg Week BUSEGA-NATEETE'!K94+'Avg Week NATEETE-BUSEGA'!K94</f>
        <v>12.5</v>
      </c>
      <c r="L94" s="49">
        <f>'Avg Week BUSEGA-NATEETE'!L94+'Avg Week NATEETE-BUSEGA'!L94</f>
        <v>3</v>
      </c>
      <c r="M94" s="49">
        <f>'Avg Week BUSEGA-NATEETE'!M94+'Avg Week NATEETE-BUSEGA'!M94</f>
        <v>102</v>
      </c>
      <c r="N94" s="49">
        <f>'Avg Week BUSEGA-NATEETE'!N94+'Avg Week NATEETE-BUSEGA'!N94</f>
        <v>0</v>
      </c>
      <c r="O94" s="15">
        <f t="shared" si="36"/>
        <v>95.5</v>
      </c>
      <c r="P94" s="15">
        <f t="shared" si="35"/>
        <v>197.5</v>
      </c>
      <c r="R94" s="8"/>
      <c r="T94"/>
    </row>
    <row r="95" spans="2:20" ht="23.1" customHeight="1" x14ac:dyDescent="0.25">
      <c r="B95" s="23" t="s">
        <v>135</v>
      </c>
      <c r="C95" s="49">
        <f>'Avg Week BUSEGA-NATEETE'!C95+'Avg Week NATEETE-BUSEGA'!C95</f>
        <v>21.5</v>
      </c>
      <c r="D95" s="49">
        <f>'Avg Week BUSEGA-NATEETE'!D95+'Avg Week NATEETE-BUSEGA'!D95</f>
        <v>5.5</v>
      </c>
      <c r="E95" s="49">
        <f>'Avg Week BUSEGA-NATEETE'!E95+'Avg Week NATEETE-BUSEGA'!E95</f>
        <v>4.5</v>
      </c>
      <c r="F95" s="49">
        <f>'Avg Week BUSEGA-NATEETE'!F95+'Avg Week NATEETE-BUSEGA'!F95</f>
        <v>7</v>
      </c>
      <c r="G95" s="49">
        <f>'Avg Week BUSEGA-NATEETE'!G95+'Avg Week NATEETE-BUSEGA'!G95</f>
        <v>2.5</v>
      </c>
      <c r="H95" s="49">
        <f>'Avg Week BUSEGA-NATEETE'!H95+'Avg Week NATEETE-BUSEGA'!H95</f>
        <v>11.5</v>
      </c>
      <c r="I95" s="49">
        <f>'Avg Week BUSEGA-NATEETE'!I95+'Avg Week NATEETE-BUSEGA'!I95</f>
        <v>5</v>
      </c>
      <c r="J95" s="49">
        <f>'Avg Week BUSEGA-NATEETE'!J95+'Avg Week NATEETE-BUSEGA'!J95</f>
        <v>11.5</v>
      </c>
      <c r="K95" s="49">
        <f>'Avg Week BUSEGA-NATEETE'!K95+'Avg Week NATEETE-BUSEGA'!K95</f>
        <v>6.5</v>
      </c>
      <c r="L95" s="49">
        <f>'Avg Week BUSEGA-NATEETE'!L95+'Avg Week NATEETE-BUSEGA'!L95</f>
        <v>4</v>
      </c>
      <c r="M95" s="49">
        <f>'Avg Week BUSEGA-NATEETE'!M95+'Avg Week NATEETE-BUSEGA'!M95</f>
        <v>83.5</v>
      </c>
      <c r="N95" s="49">
        <f>'Avg Week BUSEGA-NATEETE'!N95+'Avg Week NATEETE-BUSEGA'!N95</f>
        <v>0</v>
      </c>
      <c r="O95" s="15">
        <f t="shared" si="36"/>
        <v>79.5</v>
      </c>
      <c r="P95" s="15">
        <f t="shared" si="35"/>
        <v>163</v>
      </c>
      <c r="R95" s="8"/>
      <c r="T95"/>
    </row>
    <row r="96" spans="2:20" ht="23.1" customHeight="1" x14ac:dyDescent="0.25">
      <c r="B96" s="25" t="s">
        <v>136</v>
      </c>
      <c r="C96" s="49">
        <f>'Avg Week BUSEGA-NATEETE'!C96+'Avg Week NATEETE-BUSEGA'!C96</f>
        <v>33</v>
      </c>
      <c r="D96" s="49">
        <f>'Avg Week BUSEGA-NATEETE'!D96+'Avg Week NATEETE-BUSEGA'!D96</f>
        <v>1</v>
      </c>
      <c r="E96" s="49">
        <f>'Avg Week BUSEGA-NATEETE'!E96+'Avg Week NATEETE-BUSEGA'!E96</f>
        <v>5.5</v>
      </c>
      <c r="F96" s="49">
        <f>'Avg Week BUSEGA-NATEETE'!F96+'Avg Week NATEETE-BUSEGA'!F96</f>
        <v>11</v>
      </c>
      <c r="G96" s="49">
        <f>'Avg Week BUSEGA-NATEETE'!G96+'Avg Week NATEETE-BUSEGA'!G96</f>
        <v>1</v>
      </c>
      <c r="H96" s="49">
        <f>'Avg Week BUSEGA-NATEETE'!H96+'Avg Week NATEETE-BUSEGA'!H96</f>
        <v>9.5</v>
      </c>
      <c r="I96" s="49">
        <f>'Avg Week BUSEGA-NATEETE'!I96+'Avg Week NATEETE-BUSEGA'!I96</f>
        <v>8.5</v>
      </c>
      <c r="J96" s="49">
        <f>'Avg Week BUSEGA-NATEETE'!J96+'Avg Week NATEETE-BUSEGA'!J96</f>
        <v>13</v>
      </c>
      <c r="K96" s="49">
        <f>'Avg Week BUSEGA-NATEETE'!K96+'Avg Week NATEETE-BUSEGA'!K96</f>
        <v>4.5</v>
      </c>
      <c r="L96" s="49">
        <f>'Avg Week BUSEGA-NATEETE'!L96+'Avg Week NATEETE-BUSEGA'!L96</f>
        <v>2.5</v>
      </c>
      <c r="M96" s="49">
        <f>'Avg Week BUSEGA-NATEETE'!M96+'Avg Week NATEETE-BUSEGA'!M96</f>
        <v>85.5</v>
      </c>
      <c r="N96" s="49">
        <f>'Avg Week BUSEGA-NATEETE'!N96+'Avg Week NATEETE-BUSEGA'!N96</f>
        <v>0</v>
      </c>
      <c r="O96" s="15">
        <f t="shared" si="36"/>
        <v>89.5</v>
      </c>
      <c r="P96" s="15">
        <f t="shared" si="35"/>
        <v>175</v>
      </c>
      <c r="R96" s="8"/>
      <c r="T96"/>
    </row>
    <row r="97" spans="2:20" ht="23.1" customHeight="1" x14ac:dyDescent="0.25">
      <c r="B97" s="23" t="s">
        <v>137</v>
      </c>
      <c r="C97" s="49">
        <f>'Avg Week BUSEGA-NATEETE'!C97+'Avg Week NATEETE-BUSEGA'!C97</f>
        <v>30</v>
      </c>
      <c r="D97" s="49">
        <f>'Avg Week BUSEGA-NATEETE'!D97+'Avg Week NATEETE-BUSEGA'!D97</f>
        <v>3</v>
      </c>
      <c r="E97" s="49">
        <f>'Avg Week BUSEGA-NATEETE'!E97+'Avg Week NATEETE-BUSEGA'!E97</f>
        <v>2.5</v>
      </c>
      <c r="F97" s="49">
        <f>'Avg Week BUSEGA-NATEETE'!F97+'Avg Week NATEETE-BUSEGA'!F97</f>
        <v>12.5</v>
      </c>
      <c r="G97" s="49">
        <f>'Avg Week BUSEGA-NATEETE'!G97+'Avg Week NATEETE-BUSEGA'!G97</f>
        <v>3.5</v>
      </c>
      <c r="H97" s="49">
        <f>'Avg Week BUSEGA-NATEETE'!H97+'Avg Week NATEETE-BUSEGA'!H97</f>
        <v>4.5</v>
      </c>
      <c r="I97" s="49">
        <f>'Avg Week BUSEGA-NATEETE'!I97+'Avg Week NATEETE-BUSEGA'!I97</f>
        <v>11.5</v>
      </c>
      <c r="J97" s="49">
        <f>'Avg Week BUSEGA-NATEETE'!J97+'Avg Week NATEETE-BUSEGA'!J97</f>
        <v>12.5</v>
      </c>
      <c r="K97" s="49">
        <f>'Avg Week BUSEGA-NATEETE'!K97+'Avg Week NATEETE-BUSEGA'!K97</f>
        <v>5</v>
      </c>
      <c r="L97" s="49">
        <f>'Avg Week BUSEGA-NATEETE'!L97+'Avg Week NATEETE-BUSEGA'!L97</f>
        <v>1.5</v>
      </c>
      <c r="M97" s="49">
        <f>'Avg Week BUSEGA-NATEETE'!M97+'Avg Week NATEETE-BUSEGA'!M97</f>
        <v>106.5</v>
      </c>
      <c r="N97" s="49">
        <f>'Avg Week BUSEGA-NATEETE'!N97+'Avg Week NATEETE-BUSEGA'!N97</f>
        <v>0</v>
      </c>
      <c r="O97" s="15">
        <f t="shared" si="36"/>
        <v>86.5</v>
      </c>
      <c r="P97" s="15">
        <f t="shared" si="35"/>
        <v>193</v>
      </c>
      <c r="R97" s="8"/>
      <c r="T97"/>
    </row>
    <row r="98" spans="2:20" ht="23.1" customHeight="1" x14ac:dyDescent="0.25">
      <c r="B98" s="24" t="s">
        <v>138</v>
      </c>
      <c r="C98" s="49">
        <f>'Avg Week BUSEGA-NATEETE'!C98+'Avg Week NATEETE-BUSEGA'!C98</f>
        <v>23.5</v>
      </c>
      <c r="D98" s="49">
        <f>'Avg Week BUSEGA-NATEETE'!D98+'Avg Week NATEETE-BUSEGA'!D98</f>
        <v>4</v>
      </c>
      <c r="E98" s="49">
        <f>'Avg Week BUSEGA-NATEETE'!E98+'Avg Week NATEETE-BUSEGA'!E98</f>
        <v>6.5</v>
      </c>
      <c r="F98" s="49">
        <f>'Avg Week BUSEGA-NATEETE'!F98+'Avg Week NATEETE-BUSEGA'!F98</f>
        <v>14.5</v>
      </c>
      <c r="G98" s="49">
        <f>'Avg Week BUSEGA-NATEETE'!G98+'Avg Week NATEETE-BUSEGA'!G98</f>
        <v>1.5</v>
      </c>
      <c r="H98" s="49">
        <f>'Avg Week BUSEGA-NATEETE'!H98+'Avg Week NATEETE-BUSEGA'!H98</f>
        <v>6</v>
      </c>
      <c r="I98" s="49">
        <f>'Avg Week BUSEGA-NATEETE'!I98+'Avg Week NATEETE-BUSEGA'!I98</f>
        <v>18</v>
      </c>
      <c r="J98" s="49">
        <f>'Avg Week BUSEGA-NATEETE'!J98+'Avg Week NATEETE-BUSEGA'!J98</f>
        <v>9</v>
      </c>
      <c r="K98" s="49">
        <f>'Avg Week BUSEGA-NATEETE'!K98+'Avg Week NATEETE-BUSEGA'!K98</f>
        <v>5</v>
      </c>
      <c r="L98" s="49">
        <f>'Avg Week BUSEGA-NATEETE'!L98+'Avg Week NATEETE-BUSEGA'!L98</f>
        <v>6</v>
      </c>
      <c r="M98" s="49">
        <f>'Avg Week BUSEGA-NATEETE'!M98+'Avg Week NATEETE-BUSEGA'!M98</f>
        <v>102.5</v>
      </c>
      <c r="N98" s="49">
        <f>'Avg Week BUSEGA-NATEETE'!N98+'Avg Week NATEETE-BUSEGA'!N98</f>
        <v>0</v>
      </c>
      <c r="O98" s="15">
        <f t="shared" si="36"/>
        <v>94</v>
      </c>
      <c r="P98" s="15">
        <f t="shared" si="35"/>
        <v>196.5</v>
      </c>
      <c r="R98" s="8"/>
      <c r="T98"/>
    </row>
    <row r="99" spans="2:20" ht="23.1" customHeight="1" x14ac:dyDescent="0.25">
      <c r="B99" s="23" t="s">
        <v>139</v>
      </c>
      <c r="C99" s="49">
        <f>'Avg Week BUSEGA-NATEETE'!C99+'Avg Week NATEETE-BUSEGA'!C99</f>
        <v>38.5</v>
      </c>
      <c r="D99" s="49">
        <f>'Avg Week BUSEGA-NATEETE'!D99+'Avg Week NATEETE-BUSEGA'!D99</f>
        <v>2.5</v>
      </c>
      <c r="E99" s="49">
        <f>'Avg Week BUSEGA-NATEETE'!E99+'Avg Week NATEETE-BUSEGA'!E99</f>
        <v>6.5</v>
      </c>
      <c r="F99" s="49">
        <f>'Avg Week BUSEGA-NATEETE'!F99+'Avg Week NATEETE-BUSEGA'!F99</f>
        <v>37</v>
      </c>
      <c r="G99" s="49">
        <f>'Avg Week BUSEGA-NATEETE'!G99+'Avg Week NATEETE-BUSEGA'!G99</f>
        <v>0.5</v>
      </c>
      <c r="H99" s="49">
        <f>'Avg Week BUSEGA-NATEETE'!H99+'Avg Week NATEETE-BUSEGA'!H99</f>
        <v>2.5</v>
      </c>
      <c r="I99" s="49">
        <f>'Avg Week BUSEGA-NATEETE'!I99+'Avg Week NATEETE-BUSEGA'!I99</f>
        <v>6</v>
      </c>
      <c r="J99" s="49">
        <f>'Avg Week BUSEGA-NATEETE'!J99+'Avg Week NATEETE-BUSEGA'!J99</f>
        <v>8</v>
      </c>
      <c r="K99" s="49">
        <f>'Avg Week BUSEGA-NATEETE'!K99+'Avg Week NATEETE-BUSEGA'!K99</f>
        <v>2</v>
      </c>
      <c r="L99" s="49">
        <f>'Avg Week BUSEGA-NATEETE'!L99+'Avg Week NATEETE-BUSEGA'!L99</f>
        <v>1.5</v>
      </c>
      <c r="M99" s="49">
        <f>'Avg Week BUSEGA-NATEETE'!M99+'Avg Week NATEETE-BUSEGA'!M99</f>
        <v>90.5</v>
      </c>
      <c r="N99" s="49">
        <f>'Avg Week BUSEGA-NATEETE'!N99+'Avg Week NATEETE-BUSEGA'!N99</f>
        <v>0</v>
      </c>
      <c r="O99" s="15">
        <f t="shared" si="36"/>
        <v>105</v>
      </c>
      <c r="P99" s="15">
        <f t="shared" si="35"/>
        <v>195.5</v>
      </c>
      <c r="R99" s="8"/>
      <c r="T99"/>
    </row>
    <row r="100" spans="2:20" ht="23.1" customHeight="1" x14ac:dyDescent="0.25">
      <c r="B100" s="25" t="s">
        <v>140</v>
      </c>
      <c r="C100" s="49">
        <f>'Avg Week BUSEGA-NATEETE'!C100+'Avg Week NATEETE-BUSEGA'!C100</f>
        <v>35</v>
      </c>
      <c r="D100" s="49">
        <f>'Avg Week BUSEGA-NATEETE'!D100+'Avg Week NATEETE-BUSEGA'!D100</f>
        <v>3</v>
      </c>
      <c r="E100" s="49">
        <f>'Avg Week BUSEGA-NATEETE'!E100+'Avg Week NATEETE-BUSEGA'!E100</f>
        <v>8.5</v>
      </c>
      <c r="F100" s="49">
        <f>'Avg Week BUSEGA-NATEETE'!F100+'Avg Week NATEETE-BUSEGA'!F100</f>
        <v>43.5</v>
      </c>
      <c r="G100" s="49">
        <f>'Avg Week BUSEGA-NATEETE'!G100+'Avg Week NATEETE-BUSEGA'!G100</f>
        <v>1</v>
      </c>
      <c r="H100" s="49">
        <f>'Avg Week BUSEGA-NATEETE'!H100+'Avg Week NATEETE-BUSEGA'!H100</f>
        <v>4.5</v>
      </c>
      <c r="I100" s="49">
        <f>'Avg Week BUSEGA-NATEETE'!I100+'Avg Week NATEETE-BUSEGA'!I100</f>
        <v>11.5</v>
      </c>
      <c r="J100" s="49">
        <f>'Avg Week BUSEGA-NATEETE'!J100+'Avg Week NATEETE-BUSEGA'!J100</f>
        <v>6.5</v>
      </c>
      <c r="K100" s="49">
        <f>'Avg Week BUSEGA-NATEETE'!K100+'Avg Week NATEETE-BUSEGA'!K100</f>
        <v>2</v>
      </c>
      <c r="L100" s="49">
        <f>'Avg Week BUSEGA-NATEETE'!L100+'Avg Week NATEETE-BUSEGA'!L100</f>
        <v>4.5</v>
      </c>
      <c r="M100" s="49">
        <f>'Avg Week BUSEGA-NATEETE'!M100+'Avg Week NATEETE-BUSEGA'!M100</f>
        <v>112</v>
      </c>
      <c r="N100" s="49">
        <f>'Avg Week BUSEGA-NATEETE'!N100+'Avg Week NATEETE-BUSEGA'!N100</f>
        <v>0</v>
      </c>
      <c r="O100" s="15">
        <f t="shared" si="36"/>
        <v>120</v>
      </c>
      <c r="P100" s="15">
        <f t="shared" si="35"/>
        <v>232</v>
      </c>
      <c r="R100" s="8"/>
      <c r="T100"/>
    </row>
    <row r="101" spans="2:20" ht="23.1" customHeight="1" x14ac:dyDescent="0.25">
      <c r="B101" s="23" t="s">
        <v>141</v>
      </c>
      <c r="C101" s="49">
        <f>'Avg Week BUSEGA-NATEETE'!C101+'Avg Week NATEETE-BUSEGA'!C101</f>
        <v>33</v>
      </c>
      <c r="D101" s="49">
        <f>'Avg Week BUSEGA-NATEETE'!D101+'Avg Week NATEETE-BUSEGA'!D101</f>
        <v>4.5</v>
      </c>
      <c r="E101" s="49">
        <f>'Avg Week BUSEGA-NATEETE'!E101+'Avg Week NATEETE-BUSEGA'!E101</f>
        <v>11</v>
      </c>
      <c r="F101" s="49">
        <f>'Avg Week BUSEGA-NATEETE'!F101+'Avg Week NATEETE-BUSEGA'!F101</f>
        <v>57</v>
      </c>
      <c r="G101" s="49">
        <f>'Avg Week BUSEGA-NATEETE'!G101+'Avg Week NATEETE-BUSEGA'!G101</f>
        <v>2</v>
      </c>
      <c r="H101" s="49">
        <f>'Avg Week BUSEGA-NATEETE'!H101+'Avg Week NATEETE-BUSEGA'!H101</f>
        <v>4.5</v>
      </c>
      <c r="I101" s="49">
        <f>'Avg Week BUSEGA-NATEETE'!I101+'Avg Week NATEETE-BUSEGA'!I101</f>
        <v>8.5</v>
      </c>
      <c r="J101" s="49">
        <f>'Avg Week BUSEGA-NATEETE'!J101+'Avg Week NATEETE-BUSEGA'!J101</f>
        <v>7.5</v>
      </c>
      <c r="K101" s="49">
        <f>'Avg Week BUSEGA-NATEETE'!K101+'Avg Week NATEETE-BUSEGA'!K101</f>
        <v>5.5</v>
      </c>
      <c r="L101" s="49">
        <f>'Avg Week BUSEGA-NATEETE'!L101+'Avg Week NATEETE-BUSEGA'!L101</f>
        <v>4</v>
      </c>
      <c r="M101" s="49">
        <f>'Avg Week BUSEGA-NATEETE'!M101+'Avg Week NATEETE-BUSEGA'!M101</f>
        <v>151.5</v>
      </c>
      <c r="N101" s="49">
        <f>'Avg Week BUSEGA-NATEETE'!N101+'Avg Week NATEETE-BUSEGA'!N101</f>
        <v>0</v>
      </c>
      <c r="O101" s="15">
        <f t="shared" si="36"/>
        <v>137.5</v>
      </c>
      <c r="P101" s="15">
        <f t="shared" si="35"/>
        <v>289</v>
      </c>
      <c r="R101" s="8"/>
      <c r="T101"/>
    </row>
    <row r="102" spans="2:20" ht="23.1" customHeight="1" x14ac:dyDescent="0.25">
      <c r="B102" s="24" t="s">
        <v>142</v>
      </c>
      <c r="C102" s="49">
        <f>'Avg Week BUSEGA-NATEETE'!C102+'Avg Week NATEETE-BUSEGA'!C102</f>
        <v>49</v>
      </c>
      <c r="D102" s="49">
        <f>'Avg Week BUSEGA-NATEETE'!D102+'Avg Week NATEETE-BUSEGA'!D102</f>
        <v>9</v>
      </c>
      <c r="E102" s="49">
        <f>'Avg Week BUSEGA-NATEETE'!E102+'Avg Week NATEETE-BUSEGA'!E102</f>
        <v>9.5</v>
      </c>
      <c r="F102" s="49">
        <f>'Avg Week BUSEGA-NATEETE'!F102+'Avg Week NATEETE-BUSEGA'!F102</f>
        <v>77.5</v>
      </c>
      <c r="G102" s="49">
        <f>'Avg Week BUSEGA-NATEETE'!G102+'Avg Week NATEETE-BUSEGA'!G102</f>
        <v>2.5</v>
      </c>
      <c r="H102" s="49">
        <f>'Avg Week BUSEGA-NATEETE'!H102+'Avg Week NATEETE-BUSEGA'!H102</f>
        <v>1.5</v>
      </c>
      <c r="I102" s="49">
        <f>'Avg Week BUSEGA-NATEETE'!I102+'Avg Week NATEETE-BUSEGA'!I102</f>
        <v>6.5</v>
      </c>
      <c r="J102" s="49">
        <f>'Avg Week BUSEGA-NATEETE'!J102+'Avg Week NATEETE-BUSEGA'!J102</f>
        <v>9</v>
      </c>
      <c r="K102" s="49">
        <f>'Avg Week BUSEGA-NATEETE'!K102+'Avg Week NATEETE-BUSEGA'!K102</f>
        <v>3</v>
      </c>
      <c r="L102" s="49">
        <f>'Avg Week BUSEGA-NATEETE'!L102+'Avg Week NATEETE-BUSEGA'!L102</f>
        <v>4</v>
      </c>
      <c r="M102" s="49">
        <f>'Avg Week BUSEGA-NATEETE'!M102+'Avg Week NATEETE-BUSEGA'!M102</f>
        <v>180.5</v>
      </c>
      <c r="N102" s="49">
        <f>'Avg Week BUSEGA-NATEETE'!N102+'Avg Week NATEETE-BUSEGA'!N102</f>
        <v>0</v>
      </c>
      <c r="O102" s="15">
        <f t="shared" si="36"/>
        <v>171.5</v>
      </c>
      <c r="P102" s="15">
        <f t="shared" si="35"/>
        <v>352</v>
      </c>
      <c r="R102" s="8"/>
      <c r="T102"/>
    </row>
    <row r="103" spans="2:20" ht="23.1" customHeight="1" x14ac:dyDescent="0.25">
      <c r="B103" s="23" t="s">
        <v>143</v>
      </c>
      <c r="C103" s="49">
        <f>'Avg Week BUSEGA-NATEETE'!C103+'Avg Week NATEETE-BUSEGA'!C103</f>
        <v>68.5</v>
      </c>
      <c r="D103" s="49">
        <f>'Avg Week BUSEGA-NATEETE'!D103+'Avg Week NATEETE-BUSEGA'!D103</f>
        <v>5.5</v>
      </c>
      <c r="E103" s="49">
        <f>'Avg Week BUSEGA-NATEETE'!E103+'Avg Week NATEETE-BUSEGA'!E103</f>
        <v>15.5</v>
      </c>
      <c r="F103" s="49">
        <f>'Avg Week BUSEGA-NATEETE'!F103+'Avg Week NATEETE-BUSEGA'!F103</f>
        <v>83.5</v>
      </c>
      <c r="G103" s="49">
        <f>'Avg Week BUSEGA-NATEETE'!G103+'Avg Week NATEETE-BUSEGA'!G103</f>
        <v>1</v>
      </c>
      <c r="H103" s="49">
        <f>'Avg Week BUSEGA-NATEETE'!H103+'Avg Week NATEETE-BUSEGA'!H103</f>
        <v>2.5</v>
      </c>
      <c r="I103" s="49">
        <f>'Avg Week BUSEGA-NATEETE'!I103+'Avg Week NATEETE-BUSEGA'!I103</f>
        <v>13</v>
      </c>
      <c r="J103" s="49">
        <f>'Avg Week BUSEGA-NATEETE'!J103+'Avg Week NATEETE-BUSEGA'!J103</f>
        <v>17.5</v>
      </c>
      <c r="K103" s="49">
        <f>'Avg Week BUSEGA-NATEETE'!K103+'Avg Week NATEETE-BUSEGA'!K103</f>
        <v>2</v>
      </c>
      <c r="L103" s="49">
        <f>'Avg Week BUSEGA-NATEETE'!L103+'Avg Week NATEETE-BUSEGA'!L103</f>
        <v>1.5</v>
      </c>
      <c r="M103" s="49">
        <f>'Avg Week BUSEGA-NATEETE'!M103+'Avg Week NATEETE-BUSEGA'!M103</f>
        <v>183.5</v>
      </c>
      <c r="N103" s="49">
        <f>'Avg Week BUSEGA-NATEETE'!N103+'Avg Week NATEETE-BUSEGA'!N103</f>
        <v>0</v>
      </c>
      <c r="O103" s="15">
        <f t="shared" si="36"/>
        <v>210.5</v>
      </c>
      <c r="P103" s="15">
        <f t="shared" si="35"/>
        <v>394</v>
      </c>
      <c r="R103" s="8"/>
      <c r="T103"/>
    </row>
    <row r="104" spans="2:20" ht="23.1" customHeight="1" x14ac:dyDescent="0.25">
      <c r="B104" s="25" t="s">
        <v>144</v>
      </c>
      <c r="C104" s="49">
        <f>'Avg Week BUSEGA-NATEETE'!C104+'Avg Week NATEETE-BUSEGA'!C104</f>
        <v>76.5</v>
      </c>
      <c r="D104" s="49">
        <f>'Avg Week BUSEGA-NATEETE'!D104+'Avg Week NATEETE-BUSEGA'!D104</f>
        <v>7.5</v>
      </c>
      <c r="E104" s="49">
        <f>'Avg Week BUSEGA-NATEETE'!E104+'Avg Week NATEETE-BUSEGA'!E104</f>
        <v>16</v>
      </c>
      <c r="F104" s="49">
        <f>'Avg Week BUSEGA-NATEETE'!F104+'Avg Week NATEETE-BUSEGA'!F104</f>
        <v>94</v>
      </c>
      <c r="G104" s="49">
        <f>'Avg Week BUSEGA-NATEETE'!G104+'Avg Week NATEETE-BUSEGA'!G104</f>
        <v>2.5</v>
      </c>
      <c r="H104" s="49">
        <f>'Avg Week BUSEGA-NATEETE'!H104+'Avg Week NATEETE-BUSEGA'!H104</f>
        <v>2</v>
      </c>
      <c r="I104" s="49">
        <f>'Avg Week BUSEGA-NATEETE'!I104+'Avg Week NATEETE-BUSEGA'!I104</f>
        <v>17.5</v>
      </c>
      <c r="J104" s="49">
        <f>'Avg Week BUSEGA-NATEETE'!J104+'Avg Week NATEETE-BUSEGA'!J104</f>
        <v>13.5</v>
      </c>
      <c r="K104" s="49">
        <f>'Avg Week BUSEGA-NATEETE'!K104+'Avg Week NATEETE-BUSEGA'!K104</f>
        <v>3</v>
      </c>
      <c r="L104" s="49">
        <f>'Avg Week BUSEGA-NATEETE'!L104+'Avg Week NATEETE-BUSEGA'!L104</f>
        <v>2.5</v>
      </c>
      <c r="M104" s="49">
        <f>'Avg Week BUSEGA-NATEETE'!M104+'Avg Week NATEETE-BUSEGA'!M104</f>
        <v>202</v>
      </c>
      <c r="N104" s="49">
        <f>'Avg Week BUSEGA-NATEETE'!N104+'Avg Week NATEETE-BUSEGA'!N104</f>
        <v>0</v>
      </c>
      <c r="O104" s="15">
        <f t="shared" si="36"/>
        <v>235</v>
      </c>
      <c r="P104" s="15">
        <f t="shared" si="35"/>
        <v>437</v>
      </c>
      <c r="R104" s="8"/>
      <c r="T104"/>
    </row>
    <row r="105" spans="2:20" ht="23.1" customHeight="1" x14ac:dyDescent="0.25">
      <c r="B105" s="23" t="s">
        <v>145</v>
      </c>
      <c r="C105" s="49">
        <f>'Avg Week BUSEGA-NATEETE'!C105+'Avg Week NATEETE-BUSEGA'!C105</f>
        <v>88.5</v>
      </c>
      <c r="D105" s="49">
        <f>'Avg Week BUSEGA-NATEETE'!D105+'Avg Week NATEETE-BUSEGA'!D105</f>
        <v>15</v>
      </c>
      <c r="E105" s="49">
        <f>'Avg Week BUSEGA-NATEETE'!E105+'Avg Week NATEETE-BUSEGA'!E105</f>
        <v>16</v>
      </c>
      <c r="F105" s="49">
        <f>'Avg Week BUSEGA-NATEETE'!F105+'Avg Week NATEETE-BUSEGA'!F105</f>
        <v>94</v>
      </c>
      <c r="G105" s="49">
        <f>'Avg Week BUSEGA-NATEETE'!G105+'Avg Week NATEETE-BUSEGA'!G105</f>
        <v>1.5</v>
      </c>
      <c r="H105" s="49">
        <f>'Avg Week BUSEGA-NATEETE'!H105+'Avg Week NATEETE-BUSEGA'!H105</f>
        <v>3.5</v>
      </c>
      <c r="I105" s="49">
        <f>'Avg Week BUSEGA-NATEETE'!I105+'Avg Week NATEETE-BUSEGA'!I105</f>
        <v>14</v>
      </c>
      <c r="J105" s="49">
        <f>'Avg Week BUSEGA-NATEETE'!J105+'Avg Week NATEETE-BUSEGA'!J105</f>
        <v>9</v>
      </c>
      <c r="K105" s="49">
        <f>'Avg Week BUSEGA-NATEETE'!K105+'Avg Week NATEETE-BUSEGA'!K105</f>
        <v>6</v>
      </c>
      <c r="L105" s="49">
        <f>'Avg Week BUSEGA-NATEETE'!L105+'Avg Week NATEETE-BUSEGA'!L105</f>
        <v>4</v>
      </c>
      <c r="M105" s="49">
        <f>'Avg Week BUSEGA-NATEETE'!M105+'Avg Week NATEETE-BUSEGA'!M105</f>
        <v>270.5</v>
      </c>
      <c r="N105" s="49">
        <f>'Avg Week BUSEGA-NATEETE'!N105+'Avg Week NATEETE-BUSEGA'!N105</f>
        <v>0</v>
      </c>
      <c r="O105" s="15">
        <f t="shared" si="36"/>
        <v>251.5</v>
      </c>
      <c r="P105" s="15">
        <f t="shared" si="35"/>
        <v>522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9049.2857142857156</v>
      </c>
      <c r="D106" s="16">
        <f t="shared" ref="D106:P106" si="37">SUM(D10:D105)</f>
        <v>1238.5714285714289</v>
      </c>
      <c r="E106" s="16">
        <f t="shared" si="37"/>
        <v>1253.7142857142862</v>
      </c>
      <c r="F106" s="16">
        <f t="shared" si="37"/>
        <v>7679.357142857144</v>
      </c>
      <c r="G106" s="16">
        <f t="shared" si="37"/>
        <v>244.64285714285717</v>
      </c>
      <c r="H106" s="16">
        <f t="shared" si="37"/>
        <v>316.42857142857144</v>
      </c>
      <c r="I106" s="16">
        <f t="shared" si="37"/>
        <v>1362.5714285714284</v>
      </c>
      <c r="J106" s="16">
        <f t="shared" si="37"/>
        <v>1006.7142857142859</v>
      </c>
      <c r="K106" s="16">
        <f t="shared" si="37"/>
        <v>403.28571428571428</v>
      </c>
      <c r="L106" s="16">
        <f t="shared" si="37"/>
        <v>457.57142857142861</v>
      </c>
      <c r="M106" s="16">
        <f t="shared" si="37"/>
        <v>30396.071428571428</v>
      </c>
      <c r="N106" s="16">
        <f t="shared" si="37"/>
        <v>8.0000000000000018</v>
      </c>
      <c r="O106" s="16">
        <f t="shared" si="37"/>
        <v>23020.142857142855</v>
      </c>
      <c r="P106" s="16">
        <f t="shared" si="37"/>
        <v>53416.214285714304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0.16941083967281198</v>
      </c>
      <c r="D107" s="43">
        <f t="shared" si="38"/>
        <v>2.31871809923953E-2</v>
      </c>
      <c r="E107" s="43">
        <f t="shared" si="38"/>
        <v>2.3470669018369222E-2</v>
      </c>
      <c r="F107" s="43">
        <f t="shared" si="38"/>
        <v>0.1437645337758599</v>
      </c>
      <c r="G107" s="43">
        <f t="shared" si="38"/>
        <v>4.5799362686824614E-3</v>
      </c>
      <c r="H107" s="43">
        <f t="shared" si="38"/>
        <v>5.9238299767192127E-3</v>
      </c>
      <c r="I107" s="43">
        <f t="shared" si="38"/>
        <v>2.5508573506974195E-2</v>
      </c>
      <c r="J107" s="43">
        <f t="shared" si="38"/>
        <v>1.884660489658704E-2</v>
      </c>
      <c r="K107" s="43">
        <f t="shared" si="38"/>
        <v>7.5498745030601966E-3</v>
      </c>
      <c r="L107" s="43">
        <f t="shared" si="38"/>
        <v>8.5661523320233138E-3</v>
      </c>
      <c r="M107" s="43">
        <f t="shared" si="38"/>
        <v>0.56904203779751172</v>
      </c>
      <c r="N107" s="43">
        <f t="shared" si="38"/>
        <v>1.4976725900509074E-4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0.39310293469694252</v>
      </c>
      <c r="D108" s="44">
        <f t="shared" ref="D108:N108" si="39">D106/$O$106</f>
        <v>5.3803811568750366E-2</v>
      </c>
      <c r="E108" s="44">
        <f t="shared" si="39"/>
        <v>5.4461620568322183E-2</v>
      </c>
      <c r="F108" s="44">
        <f t="shared" si="39"/>
        <v>0.3335929403441707</v>
      </c>
      <c r="G108" s="44">
        <f t="shared" si="39"/>
        <v>1.0627338790252017E-2</v>
      </c>
      <c r="H108" s="44">
        <f t="shared" si="39"/>
        <v>1.3745725792939105E-2</v>
      </c>
      <c r="I108" s="44">
        <f t="shared" si="39"/>
        <v>5.9190398470904362E-2</v>
      </c>
      <c r="J108" s="44">
        <f t="shared" si="39"/>
        <v>4.3731886980966993E-2</v>
      </c>
      <c r="K108" s="44">
        <f t="shared" si="39"/>
        <v>1.7518818922558507E-2</v>
      </c>
      <c r="L108" s="44">
        <f t="shared" si="39"/>
        <v>1.9877002128570635E-2</v>
      </c>
      <c r="M108" s="44"/>
      <c r="N108" s="44">
        <f t="shared" si="39"/>
        <v>3.4752173562283971E-4</v>
      </c>
      <c r="Q108" s="7"/>
      <c r="R108" s="8"/>
      <c r="T108"/>
    </row>
    <row r="109" spans="2:20" ht="20.100000000000001" customHeight="1" x14ac:dyDescent="0.25">
      <c r="B109" s="3"/>
      <c r="C109" s="69">
        <f>C106*1.3</f>
        <v>11764.071428571431</v>
      </c>
      <c r="D109" s="69">
        <f t="shared" ref="D109:E109" si="40">D106*1.3</f>
        <v>1610.1428571428576</v>
      </c>
      <c r="E109" s="69">
        <f t="shared" si="40"/>
        <v>1629.8285714285721</v>
      </c>
      <c r="F109" s="69">
        <f>F106*10</f>
        <v>76793.571428571435</v>
      </c>
      <c r="G109" s="69">
        <f>G106*25</f>
        <v>6116.0714285714294</v>
      </c>
      <c r="H109" s="69">
        <f>H106*50</f>
        <v>15821.428571428572</v>
      </c>
      <c r="I109" s="69"/>
      <c r="J109" s="69"/>
      <c r="K109" s="69"/>
      <c r="L109" s="69"/>
      <c r="M109" s="69">
        <f>M106*1</f>
        <v>30396.071428571428</v>
      </c>
      <c r="N109" s="3"/>
      <c r="O109" s="70">
        <f>SUM(C109:M109)</f>
        <v>144131.18571428573</v>
      </c>
      <c r="Q109" s="7"/>
      <c r="R109" s="8"/>
      <c r="T109"/>
    </row>
    <row r="110" spans="2:20" ht="20.100000000000001" customHeight="1" x14ac:dyDescent="0.25">
      <c r="B110" s="3"/>
      <c r="C110" s="18">
        <f>C109/$O$109</f>
        <v>8.1620583153264245E-2</v>
      </c>
      <c r="D110" s="18">
        <f t="shared" ref="D110:O110" si="41">D109/$O$109</f>
        <v>1.1171370367650186E-2</v>
      </c>
      <c r="E110" s="18">
        <f t="shared" si="41"/>
        <v>1.1307952289100122E-2</v>
      </c>
      <c r="F110" s="18">
        <f t="shared" si="41"/>
        <v>0.53280330032669643</v>
      </c>
      <c r="G110" s="18">
        <f t="shared" si="41"/>
        <v>4.2434060319849483E-2</v>
      </c>
      <c r="H110" s="18">
        <f t="shared" si="41"/>
        <v>0.10977102903178582</v>
      </c>
      <c r="I110" s="18">
        <f t="shared" si="41"/>
        <v>0</v>
      </c>
      <c r="J110" s="18">
        <f t="shared" si="41"/>
        <v>0</v>
      </c>
      <c r="K110" s="18">
        <f t="shared" si="41"/>
        <v>0</v>
      </c>
      <c r="L110" s="18">
        <f t="shared" si="41"/>
        <v>0</v>
      </c>
      <c r="M110" s="18">
        <f t="shared" si="41"/>
        <v>0.21089170451165368</v>
      </c>
      <c r="N110" s="18">
        <f t="shared" si="41"/>
        <v>0</v>
      </c>
      <c r="O110" s="18">
        <f t="shared" si="41"/>
        <v>1</v>
      </c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22.07 NATEETE-BUSEGA</vt:lpstr>
      <vt:lpstr>22.07 BUSEGA-NATEETE</vt:lpstr>
      <vt:lpstr>23.07 NATEETE-BUSEGA</vt:lpstr>
      <vt:lpstr>23.07 BUSEGA-NATEETE</vt:lpstr>
      <vt:lpstr>24.07 NATEETE-BUSEGA</vt:lpstr>
      <vt:lpstr>24.07 BUSEGA-NATEETE</vt:lpstr>
      <vt:lpstr>25.07 NATEETE-BUSEGA</vt:lpstr>
      <vt:lpstr>25.07 BUSEGA-NATEETE</vt:lpstr>
      <vt:lpstr>26.07 NATEETE-BUSEGA</vt:lpstr>
      <vt:lpstr>26.07 BUSEGA-NATEETE</vt:lpstr>
      <vt:lpstr>27.07 NATEETE-BUSEGA</vt:lpstr>
      <vt:lpstr>27.07 52BUSEGA-NATEETEh</vt:lpstr>
      <vt:lpstr>28.07 BUSEGA-NATEETE</vt:lpstr>
      <vt:lpstr>28.07 NATEETE-BUSEGA</vt:lpstr>
      <vt:lpstr>Avg Week BUSEGA-NATEETE</vt:lpstr>
      <vt:lpstr>Avg Week NATEETE-BUSEGA</vt:lpstr>
      <vt:lpstr>Avg Week BUSEGA-NATEETE-2Dir</vt:lpstr>
      <vt:lpstr>'22.07 BUSEGA-NATEETE'!Print_Area</vt:lpstr>
      <vt:lpstr>'22.07 NATEETE-BUSEGA'!Print_Area</vt:lpstr>
      <vt:lpstr>'23.07 BUSEGA-NATEETE'!Print_Area</vt:lpstr>
      <vt:lpstr>'23.07 NATEETE-BUSEGA'!Print_Area</vt:lpstr>
      <vt:lpstr>'24.07 BUSEGA-NATEETE'!Print_Area</vt:lpstr>
      <vt:lpstr>'24.07 NATEETE-BUSEGA'!Print_Area</vt:lpstr>
      <vt:lpstr>'25.07 BUSEGA-NATEETE'!Print_Area</vt:lpstr>
      <vt:lpstr>'25.07 NATEETE-BUSEGA'!Print_Area</vt:lpstr>
      <vt:lpstr>'26.07 BUSEGA-NATEETE'!Print_Area</vt:lpstr>
      <vt:lpstr>'26.07 NATEETE-BUSEGA'!Print_Area</vt:lpstr>
      <vt:lpstr>'27.07 52BUSEGA-NATEETEh'!Print_Area</vt:lpstr>
      <vt:lpstr>'27.07 NATEETE-BUSEGA'!Print_Area</vt:lpstr>
      <vt:lpstr>'28.07 BUSEGA-NATEETE'!Print_Area</vt:lpstr>
      <vt:lpstr>'28.07 NATEETE-BUSEGA'!Print_Area</vt:lpstr>
      <vt:lpstr>'Avg Week BUSEGA-NATEETE'!Print_Area</vt:lpstr>
      <vt:lpstr>'Avg Week BUSEGA-NATEETE-2Dir'!Print_Area</vt:lpstr>
      <vt:lpstr>'Avg Week NATEETE-BUSEGA'!Print_Area</vt:lpstr>
      <vt:lpstr>'22.07 BUSEGA-NATEETE'!Print_Titles</vt:lpstr>
      <vt:lpstr>'22.07 NATEETE-BUSEGA'!Print_Titles</vt:lpstr>
      <vt:lpstr>'23.07 BUSEGA-NATEETE'!Print_Titles</vt:lpstr>
      <vt:lpstr>'23.07 NATEETE-BUSEGA'!Print_Titles</vt:lpstr>
      <vt:lpstr>'24.07 BUSEGA-NATEETE'!Print_Titles</vt:lpstr>
      <vt:lpstr>'24.07 NATEETE-BUSEGA'!Print_Titles</vt:lpstr>
      <vt:lpstr>'25.07 BUSEGA-NATEETE'!Print_Titles</vt:lpstr>
      <vt:lpstr>'25.07 NATEETE-BUSEGA'!Print_Titles</vt:lpstr>
      <vt:lpstr>'26.07 BUSEGA-NATEETE'!Print_Titles</vt:lpstr>
      <vt:lpstr>'26.07 NATEETE-BUSEGA'!Print_Titles</vt:lpstr>
      <vt:lpstr>'27.07 52BUSEGA-NATEETEh'!Print_Titles</vt:lpstr>
      <vt:lpstr>'27.07 NATEETE-BUSEGA'!Print_Titles</vt:lpstr>
      <vt:lpstr>'28.07 BUSEGA-NATEETE'!Print_Titles</vt:lpstr>
      <vt:lpstr>'28.07 NATEETE-BUSEGA'!Print_Titles</vt:lpstr>
      <vt:lpstr>'Avg Week BUSEGA-NATEETE'!Print_Titles</vt:lpstr>
      <vt:lpstr>'Avg Week BUSEGA-NATEETE-2Dir'!Print_Titles</vt:lpstr>
      <vt:lpstr>'Avg Week NATEETE-BUSEGA'!Print_Titles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USER</cp:lastModifiedBy>
  <cp:lastPrinted>2019-07-25T18:18:41Z</cp:lastPrinted>
  <dcterms:created xsi:type="dcterms:W3CDTF">2010-07-06T07:39:49Z</dcterms:created>
  <dcterms:modified xsi:type="dcterms:W3CDTF">2020-02-11T23:45:51Z</dcterms:modified>
</cp:coreProperties>
</file>