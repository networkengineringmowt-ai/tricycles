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18-HOIMA ROAD NTH\MCC DATA\"/>
    </mc:Choice>
  </mc:AlternateContent>
  <bookViews>
    <workbookView xWindow="-120" yWindow="-120" windowWidth="20730" windowHeight="11160" tabRatio="940" firstSheet="12" activeTab="16"/>
  </bookViews>
  <sheets>
    <sheet name="22.07 Kampala-Wakiso" sheetId="93" r:id="rId1"/>
    <sheet name="22.07 Wakiso-Kampala" sheetId="94" r:id="rId2"/>
    <sheet name="23.07 KAMPALA-WAKISO" sheetId="95" r:id="rId3"/>
    <sheet name="23.07 Wakiso-Kampala" sheetId="96" r:id="rId4"/>
    <sheet name="24.07 Kampala-Wakiso" sheetId="97" r:id="rId5"/>
    <sheet name="24.07 Wakiso-Kampala" sheetId="98" r:id="rId6"/>
    <sheet name="25.07 Kampala-Wakiso" sheetId="99" r:id="rId7"/>
    <sheet name="25.07 Wakiso-Kampala" sheetId="100" r:id="rId8"/>
    <sheet name="26.07 Kampala-Wakiso-24h" sheetId="101" r:id="rId9"/>
    <sheet name="26.07 Wakiso-Kampala-24h" sheetId="109" r:id="rId10"/>
    <sheet name="27.07 Kampala-Wakiso-24h" sheetId="105" r:id="rId11"/>
    <sheet name="27.07 Wakiso-Kampala-24h" sheetId="110" r:id="rId12"/>
    <sheet name="28.07 Kampala-wakiso" sheetId="103" r:id="rId13"/>
    <sheet name="28.07 Wakiso-Kampala" sheetId="104" r:id="rId14"/>
    <sheet name="Avg Week Kampala-Wakiso" sheetId="107" r:id="rId15"/>
    <sheet name="Avg Week Wakiso-Kampala" sheetId="108" r:id="rId16"/>
    <sheet name="Avg Week Kampala-Wakiso-2Dir" sheetId="111" r:id="rId17"/>
  </sheets>
  <definedNames>
    <definedName name="_xlnm.Print_Area" localSheetId="0">'22.07 Kampala-Wakiso'!$A$1:$AF$60</definedName>
    <definedName name="_xlnm.Print_Area" localSheetId="1">'22.07 Wakiso-Kampala'!$A$1:$AF$60</definedName>
    <definedName name="_xlnm.Print_Area" localSheetId="2">'23.07 KAMPALA-WAKISO'!$A$1:$AF$60</definedName>
    <definedName name="_xlnm.Print_Area" localSheetId="3">'23.07 Wakiso-Kampala'!$A$1:$AF$60</definedName>
    <definedName name="_xlnm.Print_Area" localSheetId="4">'24.07 Kampala-Wakiso'!$A$1:$AF$60</definedName>
    <definedName name="_xlnm.Print_Area" localSheetId="5">'24.07 Wakiso-Kampala'!$A$1:$AF$60</definedName>
    <definedName name="_xlnm.Print_Area" localSheetId="6">'25.07 Kampala-Wakiso'!$A$1:$AF$60</definedName>
    <definedName name="_xlnm.Print_Area" localSheetId="7">'25.07 Wakiso-Kampala'!$A$1:$AF$60</definedName>
    <definedName name="_xlnm.Print_Area" localSheetId="8">'26.07 Kampala-Wakiso-24h'!$A$1:$AF$108</definedName>
    <definedName name="_xlnm.Print_Area" localSheetId="9">'26.07 Wakiso-Kampala-24h'!$A$1:$AF$108</definedName>
    <definedName name="_xlnm.Print_Area" localSheetId="10">'27.07 Kampala-Wakiso-24h'!$A$1:$AF$108</definedName>
    <definedName name="_xlnm.Print_Area" localSheetId="11">'27.07 Wakiso-Kampala-24h'!$A$1:$AF$108</definedName>
    <definedName name="_xlnm.Print_Area" localSheetId="12">'28.07 Kampala-wakiso'!$A$1:$AF$60</definedName>
    <definedName name="_xlnm.Print_Area" localSheetId="13">'28.07 Wakiso-Kampala'!$A$1:$AF$60</definedName>
    <definedName name="_xlnm.Print_Area" localSheetId="14">'Avg Week Kampala-Wakiso'!$A$1:$AF$108</definedName>
    <definedName name="_xlnm.Print_Area" localSheetId="16">'Avg Week Kampala-Wakiso-2Dir'!$A$1:$AF$108</definedName>
    <definedName name="_xlnm.Print_Area" localSheetId="15">'Avg Week Wakiso-Kampala'!$A$1:$AF$108</definedName>
    <definedName name="_xlnm.Print_Titles" localSheetId="0">'22.07 Kampala-Wakiso'!$1:$8</definedName>
    <definedName name="_xlnm.Print_Titles" localSheetId="1">'22.07 Wakiso-Kampala'!$1:$8</definedName>
    <definedName name="_xlnm.Print_Titles" localSheetId="2">'23.07 KAMPALA-WAKISO'!$1:$8</definedName>
    <definedName name="_xlnm.Print_Titles" localSheetId="3">'23.07 Wakiso-Kampala'!$1:$8</definedName>
    <definedName name="_xlnm.Print_Titles" localSheetId="4">'24.07 Kampala-Wakiso'!$1:$8</definedName>
    <definedName name="_xlnm.Print_Titles" localSheetId="5">'24.07 Wakiso-Kampala'!$1:$8</definedName>
    <definedName name="_xlnm.Print_Titles" localSheetId="6">'25.07 Kampala-Wakiso'!$1:$8</definedName>
    <definedName name="_xlnm.Print_Titles" localSheetId="7">'25.07 Wakiso-Kampala'!$1:$8</definedName>
    <definedName name="_xlnm.Print_Titles" localSheetId="8">'26.07 Kampala-Wakiso-24h'!$1:$8</definedName>
    <definedName name="_xlnm.Print_Titles" localSheetId="9">'26.07 Wakiso-Kampala-24h'!$1:$8</definedName>
    <definedName name="_xlnm.Print_Titles" localSheetId="10">'27.07 Kampala-Wakiso-24h'!$1:$8</definedName>
    <definedName name="_xlnm.Print_Titles" localSheetId="11">'27.07 Wakiso-Kampala-24h'!$1:$8</definedName>
    <definedName name="_xlnm.Print_Titles" localSheetId="12">'28.07 Kampala-wakiso'!$1:$8</definedName>
    <definedName name="_xlnm.Print_Titles" localSheetId="13">'28.07 Wakiso-Kampala'!$1:$8</definedName>
    <definedName name="_xlnm.Print_Titles" localSheetId="14">'Avg Week Kampala-Wakiso'!$1:$8</definedName>
    <definedName name="_xlnm.Print_Titles" localSheetId="16">'Avg Week Kampala-Wakiso-2Dir'!$1:$8</definedName>
    <definedName name="_xlnm.Print_Titles" localSheetId="15">'Avg Week Wakiso-Kampala'!$1:$8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P67" i="108" l="1"/>
  <c r="P68" i="108"/>
  <c r="P77" i="108"/>
  <c r="P79" i="108"/>
  <c r="P88" i="108"/>
  <c r="P89" i="108"/>
  <c r="P99" i="108"/>
  <c r="P100" i="108"/>
  <c r="O61" i="108"/>
  <c r="O63" i="108"/>
  <c r="O72" i="108"/>
  <c r="O73" i="108"/>
  <c r="O83" i="108"/>
  <c r="O84" i="108"/>
  <c r="O93" i="108"/>
  <c r="O95" i="108"/>
  <c r="Q106" i="111"/>
  <c r="Q106" i="108"/>
  <c r="D58" i="108"/>
  <c r="E58" i="108"/>
  <c r="F58" i="108"/>
  <c r="G58" i="108"/>
  <c r="H58" i="108"/>
  <c r="I58" i="108"/>
  <c r="J58" i="108"/>
  <c r="K58" i="108"/>
  <c r="L58" i="108"/>
  <c r="M58" i="108"/>
  <c r="N58" i="108"/>
  <c r="AD22" i="108" s="1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P61" i="108" s="1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O68" i="108" s="1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P72" i="108" s="1"/>
  <c r="E72" i="108"/>
  <c r="F72" i="108"/>
  <c r="G72" i="108"/>
  <c r="H72" i="108"/>
  <c r="I72" i="108"/>
  <c r="J72" i="108"/>
  <c r="K72" i="108"/>
  <c r="L72" i="108"/>
  <c r="M72" i="108"/>
  <c r="N72" i="108"/>
  <c r="D73" i="108"/>
  <c r="P73" i="108" s="1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O77" i="108" s="1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Y28" i="108" s="1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P84" i="108" s="1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U29" i="108" s="1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O88" i="108" s="1"/>
  <c r="E88" i="108"/>
  <c r="F88" i="108"/>
  <c r="G88" i="108"/>
  <c r="H88" i="108"/>
  <c r="I88" i="108"/>
  <c r="J88" i="108"/>
  <c r="K88" i="108"/>
  <c r="L88" i="108"/>
  <c r="M88" i="108"/>
  <c r="N88" i="108"/>
  <c r="D89" i="108"/>
  <c r="O89" i="108" s="1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P93" i="108" s="1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U32" i="108" s="1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O100" i="108" s="1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P104" i="108" s="1"/>
  <c r="E104" i="108"/>
  <c r="F104" i="108"/>
  <c r="G104" i="108"/>
  <c r="O104" i="108" s="1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X33" i="108" s="1"/>
  <c r="I105" i="108"/>
  <c r="J105" i="108"/>
  <c r="K105" i="108"/>
  <c r="L105" i="108"/>
  <c r="M105" i="108"/>
  <c r="N105" i="108"/>
  <c r="C104" i="108"/>
  <c r="C105" i="108"/>
  <c r="P105" i="108" s="1"/>
  <c r="C59" i="108"/>
  <c r="C60" i="108"/>
  <c r="C61" i="108"/>
  <c r="C62" i="108"/>
  <c r="C63" i="108"/>
  <c r="C64" i="108"/>
  <c r="P64" i="108" s="1"/>
  <c r="C65" i="108"/>
  <c r="P65" i="108" s="1"/>
  <c r="C66" i="108"/>
  <c r="C67" i="108"/>
  <c r="O67" i="108" s="1"/>
  <c r="C68" i="108"/>
  <c r="C69" i="108"/>
  <c r="P69" i="108" s="1"/>
  <c r="C70" i="108"/>
  <c r="C71" i="108"/>
  <c r="C72" i="108"/>
  <c r="C73" i="108"/>
  <c r="C74" i="108"/>
  <c r="C75" i="108"/>
  <c r="C76" i="108"/>
  <c r="C77" i="108"/>
  <c r="C78" i="108"/>
  <c r="C79" i="108"/>
  <c r="C80" i="108"/>
  <c r="P80" i="108" s="1"/>
  <c r="C81" i="108"/>
  <c r="P81" i="108" s="1"/>
  <c r="C82" i="108"/>
  <c r="C83" i="108"/>
  <c r="P83" i="108" s="1"/>
  <c r="C84" i="108"/>
  <c r="C85" i="108"/>
  <c r="P85" i="108" s="1"/>
  <c r="C86" i="108"/>
  <c r="C87" i="108"/>
  <c r="C88" i="108"/>
  <c r="C89" i="108"/>
  <c r="C90" i="108"/>
  <c r="C91" i="108"/>
  <c r="C92" i="108"/>
  <c r="C93" i="108"/>
  <c r="C94" i="108"/>
  <c r="C95" i="108"/>
  <c r="C96" i="108"/>
  <c r="P96" i="108" s="1"/>
  <c r="C97" i="108"/>
  <c r="P97" i="108" s="1"/>
  <c r="C98" i="108"/>
  <c r="C99" i="108"/>
  <c r="O99" i="108" s="1"/>
  <c r="C100" i="108"/>
  <c r="C101" i="108"/>
  <c r="C102" i="108"/>
  <c r="C103" i="108"/>
  <c r="C58" i="108"/>
  <c r="Q106" i="107"/>
  <c r="P75" i="107"/>
  <c r="P98" i="107"/>
  <c r="O66" i="107"/>
  <c r="O86" i="107"/>
  <c r="D58" i="107"/>
  <c r="E58" i="107"/>
  <c r="F58" i="107"/>
  <c r="G58" i="107"/>
  <c r="H58" i="107"/>
  <c r="X22" i="107" s="1"/>
  <c r="I58" i="107"/>
  <c r="J58" i="107"/>
  <c r="K58" i="107"/>
  <c r="L58" i="107"/>
  <c r="L58" i="111" s="1"/>
  <c r="M58" i="107"/>
  <c r="N58" i="107"/>
  <c r="D59" i="107"/>
  <c r="E59" i="107"/>
  <c r="E59" i="111" s="1"/>
  <c r="F59" i="107"/>
  <c r="G59" i="107"/>
  <c r="H59" i="107"/>
  <c r="I59" i="107"/>
  <c r="J59" i="107"/>
  <c r="K59" i="107"/>
  <c r="L59" i="107"/>
  <c r="M59" i="107"/>
  <c r="M59" i="111" s="1"/>
  <c r="N59" i="107"/>
  <c r="D60" i="107"/>
  <c r="E60" i="107"/>
  <c r="F60" i="107"/>
  <c r="P60" i="107" s="1"/>
  <c r="G60" i="107"/>
  <c r="H60" i="107"/>
  <c r="I60" i="107"/>
  <c r="J60" i="107"/>
  <c r="J60" i="111" s="1"/>
  <c r="K60" i="107"/>
  <c r="L60" i="107"/>
  <c r="M60" i="107"/>
  <c r="N60" i="107"/>
  <c r="AD22" i="107" s="1"/>
  <c r="D61" i="107"/>
  <c r="E61" i="107"/>
  <c r="F61" i="107"/>
  <c r="G61" i="107"/>
  <c r="G61" i="111" s="1"/>
  <c r="H61" i="107"/>
  <c r="I61" i="107"/>
  <c r="J61" i="107"/>
  <c r="K61" i="107"/>
  <c r="K61" i="111" s="1"/>
  <c r="L61" i="107"/>
  <c r="M61" i="107"/>
  <c r="N61" i="107"/>
  <c r="D62" i="107"/>
  <c r="D62" i="111" s="1"/>
  <c r="E62" i="107"/>
  <c r="F62" i="107"/>
  <c r="G62" i="107"/>
  <c r="H62" i="107"/>
  <c r="I62" i="107"/>
  <c r="J62" i="107"/>
  <c r="K62" i="107"/>
  <c r="L62" i="107"/>
  <c r="L62" i="111" s="1"/>
  <c r="M62" i="107"/>
  <c r="N62" i="107"/>
  <c r="D63" i="107"/>
  <c r="E63" i="107"/>
  <c r="E63" i="111" s="1"/>
  <c r="F63" i="107"/>
  <c r="G63" i="107"/>
  <c r="H63" i="107"/>
  <c r="I63" i="107"/>
  <c r="I63" i="111" s="1"/>
  <c r="J63" i="107"/>
  <c r="K63" i="107"/>
  <c r="L63" i="107"/>
  <c r="M63" i="107"/>
  <c r="AC23" i="107" s="1"/>
  <c r="N63" i="107"/>
  <c r="D64" i="107"/>
  <c r="E64" i="107"/>
  <c r="F64" i="107"/>
  <c r="F64" i="111" s="1"/>
  <c r="G64" i="107"/>
  <c r="H64" i="107"/>
  <c r="I64" i="107"/>
  <c r="J64" i="107"/>
  <c r="K64" i="107"/>
  <c r="L64" i="107"/>
  <c r="M64" i="107"/>
  <c r="N64" i="107"/>
  <c r="N64" i="111" s="1"/>
  <c r="D65" i="107"/>
  <c r="E65" i="107"/>
  <c r="F65" i="107"/>
  <c r="G65" i="107"/>
  <c r="G65" i="111" s="1"/>
  <c r="H65" i="107"/>
  <c r="I65" i="107"/>
  <c r="J65" i="107"/>
  <c r="K65" i="107"/>
  <c r="K65" i="111" s="1"/>
  <c r="L65" i="107"/>
  <c r="M65" i="107"/>
  <c r="N65" i="107"/>
  <c r="D66" i="107"/>
  <c r="T24" i="107" s="1"/>
  <c r="E66" i="107"/>
  <c r="F66" i="107"/>
  <c r="G66" i="107"/>
  <c r="H66" i="107"/>
  <c r="H66" i="111" s="1"/>
  <c r="I66" i="107"/>
  <c r="J66" i="107"/>
  <c r="K66" i="107"/>
  <c r="L66" i="107"/>
  <c r="L66" i="111" s="1"/>
  <c r="M66" i="107"/>
  <c r="N66" i="107"/>
  <c r="D67" i="107"/>
  <c r="E67" i="107"/>
  <c r="E67" i="111" s="1"/>
  <c r="F67" i="107"/>
  <c r="G67" i="107"/>
  <c r="H67" i="107"/>
  <c r="I67" i="107"/>
  <c r="J67" i="107"/>
  <c r="K67" i="107"/>
  <c r="L67" i="107"/>
  <c r="M67" i="107"/>
  <c r="M67" i="111" s="1"/>
  <c r="N67" i="107"/>
  <c r="D68" i="107"/>
  <c r="E68" i="107"/>
  <c r="F68" i="107"/>
  <c r="F68" i="111" s="1"/>
  <c r="G68" i="107"/>
  <c r="H68" i="107"/>
  <c r="I68" i="107"/>
  <c r="J68" i="107"/>
  <c r="J68" i="111" s="1"/>
  <c r="K68" i="107"/>
  <c r="L68" i="107"/>
  <c r="M68" i="107"/>
  <c r="N68" i="107"/>
  <c r="AD24" i="107" s="1"/>
  <c r="D69" i="107"/>
  <c r="E69" i="107"/>
  <c r="F69" i="107"/>
  <c r="G69" i="107"/>
  <c r="W24" i="107" s="1"/>
  <c r="H69" i="107"/>
  <c r="I69" i="107"/>
  <c r="J69" i="107"/>
  <c r="K69" i="107"/>
  <c r="K69" i="111" s="1"/>
  <c r="L69" i="107"/>
  <c r="M69" i="107"/>
  <c r="N69" i="107"/>
  <c r="D70" i="107"/>
  <c r="E70" i="107"/>
  <c r="F70" i="107"/>
  <c r="G70" i="107"/>
  <c r="H70" i="107"/>
  <c r="H70" i="111" s="1"/>
  <c r="I70" i="107"/>
  <c r="J70" i="107"/>
  <c r="K70" i="107"/>
  <c r="L70" i="107"/>
  <c r="L70" i="111" s="1"/>
  <c r="M70" i="107"/>
  <c r="N70" i="107"/>
  <c r="D71" i="107"/>
  <c r="E71" i="107"/>
  <c r="F71" i="107"/>
  <c r="G71" i="107"/>
  <c r="H71" i="107"/>
  <c r="I71" i="107"/>
  <c r="I71" i="111" s="1"/>
  <c r="J71" i="107"/>
  <c r="K71" i="107"/>
  <c r="L71" i="107"/>
  <c r="M71" i="107"/>
  <c r="AC25" i="107" s="1"/>
  <c r="N71" i="107"/>
  <c r="D72" i="107"/>
  <c r="E72" i="107"/>
  <c r="F72" i="107"/>
  <c r="F72" i="111" s="1"/>
  <c r="G72" i="107"/>
  <c r="H72" i="107"/>
  <c r="I72" i="107"/>
  <c r="J72" i="107"/>
  <c r="Z25" i="107" s="1"/>
  <c r="K72" i="107"/>
  <c r="L72" i="107"/>
  <c r="M72" i="107"/>
  <c r="N72" i="107"/>
  <c r="N72" i="111" s="1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O74" i="107" s="1"/>
  <c r="E74" i="107"/>
  <c r="F74" i="107"/>
  <c r="G74" i="107"/>
  <c r="H74" i="107"/>
  <c r="H74" i="111" s="1"/>
  <c r="I74" i="107"/>
  <c r="J74" i="107"/>
  <c r="K74" i="107"/>
  <c r="L74" i="107"/>
  <c r="AB26" i="107" s="1"/>
  <c r="M74" i="107"/>
  <c r="N74" i="107"/>
  <c r="D75" i="107"/>
  <c r="E75" i="107"/>
  <c r="F75" i="107"/>
  <c r="G75" i="107"/>
  <c r="H75" i="107"/>
  <c r="I75" i="107"/>
  <c r="Y26" i="107" s="1"/>
  <c r="J75" i="107"/>
  <c r="K75" i="107"/>
  <c r="L75" i="107"/>
  <c r="M75" i="107"/>
  <c r="N75" i="107"/>
  <c r="D76" i="107"/>
  <c r="E76" i="107"/>
  <c r="F76" i="107"/>
  <c r="F76" i="111" s="1"/>
  <c r="G76" i="107"/>
  <c r="H76" i="107"/>
  <c r="I76" i="107"/>
  <c r="J76" i="107"/>
  <c r="J76" i="111" s="1"/>
  <c r="K76" i="107"/>
  <c r="L76" i="107"/>
  <c r="M76" i="107"/>
  <c r="N76" i="107"/>
  <c r="AD26" i="107" s="1"/>
  <c r="D77" i="107"/>
  <c r="E77" i="107"/>
  <c r="F77" i="107"/>
  <c r="G77" i="107"/>
  <c r="W26" i="107" s="1"/>
  <c r="H77" i="107"/>
  <c r="I77" i="107"/>
  <c r="J77" i="107"/>
  <c r="K77" i="107"/>
  <c r="K77" i="111" s="1"/>
  <c r="L77" i="107"/>
  <c r="M77" i="107"/>
  <c r="N77" i="107"/>
  <c r="D78" i="107"/>
  <c r="D78" i="111" s="1"/>
  <c r="E78" i="107"/>
  <c r="F78" i="107"/>
  <c r="G78" i="107"/>
  <c r="H78" i="107"/>
  <c r="X27" i="107" s="1"/>
  <c r="I78" i="107"/>
  <c r="J78" i="107"/>
  <c r="K78" i="107"/>
  <c r="L78" i="107"/>
  <c r="L78" i="111" s="1"/>
  <c r="M78" i="107"/>
  <c r="N78" i="107"/>
  <c r="D79" i="107"/>
  <c r="E79" i="107"/>
  <c r="F79" i="107"/>
  <c r="G79" i="107"/>
  <c r="H79" i="107"/>
  <c r="I79" i="107"/>
  <c r="I79" i="111" s="1"/>
  <c r="J79" i="107"/>
  <c r="K79" i="107"/>
  <c r="L79" i="107"/>
  <c r="M79" i="107"/>
  <c r="AC27" i="107" s="1"/>
  <c r="N79" i="107"/>
  <c r="D80" i="107"/>
  <c r="E80" i="107"/>
  <c r="F80" i="107"/>
  <c r="F80" i="111" s="1"/>
  <c r="G80" i="107"/>
  <c r="H80" i="107"/>
  <c r="I80" i="107"/>
  <c r="J80" i="107"/>
  <c r="Z27" i="107" s="1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AA27" i="107" s="1"/>
  <c r="L81" i="107"/>
  <c r="M81" i="107"/>
  <c r="N81" i="107"/>
  <c r="D82" i="107"/>
  <c r="E82" i="107"/>
  <c r="F82" i="107"/>
  <c r="G82" i="107"/>
  <c r="H82" i="107"/>
  <c r="H82" i="111" s="1"/>
  <c r="I82" i="107"/>
  <c r="J82" i="107"/>
  <c r="K82" i="107"/>
  <c r="L82" i="107"/>
  <c r="AB28" i="107" s="1"/>
  <c r="M82" i="107"/>
  <c r="N82" i="107"/>
  <c r="D83" i="107"/>
  <c r="E83" i="107"/>
  <c r="F83" i="107"/>
  <c r="G83" i="107"/>
  <c r="H83" i="107"/>
  <c r="I83" i="107"/>
  <c r="Y28" i="107" s="1"/>
  <c r="J83" i="107"/>
  <c r="K83" i="107"/>
  <c r="L83" i="107"/>
  <c r="M83" i="107"/>
  <c r="M83" i="111" s="1"/>
  <c r="N83" i="107"/>
  <c r="D84" i="107"/>
  <c r="E84" i="107"/>
  <c r="F84" i="107"/>
  <c r="F84" i="111" s="1"/>
  <c r="G84" i="107"/>
  <c r="H84" i="107"/>
  <c r="I84" i="107"/>
  <c r="J84" i="107"/>
  <c r="J84" i="111" s="1"/>
  <c r="K84" i="107"/>
  <c r="L84" i="107"/>
  <c r="M84" i="107"/>
  <c r="N84" i="107"/>
  <c r="N84" i="111" s="1"/>
  <c r="D85" i="107"/>
  <c r="E85" i="107"/>
  <c r="F85" i="107"/>
  <c r="G85" i="107"/>
  <c r="G85" i="111" s="1"/>
  <c r="H85" i="107"/>
  <c r="I85" i="107"/>
  <c r="J85" i="107"/>
  <c r="K85" i="107"/>
  <c r="K85" i="111" s="1"/>
  <c r="L85" i="107"/>
  <c r="M85" i="107"/>
  <c r="N85" i="107"/>
  <c r="D86" i="107"/>
  <c r="D86" i="111" s="1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M87" i="111" s="1"/>
  <c r="N87" i="107"/>
  <c r="D88" i="107"/>
  <c r="E88" i="107"/>
  <c r="F88" i="107"/>
  <c r="F88" i="111" s="1"/>
  <c r="G88" i="107"/>
  <c r="H88" i="107"/>
  <c r="I88" i="107"/>
  <c r="J88" i="107"/>
  <c r="Z29" i="107" s="1"/>
  <c r="K88" i="107"/>
  <c r="L88" i="107"/>
  <c r="M88" i="107"/>
  <c r="N88" i="107"/>
  <c r="D89" i="107"/>
  <c r="E89" i="107"/>
  <c r="F89" i="107"/>
  <c r="G89" i="107"/>
  <c r="G89" i="111" s="1"/>
  <c r="H89" i="107"/>
  <c r="I89" i="107"/>
  <c r="J89" i="107"/>
  <c r="K89" i="107"/>
  <c r="AA29" i="107" s="1"/>
  <c r="L89" i="107"/>
  <c r="M89" i="107"/>
  <c r="N89" i="107"/>
  <c r="D90" i="107"/>
  <c r="E90" i="107"/>
  <c r="F90" i="107"/>
  <c r="G90" i="107"/>
  <c r="H90" i="107"/>
  <c r="H90" i="111" s="1"/>
  <c r="I90" i="107"/>
  <c r="J90" i="107"/>
  <c r="K90" i="107"/>
  <c r="L90" i="107"/>
  <c r="AB30" i="107" s="1"/>
  <c r="M90" i="107"/>
  <c r="N90" i="107"/>
  <c r="D91" i="107"/>
  <c r="E91" i="107"/>
  <c r="F91" i="107"/>
  <c r="G91" i="107"/>
  <c r="H91" i="107"/>
  <c r="I91" i="107"/>
  <c r="Y30" i="107" s="1"/>
  <c r="J91" i="107"/>
  <c r="K91" i="107"/>
  <c r="L91" i="107"/>
  <c r="M91" i="107"/>
  <c r="N91" i="107"/>
  <c r="D92" i="107"/>
  <c r="E92" i="107"/>
  <c r="F92" i="107"/>
  <c r="V30" i="107" s="1"/>
  <c r="G92" i="107"/>
  <c r="H92" i="107"/>
  <c r="I92" i="107"/>
  <c r="J92" i="107"/>
  <c r="J92" i="111" s="1"/>
  <c r="K92" i="107"/>
  <c r="L92" i="107"/>
  <c r="M92" i="107"/>
  <c r="N92" i="107"/>
  <c r="N92" i="111" s="1"/>
  <c r="D93" i="107"/>
  <c r="E93" i="107"/>
  <c r="F93" i="107"/>
  <c r="G93" i="107"/>
  <c r="W30" i="107" s="1"/>
  <c r="H93" i="107"/>
  <c r="I93" i="107"/>
  <c r="J93" i="107"/>
  <c r="K93" i="107"/>
  <c r="L93" i="107"/>
  <c r="M93" i="107"/>
  <c r="N93" i="107"/>
  <c r="D94" i="107"/>
  <c r="O94" i="107" s="1"/>
  <c r="E94" i="107"/>
  <c r="F94" i="107"/>
  <c r="G94" i="107"/>
  <c r="H94" i="107"/>
  <c r="X31" i="107" s="1"/>
  <c r="I94" i="107"/>
  <c r="J94" i="107"/>
  <c r="K94" i="107"/>
  <c r="L94" i="107"/>
  <c r="M94" i="107"/>
  <c r="N94" i="107"/>
  <c r="D95" i="107"/>
  <c r="E95" i="107"/>
  <c r="U31" i="107" s="1"/>
  <c r="F95" i="107"/>
  <c r="G95" i="107"/>
  <c r="H95" i="107"/>
  <c r="I95" i="107"/>
  <c r="I95" i="111" s="1"/>
  <c r="J95" i="107"/>
  <c r="K95" i="107"/>
  <c r="L95" i="107"/>
  <c r="M95" i="107"/>
  <c r="AC31" i="107" s="1"/>
  <c r="N95" i="107"/>
  <c r="D96" i="107"/>
  <c r="E96" i="107"/>
  <c r="F96" i="107"/>
  <c r="F96" i="111" s="1"/>
  <c r="G96" i="107"/>
  <c r="H96" i="107"/>
  <c r="I96" i="107"/>
  <c r="J96" i="107"/>
  <c r="Z31" i="107" s="1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T32" i="107" s="1"/>
  <c r="E98" i="107"/>
  <c r="F98" i="107"/>
  <c r="G98" i="107"/>
  <c r="H98" i="107"/>
  <c r="H98" i="111" s="1"/>
  <c r="I98" i="107"/>
  <c r="J98" i="107"/>
  <c r="K98" i="107"/>
  <c r="L98" i="107"/>
  <c r="AB32" i="107" s="1"/>
  <c r="M98" i="107"/>
  <c r="N98" i="107"/>
  <c r="D99" i="107"/>
  <c r="E99" i="107"/>
  <c r="E99" i="111" s="1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AD32" i="107" s="1"/>
  <c r="D101" i="107"/>
  <c r="E101" i="107"/>
  <c r="F101" i="107"/>
  <c r="G101" i="107"/>
  <c r="G101" i="111" s="1"/>
  <c r="H101" i="107"/>
  <c r="I101" i="107"/>
  <c r="J101" i="107"/>
  <c r="K101" i="107"/>
  <c r="K101" i="111" s="1"/>
  <c r="L101" i="107"/>
  <c r="M101" i="107"/>
  <c r="N101" i="107"/>
  <c r="D102" i="107"/>
  <c r="E102" i="107"/>
  <c r="F102" i="107"/>
  <c r="G102" i="107"/>
  <c r="H102" i="107"/>
  <c r="X33" i="107" s="1"/>
  <c r="I102" i="107"/>
  <c r="J102" i="107"/>
  <c r="K102" i="107"/>
  <c r="L102" i="107"/>
  <c r="M102" i="107"/>
  <c r="N102" i="107"/>
  <c r="D103" i="107"/>
  <c r="E103" i="107"/>
  <c r="U33" i="107" s="1"/>
  <c r="F103" i="107"/>
  <c r="G103" i="107"/>
  <c r="H103" i="107"/>
  <c r="I103" i="107"/>
  <c r="J103" i="107"/>
  <c r="K103" i="107"/>
  <c r="L103" i="107"/>
  <c r="M103" i="107"/>
  <c r="M103" i="111" s="1"/>
  <c r="N103" i="107"/>
  <c r="D104" i="107"/>
  <c r="E104" i="107"/>
  <c r="F104" i="107"/>
  <c r="F104" i="111" s="1"/>
  <c r="G104" i="107"/>
  <c r="H104" i="107"/>
  <c r="I104" i="107"/>
  <c r="J104" i="107"/>
  <c r="Z33" i="107" s="1"/>
  <c r="K104" i="107"/>
  <c r="L104" i="107"/>
  <c r="M104" i="107"/>
  <c r="N104" i="107"/>
  <c r="N104" i="111" s="1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O63" i="107" s="1"/>
  <c r="C64" i="107"/>
  <c r="P64" i="107" s="1"/>
  <c r="C65" i="107"/>
  <c r="C66" i="107"/>
  <c r="C67" i="107"/>
  <c r="C68" i="107"/>
  <c r="P68" i="107" s="1"/>
  <c r="C69" i="107"/>
  <c r="C70" i="107"/>
  <c r="C71" i="107"/>
  <c r="C72" i="107"/>
  <c r="P72" i="107" s="1"/>
  <c r="C73" i="107"/>
  <c r="C74" i="107"/>
  <c r="C75" i="107"/>
  <c r="O75" i="107" s="1"/>
  <c r="C76" i="107"/>
  <c r="P76" i="107" s="1"/>
  <c r="C77" i="107"/>
  <c r="C78" i="107"/>
  <c r="C79" i="107"/>
  <c r="C80" i="107"/>
  <c r="P80" i="107" s="1"/>
  <c r="C81" i="107"/>
  <c r="C82" i="107"/>
  <c r="C83" i="107"/>
  <c r="O83" i="107" s="1"/>
  <c r="C84" i="107"/>
  <c r="P84" i="107" s="1"/>
  <c r="C85" i="107"/>
  <c r="C86" i="107"/>
  <c r="C87" i="107"/>
  <c r="P87" i="107" s="1"/>
  <c r="C88" i="107"/>
  <c r="P88" i="107" s="1"/>
  <c r="C89" i="107"/>
  <c r="C90" i="107"/>
  <c r="C91" i="107"/>
  <c r="C92" i="107"/>
  <c r="P92" i="107" s="1"/>
  <c r="C93" i="107"/>
  <c r="C94" i="107"/>
  <c r="C95" i="107"/>
  <c r="O95" i="107" s="1"/>
  <c r="C96" i="107"/>
  <c r="P96" i="107" s="1"/>
  <c r="C97" i="107"/>
  <c r="C98" i="107"/>
  <c r="C99" i="107"/>
  <c r="C99" i="111" s="1"/>
  <c r="C100" i="107"/>
  <c r="P100" i="107" s="1"/>
  <c r="C101" i="107"/>
  <c r="C102" i="107"/>
  <c r="C103" i="107"/>
  <c r="C103" i="111" s="1"/>
  <c r="C104" i="107"/>
  <c r="P104" i="107" s="1"/>
  <c r="C105" i="107"/>
  <c r="C58" i="107"/>
  <c r="AC33" i="108"/>
  <c r="Z33" i="108"/>
  <c r="U33" i="108"/>
  <c r="AD32" i="108"/>
  <c r="AC32" i="108"/>
  <c r="Y32" i="108"/>
  <c r="W32" i="108"/>
  <c r="V32" i="108"/>
  <c r="T32" i="108"/>
  <c r="AC31" i="108"/>
  <c r="AA31" i="108"/>
  <c r="X31" i="108"/>
  <c r="U31" i="108"/>
  <c r="AD30" i="108"/>
  <c r="AB30" i="108"/>
  <c r="Y30" i="108"/>
  <c r="V30" i="108"/>
  <c r="T30" i="108"/>
  <c r="AC29" i="108"/>
  <c r="AA29" i="108"/>
  <c r="Z29" i="108"/>
  <c r="X29" i="108"/>
  <c r="T29" i="108"/>
  <c r="S29" i="108"/>
  <c r="AD28" i="108"/>
  <c r="AB28" i="108"/>
  <c r="Z28" i="108"/>
  <c r="W28" i="108"/>
  <c r="V28" i="108"/>
  <c r="T28" i="108"/>
  <c r="AA27" i="108"/>
  <c r="Z27" i="108"/>
  <c r="X27" i="108"/>
  <c r="U27" i="108"/>
  <c r="AB26" i="108"/>
  <c r="Y26" i="108"/>
  <c r="W26" i="108"/>
  <c r="T26" i="108"/>
  <c r="AC25" i="108"/>
  <c r="Z25" i="108"/>
  <c r="Y25" i="108"/>
  <c r="X25" i="108"/>
  <c r="S25" i="108"/>
  <c r="AB24" i="108"/>
  <c r="Y24" i="108"/>
  <c r="W24" i="108"/>
  <c r="T24" i="108"/>
  <c r="AC23" i="108"/>
  <c r="AA23" i="108"/>
  <c r="Z23" i="108"/>
  <c r="X23" i="108"/>
  <c r="T23" i="108"/>
  <c r="AB22" i="108"/>
  <c r="Y22" i="108"/>
  <c r="W22" i="108"/>
  <c r="T22" i="108"/>
  <c r="S22" i="108"/>
  <c r="AC33" i="107"/>
  <c r="AA33" i="107"/>
  <c r="Y32" i="107"/>
  <c r="V32" i="107"/>
  <c r="AD30" i="107"/>
  <c r="X29" i="107"/>
  <c r="U29" i="107"/>
  <c r="W28" i="107"/>
  <c r="V28" i="107"/>
  <c r="S27" i="107"/>
  <c r="V26" i="107"/>
  <c r="T26" i="107"/>
  <c r="S25" i="107"/>
  <c r="V24" i="107"/>
  <c r="U24" i="107"/>
  <c r="U23" i="107"/>
  <c r="S23" i="107"/>
  <c r="W22" i="107"/>
  <c r="V22" i="107"/>
  <c r="E58" i="111"/>
  <c r="F58" i="111"/>
  <c r="G58" i="111"/>
  <c r="I58" i="111"/>
  <c r="J58" i="111"/>
  <c r="M58" i="111"/>
  <c r="N58" i="111"/>
  <c r="D59" i="111"/>
  <c r="F59" i="111"/>
  <c r="G59" i="111"/>
  <c r="J59" i="111"/>
  <c r="K59" i="111"/>
  <c r="L59" i="111"/>
  <c r="N59" i="111"/>
  <c r="D60" i="111"/>
  <c r="G60" i="111"/>
  <c r="H60" i="111"/>
  <c r="I60" i="111"/>
  <c r="K60" i="111"/>
  <c r="L60" i="111"/>
  <c r="D61" i="111"/>
  <c r="E61" i="111"/>
  <c r="F61" i="111"/>
  <c r="H61" i="111"/>
  <c r="I61" i="111"/>
  <c r="L61" i="111"/>
  <c r="M61" i="111"/>
  <c r="N61" i="111"/>
  <c r="E62" i="111"/>
  <c r="F62" i="111"/>
  <c r="I62" i="111"/>
  <c r="J62" i="111"/>
  <c r="K62" i="111"/>
  <c r="M62" i="111"/>
  <c r="N62" i="111"/>
  <c r="F63" i="111"/>
  <c r="G63" i="111"/>
  <c r="H63" i="111"/>
  <c r="J63" i="111"/>
  <c r="K63" i="111"/>
  <c r="N63" i="111"/>
  <c r="D64" i="111"/>
  <c r="E64" i="111"/>
  <c r="G64" i="111"/>
  <c r="H64" i="111"/>
  <c r="K64" i="111"/>
  <c r="L64" i="111"/>
  <c r="M64" i="111"/>
  <c r="D65" i="111"/>
  <c r="E65" i="111"/>
  <c r="H65" i="111"/>
  <c r="I65" i="111"/>
  <c r="J65" i="111"/>
  <c r="L65" i="111"/>
  <c r="M65" i="111"/>
  <c r="E66" i="111"/>
  <c r="F66" i="111"/>
  <c r="G66" i="111"/>
  <c r="I66" i="111"/>
  <c r="J66" i="111"/>
  <c r="M66" i="111"/>
  <c r="N66" i="111"/>
  <c r="D67" i="111"/>
  <c r="F67" i="111"/>
  <c r="G67" i="111"/>
  <c r="J67" i="111"/>
  <c r="K67" i="111"/>
  <c r="L67" i="111"/>
  <c r="N67" i="111"/>
  <c r="D68" i="111"/>
  <c r="G68" i="111"/>
  <c r="H68" i="111"/>
  <c r="I68" i="111"/>
  <c r="K68" i="111"/>
  <c r="L68" i="111"/>
  <c r="D69" i="111"/>
  <c r="E69" i="111"/>
  <c r="F69" i="111"/>
  <c r="H69" i="111"/>
  <c r="I69" i="111"/>
  <c r="L69" i="111"/>
  <c r="M69" i="111"/>
  <c r="N69" i="111"/>
  <c r="E70" i="111"/>
  <c r="F70" i="111"/>
  <c r="I70" i="111"/>
  <c r="J70" i="111"/>
  <c r="K70" i="111"/>
  <c r="M70" i="111"/>
  <c r="N70" i="111"/>
  <c r="F71" i="111"/>
  <c r="G71" i="111"/>
  <c r="H71" i="111"/>
  <c r="J71" i="111"/>
  <c r="K71" i="111"/>
  <c r="N71" i="111"/>
  <c r="D72" i="111"/>
  <c r="E72" i="111"/>
  <c r="G72" i="111"/>
  <c r="H72" i="111"/>
  <c r="K72" i="111"/>
  <c r="L72" i="111"/>
  <c r="M72" i="111"/>
  <c r="D73" i="111"/>
  <c r="E73" i="111"/>
  <c r="H73" i="111"/>
  <c r="I73" i="111"/>
  <c r="J73" i="111"/>
  <c r="L73" i="111"/>
  <c r="M73" i="111"/>
  <c r="E74" i="111"/>
  <c r="F74" i="111"/>
  <c r="V26" i="111" s="1"/>
  <c r="G74" i="111"/>
  <c r="I74" i="11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G76" i="111"/>
  <c r="H76" i="111"/>
  <c r="I76" i="111"/>
  <c r="K76" i="111"/>
  <c r="L76" i="111"/>
  <c r="N76" i="111"/>
  <c r="D77" i="111"/>
  <c r="E77" i="111"/>
  <c r="F77" i="111"/>
  <c r="G77" i="111"/>
  <c r="H77" i="111"/>
  <c r="I77" i="111"/>
  <c r="L77" i="111"/>
  <c r="M77" i="111"/>
  <c r="N77" i="111"/>
  <c r="E78" i="111"/>
  <c r="F78" i="111"/>
  <c r="I78" i="111"/>
  <c r="J78" i="111"/>
  <c r="K78" i="111"/>
  <c r="M78" i="111"/>
  <c r="N78" i="111"/>
  <c r="F79" i="111"/>
  <c r="G79" i="111"/>
  <c r="H79" i="111"/>
  <c r="J79" i="111"/>
  <c r="K79" i="111"/>
  <c r="N79" i="111"/>
  <c r="D80" i="111"/>
  <c r="E80" i="111"/>
  <c r="G80" i="111"/>
  <c r="H80" i="111"/>
  <c r="J80" i="111"/>
  <c r="K80" i="11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E82" i="111"/>
  <c r="F82" i="111"/>
  <c r="G82" i="111"/>
  <c r="I82" i="111"/>
  <c r="J82" i="111"/>
  <c r="L82" i="111"/>
  <c r="M82" i="111"/>
  <c r="N82" i="111"/>
  <c r="D83" i="111"/>
  <c r="E83" i="111"/>
  <c r="F83" i="111"/>
  <c r="G83" i="111"/>
  <c r="J83" i="111"/>
  <c r="K83" i="111"/>
  <c r="L83" i="111"/>
  <c r="N83" i="111"/>
  <c r="D84" i="111"/>
  <c r="G84" i="111"/>
  <c r="H84" i="111"/>
  <c r="I84" i="111"/>
  <c r="K84" i="111"/>
  <c r="L84" i="111"/>
  <c r="D85" i="111"/>
  <c r="E85" i="111"/>
  <c r="F85" i="111"/>
  <c r="H85" i="111"/>
  <c r="I85" i="111"/>
  <c r="L85" i="111"/>
  <c r="M85" i="111"/>
  <c r="N85" i="111"/>
  <c r="E86" i="111"/>
  <c r="F86" i="111"/>
  <c r="H86" i="111"/>
  <c r="I86" i="111"/>
  <c r="J86" i="111"/>
  <c r="K86" i="111"/>
  <c r="L86" i="111"/>
  <c r="M86" i="111"/>
  <c r="N86" i="111"/>
  <c r="E87" i="111"/>
  <c r="F87" i="111"/>
  <c r="G87" i="111"/>
  <c r="H87" i="111"/>
  <c r="I87" i="111"/>
  <c r="J87" i="111"/>
  <c r="K87" i="111"/>
  <c r="N87" i="111"/>
  <c r="D88" i="111"/>
  <c r="E88" i="111"/>
  <c r="G88" i="111"/>
  <c r="H88" i="111"/>
  <c r="J88" i="111"/>
  <c r="K88" i="111"/>
  <c r="L88" i="111"/>
  <c r="M88" i="111"/>
  <c r="N88" i="111"/>
  <c r="D89" i="111"/>
  <c r="E89" i="111"/>
  <c r="H89" i="111"/>
  <c r="I89" i="111"/>
  <c r="J89" i="111"/>
  <c r="L89" i="111"/>
  <c r="M89" i="111"/>
  <c r="E90" i="111"/>
  <c r="F90" i="111"/>
  <c r="G90" i="111"/>
  <c r="I90" i="111"/>
  <c r="J90" i="111"/>
  <c r="L90" i="111"/>
  <c r="M90" i="111"/>
  <c r="N90" i="111"/>
  <c r="D91" i="111"/>
  <c r="E91" i="111"/>
  <c r="F91" i="111"/>
  <c r="G91" i="111"/>
  <c r="I91" i="111"/>
  <c r="J91" i="111"/>
  <c r="K91" i="111"/>
  <c r="L91" i="111"/>
  <c r="M91" i="111"/>
  <c r="N91" i="111"/>
  <c r="D92" i="111"/>
  <c r="G92" i="111"/>
  <c r="H92" i="111"/>
  <c r="I92" i="111"/>
  <c r="K92" i="111"/>
  <c r="L92" i="111"/>
  <c r="D93" i="111"/>
  <c r="E93" i="111"/>
  <c r="F93" i="111"/>
  <c r="H93" i="111"/>
  <c r="I93" i="111"/>
  <c r="K93" i="111"/>
  <c r="L93" i="111"/>
  <c r="M93" i="111"/>
  <c r="N93" i="111"/>
  <c r="D94" i="111"/>
  <c r="E94" i="111"/>
  <c r="F94" i="111"/>
  <c r="H94" i="111"/>
  <c r="I94" i="111"/>
  <c r="J94" i="111"/>
  <c r="K94" i="111"/>
  <c r="L94" i="111"/>
  <c r="M94" i="111"/>
  <c r="N94" i="111"/>
  <c r="F95" i="111"/>
  <c r="G95" i="111"/>
  <c r="H95" i="111"/>
  <c r="J95" i="111"/>
  <c r="K95" i="111"/>
  <c r="N95" i="111"/>
  <c r="D96" i="111"/>
  <c r="E96" i="111"/>
  <c r="G96" i="111"/>
  <c r="H96" i="111"/>
  <c r="J96" i="111"/>
  <c r="K96" i="111"/>
  <c r="L96" i="111"/>
  <c r="M96" i="111"/>
  <c r="N96" i="111"/>
  <c r="D97" i="111"/>
  <c r="E97" i="111"/>
  <c r="G97" i="111"/>
  <c r="H97" i="111"/>
  <c r="I97" i="111"/>
  <c r="J97" i="111"/>
  <c r="K97" i="111"/>
  <c r="L97" i="111"/>
  <c r="M97" i="111"/>
  <c r="E98" i="111"/>
  <c r="F98" i="111"/>
  <c r="G98" i="111"/>
  <c r="I98" i="111"/>
  <c r="J98" i="111"/>
  <c r="M98" i="111"/>
  <c r="N98" i="111"/>
  <c r="D99" i="111"/>
  <c r="F99" i="111"/>
  <c r="G99" i="111"/>
  <c r="I99" i="111"/>
  <c r="J99" i="111"/>
  <c r="K99" i="111"/>
  <c r="L99" i="111"/>
  <c r="M99" i="111"/>
  <c r="N99" i="111"/>
  <c r="D100" i="111"/>
  <c r="F100" i="111"/>
  <c r="G100" i="111"/>
  <c r="H100" i="111"/>
  <c r="I100" i="111"/>
  <c r="J100" i="111"/>
  <c r="K100" i="111"/>
  <c r="L100" i="111"/>
  <c r="D101" i="111"/>
  <c r="E101" i="111"/>
  <c r="F101" i="111"/>
  <c r="H101" i="111"/>
  <c r="I101" i="111"/>
  <c r="L101" i="111"/>
  <c r="M101" i="111"/>
  <c r="N101" i="111"/>
  <c r="E102" i="111"/>
  <c r="F102" i="111"/>
  <c r="H102" i="111"/>
  <c r="I102" i="111"/>
  <c r="J102" i="111"/>
  <c r="K102" i="111"/>
  <c r="L102" i="111"/>
  <c r="M102" i="111"/>
  <c r="N102" i="111"/>
  <c r="E103" i="111"/>
  <c r="F103" i="111"/>
  <c r="G103" i="111"/>
  <c r="H103" i="111"/>
  <c r="I103" i="111"/>
  <c r="J103" i="111"/>
  <c r="K103" i="111"/>
  <c r="N103" i="111"/>
  <c r="D104" i="111"/>
  <c r="E104" i="111"/>
  <c r="G104" i="111"/>
  <c r="H104" i="111"/>
  <c r="K104" i="111"/>
  <c r="L104" i="111"/>
  <c r="M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C64" i="111"/>
  <c r="C65" i="111"/>
  <c r="C68" i="111"/>
  <c r="C69" i="111"/>
  <c r="C70" i="111"/>
  <c r="C72" i="111"/>
  <c r="C73" i="111"/>
  <c r="C76" i="111"/>
  <c r="C77" i="111"/>
  <c r="C78" i="111"/>
  <c r="C80" i="111"/>
  <c r="C81" i="111"/>
  <c r="C83" i="111"/>
  <c r="C84" i="111"/>
  <c r="C85" i="111"/>
  <c r="C86" i="111"/>
  <c r="C87" i="111"/>
  <c r="C88" i="111"/>
  <c r="C89" i="111"/>
  <c r="C91" i="111"/>
  <c r="C92" i="111"/>
  <c r="C93" i="111"/>
  <c r="C94" i="111"/>
  <c r="C95" i="111"/>
  <c r="C96" i="111"/>
  <c r="C97" i="111"/>
  <c r="C100" i="111"/>
  <c r="C101" i="111"/>
  <c r="C102" i="111"/>
  <c r="C104" i="111"/>
  <c r="C105" i="111"/>
  <c r="C58" i="111"/>
  <c r="AE24" i="107" l="1"/>
  <c r="O79" i="107"/>
  <c r="P79" i="107"/>
  <c r="O71" i="107"/>
  <c r="P71" i="107"/>
  <c r="O67" i="107"/>
  <c r="P67" i="107"/>
  <c r="O59" i="107"/>
  <c r="S22" i="107"/>
  <c r="O102" i="107"/>
  <c r="T30" i="107"/>
  <c r="P90" i="107"/>
  <c r="O90" i="107"/>
  <c r="T28" i="107"/>
  <c r="P82" i="107"/>
  <c r="O82" i="107"/>
  <c r="D82" i="111"/>
  <c r="U27" i="107"/>
  <c r="E79" i="111"/>
  <c r="U27" i="111" s="1"/>
  <c r="W25" i="107"/>
  <c r="G73" i="111"/>
  <c r="Y24" i="107"/>
  <c r="I67" i="111"/>
  <c r="Y24" i="111" s="1"/>
  <c r="Z23" i="107"/>
  <c r="J64" i="111"/>
  <c r="O85" i="107"/>
  <c r="P95" i="107"/>
  <c r="S31" i="111"/>
  <c r="C71" i="111"/>
  <c r="C67" i="111"/>
  <c r="N100" i="111"/>
  <c r="AD32" i="111" s="1"/>
  <c r="D98" i="111"/>
  <c r="T32" i="111" s="1"/>
  <c r="E95" i="111"/>
  <c r="F92" i="111"/>
  <c r="O92" i="111" s="1"/>
  <c r="K89" i="111"/>
  <c r="I83" i="111"/>
  <c r="M71" i="111"/>
  <c r="AC25" i="111" s="1"/>
  <c r="G69" i="111"/>
  <c r="P69" i="111" s="1"/>
  <c r="N68" i="111"/>
  <c r="D66" i="111"/>
  <c r="T24" i="111" s="1"/>
  <c r="Z23" i="111"/>
  <c r="F60" i="111"/>
  <c r="AB22" i="107"/>
  <c r="AA23" i="107"/>
  <c r="AB24" i="107"/>
  <c r="X25" i="107"/>
  <c r="Z26" i="107"/>
  <c r="AD28" i="107"/>
  <c r="AC29" i="107"/>
  <c r="O98" i="107"/>
  <c r="AE32" i="107" s="1"/>
  <c r="O77" i="107"/>
  <c r="P66" i="107"/>
  <c r="AA29" i="111"/>
  <c r="O103" i="107"/>
  <c r="P103" i="107"/>
  <c r="O99" i="107"/>
  <c r="P99" i="107"/>
  <c r="AF32" i="107" s="1"/>
  <c r="O91" i="107"/>
  <c r="P91" i="107"/>
  <c r="O87" i="107"/>
  <c r="S29" i="107"/>
  <c r="O78" i="107"/>
  <c r="AA25" i="107"/>
  <c r="K73" i="111"/>
  <c r="AA25" i="111" s="1"/>
  <c r="E71" i="111"/>
  <c r="U25" i="111" s="1"/>
  <c r="U25" i="107"/>
  <c r="O70" i="107"/>
  <c r="H62" i="111"/>
  <c r="X23" i="107"/>
  <c r="Y22" i="107"/>
  <c r="I59" i="111"/>
  <c r="O58" i="107"/>
  <c r="AE22" i="107" s="1"/>
  <c r="T22" i="107"/>
  <c r="O62" i="107"/>
  <c r="P74" i="107"/>
  <c r="S22" i="111"/>
  <c r="C79" i="111"/>
  <c r="S27" i="111" s="1"/>
  <c r="C75" i="111"/>
  <c r="J104" i="111"/>
  <c r="D102" i="111"/>
  <c r="AB32" i="111"/>
  <c r="L98" i="111"/>
  <c r="W32" i="111"/>
  <c r="M95" i="111"/>
  <c r="AC31" i="111" s="1"/>
  <c r="U31" i="111"/>
  <c r="G93" i="111"/>
  <c r="D90" i="111"/>
  <c r="T30" i="111" s="1"/>
  <c r="U29" i="111"/>
  <c r="AC29" i="111"/>
  <c r="Y28" i="111"/>
  <c r="M79" i="111"/>
  <c r="H78" i="111"/>
  <c r="X27" i="111" s="1"/>
  <c r="D74" i="111"/>
  <c r="T26" i="111" s="1"/>
  <c r="J72" i="111"/>
  <c r="D70" i="111"/>
  <c r="M63" i="111"/>
  <c r="AC23" i="111" s="1"/>
  <c r="N60" i="111"/>
  <c r="AD22" i="111" s="1"/>
  <c r="H58" i="111"/>
  <c r="D58" i="111"/>
  <c r="AC24" i="107"/>
  <c r="S33" i="107"/>
  <c r="O93" i="107"/>
  <c r="O61" i="107"/>
  <c r="P59" i="107"/>
  <c r="P83" i="107"/>
  <c r="P63" i="107"/>
  <c r="AD26" i="111"/>
  <c r="P58" i="107"/>
  <c r="AF22" i="107" s="1"/>
  <c r="P102" i="107"/>
  <c r="P86" i="107"/>
  <c r="P78" i="107"/>
  <c r="P70" i="107"/>
  <c r="P102" i="108"/>
  <c r="AF33" i="108" s="1"/>
  <c r="O102" i="108"/>
  <c r="S32" i="108"/>
  <c r="P98" i="108"/>
  <c r="O98" i="108"/>
  <c r="AE32" i="108" s="1"/>
  <c r="P94" i="108"/>
  <c r="O94" i="108"/>
  <c r="S30" i="108"/>
  <c r="P90" i="108"/>
  <c r="AF30" i="108" s="1"/>
  <c r="O90" i="108"/>
  <c r="P86" i="108"/>
  <c r="O86" i="108"/>
  <c r="S28" i="108"/>
  <c r="P82" i="108"/>
  <c r="AF28" i="108" s="1"/>
  <c r="O82" i="108"/>
  <c r="P78" i="108"/>
  <c r="AF27" i="108" s="1"/>
  <c r="O78" i="108"/>
  <c r="S26" i="108"/>
  <c r="P74" i="108"/>
  <c r="O74" i="108"/>
  <c r="P70" i="108"/>
  <c r="AF25" i="108" s="1"/>
  <c r="O70" i="108"/>
  <c r="S24" i="108"/>
  <c r="P66" i="108"/>
  <c r="AF24" i="108" s="1"/>
  <c r="O66" i="108"/>
  <c r="AE24" i="108" s="1"/>
  <c r="P62" i="108"/>
  <c r="O62" i="108"/>
  <c r="AE29" i="108"/>
  <c r="O105" i="108"/>
  <c r="AF29" i="108"/>
  <c r="P105" i="107"/>
  <c r="O105" i="107"/>
  <c r="P101" i="107"/>
  <c r="P97" i="107"/>
  <c r="O97" i="107"/>
  <c r="P93" i="107"/>
  <c r="P89" i="107"/>
  <c r="O89" i="107"/>
  <c r="P85" i="107"/>
  <c r="P81" i="107"/>
  <c r="O81" i="107"/>
  <c r="P77" i="107"/>
  <c r="P73" i="107"/>
  <c r="O73" i="107"/>
  <c r="P69" i="107"/>
  <c r="P65" i="107"/>
  <c r="O65" i="107"/>
  <c r="P61" i="107"/>
  <c r="O104" i="107"/>
  <c r="O100" i="107"/>
  <c r="O96" i="107"/>
  <c r="AE31" i="107" s="1"/>
  <c r="O92" i="107"/>
  <c r="O88" i="107"/>
  <c r="O84" i="107"/>
  <c r="O80" i="107"/>
  <c r="O76" i="107"/>
  <c r="AE26" i="107" s="1"/>
  <c r="O72" i="107"/>
  <c r="O68" i="107"/>
  <c r="O64" i="107"/>
  <c r="O60" i="107"/>
  <c r="O101" i="107"/>
  <c r="O69" i="107"/>
  <c r="P101" i="108"/>
  <c r="S31" i="107"/>
  <c r="P62" i="107"/>
  <c r="AF23" i="107" s="1"/>
  <c r="AD33" i="107"/>
  <c r="V33" i="107"/>
  <c r="Y33" i="107"/>
  <c r="AB33" i="107"/>
  <c r="W32" i="107"/>
  <c r="AA31" i="107"/>
  <c r="P94" i="107"/>
  <c r="P103" i="108"/>
  <c r="O103" i="108"/>
  <c r="S31" i="108"/>
  <c r="P91" i="108"/>
  <c r="O91" i="108"/>
  <c r="P87" i="108"/>
  <c r="O87" i="108"/>
  <c r="S27" i="108"/>
  <c r="P75" i="108"/>
  <c r="O75" i="108"/>
  <c r="P71" i="108"/>
  <c r="O71" i="108"/>
  <c r="AE25" i="108" s="1"/>
  <c r="S23" i="108"/>
  <c r="P59" i="108"/>
  <c r="O59" i="108"/>
  <c r="AA33" i="108"/>
  <c r="AB32" i="108"/>
  <c r="Z31" i="108"/>
  <c r="P92" i="108"/>
  <c r="O92" i="108"/>
  <c r="W30" i="108"/>
  <c r="AB29" i="108"/>
  <c r="W27" i="108"/>
  <c r="P76" i="108"/>
  <c r="O76" i="108"/>
  <c r="AD26" i="108"/>
  <c r="V26" i="108"/>
  <c r="AA25" i="108"/>
  <c r="AD24" i="108"/>
  <c r="V24" i="108"/>
  <c r="AB23" i="108"/>
  <c r="P60" i="108"/>
  <c r="O60" i="108"/>
  <c r="V22" i="108"/>
  <c r="O79" i="108"/>
  <c r="P95" i="108"/>
  <c r="AF31" i="108" s="1"/>
  <c r="P63" i="108"/>
  <c r="AC27" i="108"/>
  <c r="U25" i="108"/>
  <c r="U23" i="108"/>
  <c r="O97" i="108"/>
  <c r="AE31" i="108" s="1"/>
  <c r="O81" i="108"/>
  <c r="O65" i="108"/>
  <c r="P58" i="108"/>
  <c r="AF22" i="108" s="1"/>
  <c r="O58" i="108"/>
  <c r="AE22" i="108" s="1"/>
  <c r="AD33" i="108"/>
  <c r="V33" i="108"/>
  <c r="Y33" i="108"/>
  <c r="AB33" i="108"/>
  <c r="O101" i="108"/>
  <c r="O96" i="108"/>
  <c r="O85" i="108"/>
  <c r="O80" i="108"/>
  <c r="O69" i="108"/>
  <c r="O64" i="108"/>
  <c r="T33" i="108"/>
  <c r="W33" i="108"/>
  <c r="Z32" i="108"/>
  <c r="X32" i="108"/>
  <c r="AA32" i="108"/>
  <c r="AD31" i="108"/>
  <c r="V31" i="108"/>
  <c r="Y31" i="108"/>
  <c r="AB31" i="108"/>
  <c r="T31" i="108"/>
  <c r="W31" i="108"/>
  <c r="Z30" i="108"/>
  <c r="AC30" i="108"/>
  <c r="U30" i="108"/>
  <c r="X30" i="108"/>
  <c r="AA30" i="108"/>
  <c r="AD29" i="108"/>
  <c r="V29" i="108"/>
  <c r="Y29" i="108"/>
  <c r="W29" i="108"/>
  <c r="AC28" i="108"/>
  <c r="U28" i="108"/>
  <c r="X28" i="108"/>
  <c r="AA28" i="108"/>
  <c r="AD27" i="108"/>
  <c r="V27" i="108"/>
  <c r="Y27" i="108"/>
  <c r="AB27" i="108"/>
  <c r="T27" i="108"/>
  <c r="Z26" i="108"/>
  <c r="AC26" i="108"/>
  <c r="U26" i="108"/>
  <c r="X26" i="108"/>
  <c r="AA26" i="108"/>
  <c r="AD25" i="108"/>
  <c r="V25" i="108"/>
  <c r="AB25" i="108"/>
  <c r="T25" i="108"/>
  <c r="W25" i="108"/>
  <c r="Z24" i="108"/>
  <c r="AC24" i="108"/>
  <c r="U24" i="108"/>
  <c r="X24" i="108"/>
  <c r="AA24" i="108"/>
  <c r="AD23" i="108"/>
  <c r="V23" i="108"/>
  <c r="Y23" i="108"/>
  <c r="W23" i="108"/>
  <c r="Z22" i="108"/>
  <c r="AC22" i="108"/>
  <c r="U22" i="108"/>
  <c r="X22" i="108"/>
  <c r="AA22" i="108"/>
  <c r="V32" i="111"/>
  <c r="Z29" i="111"/>
  <c r="N97" i="111"/>
  <c r="AD31" i="111" s="1"/>
  <c r="F97" i="111"/>
  <c r="V31" i="111" s="1"/>
  <c r="I88" i="111"/>
  <c r="P88" i="111" s="1"/>
  <c r="L79" i="111"/>
  <c r="D79" i="111"/>
  <c r="J77" i="111"/>
  <c r="Z26" i="111" s="1"/>
  <c r="G70" i="111"/>
  <c r="W25" i="111" s="1"/>
  <c r="M68" i="111"/>
  <c r="E68" i="111"/>
  <c r="U24" i="111" s="1"/>
  <c r="H59" i="111"/>
  <c r="O59" i="111" s="1"/>
  <c r="V22" i="111"/>
  <c r="AA31" i="111"/>
  <c r="Y30" i="111"/>
  <c r="V28" i="111"/>
  <c r="AA27" i="111"/>
  <c r="T27" i="111"/>
  <c r="Z25" i="111"/>
  <c r="O97" i="111"/>
  <c r="Z31" i="111"/>
  <c r="AD28" i="111"/>
  <c r="AB24" i="111"/>
  <c r="O70" i="111"/>
  <c r="T28" i="111"/>
  <c r="X25" i="111"/>
  <c r="V24" i="111"/>
  <c r="AB22" i="111"/>
  <c r="Z27" i="111"/>
  <c r="AD24" i="111"/>
  <c r="O68" i="111"/>
  <c r="AD30" i="111"/>
  <c r="AC24" i="111"/>
  <c r="S33" i="108"/>
  <c r="C98" i="111"/>
  <c r="S32" i="111" s="1"/>
  <c r="C90" i="111"/>
  <c r="S30" i="111" s="1"/>
  <c r="C82" i="111"/>
  <c r="C74" i="111"/>
  <c r="S26" i="111" s="1"/>
  <c r="C66" i="111"/>
  <c r="O66" i="111" s="1"/>
  <c r="S23" i="111"/>
  <c r="G102" i="111"/>
  <c r="W33" i="111" s="1"/>
  <c r="W33" i="107"/>
  <c r="K98" i="111"/>
  <c r="AA32" i="111" s="1"/>
  <c r="AA32" i="107"/>
  <c r="I96" i="111"/>
  <c r="O96" i="111" s="1"/>
  <c r="Y31" i="107"/>
  <c r="L95" i="111"/>
  <c r="O95" i="111" s="1"/>
  <c r="AB31" i="107"/>
  <c r="D95" i="111"/>
  <c r="T31" i="107"/>
  <c r="G94" i="111"/>
  <c r="W31" i="111" s="1"/>
  <c r="W31" i="107"/>
  <c r="J93" i="111"/>
  <c r="Z30" i="111" s="1"/>
  <c r="Z30" i="107"/>
  <c r="M92" i="111"/>
  <c r="AC30" i="111" s="1"/>
  <c r="AC30" i="107"/>
  <c r="E92" i="111"/>
  <c r="U30" i="107"/>
  <c r="H91" i="111"/>
  <c r="O91" i="111" s="1"/>
  <c r="X30" i="107"/>
  <c r="AA30" i="107"/>
  <c r="K90" i="111"/>
  <c r="AA30" i="111" s="1"/>
  <c r="N89" i="111"/>
  <c r="P89" i="111" s="1"/>
  <c r="AD29" i="107"/>
  <c r="F89" i="111"/>
  <c r="V29" i="107"/>
  <c r="L87" i="111"/>
  <c r="AB29" i="111" s="1"/>
  <c r="AB29" i="107"/>
  <c r="D87" i="111"/>
  <c r="T29" i="107"/>
  <c r="G86" i="111"/>
  <c r="W29" i="111" s="1"/>
  <c r="W29" i="107"/>
  <c r="J85" i="111"/>
  <c r="Z28" i="107"/>
  <c r="M84" i="111"/>
  <c r="AC28" i="111" s="1"/>
  <c r="AC28" i="107"/>
  <c r="E84" i="111"/>
  <c r="U28" i="111" s="1"/>
  <c r="U28" i="107"/>
  <c r="H83" i="111"/>
  <c r="X28" i="111" s="1"/>
  <c r="X28" i="107"/>
  <c r="K82" i="111"/>
  <c r="AA28" i="111" s="1"/>
  <c r="AA28" i="107"/>
  <c r="N81" i="111"/>
  <c r="AD27" i="111" s="1"/>
  <c r="AD27" i="107"/>
  <c r="F81" i="111"/>
  <c r="V27" i="107"/>
  <c r="I80" i="111"/>
  <c r="P80" i="111" s="1"/>
  <c r="Y27" i="107"/>
  <c r="G78" i="111"/>
  <c r="W27" i="111" s="1"/>
  <c r="W27" i="107"/>
  <c r="M76" i="111"/>
  <c r="AC26" i="107"/>
  <c r="E76" i="111"/>
  <c r="U26" i="111" s="1"/>
  <c r="U26" i="107"/>
  <c r="H75" i="111"/>
  <c r="P75" i="111" s="1"/>
  <c r="X26" i="107"/>
  <c r="K74" i="111"/>
  <c r="AA26" i="111" s="1"/>
  <c r="AA26" i="107"/>
  <c r="AD25" i="107"/>
  <c r="N73" i="111"/>
  <c r="V25" i="107"/>
  <c r="F73" i="111"/>
  <c r="V25" i="111" s="1"/>
  <c r="I72" i="111"/>
  <c r="Y25" i="111" s="1"/>
  <c r="Y25" i="107"/>
  <c r="L71" i="111"/>
  <c r="AB25" i="111" s="1"/>
  <c r="AB25" i="107"/>
  <c r="D71" i="111"/>
  <c r="P71" i="111" s="1"/>
  <c r="T25" i="107"/>
  <c r="J69" i="111"/>
  <c r="Z24" i="107"/>
  <c r="H67" i="111"/>
  <c r="X24" i="111" s="1"/>
  <c r="X24" i="107"/>
  <c r="K66" i="111"/>
  <c r="AA24" i="111" s="1"/>
  <c r="AA24" i="107"/>
  <c r="N65" i="111"/>
  <c r="AD23" i="107"/>
  <c r="F65" i="111"/>
  <c r="V23" i="111" s="1"/>
  <c r="V23" i="107"/>
  <c r="Y23" i="107"/>
  <c r="I64" i="111"/>
  <c r="O64" i="111" s="1"/>
  <c r="L63" i="111"/>
  <c r="AB23" i="107"/>
  <c r="D63" i="111"/>
  <c r="P63" i="111" s="1"/>
  <c r="T23" i="107"/>
  <c r="G62" i="111"/>
  <c r="W23" i="111" s="1"/>
  <c r="W23" i="107"/>
  <c r="J61" i="111"/>
  <c r="Z22" i="111" s="1"/>
  <c r="Z22" i="107"/>
  <c r="M60" i="111"/>
  <c r="AC22" i="107"/>
  <c r="E60" i="111"/>
  <c r="U22" i="111" s="1"/>
  <c r="U22" i="107"/>
  <c r="K58" i="111"/>
  <c r="AA22" i="111" s="1"/>
  <c r="AA22" i="107"/>
  <c r="X33" i="111"/>
  <c r="T31" i="111"/>
  <c r="AB30" i="111"/>
  <c r="V27" i="111"/>
  <c r="Y23" i="111"/>
  <c r="W22" i="111"/>
  <c r="E100" i="111"/>
  <c r="U32" i="111" s="1"/>
  <c r="U32" i="107"/>
  <c r="O77" i="111"/>
  <c r="Y29" i="111"/>
  <c r="W28" i="111"/>
  <c r="X23" i="111"/>
  <c r="Y29" i="107"/>
  <c r="V31" i="107"/>
  <c r="O80" i="111"/>
  <c r="X32" i="107"/>
  <c r="H99" i="111"/>
  <c r="X32" i="111" s="1"/>
  <c r="N105" i="111"/>
  <c r="AD33" i="111" s="1"/>
  <c r="I104" i="111"/>
  <c r="Y33" i="111" s="1"/>
  <c r="O88" i="111"/>
  <c r="X29" i="111"/>
  <c r="AC27" i="111"/>
  <c r="AB26" i="111"/>
  <c r="AB27" i="107"/>
  <c r="O85" i="111"/>
  <c r="O67" i="111"/>
  <c r="F105" i="111"/>
  <c r="V33" i="111" s="1"/>
  <c r="L103" i="111"/>
  <c r="AB33" i="111" s="1"/>
  <c r="U33" i="111"/>
  <c r="O102" i="111"/>
  <c r="O84" i="111"/>
  <c r="AC33" i="111"/>
  <c r="V29" i="111"/>
  <c r="AB27" i="111"/>
  <c r="U23" i="111"/>
  <c r="AC22" i="111"/>
  <c r="T22" i="111"/>
  <c r="M100" i="111"/>
  <c r="AC32" i="107"/>
  <c r="P64" i="111"/>
  <c r="Y31" i="111"/>
  <c r="W30" i="111"/>
  <c r="Y26" i="111"/>
  <c r="O72" i="111"/>
  <c r="J101" i="111"/>
  <c r="Z32" i="111" s="1"/>
  <c r="Z32" i="107"/>
  <c r="O63" i="111"/>
  <c r="AA33" i="111"/>
  <c r="Y32" i="111"/>
  <c r="X31" i="111"/>
  <c r="T29" i="111"/>
  <c r="AB28" i="111"/>
  <c r="AB23" i="111"/>
  <c r="T27" i="107"/>
  <c r="O104" i="111"/>
  <c r="D103" i="111"/>
  <c r="P103" i="111" s="1"/>
  <c r="T33" i="107"/>
  <c r="O89" i="111"/>
  <c r="Z33" i="111"/>
  <c r="U30" i="111"/>
  <c r="Z28" i="111"/>
  <c r="W26" i="111"/>
  <c r="AD25" i="111"/>
  <c r="AA23" i="111"/>
  <c r="Y22" i="111"/>
  <c r="AD31" i="107"/>
  <c r="O82" i="111"/>
  <c r="S24" i="111"/>
  <c r="P102" i="111"/>
  <c r="P78" i="111"/>
  <c r="P70" i="111"/>
  <c r="S24" i="107"/>
  <c r="S28" i="107"/>
  <c r="S32" i="107"/>
  <c r="O94" i="111"/>
  <c r="P85" i="111"/>
  <c r="P77" i="111"/>
  <c r="P68" i="111"/>
  <c r="P67" i="111"/>
  <c r="S26" i="107"/>
  <c r="S30" i="107"/>
  <c r="S29" i="111"/>
  <c r="S33" i="111"/>
  <c r="S25" i="111"/>
  <c r="O58" i="111"/>
  <c r="O14" i="101"/>
  <c r="G6" i="96"/>
  <c r="D6" i="96"/>
  <c r="C3" i="94"/>
  <c r="AF33" i="107" l="1"/>
  <c r="P72" i="111"/>
  <c r="AF25" i="111" s="1"/>
  <c r="P100" i="111"/>
  <c r="AF32" i="108"/>
  <c r="AE29" i="107"/>
  <c r="P97" i="111"/>
  <c r="P83" i="111"/>
  <c r="P61" i="111"/>
  <c r="P101" i="111"/>
  <c r="P86" i="111"/>
  <c r="P66" i="111"/>
  <c r="AF24" i="111" s="1"/>
  <c r="Y27" i="111"/>
  <c r="X26" i="111"/>
  <c r="O100" i="111"/>
  <c r="T25" i="111"/>
  <c r="AD29" i="111"/>
  <c r="O83" i="111"/>
  <c r="O75" i="111"/>
  <c r="O103" i="111"/>
  <c r="AB31" i="111"/>
  <c r="O69" i="111"/>
  <c r="V30" i="111"/>
  <c r="X22" i="111"/>
  <c r="AE23" i="108"/>
  <c r="AF26" i="108"/>
  <c r="AE28" i="108"/>
  <c r="AF27" i="107"/>
  <c r="AF26" i="107"/>
  <c r="AF24" i="107"/>
  <c r="AE30" i="107"/>
  <c r="AE28" i="111"/>
  <c r="AF28" i="107"/>
  <c r="P92" i="111"/>
  <c r="P98" i="111"/>
  <c r="W24" i="111"/>
  <c r="O79" i="111"/>
  <c r="AF31" i="107"/>
  <c r="AE26" i="108"/>
  <c r="AF25" i="107"/>
  <c r="AE27" i="107"/>
  <c r="P59" i="111"/>
  <c r="P91" i="111"/>
  <c r="O78" i="111"/>
  <c r="P94" i="111"/>
  <c r="AF31" i="111" s="1"/>
  <c r="O101" i="111"/>
  <c r="O86" i="111"/>
  <c r="AE27" i="108"/>
  <c r="AE33" i="108"/>
  <c r="AF23" i="108"/>
  <c r="AE30" i="108"/>
  <c r="AF29" i="107"/>
  <c r="AE23" i="107"/>
  <c r="AE33" i="107"/>
  <c r="AE28" i="107"/>
  <c r="AF30" i="107"/>
  <c r="AE25" i="107"/>
  <c r="P73" i="111"/>
  <c r="P79" i="111"/>
  <c r="O65" i="111"/>
  <c r="P76" i="111"/>
  <c r="P105" i="111"/>
  <c r="P93" i="111"/>
  <c r="P62" i="111"/>
  <c r="AE24" i="111"/>
  <c r="O73" i="111"/>
  <c r="O93" i="111"/>
  <c r="O60" i="111"/>
  <c r="P82" i="111"/>
  <c r="Z24" i="111"/>
  <c r="P58" i="111"/>
  <c r="O62" i="111"/>
  <c r="AE23" i="111" s="1"/>
  <c r="P90" i="111"/>
  <c r="O71" i="111"/>
  <c r="AE25" i="111" s="1"/>
  <c r="P96" i="111"/>
  <c r="O90" i="111"/>
  <c r="O76" i="111"/>
  <c r="O105" i="111"/>
  <c r="P74" i="111"/>
  <c r="AF26" i="111" s="1"/>
  <c r="O74" i="111"/>
  <c r="AE31" i="111"/>
  <c r="S28" i="111"/>
  <c r="P99" i="111"/>
  <c r="T23" i="111"/>
  <c r="O98" i="111"/>
  <c r="P65" i="111"/>
  <c r="P60" i="111"/>
  <c r="O81" i="111"/>
  <c r="AE27" i="111" s="1"/>
  <c r="X30" i="111"/>
  <c r="AC32" i="111"/>
  <c r="O61" i="111"/>
  <c r="AC26" i="111"/>
  <c r="O87" i="111"/>
  <c r="AE29" i="111" s="1"/>
  <c r="P95" i="111"/>
  <c r="O99" i="111"/>
  <c r="T33" i="111"/>
  <c r="P81" i="111"/>
  <c r="AD23" i="111"/>
  <c r="P104" i="111"/>
  <c r="P84" i="111"/>
  <c r="AF28" i="111" s="1"/>
  <c r="AE30" i="111"/>
  <c r="P87" i="111"/>
  <c r="AF23" i="111"/>
  <c r="AF32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9"/>
  <c r="G6" i="100"/>
  <c r="G6" i="98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F29" i="111" l="1"/>
  <c r="AF30" i="111"/>
  <c r="AF22" i="111"/>
  <c r="AE33" i="111"/>
  <c r="AF27" i="111"/>
  <c r="AE32" i="111"/>
  <c r="AE26" i="111"/>
  <c r="AF33" i="111"/>
  <c r="AE22" i="111"/>
  <c r="K6" i="104"/>
  <c r="K6" i="108" s="1"/>
  <c r="K6" i="111" s="1"/>
  <c r="K6" i="107"/>
  <c r="K5" i="107"/>
  <c r="K5" i="104"/>
  <c r="K5" i="108" s="1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39" i="105" l="1"/>
  <c r="Z39" i="105"/>
  <c r="W39" i="105"/>
  <c r="AA39" i="105"/>
  <c r="U39" i="109"/>
  <c r="AC39" i="109"/>
  <c r="AA27" i="99"/>
  <c r="X39" i="105"/>
  <c r="AA39" i="101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AD13" i="108" s="1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Y14" i="108" s="1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Y19" i="108" s="1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6" i="108" s="1"/>
  <c r="AA18" i="94"/>
  <c r="K42" i="108"/>
  <c r="M54" i="108"/>
  <c r="M50" i="108"/>
  <c r="AC20" i="108" s="1"/>
  <c r="M46" i="108"/>
  <c r="AC19" i="108" s="1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S19" i="108" s="1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U13" i="108" s="1"/>
  <c r="G22" i="108"/>
  <c r="I22" i="108"/>
  <c r="K22" i="108"/>
  <c r="AA13" i="108" s="1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S21" i="108" s="1"/>
  <c r="K50" i="108"/>
  <c r="G50" i="108"/>
  <c r="C50" i="108"/>
  <c r="K46" i="108"/>
  <c r="AA19" i="108" s="1"/>
  <c r="G46" i="108"/>
  <c r="G38" i="108"/>
  <c r="G30" i="108"/>
  <c r="W15" i="108" s="1"/>
  <c r="G26" i="108"/>
  <c r="W14" i="108" s="1"/>
  <c r="F22" i="108"/>
  <c r="H12" i="108"/>
  <c r="L12" i="108"/>
  <c r="D13" i="108"/>
  <c r="H13" i="108"/>
  <c r="L13" i="108"/>
  <c r="D14" i="108"/>
  <c r="H14" i="108"/>
  <c r="X11" i="108" s="1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X12" i="108" s="1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X13" i="108" s="1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D106" i="107" l="1"/>
  <c r="T10" i="107"/>
  <c r="S21" i="107"/>
  <c r="S20" i="107"/>
  <c r="AA19" i="107"/>
  <c r="AA18" i="107"/>
  <c r="W17" i="107"/>
  <c r="S16" i="107"/>
  <c r="S15" i="107"/>
  <c r="S14" i="107"/>
  <c r="S13" i="107"/>
  <c r="W12" i="107"/>
  <c r="W11" i="107"/>
  <c r="X17" i="108"/>
  <c r="X14" i="108"/>
  <c r="F106" i="108"/>
  <c r="V10" i="108"/>
  <c r="AC18" i="108"/>
  <c r="Y17" i="108"/>
  <c r="U10" i="108"/>
  <c r="E106" i="108"/>
  <c r="X21" i="108"/>
  <c r="X19" i="108"/>
  <c r="G106" i="107"/>
  <c r="W10" i="107"/>
  <c r="V21" i="107"/>
  <c r="AD20" i="107"/>
  <c r="AD19" i="107"/>
  <c r="Z18" i="107"/>
  <c r="Z17" i="107"/>
  <c r="AD16" i="107"/>
  <c r="AD15" i="107"/>
  <c r="Z14" i="107"/>
  <c r="V13" i="107"/>
  <c r="AD12" i="107"/>
  <c r="AD11" i="107"/>
  <c r="D106" i="108"/>
  <c r="T10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20" i="108"/>
  <c r="V12" i="108"/>
  <c r="S14" i="108"/>
  <c r="AA14" i="108"/>
  <c r="U19" i="108"/>
  <c r="Y18" i="108"/>
  <c r="U17" i="108"/>
  <c r="Y16" i="108"/>
  <c r="U14" i="108"/>
  <c r="U38" i="108" s="1"/>
  <c r="W12" i="108"/>
  <c r="W11" i="108"/>
  <c r="AA10" i="108"/>
  <c r="K106" i="108"/>
  <c r="AD21" i="108"/>
  <c r="V21" i="108"/>
  <c r="AD20" i="108"/>
  <c r="V20" i="108"/>
  <c r="V39" i="108" s="1"/>
  <c r="AD19" i="108"/>
  <c r="Z13" i="108"/>
  <c r="H106" i="107"/>
  <c r="X10" i="107"/>
  <c r="AA21" i="107"/>
  <c r="AA20" i="107"/>
  <c r="S19" i="107"/>
  <c r="W18" i="107"/>
  <c r="S17" i="107"/>
  <c r="W16" i="107"/>
  <c r="AA15" i="107"/>
  <c r="W14" i="107"/>
  <c r="W13" i="107"/>
  <c r="S12" i="107"/>
  <c r="S11" i="107"/>
  <c r="C106" i="108"/>
  <c r="S10" i="108"/>
  <c r="X18" i="108"/>
  <c r="X16" i="108"/>
  <c r="X15" i="108"/>
  <c r="X35" i="108" s="1"/>
  <c r="AC16" i="108"/>
  <c r="U15" i="108"/>
  <c r="Y12" i="108"/>
  <c r="Y11" i="108"/>
  <c r="C106" i="107"/>
  <c r="S10" i="107"/>
  <c r="AD21" i="107"/>
  <c r="V20" i="107"/>
  <c r="Z19" i="107"/>
  <c r="AD18" i="107"/>
  <c r="AD17" i="107"/>
  <c r="Z16" i="107"/>
  <c r="Z15" i="107"/>
  <c r="V14" i="107"/>
  <c r="AD13" i="107"/>
  <c r="V12" i="107"/>
  <c r="V11" i="107"/>
  <c r="N106" i="107"/>
  <c r="AD10" i="107"/>
  <c r="Z10" i="107"/>
  <c r="J106" i="107"/>
  <c r="F106" i="107"/>
  <c r="V10" i="107"/>
  <c r="AC21" i="107"/>
  <c r="Y21" i="107"/>
  <c r="U21" i="107"/>
  <c r="AC20" i="107"/>
  <c r="Y20" i="107"/>
  <c r="U20" i="107"/>
  <c r="U36" i="107" s="1"/>
  <c r="AC19" i="107"/>
  <c r="AC39" i="107" s="1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Y35" i="107" s="1"/>
  <c r="U13" i="107"/>
  <c r="AC12" i="107"/>
  <c r="Y12" i="107"/>
  <c r="U12" i="107"/>
  <c r="U40" i="107" s="1"/>
  <c r="AC11" i="107"/>
  <c r="Y11" i="107"/>
  <c r="U11" i="107"/>
  <c r="AD26" i="97"/>
  <c r="AF32" i="101"/>
  <c r="AF33" i="101"/>
  <c r="H106" i="108"/>
  <c r="X10" i="108"/>
  <c r="X40" i="108" s="1"/>
  <c r="T19" i="108"/>
  <c r="AB18" i="108"/>
  <c r="T18" i="108"/>
  <c r="AB17" i="108"/>
  <c r="T17" i="108"/>
  <c r="AB16" i="108"/>
  <c r="T16" i="108"/>
  <c r="AB15" i="108"/>
  <c r="T15" i="108"/>
  <c r="AB14" i="108"/>
  <c r="T14" i="108"/>
  <c r="W17" i="108"/>
  <c r="W20" i="108"/>
  <c r="Y13" i="108"/>
  <c r="Y20" i="108"/>
  <c r="S15" i="108"/>
  <c r="S35" i="108" s="1"/>
  <c r="U21" i="108"/>
  <c r="N106" i="108"/>
  <c r="AD10" i="108"/>
  <c r="S16" i="108"/>
  <c r="AC21" i="108"/>
  <c r="AC39" i="108" s="1"/>
  <c r="W18" i="108"/>
  <c r="AC17" i="108"/>
  <c r="W16" i="108"/>
  <c r="AC15" i="108"/>
  <c r="AC12" i="108"/>
  <c r="U12" i="108"/>
  <c r="AC11" i="108"/>
  <c r="U11" i="108"/>
  <c r="Y10" i="108"/>
  <c r="I106" i="108"/>
  <c r="AB21" i="108"/>
  <c r="T21" i="108"/>
  <c r="AB20" i="108"/>
  <c r="T20" i="108"/>
  <c r="AB19" i="108"/>
  <c r="AB39" i="108" s="1"/>
  <c r="AD11" i="108"/>
  <c r="L106" i="107"/>
  <c r="AB10" i="107"/>
  <c r="W21" i="107"/>
  <c r="W20" i="107"/>
  <c r="W19" i="107"/>
  <c r="S18" i="107"/>
  <c r="AA17" i="107"/>
  <c r="AA16" i="107"/>
  <c r="W15" i="107"/>
  <c r="AA14" i="107"/>
  <c r="AA13" i="107"/>
  <c r="AA38" i="107" s="1"/>
  <c r="AA12" i="107"/>
  <c r="AA11" i="107"/>
  <c r="S36" i="108"/>
  <c r="S39" i="108"/>
  <c r="Y39" i="108"/>
  <c r="Y36" i="108"/>
  <c r="M106" i="108"/>
  <c r="AC10" i="108"/>
  <c r="X20" i="108"/>
  <c r="X36" i="108" s="1"/>
  <c r="AD38" i="108"/>
  <c r="Z12" i="108"/>
  <c r="K106" i="107"/>
  <c r="AA10" i="107"/>
  <c r="Z21" i="107"/>
  <c r="Z20" i="107"/>
  <c r="V19" i="107"/>
  <c r="V18" i="107"/>
  <c r="V17" i="107"/>
  <c r="V16" i="107"/>
  <c r="V15" i="107"/>
  <c r="AD14" i="107"/>
  <c r="Z13" i="107"/>
  <c r="Z12" i="107"/>
  <c r="Z11" i="107"/>
  <c r="AC10" i="107"/>
  <c r="M106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Z26" i="95"/>
  <c r="L106" i="108"/>
  <c r="AB10" i="108"/>
  <c r="Z18" i="108"/>
  <c r="Z17" i="108"/>
  <c r="Z16" i="108"/>
  <c r="Z15" i="108"/>
  <c r="Z14" i="108"/>
  <c r="AB13" i="108"/>
  <c r="AB12" i="108"/>
  <c r="AB11" i="108"/>
  <c r="V13" i="108"/>
  <c r="V38" i="108" s="1"/>
  <c r="W19" i="108"/>
  <c r="W39" i="108" s="1"/>
  <c r="AA20" i="108"/>
  <c r="AA36" i="108" s="1"/>
  <c r="W13" i="108"/>
  <c r="AA21" i="108"/>
  <c r="S17" i="108"/>
  <c r="J106" i="108"/>
  <c r="Z10" i="108"/>
  <c r="S18" i="108"/>
  <c r="AA18" i="108"/>
  <c r="AA15" i="108"/>
  <c r="U18" i="108"/>
  <c r="AA17" i="108"/>
  <c r="U16" i="108"/>
  <c r="Y15" i="108"/>
  <c r="AC14" i="108"/>
  <c r="AC38" i="108" s="1"/>
  <c r="AA12" i="108"/>
  <c r="S12" i="108"/>
  <c r="AA11" i="108"/>
  <c r="S11" i="108"/>
  <c r="G106" i="108"/>
  <c r="W10" i="108"/>
  <c r="Z21" i="108"/>
  <c r="Z20" i="108"/>
  <c r="Z19" i="108"/>
  <c r="AD12" i="108"/>
  <c r="Z11" i="108"/>
  <c r="AF28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AA21" i="111" s="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AA18" i="111" s="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T21" i="111" s="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T20" i="111" s="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T19" i="111" s="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T18" i="111" s="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T17" i="111" s="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T16" i="111" s="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T15" i="111" s="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T14" i="111" s="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AA15" i="111" s="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AC14" i="111" s="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V20" i="111" s="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V19" i="111" s="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V18" i="111" s="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V16" i="111" s="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V14" i="111" s="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V13" i="111" s="1"/>
  <c r="D22" i="111"/>
  <c r="J21" i="111"/>
  <c r="H21" i="111"/>
  <c r="N20" i="111"/>
  <c r="L20" i="111"/>
  <c r="J20" i="111"/>
  <c r="D20" i="111"/>
  <c r="N19" i="111"/>
  <c r="H19" i="111"/>
  <c r="N18" i="111"/>
  <c r="L18" i="111"/>
  <c r="AB12" i="111" s="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AA19" i="111" s="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AC18" i="111" s="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Y17" i="111" s="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AC13" i="111" s="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AC12" i="111" s="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AC11" i="111" s="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O42" i="108"/>
  <c r="AE18" i="108" s="1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AE19" i="107" s="1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AE17" i="107" s="1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AF15" i="107" s="1"/>
  <c r="P34" i="107"/>
  <c r="AF16" i="107" s="1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0" i="108" l="1"/>
  <c r="P106" i="108"/>
  <c r="N106" i="111"/>
  <c r="AD10" i="111"/>
  <c r="V38" i="111"/>
  <c r="V35" i="111"/>
  <c r="V39" i="111"/>
  <c r="V36" i="111"/>
  <c r="T36" i="111"/>
  <c r="T39" i="111"/>
  <c r="E106" i="111"/>
  <c r="U10" i="111"/>
  <c r="AB38" i="107"/>
  <c r="AB35" i="107"/>
  <c r="T36" i="107"/>
  <c r="T39" i="107"/>
  <c r="Z39" i="107"/>
  <c r="Z36" i="107"/>
  <c r="X34" i="107"/>
  <c r="X40" i="107"/>
  <c r="X37" i="107"/>
  <c r="X41" i="107"/>
  <c r="X42" i="107" s="1"/>
  <c r="U39" i="108"/>
  <c r="U36" i="108"/>
  <c r="V35" i="108"/>
  <c r="V36" i="108"/>
  <c r="U34" i="108"/>
  <c r="U41" i="108"/>
  <c r="U37" i="108"/>
  <c r="U40" i="108"/>
  <c r="U42" i="108" s="1"/>
  <c r="AE11" i="107"/>
  <c r="AE13" i="107"/>
  <c r="AE21" i="108"/>
  <c r="AF21" i="108"/>
  <c r="AF14" i="108"/>
  <c r="AE11" i="108"/>
  <c r="AE15" i="108"/>
  <c r="AE17" i="108"/>
  <c r="AF13" i="108"/>
  <c r="AF35" i="108" s="1"/>
  <c r="S15" i="111"/>
  <c r="S16" i="111"/>
  <c r="AC17" i="111"/>
  <c r="AC19" i="111"/>
  <c r="AC39" i="111" s="1"/>
  <c r="AB11" i="111"/>
  <c r="Z13" i="111"/>
  <c r="Z14" i="111"/>
  <c r="Z15" i="111"/>
  <c r="Z16" i="111"/>
  <c r="Z17" i="111"/>
  <c r="Z18" i="111"/>
  <c r="Z19" i="11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S18" i="111"/>
  <c r="AC20" i="111"/>
  <c r="Z40" i="108"/>
  <c r="Z37" i="108"/>
  <c r="Z41" i="108"/>
  <c r="Z34" i="108"/>
  <c r="W38" i="108"/>
  <c r="W35" i="108"/>
  <c r="AB40" i="108"/>
  <c r="AB37" i="108"/>
  <c r="AB41" i="108"/>
  <c r="AB42" i="108" s="1"/>
  <c r="AB34" i="108"/>
  <c r="X39" i="107"/>
  <c r="X36" i="107"/>
  <c r="U41" i="107"/>
  <c r="U42" i="107" s="1"/>
  <c r="U37" i="107"/>
  <c r="U34" i="107"/>
  <c r="Z35" i="107"/>
  <c r="Z38" i="107"/>
  <c r="AB40" i="107"/>
  <c r="AB34" i="107"/>
  <c r="AB37" i="107"/>
  <c r="AB41" i="107"/>
  <c r="T36" i="108"/>
  <c r="AD34" i="108"/>
  <c r="AD37" i="108"/>
  <c r="AD41" i="108"/>
  <c r="AD40" i="108"/>
  <c r="AD42" i="108" s="1"/>
  <c r="T38" i="108"/>
  <c r="AC38" i="107"/>
  <c r="AC35" i="107"/>
  <c r="U39" i="107"/>
  <c r="Z40" i="107"/>
  <c r="Z34" i="107"/>
  <c r="Z37" i="107"/>
  <c r="Z41" i="107"/>
  <c r="Z42" i="107" s="1"/>
  <c r="AC36" i="108"/>
  <c r="AA35" i="107"/>
  <c r="S36" i="107"/>
  <c r="S39" i="107"/>
  <c r="AA40" i="108"/>
  <c r="AA41" i="108"/>
  <c r="AA42" i="108" s="1"/>
  <c r="AA37" i="108"/>
  <c r="AA34" i="108"/>
  <c r="AA38" i="108"/>
  <c r="AA35" i="108"/>
  <c r="T35" i="108"/>
  <c r="AD35" i="108"/>
  <c r="X39" i="108"/>
  <c r="X38" i="108"/>
  <c r="S38" i="107"/>
  <c r="AE14" i="108"/>
  <c r="AC35" i="111"/>
  <c r="AA36" i="111"/>
  <c r="AA20" i="111"/>
  <c r="AA39" i="111" s="1"/>
  <c r="AF17" i="107"/>
  <c r="AE14" i="107"/>
  <c r="AE16" i="107"/>
  <c r="AF13" i="107"/>
  <c r="AF16" i="108"/>
  <c r="AE19" i="108"/>
  <c r="AE39" i="108" s="1"/>
  <c r="AE12" i="108"/>
  <c r="AF19" i="108"/>
  <c r="AF39" i="108" s="1"/>
  <c r="AE10" i="108"/>
  <c r="O106" i="108"/>
  <c r="W10" i="111"/>
  <c r="G106" i="111"/>
  <c r="U11" i="111"/>
  <c r="U12" i="111"/>
  <c r="U13" i="111"/>
  <c r="W14" i="111"/>
  <c r="U15" i="111"/>
  <c r="W16" i="111"/>
  <c r="S19" i="111"/>
  <c r="W20" i="111"/>
  <c r="F106" i="111"/>
  <c r="V10" i="111"/>
  <c r="AD12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W15" i="111"/>
  <c r="U16" i="111"/>
  <c r="X11" i="111"/>
  <c r="Z12" i="111"/>
  <c r="AD13" i="111"/>
  <c r="AB14" i="111"/>
  <c r="AB35" i="111" s="1"/>
  <c r="AB15" i="111"/>
  <c r="AB38" i="111" s="1"/>
  <c r="AB16" i="111"/>
  <c r="AB17" i="111"/>
  <c r="AB18" i="111"/>
  <c r="AB19" i="111"/>
  <c r="AB20" i="111"/>
  <c r="AB21" i="111"/>
  <c r="M106" i="111"/>
  <c r="AC10" i="111"/>
  <c r="U17" i="111"/>
  <c r="U18" i="111"/>
  <c r="U19" i="111"/>
  <c r="S20" i="111"/>
  <c r="W21" i="111"/>
  <c r="D106" i="111"/>
  <c r="T10" i="111"/>
  <c r="T38" i="107"/>
  <c r="T35" i="107"/>
  <c r="AB36" i="107"/>
  <c r="AB39" i="107"/>
  <c r="AC34" i="107"/>
  <c r="AC37" i="107"/>
  <c r="AC41" i="107"/>
  <c r="AC42" i="107" s="1"/>
  <c r="AA40" i="107"/>
  <c r="AA37" i="107"/>
  <c r="AA34" i="107"/>
  <c r="AA41" i="107"/>
  <c r="AA42" i="107" s="1"/>
  <c r="W39" i="107"/>
  <c r="W36" i="107"/>
  <c r="AB36" i="108"/>
  <c r="Y37" i="108"/>
  <c r="Y41" i="108"/>
  <c r="Y34" i="108"/>
  <c r="Y40" i="108"/>
  <c r="Y35" i="108"/>
  <c r="Y38" i="108"/>
  <c r="AB38" i="108"/>
  <c r="AC40" i="107"/>
  <c r="Y39" i="107"/>
  <c r="Y36" i="107"/>
  <c r="AC36" i="107"/>
  <c r="V37" i="107"/>
  <c r="V41" i="107"/>
  <c r="V40" i="107"/>
  <c r="V34" i="107"/>
  <c r="AD34" i="107"/>
  <c r="AD40" i="107"/>
  <c r="AD37" i="107"/>
  <c r="AD41" i="107"/>
  <c r="AD42" i="107" s="1"/>
  <c r="AD38" i="107"/>
  <c r="AD35" i="107"/>
  <c r="Z35" i="108"/>
  <c r="Z38" i="108"/>
  <c r="S38" i="108"/>
  <c r="T40" i="108"/>
  <c r="T41" i="108"/>
  <c r="T34" i="108"/>
  <c r="T37" i="108"/>
  <c r="V38" i="107"/>
  <c r="V35" i="107"/>
  <c r="AA39" i="108"/>
  <c r="T40" i="107"/>
  <c r="T34" i="107"/>
  <c r="T37" i="107"/>
  <c r="T41" i="107"/>
  <c r="T42" i="107" s="1"/>
  <c r="P106" i="107"/>
  <c r="AF10" i="107"/>
  <c r="AF11" i="107"/>
  <c r="AF36" i="108"/>
  <c r="AB10" i="111"/>
  <c r="L106" i="111"/>
  <c r="Z39" i="108"/>
  <c r="Z36" i="108"/>
  <c r="X34" i="108"/>
  <c r="X37" i="108"/>
  <c r="X41" i="108"/>
  <c r="X42" i="108" s="1"/>
  <c r="AD39" i="107"/>
  <c r="AD36" i="107"/>
  <c r="O106" i="107"/>
  <c r="H108" i="107" s="1"/>
  <c r="AE10" i="107"/>
  <c r="AE15" i="107"/>
  <c r="AF14" i="107"/>
  <c r="AE12" i="107"/>
  <c r="AF18" i="107"/>
  <c r="AF19" i="107"/>
  <c r="AF20" i="107"/>
  <c r="AE21" i="107"/>
  <c r="AE36" i="107" s="1"/>
  <c r="AF12" i="107"/>
  <c r="AE16" i="108"/>
  <c r="AF18" i="108"/>
  <c r="AF11" i="108"/>
  <c r="AF40" i="108" s="1"/>
  <c r="AE13" i="108"/>
  <c r="AF17" i="108"/>
  <c r="S42" i="110"/>
  <c r="K106" i="111"/>
  <c r="AA10" i="111"/>
  <c r="Y11" i="111"/>
  <c r="Y12" i="111"/>
  <c r="Y13" i="111"/>
  <c r="Y14" i="111"/>
  <c r="AC15" i="111"/>
  <c r="AC38" i="111" s="1"/>
  <c r="AC16" i="111"/>
  <c r="W17" i="111"/>
  <c r="W18" i="111"/>
  <c r="Y19" i="111"/>
  <c r="Y20" i="111"/>
  <c r="U21" i="111"/>
  <c r="X10" i="111"/>
  <c r="H106" i="111"/>
  <c r="T11" i="111"/>
  <c r="T12" i="111"/>
  <c r="T13" i="111"/>
  <c r="AA11" i="111"/>
  <c r="AA12" i="111"/>
  <c r="AA13" i="111"/>
  <c r="AA38" i="111" s="1"/>
  <c r="AA14" i="111"/>
  <c r="Y15" i="111"/>
  <c r="Y16" i="111"/>
  <c r="AD11" i="111"/>
  <c r="S10" i="111"/>
  <c r="C106" i="111"/>
  <c r="AA17" i="111"/>
  <c r="Y18" i="111"/>
  <c r="W19" i="111"/>
  <c r="U20" i="111"/>
  <c r="Y21" i="111"/>
  <c r="J106" i="111"/>
  <c r="Z10" i="111"/>
  <c r="W34" i="108"/>
  <c r="W41" i="108"/>
  <c r="W37" i="108"/>
  <c r="AB35" i="108"/>
  <c r="X38" i="107"/>
  <c r="X35" i="107"/>
  <c r="Y40" i="107"/>
  <c r="Y41" i="107"/>
  <c r="Y34" i="107"/>
  <c r="Y37" i="107"/>
  <c r="V39" i="107"/>
  <c r="V36" i="107"/>
  <c r="AC34" i="108"/>
  <c r="AC40" i="108"/>
  <c r="AC41" i="108"/>
  <c r="AC42" i="108" s="1"/>
  <c r="AC37" i="108"/>
  <c r="AC35" i="108"/>
  <c r="W36" i="108"/>
  <c r="T39" i="108"/>
  <c r="U38" i="107"/>
  <c r="U35" i="107"/>
  <c r="Y38" i="107"/>
  <c r="S40" i="107"/>
  <c r="S37" i="107"/>
  <c r="S34" i="107"/>
  <c r="S41" i="107"/>
  <c r="U35" i="108"/>
  <c r="S40" i="108"/>
  <c r="S37" i="108"/>
  <c r="S34" i="108"/>
  <c r="S41" i="108"/>
  <c r="S42" i="108" s="1"/>
  <c r="W38" i="107"/>
  <c r="W35" i="107"/>
  <c r="AD39" i="108"/>
  <c r="AD36" i="108"/>
  <c r="W40" i="108"/>
  <c r="W34" i="107"/>
  <c r="W37" i="107"/>
  <c r="W40" i="107"/>
  <c r="W41" i="107"/>
  <c r="V34" i="108"/>
  <c r="V41" i="108"/>
  <c r="V40" i="108"/>
  <c r="V42" i="108" s="1"/>
  <c r="V37" i="108"/>
  <c r="S35" i="107"/>
  <c r="AA39" i="107"/>
  <c r="AA36" i="107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AE15" i="111" s="1"/>
  <c r="O33" i="111"/>
  <c r="P34" i="111"/>
  <c r="AF16" i="111" s="1"/>
  <c r="P35" i="111"/>
  <c r="O36" i="111"/>
  <c r="P37" i="111"/>
  <c r="O38" i="111"/>
  <c r="AE17" i="111" s="1"/>
  <c r="O41" i="111"/>
  <c r="P42" i="111"/>
  <c r="AF18" i="111" s="1"/>
  <c r="P45" i="111"/>
  <c r="O46" i="111"/>
  <c r="O48" i="111"/>
  <c r="O50" i="111"/>
  <c r="AE20" i="111" s="1"/>
  <c r="O51" i="111"/>
  <c r="O53" i="111"/>
  <c r="P55" i="111"/>
  <c r="O56" i="111"/>
  <c r="P57" i="11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W38" i="111" l="1"/>
  <c r="W35" i="111"/>
  <c r="Z39" i="111"/>
  <c r="Z36" i="111"/>
  <c r="AF38" i="108"/>
  <c r="AE10" i="111"/>
  <c r="O106" i="111"/>
  <c r="AF21" i="111"/>
  <c r="AE14" i="111"/>
  <c r="AE13" i="111"/>
  <c r="S42" i="107"/>
  <c r="W42" i="108"/>
  <c r="AB40" i="111"/>
  <c r="AB34" i="111"/>
  <c r="AB37" i="111"/>
  <c r="AB41" i="111"/>
  <c r="AB42" i="111" s="1"/>
  <c r="T42" i="108"/>
  <c r="V42" i="107"/>
  <c r="T40" i="111"/>
  <c r="T37" i="111"/>
  <c r="T34" i="111"/>
  <c r="T41" i="111"/>
  <c r="U39" i="111"/>
  <c r="AD39" i="111"/>
  <c r="AD36" i="111"/>
  <c r="S36" i="111"/>
  <c r="S39" i="111"/>
  <c r="U38" i="111"/>
  <c r="U35" i="111"/>
  <c r="W34" i="111"/>
  <c r="W37" i="111"/>
  <c r="W40" i="111"/>
  <c r="W41" i="111"/>
  <c r="AE40" i="108"/>
  <c r="AF38" i="107"/>
  <c r="AF35" i="107"/>
  <c r="AB42" i="107"/>
  <c r="Y40" i="111"/>
  <c r="Y37" i="111"/>
  <c r="Y34" i="111"/>
  <c r="Y41" i="111"/>
  <c r="Y42" i="111" s="1"/>
  <c r="X39" i="111"/>
  <c r="X36" i="111"/>
  <c r="AF14" i="111"/>
  <c r="Y35" i="111"/>
  <c r="AB36" i="111"/>
  <c r="AB39" i="111"/>
  <c r="AE19" i="111"/>
  <c r="AE21" i="111"/>
  <c r="AE18" i="111"/>
  <c r="P106" i="111"/>
  <c r="AF10" i="111"/>
  <c r="U36" i="111"/>
  <c r="Y39" i="111"/>
  <c r="Y36" i="111"/>
  <c r="AF39" i="107"/>
  <c r="AF36" i="107"/>
  <c r="AA35" i="111"/>
  <c r="AF34" i="107"/>
  <c r="AF41" i="107"/>
  <c r="AF42" i="107" s="1"/>
  <c r="AF40" i="107"/>
  <c r="AF37" i="107"/>
  <c r="AD38" i="111"/>
  <c r="AD35" i="111"/>
  <c r="V40" i="111"/>
  <c r="V34" i="111"/>
  <c r="V37" i="111"/>
  <c r="V41" i="111"/>
  <c r="V42" i="111" s="1"/>
  <c r="U40" i="111"/>
  <c r="AC36" i="111"/>
  <c r="Z35" i="111"/>
  <c r="Z38" i="111"/>
  <c r="AF34" i="108"/>
  <c r="AF41" i="108"/>
  <c r="AF42" i="108" s="1"/>
  <c r="AF37" i="108"/>
  <c r="AF17" i="111"/>
  <c r="AC34" i="111"/>
  <c r="AC37" i="111"/>
  <c r="AC41" i="111"/>
  <c r="AE39" i="107"/>
  <c r="AF13" i="111"/>
  <c r="AF20" i="111"/>
  <c r="AF15" i="111"/>
  <c r="AE11" i="111"/>
  <c r="AE16" i="111"/>
  <c r="AF19" i="111"/>
  <c r="W42" i="107"/>
  <c r="Y42" i="107"/>
  <c r="Z40" i="111"/>
  <c r="Z34" i="111"/>
  <c r="Z37" i="111"/>
  <c r="Z41" i="111"/>
  <c r="Z42" i="111" s="1"/>
  <c r="W39" i="111"/>
  <c r="W36" i="111"/>
  <c r="S40" i="111"/>
  <c r="S34" i="111"/>
  <c r="S37" i="111"/>
  <c r="S41" i="111"/>
  <c r="T38" i="111"/>
  <c r="T35" i="111"/>
  <c r="X34" i="111"/>
  <c r="X37" i="111"/>
  <c r="X40" i="111"/>
  <c r="X41" i="111"/>
  <c r="X42" i="111" s="1"/>
  <c r="Y38" i="111"/>
  <c r="AA40" i="111"/>
  <c r="AA37" i="111"/>
  <c r="AA34" i="111"/>
  <c r="AA41" i="111"/>
  <c r="AA42" i="111" s="1"/>
  <c r="AE38" i="108"/>
  <c r="AE35" i="108"/>
  <c r="AE34" i="107"/>
  <c r="AE37" i="107"/>
  <c r="AE40" i="107"/>
  <c r="AE41" i="107"/>
  <c r="AE42" i="107" s="1"/>
  <c r="AC40" i="111"/>
  <c r="Y42" i="108"/>
  <c r="AE34" i="108"/>
  <c r="AE37" i="108"/>
  <c r="AE41" i="108"/>
  <c r="AE42" i="108" s="1"/>
  <c r="Z42" i="108"/>
  <c r="X38" i="111"/>
  <c r="X35" i="111"/>
  <c r="S38" i="111"/>
  <c r="S35" i="111"/>
  <c r="AE38" i="107"/>
  <c r="AE35" i="107"/>
  <c r="U34" i="111"/>
  <c r="U37" i="111"/>
  <c r="U41" i="111"/>
  <c r="U42" i="111" s="1"/>
  <c r="AD40" i="111"/>
  <c r="AD34" i="111"/>
  <c r="AD37" i="111"/>
  <c r="AD41" i="111"/>
  <c r="AE36" i="108"/>
  <c r="K108" i="11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9" i="111" l="1"/>
  <c r="AE36" i="111"/>
  <c r="AC42" i="111"/>
  <c r="AD42" i="111"/>
  <c r="S42" i="111"/>
  <c r="AF39" i="111"/>
  <c r="AF36" i="111"/>
  <c r="T42" i="111"/>
  <c r="AE38" i="111"/>
  <c r="AE35" i="111"/>
  <c r="AE34" i="111"/>
  <c r="AE37" i="111"/>
  <c r="AE40" i="111"/>
  <c r="AE41" i="111"/>
  <c r="AF34" i="111"/>
  <c r="AF40" i="111"/>
  <c r="AF37" i="111"/>
  <c r="AF41" i="111"/>
  <c r="AF38" i="111"/>
  <c r="AF35" i="111"/>
  <c r="W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  <c r="AE42" i="111"/>
</calcChain>
</file>

<file path=xl/sharedStrings.xml><?xml version="1.0" encoding="utf-8"?>
<sst xmlns="http://schemas.openxmlformats.org/spreadsheetml/2006/main" count="2324" uniqueCount="179">
  <si>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</si>
  <si>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</si>
  <si>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</si>
  <si>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</si>
  <si>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</si>
  <si>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</si>
  <si>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</si>
  <si>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</si>
  <si>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</si>
  <si>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</si>
  <si>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</si>
  <si>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</si>
  <si>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</si>
  <si>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</si>
  <si>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</si>
  <si>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</si>
  <si>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</si>
  <si>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</si>
  <si>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</si>
  <si>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</si>
  <si>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</si>
  <si>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</si>
  <si>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</si>
  <si>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</si>
  <si>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</si>
  <si>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</si>
  <si>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</si>
  <si>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</si>
  <si>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</si>
  <si>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</si>
  <si>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</si>
  <si>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</si>
  <si>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</si>
  <si>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</si>
  <si>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</si>
  <si>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</si>
  <si>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</si>
  <si>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</si>
  <si>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</si>
  <si>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</si>
  <si>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</si>
  <si>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</si>
  <si>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</si>
  <si>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</si>
  <si>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</si>
  <si>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</si>
  <si>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</si>
  <si>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</si>
  <si>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</si>
  <si>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</si>
  <si>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</si>
  <si>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</si>
  <si>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</si>
  <si>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</si>
  <si>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</si>
  <si>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</si>
  <si>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</si>
  <si>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</si>
  <si>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</si>
  <si>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</si>
  <si>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</si>
  <si>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</si>
  <si>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</si>
  <si>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</si>
  <si>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</si>
  <si>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</si>
  <si>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</si>
  <si>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</si>
  <si>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</si>
  <si>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</si>
  <si>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</si>
  <si>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</si>
  <si>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</si>
  <si>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</si>
  <si>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</si>
  <si>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</si>
  <si>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</si>
  <si>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</si>
  <si>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</si>
  <si>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</si>
  <si>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</si>
  <si>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</si>
  <si>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</si>
  <si>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</si>
  <si>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</si>
  <si>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</si>
  <si>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</si>
  <si>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</si>
  <si>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</si>
  <si>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</si>
  <si>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</si>
  <si>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</si>
  <si>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</si>
  <si>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</si>
  <si>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</si>
  <si>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</si>
  <si>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</si>
  <si>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</si>
  <si>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</si>
  <si>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</si>
  <si>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</si>
  <si>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</si>
  <si>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</si>
  <si>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</si>
  <si>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</si>
  <si>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</si>
  <si>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</si>
  <si>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</si>
  <si>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</si>
  <si>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</si>
  <si>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</si>
  <si>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</si>
  <si>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</si>
  <si>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</si>
  <si>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</si>
  <si>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</si>
  <si>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</si>
  <si>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</si>
  <si>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</si>
  <si>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</si>
  <si>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</si>
  <si>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</si>
  <si>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</si>
  <si>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</si>
  <si>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</si>
  <si>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</si>
  <si>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</si>
  <si>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</si>
  <si>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</si>
  <si>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</si>
  <si>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</si>
  <si>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</si>
  <si>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</si>
  <si>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</si>
  <si>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</si>
  <si>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</si>
  <si>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</si>
  <si>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</si>
  <si>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</si>
  <si>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</si>
  <si>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</si>
  <si>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</si>
  <si>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</si>
  <si>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</si>
  <si>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</si>
  <si>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</si>
  <si>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</si>
  <si>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</si>
  <si>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</si>
  <si>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</si>
  <si>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</si>
  <si>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</si>
  <si>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</si>
  <si>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</si>
  <si>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</si>
  <si>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</si>
  <si>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</si>
  <si>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</si>
  <si>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</si>
  <si>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</si>
  <si>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</si>
  <si>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</si>
  <si>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</si>
  <si>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</si>
  <si>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</si>
  <si>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</si>
  <si>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</si>
  <si>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</si>
  <si>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</si>
  <si>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</si>
  <si>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MCC - C1 - STN018 - HOIMA ROAD</t>
  </si>
  <si>
    <t>KAMPALA</t>
  </si>
  <si>
    <t>WAKISO</t>
  </si>
  <si>
    <t>FARIDA</t>
  </si>
  <si>
    <t>NUSULAH</t>
  </si>
  <si>
    <t>Wakiso</t>
  </si>
  <si>
    <t>Kampala</t>
  </si>
  <si>
    <t>AFTER STABEX NANSANA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</si>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</sst>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5" borderId="0" xfId="0" applyFill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left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Kampala-Wakiso'!$AE$9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Kampala-Wakiso'!$AE$10:$AE$21</c:f>
              <c:numCache>
                <c:formatCode>0</c:formatCode>
                <c:ptCount val="12"/>
                <c:pt idx="0">
                  <c:v>337</c:v>
                </c:pt>
                <c:pt idx="1">
                  <c:v>394</c:v>
                </c:pt>
                <c:pt idx="2">
                  <c:v>442</c:v>
                </c:pt>
                <c:pt idx="3">
                  <c:v>525</c:v>
                </c:pt>
                <c:pt idx="4">
                  <c:v>450</c:v>
                </c:pt>
                <c:pt idx="5">
                  <c:v>414</c:v>
                </c:pt>
                <c:pt idx="6">
                  <c:v>462</c:v>
                </c:pt>
                <c:pt idx="7">
                  <c:v>333</c:v>
                </c:pt>
                <c:pt idx="8">
                  <c:v>318</c:v>
                </c:pt>
                <c:pt idx="9">
                  <c:v>636</c:v>
                </c:pt>
                <c:pt idx="10">
                  <c:v>977</c:v>
                </c:pt>
                <c:pt idx="11">
                  <c:v>343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Kampala-Wakiso'!$AF$9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Kampala-Wakiso'!$AF$10:$AF$21</c:f>
              <c:numCache>
                <c:formatCode>0</c:formatCode>
                <c:ptCount val="12"/>
                <c:pt idx="0">
                  <c:v>663</c:v>
                </c:pt>
                <c:pt idx="1">
                  <c:v>789</c:v>
                </c:pt>
                <c:pt idx="2">
                  <c:v>792</c:v>
                </c:pt>
                <c:pt idx="3">
                  <c:v>930</c:v>
                </c:pt>
                <c:pt idx="4">
                  <c:v>761</c:v>
                </c:pt>
                <c:pt idx="5">
                  <c:v>761</c:v>
                </c:pt>
                <c:pt idx="6">
                  <c:v>774</c:v>
                </c:pt>
                <c:pt idx="7">
                  <c:v>663</c:v>
                </c:pt>
                <c:pt idx="8">
                  <c:v>431</c:v>
                </c:pt>
                <c:pt idx="9">
                  <c:v>931</c:v>
                </c:pt>
                <c:pt idx="10">
                  <c:v>1317</c:v>
                </c:pt>
                <c:pt idx="11">
                  <c:v>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612352"/>
        <c:axId val="76614272"/>
      </c:lineChart>
      <c:catAx>
        <c:axId val="766123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614272"/>
        <c:crosses val="autoZero"/>
        <c:auto val="1"/>
        <c:lblAlgn val="ctr"/>
        <c:lblOffset val="100"/>
        <c:noMultiLvlLbl val="0"/>
      </c:catAx>
      <c:valAx>
        <c:axId val="76614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61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Kampala-Wakiso'!$C$59:$N$59</c:f>
              <c:numCache>
                <c:formatCode>0.0%</c:formatCode>
                <c:ptCount val="12"/>
                <c:pt idx="0">
                  <c:v>0.1640122349963084</c:v>
                </c:pt>
                <c:pt idx="1">
                  <c:v>0.13184263263368842</c:v>
                </c:pt>
                <c:pt idx="2">
                  <c:v>3.8392574622930067E-2</c:v>
                </c:pt>
                <c:pt idx="3">
                  <c:v>0.19249024364518511</c:v>
                </c:pt>
                <c:pt idx="4">
                  <c:v>3.5861196076363254E-3</c:v>
                </c:pt>
                <c:pt idx="5">
                  <c:v>2.5313785465668178E-3</c:v>
                </c:pt>
                <c:pt idx="6">
                  <c:v>4.7674295960341735E-2</c:v>
                </c:pt>
                <c:pt idx="7">
                  <c:v>6.7503427908448474E-3</c:v>
                </c:pt>
                <c:pt idx="8">
                  <c:v>4.1134901381710788E-3</c:v>
                </c:pt>
                <c:pt idx="9">
                  <c:v>2.5313785465668178E-3</c:v>
                </c:pt>
                <c:pt idx="10">
                  <c:v>0.40607530851176038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Kampala-Wakiso'!$C$60:$N$60</c:f>
              <c:numCache>
                <c:formatCode>0.00%</c:formatCode>
                <c:ptCount val="12"/>
                <c:pt idx="0">
                  <c:v>0.27614988456757239</c:v>
                </c:pt>
                <c:pt idx="1">
                  <c:v>0.22198543775528326</c:v>
                </c:pt>
                <c:pt idx="2">
                  <c:v>6.464215947433849E-2</c:v>
                </c:pt>
                <c:pt idx="3">
                  <c:v>0.32409873912271353</c:v>
                </c:pt>
                <c:pt idx="4">
                  <c:v>6.0380039069437043E-3</c:v>
                </c:pt>
                <c:pt idx="5">
                  <c:v>4.2621204049014382E-3</c:v>
                </c:pt>
                <c:pt idx="6">
                  <c:v>8.0269934292310427E-2</c:v>
                </c:pt>
                <c:pt idx="7">
                  <c:v>1.1365654413070502E-2</c:v>
                </c:pt>
                <c:pt idx="8">
                  <c:v>6.9259456579648373E-3</c:v>
                </c:pt>
                <c:pt idx="9">
                  <c:v>4.2621204049014382E-3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Wakiso-Kampala'!$AE$9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Wakiso-Kampala'!$AE$10:$AE$21</c:f>
              <c:numCache>
                <c:formatCode>0</c:formatCode>
                <c:ptCount val="12"/>
                <c:pt idx="0">
                  <c:v>918</c:v>
                </c:pt>
                <c:pt idx="1">
                  <c:v>781</c:v>
                </c:pt>
                <c:pt idx="2">
                  <c:v>791</c:v>
                </c:pt>
                <c:pt idx="3">
                  <c:v>785</c:v>
                </c:pt>
                <c:pt idx="4">
                  <c:v>636</c:v>
                </c:pt>
                <c:pt idx="5">
                  <c:v>670</c:v>
                </c:pt>
                <c:pt idx="6">
                  <c:v>584</c:v>
                </c:pt>
                <c:pt idx="7">
                  <c:v>633</c:v>
                </c:pt>
                <c:pt idx="8">
                  <c:v>510</c:v>
                </c:pt>
                <c:pt idx="9">
                  <c:v>665</c:v>
                </c:pt>
                <c:pt idx="10">
                  <c:v>607</c:v>
                </c:pt>
                <c:pt idx="11">
                  <c:v>615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Wakiso-Kampala'!$AF$9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Wakiso-Kampala'!$AF$10:$AF$21</c:f>
              <c:numCache>
                <c:formatCode>0</c:formatCode>
                <c:ptCount val="12"/>
                <c:pt idx="0">
                  <c:v>1612</c:v>
                </c:pt>
                <c:pt idx="1">
                  <c:v>1302</c:v>
                </c:pt>
                <c:pt idx="2">
                  <c:v>1277</c:v>
                </c:pt>
                <c:pt idx="3">
                  <c:v>1385</c:v>
                </c:pt>
                <c:pt idx="4">
                  <c:v>1088</c:v>
                </c:pt>
                <c:pt idx="5">
                  <c:v>1050</c:v>
                </c:pt>
                <c:pt idx="6">
                  <c:v>955</c:v>
                </c:pt>
                <c:pt idx="7">
                  <c:v>1033</c:v>
                </c:pt>
                <c:pt idx="8">
                  <c:v>710</c:v>
                </c:pt>
                <c:pt idx="9">
                  <c:v>970</c:v>
                </c:pt>
                <c:pt idx="10">
                  <c:v>1002</c:v>
                </c:pt>
                <c:pt idx="11">
                  <c:v>1092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11680"/>
        <c:axId val="77620352"/>
      </c:lineChart>
      <c:catAx>
        <c:axId val="77511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620352"/>
        <c:crosses val="autoZero"/>
        <c:auto val="1"/>
        <c:lblAlgn val="ctr"/>
        <c:lblOffset val="100"/>
        <c:noMultiLvlLbl val="0"/>
      </c:catAx>
      <c:valAx>
        <c:axId val="77620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51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Wakiso-Kampala'!$C$59:$N$59</c:f>
              <c:numCache>
                <c:formatCode>0.0%</c:formatCode>
                <c:ptCount val="12"/>
                <c:pt idx="0">
                  <c:v>0.19649747699614128</c:v>
                </c:pt>
                <c:pt idx="1">
                  <c:v>9.0902344909468691E-2</c:v>
                </c:pt>
                <c:pt idx="2">
                  <c:v>3.9032353814188188E-2</c:v>
                </c:pt>
                <c:pt idx="3">
                  <c:v>0.22729296527159396</c:v>
                </c:pt>
                <c:pt idx="4">
                  <c:v>3.1908578213119621E-3</c:v>
                </c:pt>
                <c:pt idx="5">
                  <c:v>1.2615019293558919E-3</c:v>
                </c:pt>
                <c:pt idx="6">
                  <c:v>3.613831997625408E-2</c:v>
                </c:pt>
                <c:pt idx="7">
                  <c:v>8.682101513802316E-3</c:v>
                </c:pt>
                <c:pt idx="8">
                  <c:v>1.8551498961116059E-3</c:v>
                </c:pt>
                <c:pt idx="9">
                  <c:v>3.2650638171564262E-3</c:v>
                </c:pt>
                <c:pt idx="10">
                  <c:v>0.39188186405461561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Wakiso-Kampala'!$S$9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Wakiso-Kampala'!$S$10:$S$21</c:f>
              <c:numCache>
                <c:formatCode>0</c:formatCode>
                <c:ptCount val="12"/>
                <c:pt idx="0">
                  <c:v>331</c:v>
                </c:pt>
                <c:pt idx="1">
                  <c:v>302</c:v>
                </c:pt>
                <c:pt idx="2">
                  <c:v>260</c:v>
                </c:pt>
                <c:pt idx="3">
                  <c:v>253</c:v>
                </c:pt>
                <c:pt idx="4">
                  <c:v>200</c:v>
                </c:pt>
                <c:pt idx="5">
                  <c:v>229</c:v>
                </c:pt>
                <c:pt idx="6">
                  <c:v>189</c:v>
                </c:pt>
                <c:pt idx="7">
                  <c:v>187</c:v>
                </c:pt>
                <c:pt idx="8">
                  <c:v>152</c:v>
                </c:pt>
                <c:pt idx="9">
                  <c:v>218</c:v>
                </c:pt>
                <c:pt idx="10">
                  <c:v>169</c:v>
                </c:pt>
                <c:pt idx="11">
                  <c:v>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Wakiso-Kampala'!$T$9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Wakiso-Kampala'!$T$10:$T$21</c:f>
              <c:numCache>
                <c:formatCode>0</c:formatCode>
                <c:ptCount val="12"/>
                <c:pt idx="0">
                  <c:v>135</c:v>
                </c:pt>
                <c:pt idx="1">
                  <c:v>131</c:v>
                </c:pt>
                <c:pt idx="2">
                  <c:v>141</c:v>
                </c:pt>
                <c:pt idx="3">
                  <c:v>106</c:v>
                </c:pt>
                <c:pt idx="4">
                  <c:v>98</c:v>
                </c:pt>
                <c:pt idx="5">
                  <c:v>97</c:v>
                </c:pt>
                <c:pt idx="6">
                  <c:v>81</c:v>
                </c:pt>
                <c:pt idx="7">
                  <c:v>89</c:v>
                </c:pt>
                <c:pt idx="8">
                  <c:v>61</c:v>
                </c:pt>
                <c:pt idx="9">
                  <c:v>94</c:v>
                </c:pt>
                <c:pt idx="10">
                  <c:v>100</c:v>
                </c:pt>
                <c:pt idx="11">
                  <c:v>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Wakiso-Kampala'!$U$9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Wakiso-Kampala'!$U$10:$U$21</c:f>
              <c:numCache>
                <c:formatCode>0</c:formatCode>
                <c:ptCount val="12"/>
                <c:pt idx="0">
                  <c:v>59</c:v>
                </c:pt>
                <c:pt idx="1">
                  <c:v>51</c:v>
                </c:pt>
                <c:pt idx="2">
                  <c:v>44</c:v>
                </c:pt>
                <c:pt idx="3">
                  <c:v>49</c:v>
                </c:pt>
                <c:pt idx="4">
                  <c:v>49</c:v>
                </c:pt>
                <c:pt idx="5">
                  <c:v>53</c:v>
                </c:pt>
                <c:pt idx="6">
                  <c:v>32</c:v>
                </c:pt>
                <c:pt idx="7">
                  <c:v>47</c:v>
                </c:pt>
                <c:pt idx="8">
                  <c:v>32</c:v>
                </c:pt>
                <c:pt idx="9">
                  <c:v>42</c:v>
                </c:pt>
                <c:pt idx="10">
                  <c:v>44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Wakiso-Kampala'!$V$9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Wakiso-Kampala'!$V$10:$V$21</c:f>
              <c:numCache>
                <c:formatCode>0</c:formatCode>
                <c:ptCount val="12"/>
                <c:pt idx="0">
                  <c:v>355</c:v>
                </c:pt>
                <c:pt idx="1">
                  <c:v>238</c:v>
                </c:pt>
                <c:pt idx="2">
                  <c:v>282</c:v>
                </c:pt>
                <c:pt idx="3">
                  <c:v>314</c:v>
                </c:pt>
                <c:pt idx="4">
                  <c:v>236</c:v>
                </c:pt>
                <c:pt idx="5">
                  <c:v>249</c:v>
                </c:pt>
                <c:pt idx="6">
                  <c:v>215</c:v>
                </c:pt>
                <c:pt idx="7">
                  <c:v>243</c:v>
                </c:pt>
                <c:pt idx="8">
                  <c:v>191</c:v>
                </c:pt>
                <c:pt idx="9">
                  <c:v>238</c:v>
                </c:pt>
                <c:pt idx="10">
                  <c:v>227</c:v>
                </c:pt>
                <c:pt idx="11">
                  <c:v>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Wakiso-Kampala'!$W$9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Wakiso-Kampala'!$W$10:$W$21</c:f>
              <c:numCache>
                <c:formatCode>0</c:formatCode>
                <c:ptCount val="12"/>
                <c:pt idx="0">
                  <c:v>13</c:v>
                </c:pt>
                <c:pt idx="1">
                  <c:v>4</c:v>
                </c:pt>
                <c:pt idx="2">
                  <c:v>7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Wakiso-Kampala'!$X$9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Wakiso-Kampala'!$Y$9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Wakiso-Kampala'!$Y$10:$Y$21</c:f>
              <c:numCache>
                <c:formatCode>0</c:formatCode>
                <c:ptCount val="12"/>
                <c:pt idx="0">
                  <c:v>20</c:v>
                </c:pt>
                <c:pt idx="1">
                  <c:v>39</c:v>
                </c:pt>
                <c:pt idx="2">
                  <c:v>37</c:v>
                </c:pt>
                <c:pt idx="3">
                  <c:v>34</c:v>
                </c:pt>
                <c:pt idx="4">
                  <c:v>26</c:v>
                </c:pt>
                <c:pt idx="5">
                  <c:v>35</c:v>
                </c:pt>
                <c:pt idx="6">
                  <c:v>49</c:v>
                </c:pt>
                <c:pt idx="7">
                  <c:v>48</c:v>
                </c:pt>
                <c:pt idx="8">
                  <c:v>53</c:v>
                </c:pt>
                <c:pt idx="9">
                  <c:v>53</c:v>
                </c:pt>
                <c:pt idx="10">
                  <c:v>47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Wakiso-Kampala'!$Z$9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Wakiso-Kampala'!$Z$10:$Z$21</c:f>
              <c:numCache>
                <c:formatCode>0</c:formatCode>
                <c:ptCount val="12"/>
                <c:pt idx="0">
                  <c:v>1</c:v>
                </c:pt>
                <c:pt idx="1">
                  <c:v>10</c:v>
                </c:pt>
                <c:pt idx="2">
                  <c:v>11</c:v>
                </c:pt>
                <c:pt idx="3">
                  <c:v>23</c:v>
                </c:pt>
                <c:pt idx="4">
                  <c:v>9</c:v>
                </c:pt>
                <c:pt idx="5">
                  <c:v>3</c:v>
                </c:pt>
                <c:pt idx="6">
                  <c:v>9</c:v>
                </c:pt>
                <c:pt idx="7">
                  <c:v>12</c:v>
                </c:pt>
                <c:pt idx="8">
                  <c:v>17</c:v>
                </c:pt>
                <c:pt idx="9">
                  <c:v>9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Wakiso-Kampala'!$AA$9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Wakiso-Kampala'!$AA$10:$AA$21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Wakiso-Kampala'!$AB$9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Wakiso-Kampala'!$AB$10:$AB$21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14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Wakiso-Kampala'!$AC$9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Wakiso-Kampala'!$AC$10:$AC$21</c:f>
              <c:numCache>
                <c:formatCode>0</c:formatCode>
                <c:ptCount val="12"/>
                <c:pt idx="0">
                  <c:v>694</c:v>
                </c:pt>
                <c:pt idx="1">
                  <c:v>521</c:v>
                </c:pt>
                <c:pt idx="2">
                  <c:v>486</c:v>
                </c:pt>
                <c:pt idx="3">
                  <c:v>600</c:v>
                </c:pt>
                <c:pt idx="4">
                  <c:v>452</c:v>
                </c:pt>
                <c:pt idx="5">
                  <c:v>380</c:v>
                </c:pt>
                <c:pt idx="6">
                  <c:v>371</c:v>
                </c:pt>
                <c:pt idx="7">
                  <c:v>400</c:v>
                </c:pt>
                <c:pt idx="8">
                  <c:v>200</c:v>
                </c:pt>
                <c:pt idx="9">
                  <c:v>305</c:v>
                </c:pt>
                <c:pt idx="10">
                  <c:v>395</c:v>
                </c:pt>
                <c:pt idx="11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Wakiso-Kampala'!$AD$9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Wakiso-Kampala'!$AD$10:$AD$21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87904"/>
        <c:axId val="77789440"/>
      </c:lineChart>
      <c:catAx>
        <c:axId val="7778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789440"/>
        <c:crosses val="autoZero"/>
        <c:auto val="1"/>
        <c:lblAlgn val="ctr"/>
        <c:lblOffset val="100"/>
        <c:noMultiLvlLbl val="0"/>
      </c:catAx>
      <c:valAx>
        <c:axId val="7778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78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Wakiso-Kampala'!$C$60:$N$60</c:f>
              <c:numCache>
                <c:formatCode>0.00%</c:formatCode>
                <c:ptCount val="12"/>
                <c:pt idx="0">
                  <c:v>0.32312385600976207</c:v>
                </c:pt>
                <c:pt idx="1">
                  <c:v>0.14948139109212935</c:v>
                </c:pt>
                <c:pt idx="2">
                  <c:v>6.4185478950579619E-2</c:v>
                </c:pt>
                <c:pt idx="3">
                  <c:v>0.37376449054301403</c:v>
                </c:pt>
                <c:pt idx="4">
                  <c:v>5.2471018913971936E-3</c:v>
                </c:pt>
                <c:pt idx="5">
                  <c:v>2.0744356314826113E-3</c:v>
                </c:pt>
                <c:pt idx="6">
                  <c:v>5.9426479560707748E-2</c:v>
                </c:pt>
                <c:pt idx="7">
                  <c:v>1.4276998169615619E-2</c:v>
                </c:pt>
                <c:pt idx="8">
                  <c:v>3.0506406345332522E-3</c:v>
                </c:pt>
                <c:pt idx="9">
                  <c:v>5.3691275167785232E-3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KAMPALA-WAKISO'!$AE$9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KAMPALA-WAKISO'!$AE$10:$AE$21</c:f>
              <c:numCache>
                <c:formatCode>0</c:formatCode>
                <c:ptCount val="12"/>
                <c:pt idx="0">
                  <c:v>267</c:v>
                </c:pt>
                <c:pt idx="1">
                  <c:v>463</c:v>
                </c:pt>
                <c:pt idx="2">
                  <c:v>535</c:v>
                </c:pt>
                <c:pt idx="3">
                  <c:v>595</c:v>
                </c:pt>
                <c:pt idx="4">
                  <c:v>584</c:v>
                </c:pt>
                <c:pt idx="5">
                  <c:v>575</c:v>
                </c:pt>
                <c:pt idx="6">
                  <c:v>746</c:v>
                </c:pt>
                <c:pt idx="7">
                  <c:v>904</c:v>
                </c:pt>
                <c:pt idx="8">
                  <c:v>823</c:v>
                </c:pt>
                <c:pt idx="9">
                  <c:v>787</c:v>
                </c:pt>
                <c:pt idx="10">
                  <c:v>936</c:v>
                </c:pt>
                <c:pt idx="11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KAMPALA-WAKISO'!$AF$9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KAMPALA-WAKISO'!$AF$10:$AF$21</c:f>
              <c:numCache>
                <c:formatCode>0</c:formatCode>
                <c:ptCount val="12"/>
                <c:pt idx="0">
                  <c:v>437</c:v>
                </c:pt>
                <c:pt idx="1">
                  <c:v>963</c:v>
                </c:pt>
                <c:pt idx="2">
                  <c:v>811</c:v>
                </c:pt>
                <c:pt idx="3">
                  <c:v>940</c:v>
                </c:pt>
                <c:pt idx="4">
                  <c:v>1011</c:v>
                </c:pt>
                <c:pt idx="5">
                  <c:v>910</c:v>
                </c:pt>
                <c:pt idx="6">
                  <c:v>1061</c:v>
                </c:pt>
                <c:pt idx="7">
                  <c:v>1362</c:v>
                </c:pt>
                <c:pt idx="8">
                  <c:v>1253</c:v>
                </c:pt>
                <c:pt idx="9">
                  <c:v>1182</c:v>
                </c:pt>
                <c:pt idx="10">
                  <c:v>1398</c:v>
                </c:pt>
                <c:pt idx="11">
                  <c:v>1535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68032"/>
        <c:axId val="77898880"/>
      </c:lineChart>
      <c:catAx>
        <c:axId val="77868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898880"/>
        <c:crosses val="autoZero"/>
        <c:auto val="1"/>
        <c:lblAlgn val="ctr"/>
        <c:lblOffset val="100"/>
        <c:noMultiLvlLbl val="0"/>
      </c:catAx>
      <c:valAx>
        <c:axId val="77898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786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KAMPALA-WAKISO'!$C$59:$N$59</c:f>
              <c:numCache>
                <c:formatCode>0.0%</c:formatCode>
                <c:ptCount val="12"/>
                <c:pt idx="0">
                  <c:v>0.18634844126564565</c:v>
                </c:pt>
                <c:pt idx="1">
                  <c:v>0.17733032729534323</c:v>
                </c:pt>
                <c:pt idx="2">
                  <c:v>3.2496307237813882E-2</c:v>
                </c:pt>
                <c:pt idx="3">
                  <c:v>0.19388945036150199</c:v>
                </c:pt>
                <c:pt idx="4">
                  <c:v>3.1096944725180751E-3</c:v>
                </c:pt>
                <c:pt idx="5">
                  <c:v>1.3993625126331338E-3</c:v>
                </c:pt>
                <c:pt idx="6">
                  <c:v>3.9493119800979554E-2</c:v>
                </c:pt>
                <c:pt idx="7">
                  <c:v>3.1096944725180751E-3</c:v>
                </c:pt>
                <c:pt idx="8">
                  <c:v>2.48775557801446E-3</c:v>
                </c:pt>
                <c:pt idx="9">
                  <c:v>5.4419653269066311E-4</c:v>
                </c:pt>
                <c:pt idx="10">
                  <c:v>0.35979165047034128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KAMPALA-WAKISO'!$S$9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KAMPALA-WAKISO'!$S$10:$S$21</c:f>
              <c:numCache>
                <c:formatCode>0</c:formatCode>
                <c:ptCount val="12"/>
                <c:pt idx="0">
                  <c:v>67</c:v>
                </c:pt>
                <c:pt idx="1">
                  <c:v>142</c:v>
                </c:pt>
                <c:pt idx="2">
                  <c:v>128</c:v>
                </c:pt>
                <c:pt idx="3">
                  <c:v>185</c:v>
                </c:pt>
                <c:pt idx="4">
                  <c:v>188</c:v>
                </c:pt>
                <c:pt idx="5">
                  <c:v>151</c:v>
                </c:pt>
                <c:pt idx="6">
                  <c:v>204</c:v>
                </c:pt>
                <c:pt idx="7">
                  <c:v>205</c:v>
                </c:pt>
                <c:pt idx="8">
                  <c:v>250</c:v>
                </c:pt>
                <c:pt idx="9">
                  <c:v>236</c:v>
                </c:pt>
                <c:pt idx="10">
                  <c:v>346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KAMPALA-WAKISO'!$T$9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KAMPALA-WAKISO'!$T$10:$T$21</c:f>
              <c:numCache>
                <c:formatCode>0</c:formatCode>
                <c:ptCount val="12"/>
                <c:pt idx="0">
                  <c:v>52</c:v>
                </c:pt>
                <c:pt idx="1">
                  <c:v>118</c:v>
                </c:pt>
                <c:pt idx="2">
                  <c:v>169</c:v>
                </c:pt>
                <c:pt idx="3">
                  <c:v>187</c:v>
                </c:pt>
                <c:pt idx="4">
                  <c:v>158</c:v>
                </c:pt>
                <c:pt idx="5">
                  <c:v>159</c:v>
                </c:pt>
                <c:pt idx="6">
                  <c:v>226</c:v>
                </c:pt>
                <c:pt idx="7">
                  <c:v>246</c:v>
                </c:pt>
                <c:pt idx="8">
                  <c:v>230</c:v>
                </c:pt>
                <c:pt idx="9">
                  <c:v>285</c:v>
                </c:pt>
                <c:pt idx="10">
                  <c:v>120</c:v>
                </c:pt>
                <c:pt idx="11">
                  <c:v>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KAMPALA-WAKISO'!$U$9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KAMPALA-WAKISO'!$U$10:$U$21</c:f>
              <c:numCache>
                <c:formatCode>0</c:formatCode>
                <c:ptCount val="12"/>
                <c:pt idx="0">
                  <c:v>15</c:v>
                </c:pt>
                <c:pt idx="1">
                  <c:v>58</c:v>
                </c:pt>
                <c:pt idx="2">
                  <c:v>27</c:v>
                </c:pt>
                <c:pt idx="3">
                  <c:v>33</c:v>
                </c:pt>
                <c:pt idx="4">
                  <c:v>24</c:v>
                </c:pt>
                <c:pt idx="5">
                  <c:v>28</c:v>
                </c:pt>
                <c:pt idx="6">
                  <c:v>46</c:v>
                </c:pt>
                <c:pt idx="7">
                  <c:v>22</c:v>
                </c:pt>
                <c:pt idx="8">
                  <c:v>52</c:v>
                </c:pt>
                <c:pt idx="9">
                  <c:v>39</c:v>
                </c:pt>
                <c:pt idx="10">
                  <c:v>39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KAMPALA-WAKISO'!$V$9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KAMPALA-WAKISO'!$V$10:$V$21</c:f>
              <c:numCache>
                <c:formatCode>0</c:formatCode>
                <c:ptCount val="12"/>
                <c:pt idx="0">
                  <c:v>120</c:v>
                </c:pt>
                <c:pt idx="1">
                  <c:v>122</c:v>
                </c:pt>
                <c:pt idx="2">
                  <c:v>176</c:v>
                </c:pt>
                <c:pt idx="3">
                  <c:v>151</c:v>
                </c:pt>
                <c:pt idx="4">
                  <c:v>165</c:v>
                </c:pt>
                <c:pt idx="5">
                  <c:v>172</c:v>
                </c:pt>
                <c:pt idx="6">
                  <c:v>207</c:v>
                </c:pt>
                <c:pt idx="7">
                  <c:v>315</c:v>
                </c:pt>
                <c:pt idx="8">
                  <c:v>255</c:v>
                </c:pt>
                <c:pt idx="9">
                  <c:v>186</c:v>
                </c:pt>
                <c:pt idx="10">
                  <c:v>330</c:v>
                </c:pt>
                <c:pt idx="11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KAMPALA-WAKISO'!$W$9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KAMPALA-WAKISO'!$W$10:$W$21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KAMPALA-WAKISO'!$X$9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KAMPALA-WAKISO'!$Y$9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KAMPALA-WAKISO'!$Y$10:$Y$21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33</c:v>
                </c:pt>
                <c:pt idx="3">
                  <c:v>25</c:v>
                </c:pt>
                <c:pt idx="4">
                  <c:v>39</c:v>
                </c:pt>
                <c:pt idx="5">
                  <c:v>61</c:v>
                </c:pt>
                <c:pt idx="6">
                  <c:v>56</c:v>
                </c:pt>
                <c:pt idx="7">
                  <c:v>112</c:v>
                </c:pt>
                <c:pt idx="8">
                  <c:v>27</c:v>
                </c:pt>
                <c:pt idx="9">
                  <c:v>28</c:v>
                </c:pt>
                <c:pt idx="10">
                  <c:v>70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KAMPALA-WAKISO'!$Z$9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KAMPALA-WAKISO'!$AA$9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3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4</c:v>
                </c:pt>
                <c:pt idx="9">
                  <c:v>5</c:v>
                </c:pt>
                <c:pt idx="10">
                  <c:v>11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KAMPALA-WAKISO'!$AB$9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KAMPALA-WAKISO'!$AC$9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KAMPALA-WAKISO'!$AC$10:$AC$21</c:f>
              <c:numCache>
                <c:formatCode>0</c:formatCode>
                <c:ptCount val="12"/>
                <c:pt idx="0">
                  <c:v>170</c:v>
                </c:pt>
                <c:pt idx="1">
                  <c:v>500</c:v>
                </c:pt>
                <c:pt idx="2">
                  <c:v>276</c:v>
                </c:pt>
                <c:pt idx="3">
                  <c:v>345</c:v>
                </c:pt>
                <c:pt idx="4">
                  <c:v>427</c:v>
                </c:pt>
                <c:pt idx="5">
                  <c:v>335</c:v>
                </c:pt>
                <c:pt idx="6">
                  <c:v>315</c:v>
                </c:pt>
                <c:pt idx="7">
                  <c:v>458</c:v>
                </c:pt>
                <c:pt idx="8">
                  <c:v>430</c:v>
                </c:pt>
                <c:pt idx="9">
                  <c:v>395</c:v>
                </c:pt>
                <c:pt idx="10">
                  <c:v>462</c:v>
                </c:pt>
                <c:pt idx="11">
                  <c:v>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KAMPALA-WAKISO'!$AD$9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KAMPALA-WAKISO'!$AD$10:$AD$21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168832"/>
        <c:axId val="78170368"/>
      </c:lineChart>
      <c:catAx>
        <c:axId val="7816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170368"/>
        <c:crosses val="autoZero"/>
        <c:auto val="1"/>
        <c:lblAlgn val="ctr"/>
        <c:lblOffset val="100"/>
        <c:noMultiLvlLbl val="0"/>
      </c:catAx>
      <c:valAx>
        <c:axId val="7817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16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KAMPALA-WAKISO'!$C$60:$N$60</c:f>
              <c:numCache>
                <c:formatCode>0.00%</c:formatCode>
                <c:ptCount val="12"/>
                <c:pt idx="0">
                  <c:v>0.29107468123861568</c:v>
                </c:pt>
                <c:pt idx="1">
                  <c:v>0.27698846387370979</c:v>
                </c:pt>
                <c:pt idx="2">
                  <c:v>5.0758955676988467E-2</c:v>
                </c:pt>
                <c:pt idx="3">
                  <c:v>0.30285367334547664</c:v>
                </c:pt>
                <c:pt idx="4">
                  <c:v>4.8573163327261691E-3</c:v>
                </c:pt>
                <c:pt idx="5">
                  <c:v>2.185792349726776E-3</c:v>
                </c:pt>
                <c:pt idx="6">
                  <c:v>6.1687917425622345E-2</c:v>
                </c:pt>
                <c:pt idx="7">
                  <c:v>4.8573163327261691E-3</c:v>
                </c:pt>
                <c:pt idx="8">
                  <c:v>3.8858530661809352E-3</c:v>
                </c:pt>
                <c:pt idx="9">
                  <c:v>8.500303582270795E-4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Wakiso-Kampala'!$AE$9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Wakiso-Kampala'!$AE$10:$AE$21</c:f>
              <c:numCache>
                <c:formatCode>0</c:formatCode>
                <c:ptCount val="12"/>
                <c:pt idx="0">
                  <c:v>839</c:v>
                </c:pt>
                <c:pt idx="1">
                  <c:v>792</c:v>
                </c:pt>
                <c:pt idx="2">
                  <c:v>832</c:v>
                </c:pt>
                <c:pt idx="3">
                  <c:v>717</c:v>
                </c:pt>
                <c:pt idx="4">
                  <c:v>611</c:v>
                </c:pt>
                <c:pt idx="5">
                  <c:v>484</c:v>
                </c:pt>
                <c:pt idx="6">
                  <c:v>516</c:v>
                </c:pt>
                <c:pt idx="7">
                  <c:v>590</c:v>
                </c:pt>
                <c:pt idx="8">
                  <c:v>643</c:v>
                </c:pt>
                <c:pt idx="9">
                  <c:v>676</c:v>
                </c:pt>
                <c:pt idx="10">
                  <c:v>731</c:v>
                </c:pt>
                <c:pt idx="11">
                  <c:v>712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Wakiso-Kampala'!$AF$9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Wakiso-Kampala'!$AF$10:$AF$21</c:f>
              <c:numCache>
                <c:formatCode>0</c:formatCode>
                <c:ptCount val="12"/>
                <c:pt idx="0">
                  <c:v>1469</c:v>
                </c:pt>
                <c:pt idx="1">
                  <c:v>1504</c:v>
                </c:pt>
                <c:pt idx="2">
                  <c:v>1382</c:v>
                </c:pt>
                <c:pt idx="3">
                  <c:v>1309</c:v>
                </c:pt>
                <c:pt idx="4">
                  <c:v>1073</c:v>
                </c:pt>
                <c:pt idx="5">
                  <c:v>831</c:v>
                </c:pt>
                <c:pt idx="6">
                  <c:v>822</c:v>
                </c:pt>
                <c:pt idx="7">
                  <c:v>915</c:v>
                </c:pt>
                <c:pt idx="8">
                  <c:v>1020</c:v>
                </c:pt>
                <c:pt idx="9">
                  <c:v>996</c:v>
                </c:pt>
                <c:pt idx="10">
                  <c:v>1181</c:v>
                </c:pt>
                <c:pt idx="11">
                  <c:v>1322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237696"/>
        <c:axId val="78239232"/>
      </c:lineChart>
      <c:catAx>
        <c:axId val="782376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239232"/>
        <c:crosses val="autoZero"/>
        <c:auto val="1"/>
        <c:lblAlgn val="ctr"/>
        <c:lblOffset val="100"/>
        <c:noMultiLvlLbl val="0"/>
      </c:catAx>
      <c:valAx>
        <c:axId val="782392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823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Wakiso-Kampala'!$C$59:$N$59</c:f>
              <c:numCache>
                <c:formatCode>0.0%</c:formatCode>
                <c:ptCount val="12"/>
                <c:pt idx="0">
                  <c:v>0.205078125</c:v>
                </c:pt>
                <c:pt idx="1">
                  <c:v>7.0240162037037035E-2</c:v>
                </c:pt>
                <c:pt idx="2">
                  <c:v>3.4143518518518517E-2</c:v>
                </c:pt>
                <c:pt idx="3">
                  <c:v>0.22793692129629631</c:v>
                </c:pt>
                <c:pt idx="4">
                  <c:v>4.123263888888889E-3</c:v>
                </c:pt>
                <c:pt idx="5">
                  <c:v>2.0978009259259261E-3</c:v>
                </c:pt>
                <c:pt idx="6">
                  <c:v>3.5807291666666664E-2</c:v>
                </c:pt>
                <c:pt idx="7">
                  <c:v>4.7019675925925927E-3</c:v>
                </c:pt>
                <c:pt idx="8">
                  <c:v>2.387152777777778E-3</c:v>
                </c:pt>
                <c:pt idx="9">
                  <c:v>2.4594907407407408E-3</c:v>
                </c:pt>
                <c:pt idx="10">
                  <c:v>0.41095196759259262</c:v>
                </c:pt>
                <c:pt idx="11">
                  <c:v>7.2337962962962959E-5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Wakiso-Kampala'!$S$9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Wakiso-Kampala'!$S$10:$S$21</c:f>
              <c:numCache>
                <c:formatCode>0</c:formatCode>
                <c:ptCount val="12"/>
                <c:pt idx="0">
                  <c:v>304</c:v>
                </c:pt>
                <c:pt idx="1">
                  <c:v>286</c:v>
                </c:pt>
                <c:pt idx="2">
                  <c:v>286</c:v>
                </c:pt>
                <c:pt idx="3">
                  <c:v>259</c:v>
                </c:pt>
                <c:pt idx="4">
                  <c:v>210</c:v>
                </c:pt>
                <c:pt idx="5">
                  <c:v>149</c:v>
                </c:pt>
                <c:pt idx="6">
                  <c:v>166</c:v>
                </c:pt>
                <c:pt idx="7">
                  <c:v>184</c:v>
                </c:pt>
                <c:pt idx="8">
                  <c:v>230</c:v>
                </c:pt>
                <c:pt idx="9">
                  <c:v>267</c:v>
                </c:pt>
                <c:pt idx="10">
                  <c:v>255</c:v>
                </c:pt>
                <c:pt idx="11">
                  <c:v>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Wakiso-Kampala'!$T$9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Wakiso-Kampala'!$T$10:$T$21</c:f>
              <c:numCache>
                <c:formatCode>0</c:formatCode>
                <c:ptCount val="12"/>
                <c:pt idx="0">
                  <c:v>100</c:v>
                </c:pt>
                <c:pt idx="1">
                  <c:v>121</c:v>
                </c:pt>
                <c:pt idx="2">
                  <c:v>112</c:v>
                </c:pt>
                <c:pt idx="3">
                  <c:v>81</c:v>
                </c:pt>
                <c:pt idx="4">
                  <c:v>106</c:v>
                </c:pt>
                <c:pt idx="5">
                  <c:v>58</c:v>
                </c:pt>
                <c:pt idx="6">
                  <c:v>51</c:v>
                </c:pt>
                <c:pt idx="7">
                  <c:v>61</c:v>
                </c:pt>
                <c:pt idx="8">
                  <c:v>38</c:v>
                </c:pt>
                <c:pt idx="9">
                  <c:v>93</c:v>
                </c:pt>
                <c:pt idx="10">
                  <c:v>89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Wakiso-Kampala'!$U$9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Wakiso-Kampala'!$U$10:$U$21</c:f>
              <c:numCache>
                <c:formatCode>0</c:formatCode>
                <c:ptCount val="12"/>
                <c:pt idx="0">
                  <c:v>53</c:v>
                </c:pt>
                <c:pt idx="1">
                  <c:v>50</c:v>
                </c:pt>
                <c:pt idx="2">
                  <c:v>44</c:v>
                </c:pt>
                <c:pt idx="3">
                  <c:v>45</c:v>
                </c:pt>
                <c:pt idx="4">
                  <c:v>25</c:v>
                </c:pt>
                <c:pt idx="5">
                  <c:v>19</c:v>
                </c:pt>
                <c:pt idx="6">
                  <c:v>30</c:v>
                </c:pt>
                <c:pt idx="7">
                  <c:v>42</c:v>
                </c:pt>
                <c:pt idx="8">
                  <c:v>29</c:v>
                </c:pt>
                <c:pt idx="9">
                  <c:v>55</c:v>
                </c:pt>
                <c:pt idx="10">
                  <c:v>33</c:v>
                </c:pt>
                <c:pt idx="1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Wakiso-Kampala'!$V$9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Wakiso-Kampala'!$V$10:$V$21</c:f>
              <c:numCache>
                <c:formatCode>0</c:formatCode>
                <c:ptCount val="12"/>
                <c:pt idx="0">
                  <c:v>333</c:v>
                </c:pt>
                <c:pt idx="1">
                  <c:v>272</c:v>
                </c:pt>
                <c:pt idx="2">
                  <c:v>315</c:v>
                </c:pt>
                <c:pt idx="3">
                  <c:v>284</c:v>
                </c:pt>
                <c:pt idx="4">
                  <c:v>224</c:v>
                </c:pt>
                <c:pt idx="5">
                  <c:v>203</c:v>
                </c:pt>
                <c:pt idx="6">
                  <c:v>209</c:v>
                </c:pt>
                <c:pt idx="7">
                  <c:v>247</c:v>
                </c:pt>
                <c:pt idx="8">
                  <c:v>276</c:v>
                </c:pt>
                <c:pt idx="9">
                  <c:v>200</c:v>
                </c:pt>
                <c:pt idx="10">
                  <c:v>285</c:v>
                </c:pt>
                <c:pt idx="11">
                  <c:v>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Wakiso-Kampala'!$W$9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Wakiso-Kampala'!$W$10:$W$21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12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7</c:v>
                </c:pt>
                <c:pt idx="9">
                  <c:v>5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Wakiso-Kampala'!$X$9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Wakiso-Kampala'!$X$10:$X$21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16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Wakiso-Kampala'!$Y$9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Wakiso-Kampala'!$Y$10:$Y$21</c:f>
              <c:numCache>
                <c:formatCode>0</c:formatCode>
                <c:ptCount val="12"/>
                <c:pt idx="0">
                  <c:v>37</c:v>
                </c:pt>
                <c:pt idx="1">
                  <c:v>50</c:v>
                </c:pt>
                <c:pt idx="2">
                  <c:v>48</c:v>
                </c:pt>
                <c:pt idx="3">
                  <c:v>38</c:v>
                </c:pt>
                <c:pt idx="4">
                  <c:v>31</c:v>
                </c:pt>
                <c:pt idx="5">
                  <c:v>38</c:v>
                </c:pt>
                <c:pt idx="6">
                  <c:v>30</c:v>
                </c:pt>
                <c:pt idx="7">
                  <c:v>45</c:v>
                </c:pt>
                <c:pt idx="8">
                  <c:v>42</c:v>
                </c:pt>
                <c:pt idx="9">
                  <c:v>42</c:v>
                </c:pt>
                <c:pt idx="10">
                  <c:v>54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Wakiso-Kampala'!$Z$9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Wakiso-Kampala'!$Z$10:$Z$21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8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10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Wakiso-Kampala'!$AA$9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6</c:v>
                </c:pt>
                <c:pt idx="9">
                  <c:v>1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Wakiso-Kampala'!$AB$9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7</c:v>
                </c:pt>
                <c:pt idx="6">
                  <c:v>5</c:v>
                </c:pt>
                <c:pt idx="7">
                  <c:v>2</c:v>
                </c:pt>
                <c:pt idx="8">
                  <c:v>3</c:v>
                </c:pt>
                <c:pt idx="9">
                  <c:v>6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Wakiso-Kampala'!$AC$9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Wakiso-Kampala'!$AC$10:$AC$21</c:f>
              <c:numCache>
                <c:formatCode>0</c:formatCode>
                <c:ptCount val="12"/>
                <c:pt idx="0">
                  <c:v>630</c:v>
                </c:pt>
                <c:pt idx="1">
                  <c:v>712</c:v>
                </c:pt>
                <c:pt idx="2">
                  <c:v>550</c:v>
                </c:pt>
                <c:pt idx="3">
                  <c:v>592</c:v>
                </c:pt>
                <c:pt idx="4">
                  <c:v>462</c:v>
                </c:pt>
                <c:pt idx="5">
                  <c:v>347</c:v>
                </c:pt>
                <c:pt idx="6">
                  <c:v>306</c:v>
                </c:pt>
                <c:pt idx="7">
                  <c:v>325</c:v>
                </c:pt>
                <c:pt idx="8">
                  <c:v>377</c:v>
                </c:pt>
                <c:pt idx="9">
                  <c:v>320</c:v>
                </c:pt>
                <c:pt idx="10">
                  <c:v>450</c:v>
                </c:pt>
                <c:pt idx="11">
                  <c:v>610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Wakiso-Kampala'!$AD$9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Wakiso-Kampala'!$AD$10:$AD$21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46112"/>
        <c:axId val="101947648"/>
      </c:lineChart>
      <c:catAx>
        <c:axId val="10194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947648"/>
        <c:crosses val="autoZero"/>
        <c:auto val="1"/>
        <c:lblAlgn val="ctr"/>
        <c:lblOffset val="100"/>
        <c:noMultiLvlLbl val="0"/>
      </c:catAx>
      <c:valAx>
        <c:axId val="10194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94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Wakiso-Kampala'!$C$60:$N$60</c:f>
              <c:numCache>
                <c:formatCode>0.00%</c:formatCode>
                <c:ptCount val="12"/>
                <c:pt idx="0">
                  <c:v>0.3481517868107577</c:v>
                </c:pt>
                <c:pt idx="1">
                  <c:v>0.11924352204347292</c:v>
                </c:pt>
                <c:pt idx="2">
                  <c:v>5.796389537025666E-2</c:v>
                </c:pt>
                <c:pt idx="3">
                  <c:v>0.38695812354169223</c:v>
                </c:pt>
                <c:pt idx="4">
                  <c:v>6.9998771951369273E-3</c:v>
                </c:pt>
                <c:pt idx="5">
                  <c:v>3.5613410291047524E-3</c:v>
                </c:pt>
                <c:pt idx="6">
                  <c:v>6.0788407220925947E-2</c:v>
                </c:pt>
                <c:pt idx="7">
                  <c:v>7.9823160997175482E-3</c:v>
                </c:pt>
                <c:pt idx="8">
                  <c:v>4.0525604813950629E-3</c:v>
                </c:pt>
                <c:pt idx="9">
                  <c:v>4.1753653444676405E-3</c:v>
                </c:pt>
                <c:pt idx="11">
                  <c:v>1.2280486307257767E-4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Kampala-Wakiso'!$AE$9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Kampala-Wakiso'!$AE$10:$AE$21</c:f>
              <c:numCache>
                <c:formatCode>0</c:formatCode>
                <c:ptCount val="12"/>
                <c:pt idx="0">
                  <c:v>1187</c:v>
                </c:pt>
                <c:pt idx="1">
                  <c:v>647</c:v>
                </c:pt>
                <c:pt idx="2">
                  <c:v>815</c:v>
                </c:pt>
                <c:pt idx="3">
                  <c:v>668</c:v>
                </c:pt>
                <c:pt idx="4">
                  <c:v>719</c:v>
                </c:pt>
                <c:pt idx="5">
                  <c:v>647</c:v>
                </c:pt>
                <c:pt idx="6">
                  <c:v>571</c:v>
                </c:pt>
                <c:pt idx="7">
                  <c:v>587</c:v>
                </c:pt>
                <c:pt idx="8">
                  <c:v>743</c:v>
                </c:pt>
                <c:pt idx="9">
                  <c:v>856</c:v>
                </c:pt>
                <c:pt idx="10">
                  <c:v>1073</c:v>
                </c:pt>
                <c:pt idx="11">
                  <c:v>924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Kampala-Wakiso'!$AF$9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Kampala-Wakiso'!$AF$10:$AF$21</c:f>
              <c:numCache>
                <c:formatCode>0</c:formatCode>
                <c:ptCount val="12"/>
                <c:pt idx="0">
                  <c:v>1532</c:v>
                </c:pt>
                <c:pt idx="1">
                  <c:v>1067</c:v>
                </c:pt>
                <c:pt idx="2">
                  <c:v>1220</c:v>
                </c:pt>
                <c:pt idx="3">
                  <c:v>1013</c:v>
                </c:pt>
                <c:pt idx="4">
                  <c:v>1189</c:v>
                </c:pt>
                <c:pt idx="5">
                  <c:v>948</c:v>
                </c:pt>
                <c:pt idx="6">
                  <c:v>775</c:v>
                </c:pt>
                <c:pt idx="7">
                  <c:v>822</c:v>
                </c:pt>
                <c:pt idx="8">
                  <c:v>1088</c:v>
                </c:pt>
                <c:pt idx="9">
                  <c:v>1196</c:v>
                </c:pt>
                <c:pt idx="10">
                  <c:v>1448</c:v>
                </c:pt>
                <c:pt idx="11">
                  <c:v>1292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087680"/>
        <c:axId val="102179968"/>
      </c:lineChart>
      <c:catAx>
        <c:axId val="102087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179968"/>
        <c:crosses val="autoZero"/>
        <c:auto val="1"/>
        <c:lblAlgn val="ctr"/>
        <c:lblOffset val="100"/>
        <c:noMultiLvlLbl val="0"/>
      </c:catAx>
      <c:valAx>
        <c:axId val="102179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Kampala-Wakiso'!$C$59:$N$59</c:f>
              <c:numCache>
                <c:formatCode>0.0%</c:formatCode>
                <c:ptCount val="12"/>
                <c:pt idx="0">
                  <c:v>0.1866813833701251</c:v>
                </c:pt>
                <c:pt idx="1">
                  <c:v>0.17902869757174392</c:v>
                </c:pt>
                <c:pt idx="2">
                  <c:v>2.2958057395143488E-2</c:v>
                </c:pt>
                <c:pt idx="3">
                  <c:v>0.24275202354672554</c:v>
                </c:pt>
                <c:pt idx="4">
                  <c:v>3.8263428991905813E-3</c:v>
                </c:pt>
                <c:pt idx="5">
                  <c:v>2.0603384841795438E-3</c:v>
                </c:pt>
                <c:pt idx="6">
                  <c:v>4.8050036791758649E-2</c:v>
                </c:pt>
                <c:pt idx="7">
                  <c:v>3.7527593818984547E-3</c:v>
                </c:pt>
                <c:pt idx="8">
                  <c:v>1.0301692420897719E-3</c:v>
                </c:pt>
                <c:pt idx="9">
                  <c:v>4.1206769683590876E-3</c:v>
                </c:pt>
                <c:pt idx="10">
                  <c:v>0.3055923473142016</c:v>
                </c:pt>
                <c:pt idx="11">
                  <c:v>1.4716703458425313E-4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Kampala-Wakiso'!$S$9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Kampala-Wakiso'!$S$10:$S$21</c:f>
              <c:numCache>
                <c:formatCode>0</c:formatCode>
                <c:ptCount val="12"/>
                <c:pt idx="0">
                  <c:v>143</c:v>
                </c:pt>
                <c:pt idx="1">
                  <c:v>163</c:v>
                </c:pt>
                <c:pt idx="2">
                  <c:v>222</c:v>
                </c:pt>
                <c:pt idx="3">
                  <c:v>187</c:v>
                </c:pt>
                <c:pt idx="4">
                  <c:v>217</c:v>
                </c:pt>
                <c:pt idx="5">
                  <c:v>145</c:v>
                </c:pt>
                <c:pt idx="6">
                  <c:v>152</c:v>
                </c:pt>
                <c:pt idx="7">
                  <c:v>147</c:v>
                </c:pt>
                <c:pt idx="8">
                  <c:v>243</c:v>
                </c:pt>
                <c:pt idx="9">
                  <c:v>268</c:v>
                </c:pt>
                <c:pt idx="10">
                  <c:v>355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Kampala-Wakiso'!$T$9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Kampala-Wakiso'!$T$10:$T$21</c:f>
              <c:numCache>
                <c:formatCode>0</c:formatCode>
                <c:ptCount val="12"/>
                <c:pt idx="0">
                  <c:v>138</c:v>
                </c:pt>
                <c:pt idx="1">
                  <c:v>164</c:v>
                </c:pt>
                <c:pt idx="2">
                  <c:v>228</c:v>
                </c:pt>
                <c:pt idx="3">
                  <c:v>185</c:v>
                </c:pt>
                <c:pt idx="4">
                  <c:v>141</c:v>
                </c:pt>
                <c:pt idx="5">
                  <c:v>190</c:v>
                </c:pt>
                <c:pt idx="6">
                  <c:v>115</c:v>
                </c:pt>
                <c:pt idx="7">
                  <c:v>161</c:v>
                </c:pt>
                <c:pt idx="8">
                  <c:v>225</c:v>
                </c:pt>
                <c:pt idx="9">
                  <c:v>265</c:v>
                </c:pt>
                <c:pt idx="10">
                  <c:v>326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Kampala-Wakiso'!$U$9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Kampala-Wakiso'!$U$10:$U$21</c:f>
              <c:numCache>
                <c:formatCode>0</c:formatCode>
                <c:ptCount val="12"/>
                <c:pt idx="0">
                  <c:v>9</c:v>
                </c:pt>
                <c:pt idx="1">
                  <c:v>30</c:v>
                </c:pt>
                <c:pt idx="2">
                  <c:v>24</c:v>
                </c:pt>
                <c:pt idx="3">
                  <c:v>22</c:v>
                </c:pt>
                <c:pt idx="4">
                  <c:v>29</c:v>
                </c:pt>
                <c:pt idx="5">
                  <c:v>23</c:v>
                </c:pt>
                <c:pt idx="6">
                  <c:v>15</c:v>
                </c:pt>
                <c:pt idx="7">
                  <c:v>32</c:v>
                </c:pt>
                <c:pt idx="8">
                  <c:v>16</c:v>
                </c:pt>
                <c:pt idx="9">
                  <c:v>33</c:v>
                </c:pt>
                <c:pt idx="10">
                  <c:v>18</c:v>
                </c:pt>
                <c:pt idx="11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Kampala-Wakiso'!$V$9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Kampala-Wakiso'!$V$10:$V$21</c:f>
              <c:numCache>
                <c:formatCode>0</c:formatCode>
                <c:ptCount val="12"/>
                <c:pt idx="0">
                  <c:v>849</c:v>
                </c:pt>
                <c:pt idx="1">
                  <c:v>250</c:v>
                </c:pt>
                <c:pt idx="2">
                  <c:v>280</c:v>
                </c:pt>
                <c:pt idx="3">
                  <c:v>198</c:v>
                </c:pt>
                <c:pt idx="4">
                  <c:v>257</c:v>
                </c:pt>
                <c:pt idx="5">
                  <c:v>191</c:v>
                </c:pt>
                <c:pt idx="6">
                  <c:v>157</c:v>
                </c:pt>
                <c:pt idx="7">
                  <c:v>145</c:v>
                </c:pt>
                <c:pt idx="8">
                  <c:v>207</c:v>
                </c:pt>
                <c:pt idx="9">
                  <c:v>205</c:v>
                </c:pt>
                <c:pt idx="10">
                  <c:v>320</c:v>
                </c:pt>
                <c:pt idx="11">
                  <c:v>240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Kampala-Wakiso'!$W$9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Kampala-Wakiso'!$W$10:$W$21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13</c:v>
                </c:pt>
                <c:pt idx="7">
                  <c:v>6</c:v>
                </c:pt>
                <c:pt idx="8">
                  <c:v>0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Kampala-Wakiso'!$X$9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20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Kampala-Wakiso'!$Y$9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Kampala-Wakiso'!$Y$10:$Y$21</c:f>
              <c:numCache>
                <c:formatCode>0</c:formatCode>
                <c:ptCount val="12"/>
                <c:pt idx="0">
                  <c:v>37</c:v>
                </c:pt>
                <c:pt idx="1">
                  <c:v>24</c:v>
                </c:pt>
                <c:pt idx="2">
                  <c:v>55</c:v>
                </c:pt>
                <c:pt idx="3">
                  <c:v>69</c:v>
                </c:pt>
                <c:pt idx="4">
                  <c:v>50</c:v>
                </c:pt>
                <c:pt idx="5">
                  <c:v>87</c:v>
                </c:pt>
                <c:pt idx="6">
                  <c:v>56</c:v>
                </c:pt>
                <c:pt idx="7">
                  <c:v>95</c:v>
                </c:pt>
                <c:pt idx="8">
                  <c:v>45</c:v>
                </c:pt>
                <c:pt idx="9">
                  <c:v>70</c:v>
                </c:pt>
                <c:pt idx="10">
                  <c:v>47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Kampala-Wakiso'!$Z$9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Kampala-Wakiso'!$Z$10:$Z$21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21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9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Kampala-Wakiso'!$AA$9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Kampala-Wakiso'!$AB$9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5</c:v>
                </c:pt>
                <c:pt idx="6">
                  <c:v>38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Kampala-Wakiso'!$AC$9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Kampala-Wakiso'!$AC$10:$AC$21</c:f>
              <c:numCache>
                <c:formatCode>0</c:formatCode>
                <c:ptCount val="12"/>
                <c:pt idx="0">
                  <c:v>345</c:v>
                </c:pt>
                <c:pt idx="1">
                  <c:v>420</c:v>
                </c:pt>
                <c:pt idx="2">
                  <c:v>405</c:v>
                </c:pt>
                <c:pt idx="3">
                  <c:v>345</c:v>
                </c:pt>
                <c:pt idx="4">
                  <c:v>470</c:v>
                </c:pt>
                <c:pt idx="5">
                  <c:v>301</c:v>
                </c:pt>
                <c:pt idx="6">
                  <c:v>204</c:v>
                </c:pt>
                <c:pt idx="7">
                  <c:v>235</c:v>
                </c:pt>
                <c:pt idx="8">
                  <c:v>345</c:v>
                </c:pt>
                <c:pt idx="9">
                  <c:v>340</c:v>
                </c:pt>
                <c:pt idx="10">
                  <c:v>375</c:v>
                </c:pt>
                <c:pt idx="11">
                  <c:v>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Kampala-Wakiso'!$AD$9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Kampala-Wakiso'!$AD$10:$AD$21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82976"/>
        <c:axId val="101984512"/>
      </c:lineChart>
      <c:catAx>
        <c:axId val="10198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984512"/>
        <c:crosses val="autoZero"/>
        <c:auto val="1"/>
        <c:lblAlgn val="ctr"/>
        <c:lblOffset val="100"/>
        <c:noMultiLvlLbl val="0"/>
      </c:catAx>
      <c:valAx>
        <c:axId val="10198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98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Kampala-Wakiso'!$C$60:$N$60</c:f>
              <c:numCache>
                <c:formatCode>0.00%</c:formatCode>
                <c:ptCount val="12"/>
                <c:pt idx="0">
                  <c:v>0.26883543498993323</c:v>
                </c:pt>
                <c:pt idx="1">
                  <c:v>0.25781498357528876</c:v>
                </c:pt>
                <c:pt idx="2">
                  <c:v>3.3061354243933451E-2</c:v>
                </c:pt>
                <c:pt idx="3">
                  <c:v>0.34958143477800147</c:v>
                </c:pt>
                <c:pt idx="4">
                  <c:v>5.5102257073222421E-3</c:v>
                </c:pt>
                <c:pt idx="5">
                  <c:v>2.9670446116350536E-3</c:v>
                </c:pt>
                <c:pt idx="6">
                  <c:v>6.9195718978488932E-2</c:v>
                </c:pt>
                <c:pt idx="7">
                  <c:v>5.404259828335276E-3</c:v>
                </c:pt>
                <c:pt idx="8">
                  <c:v>1.4835223058175268E-3</c:v>
                </c:pt>
                <c:pt idx="9">
                  <c:v>5.9340892232701073E-3</c:v>
                </c:pt>
                <c:pt idx="11">
                  <c:v>2.119317579739324E-4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Wakiso-Kampala'!$AE$9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Wakiso-Kampala'!$AE$10:$AE$21</c:f>
              <c:numCache>
                <c:formatCode>0</c:formatCode>
                <c:ptCount val="12"/>
                <c:pt idx="0">
                  <c:v>1185</c:v>
                </c:pt>
                <c:pt idx="1">
                  <c:v>829</c:v>
                </c:pt>
                <c:pt idx="2">
                  <c:v>994</c:v>
                </c:pt>
                <c:pt idx="3">
                  <c:v>843</c:v>
                </c:pt>
                <c:pt idx="4">
                  <c:v>592</c:v>
                </c:pt>
                <c:pt idx="5">
                  <c:v>585</c:v>
                </c:pt>
                <c:pt idx="6">
                  <c:v>578</c:v>
                </c:pt>
                <c:pt idx="7">
                  <c:v>554</c:v>
                </c:pt>
                <c:pt idx="8">
                  <c:v>541</c:v>
                </c:pt>
                <c:pt idx="9">
                  <c:v>490</c:v>
                </c:pt>
                <c:pt idx="10">
                  <c:v>540</c:v>
                </c:pt>
                <c:pt idx="11">
                  <c:v>468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Wakiso-Kampala'!$AF$9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Wakiso-Kampala'!$AF$10:$AF$21</c:f>
              <c:numCache>
                <c:formatCode>0</c:formatCode>
                <c:ptCount val="12"/>
                <c:pt idx="0">
                  <c:v>2175</c:v>
                </c:pt>
                <c:pt idx="1">
                  <c:v>1798</c:v>
                </c:pt>
                <c:pt idx="2">
                  <c:v>1934</c:v>
                </c:pt>
                <c:pt idx="3">
                  <c:v>1459</c:v>
                </c:pt>
                <c:pt idx="4">
                  <c:v>1197</c:v>
                </c:pt>
                <c:pt idx="5">
                  <c:v>1054</c:v>
                </c:pt>
                <c:pt idx="6">
                  <c:v>951</c:v>
                </c:pt>
                <c:pt idx="7">
                  <c:v>919</c:v>
                </c:pt>
                <c:pt idx="8">
                  <c:v>866</c:v>
                </c:pt>
                <c:pt idx="9">
                  <c:v>860</c:v>
                </c:pt>
                <c:pt idx="10">
                  <c:v>992</c:v>
                </c:pt>
                <c:pt idx="11">
                  <c:v>1053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432768"/>
        <c:axId val="102434304"/>
      </c:lineChart>
      <c:catAx>
        <c:axId val="1024327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434304"/>
        <c:crosses val="autoZero"/>
        <c:auto val="1"/>
        <c:lblAlgn val="ctr"/>
        <c:lblOffset val="100"/>
        <c:noMultiLvlLbl val="0"/>
      </c:catAx>
      <c:valAx>
        <c:axId val="102434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43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Wakiso-Kampala'!$C$59:$N$59</c:f>
              <c:numCache>
                <c:formatCode>0.0%</c:formatCode>
                <c:ptCount val="12"/>
                <c:pt idx="0">
                  <c:v>0.18233058067898808</c:v>
                </c:pt>
                <c:pt idx="1">
                  <c:v>7.0651461528378562E-2</c:v>
                </c:pt>
                <c:pt idx="2">
                  <c:v>3.8340542666142355E-2</c:v>
                </c:pt>
                <c:pt idx="3">
                  <c:v>0.20133700353912701</c:v>
                </c:pt>
                <c:pt idx="4">
                  <c:v>2.7526543452615023E-3</c:v>
                </c:pt>
                <c:pt idx="5">
                  <c:v>8.5201205924760777E-4</c:v>
                </c:pt>
                <c:pt idx="6">
                  <c:v>3.3883864202385636E-2</c:v>
                </c:pt>
                <c:pt idx="7">
                  <c:v>3.3425088478175385E-3</c:v>
                </c:pt>
                <c:pt idx="8">
                  <c:v>1.9006422860138943E-3</c:v>
                </c:pt>
                <c:pt idx="9">
                  <c:v>1.9661816751867871E-3</c:v>
                </c:pt>
                <c:pt idx="10">
                  <c:v>0.46264254817145106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Wakiso-Kampala'!$C$60:$N$60</c:f>
              <c:numCache>
                <c:formatCode>0.00%</c:formatCode>
                <c:ptCount val="12"/>
                <c:pt idx="0">
                  <c:v>0.3393096719112087</c:v>
                </c:pt>
                <c:pt idx="1">
                  <c:v>0.1314794487132577</c:v>
                </c:pt>
                <c:pt idx="2">
                  <c:v>7.1350164654226125E-2</c:v>
                </c:pt>
                <c:pt idx="3">
                  <c:v>0.37467983900475665</c:v>
                </c:pt>
                <c:pt idx="4">
                  <c:v>5.122575923893158E-3</c:v>
                </c:pt>
                <c:pt idx="5">
                  <c:v>1.5855592145383583E-3</c:v>
                </c:pt>
                <c:pt idx="6">
                  <c:v>6.3056470301256246E-2</c:v>
                </c:pt>
                <c:pt idx="7">
                  <c:v>6.2202707647274055E-3</c:v>
                </c:pt>
                <c:pt idx="8">
                  <c:v>3.5370167093547993E-3</c:v>
                </c:pt>
                <c:pt idx="9">
                  <c:v>3.6589828027808269E-3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Kampala-Wakiso'!$AE$9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Kampala-Wakiso'!$AE$10:$AE$21</c:f>
              <c:numCache>
                <c:formatCode>0</c:formatCode>
                <c:ptCount val="12"/>
                <c:pt idx="0">
                  <c:v>439</c:v>
                </c:pt>
                <c:pt idx="1">
                  <c:v>438</c:v>
                </c:pt>
                <c:pt idx="2">
                  <c:v>515</c:v>
                </c:pt>
                <c:pt idx="3">
                  <c:v>615</c:v>
                </c:pt>
                <c:pt idx="4">
                  <c:v>673</c:v>
                </c:pt>
                <c:pt idx="5">
                  <c:v>536</c:v>
                </c:pt>
                <c:pt idx="6">
                  <c:v>532</c:v>
                </c:pt>
                <c:pt idx="7">
                  <c:v>496</c:v>
                </c:pt>
                <c:pt idx="8">
                  <c:v>1126</c:v>
                </c:pt>
                <c:pt idx="9">
                  <c:v>716</c:v>
                </c:pt>
                <c:pt idx="10">
                  <c:v>829</c:v>
                </c:pt>
                <c:pt idx="11">
                  <c:v>872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Kampala-Wakiso'!$AF$9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Kampala-Wakiso'!$AF$10:$AF$21</c:f>
              <c:numCache>
                <c:formatCode>0</c:formatCode>
                <c:ptCount val="12"/>
                <c:pt idx="0">
                  <c:v>734</c:v>
                </c:pt>
                <c:pt idx="1">
                  <c:v>650</c:v>
                </c:pt>
                <c:pt idx="2">
                  <c:v>770</c:v>
                </c:pt>
                <c:pt idx="3">
                  <c:v>885</c:v>
                </c:pt>
                <c:pt idx="4">
                  <c:v>965</c:v>
                </c:pt>
                <c:pt idx="5">
                  <c:v>781</c:v>
                </c:pt>
                <c:pt idx="6">
                  <c:v>842</c:v>
                </c:pt>
                <c:pt idx="7">
                  <c:v>731</c:v>
                </c:pt>
                <c:pt idx="8">
                  <c:v>1326</c:v>
                </c:pt>
                <c:pt idx="9">
                  <c:v>1032</c:v>
                </c:pt>
                <c:pt idx="10">
                  <c:v>1131</c:v>
                </c:pt>
                <c:pt idx="11">
                  <c:v>1167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769408"/>
        <c:axId val="102771328"/>
      </c:lineChart>
      <c:catAx>
        <c:axId val="102769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771328"/>
        <c:crosses val="autoZero"/>
        <c:auto val="1"/>
        <c:lblAlgn val="ctr"/>
        <c:lblOffset val="100"/>
        <c:noMultiLvlLbl val="0"/>
      </c:catAx>
      <c:valAx>
        <c:axId val="102771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76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Kampala-Wakiso'!$C$59:$N$59</c:f>
              <c:numCache>
                <c:formatCode>0.0%</c:formatCode>
                <c:ptCount val="12"/>
                <c:pt idx="0">
                  <c:v>0.23588160522970764</c:v>
                </c:pt>
                <c:pt idx="1">
                  <c:v>0.18294897403304886</c:v>
                </c:pt>
                <c:pt idx="2">
                  <c:v>2.6148538224078446E-2</c:v>
                </c:pt>
                <c:pt idx="3">
                  <c:v>0.20419466134011258</c:v>
                </c:pt>
                <c:pt idx="4">
                  <c:v>3.4501543490103505E-3</c:v>
                </c:pt>
                <c:pt idx="5">
                  <c:v>1.2711094970038134E-3</c:v>
                </c:pt>
                <c:pt idx="6">
                  <c:v>3.7134556019611402E-2</c:v>
                </c:pt>
                <c:pt idx="7">
                  <c:v>8.5345923370256042E-3</c:v>
                </c:pt>
                <c:pt idx="8">
                  <c:v>3.7225349555111676E-3</c:v>
                </c:pt>
                <c:pt idx="9">
                  <c:v>3.6317414200108954E-3</c:v>
                </c:pt>
                <c:pt idx="10">
                  <c:v>0.29299073905937895</c:v>
                </c:pt>
                <c:pt idx="11">
                  <c:v>9.0793535500272376E-5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Kampala-Wakiso'!$S$9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Kampala-Wakiso'!$S$10:$S$21</c:f>
              <c:numCache>
                <c:formatCode>0</c:formatCode>
                <c:ptCount val="12"/>
                <c:pt idx="0">
                  <c:v>75</c:v>
                </c:pt>
                <c:pt idx="1">
                  <c:v>117</c:v>
                </c:pt>
                <c:pt idx="2">
                  <c:v>148</c:v>
                </c:pt>
                <c:pt idx="3">
                  <c:v>175</c:v>
                </c:pt>
                <c:pt idx="4">
                  <c:v>199</c:v>
                </c:pt>
                <c:pt idx="5">
                  <c:v>137</c:v>
                </c:pt>
                <c:pt idx="6">
                  <c:v>131</c:v>
                </c:pt>
                <c:pt idx="7">
                  <c:v>145</c:v>
                </c:pt>
                <c:pt idx="8">
                  <c:v>711</c:v>
                </c:pt>
                <c:pt idx="9">
                  <c:v>250</c:v>
                </c:pt>
                <c:pt idx="10">
                  <c:v>240</c:v>
                </c:pt>
                <c:pt idx="11">
                  <c:v>270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Kampala-Wakiso'!$T$9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Kampala-Wakiso'!$T$10:$T$21</c:f>
              <c:numCache>
                <c:formatCode>0</c:formatCode>
                <c:ptCount val="12"/>
                <c:pt idx="0">
                  <c:v>82</c:v>
                </c:pt>
                <c:pt idx="1">
                  <c:v>114</c:v>
                </c:pt>
                <c:pt idx="2">
                  <c:v>150</c:v>
                </c:pt>
                <c:pt idx="3">
                  <c:v>173</c:v>
                </c:pt>
                <c:pt idx="4">
                  <c:v>134</c:v>
                </c:pt>
                <c:pt idx="5">
                  <c:v>126</c:v>
                </c:pt>
                <c:pt idx="6">
                  <c:v>86</c:v>
                </c:pt>
                <c:pt idx="7">
                  <c:v>158</c:v>
                </c:pt>
                <c:pt idx="8">
                  <c:v>210</c:v>
                </c:pt>
                <c:pt idx="9">
                  <c:v>242</c:v>
                </c:pt>
                <c:pt idx="10">
                  <c:v>230</c:v>
                </c:pt>
                <c:pt idx="11">
                  <c:v>310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Kampala-Wakiso'!$U$9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Kampala-Wakiso'!$U$10:$U$21</c:f>
              <c:numCache>
                <c:formatCode>0</c:formatCode>
                <c:ptCount val="12"/>
                <c:pt idx="0">
                  <c:v>28</c:v>
                </c:pt>
                <c:pt idx="1">
                  <c:v>29</c:v>
                </c:pt>
                <c:pt idx="2">
                  <c:v>19</c:v>
                </c:pt>
                <c:pt idx="3">
                  <c:v>25</c:v>
                </c:pt>
                <c:pt idx="4">
                  <c:v>36</c:v>
                </c:pt>
                <c:pt idx="5">
                  <c:v>21</c:v>
                </c:pt>
                <c:pt idx="6">
                  <c:v>17</c:v>
                </c:pt>
                <c:pt idx="7">
                  <c:v>20</c:v>
                </c:pt>
                <c:pt idx="8">
                  <c:v>19</c:v>
                </c:pt>
                <c:pt idx="9">
                  <c:v>20</c:v>
                </c:pt>
                <c:pt idx="10">
                  <c:v>29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Kampala-Wakiso'!$V$9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Kampala-Wakiso'!$V$10:$V$21</c:f>
              <c:numCache>
                <c:formatCode>0</c:formatCode>
                <c:ptCount val="12"/>
                <c:pt idx="0">
                  <c:v>212</c:v>
                </c:pt>
                <c:pt idx="1">
                  <c:v>132</c:v>
                </c:pt>
                <c:pt idx="2">
                  <c:v>150</c:v>
                </c:pt>
                <c:pt idx="3">
                  <c:v>195</c:v>
                </c:pt>
                <c:pt idx="4">
                  <c:v>201</c:v>
                </c:pt>
                <c:pt idx="5">
                  <c:v>183</c:v>
                </c:pt>
                <c:pt idx="6">
                  <c:v>212</c:v>
                </c:pt>
                <c:pt idx="7">
                  <c:v>133</c:v>
                </c:pt>
                <c:pt idx="8">
                  <c:v>145</c:v>
                </c:pt>
                <c:pt idx="9">
                  <c:v>170</c:v>
                </c:pt>
                <c:pt idx="10">
                  <c:v>281</c:v>
                </c:pt>
                <c:pt idx="11">
                  <c:v>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Kampala-Wakiso'!$W$9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Kampala-Wakiso'!$W$10:$W$21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Kampala-Wakiso'!$X$9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6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Kampala-Wakiso'!$Y$9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Kampala-Wakiso'!$Y$10:$Y$21</c:f>
              <c:numCache>
                <c:formatCode>0</c:formatCode>
                <c:ptCount val="12"/>
                <c:pt idx="0">
                  <c:v>20</c:v>
                </c:pt>
                <c:pt idx="1">
                  <c:v>28</c:v>
                </c:pt>
                <c:pt idx="2">
                  <c:v>41</c:v>
                </c:pt>
                <c:pt idx="3">
                  <c:v>31</c:v>
                </c:pt>
                <c:pt idx="4">
                  <c:v>56</c:v>
                </c:pt>
                <c:pt idx="5">
                  <c:v>47</c:v>
                </c:pt>
                <c:pt idx="6">
                  <c:v>56</c:v>
                </c:pt>
                <c:pt idx="7">
                  <c:v>26</c:v>
                </c:pt>
                <c:pt idx="8">
                  <c:v>26</c:v>
                </c:pt>
                <c:pt idx="9">
                  <c:v>18</c:v>
                </c:pt>
                <c:pt idx="10">
                  <c:v>38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Kampala-Wakiso'!$Z$9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Kampala-Wakiso'!$Z$10:$Z$21</c:f>
              <c:numCache>
                <c:formatCode>0</c:formatCode>
                <c:ptCount val="12"/>
                <c:pt idx="0">
                  <c:v>16</c:v>
                </c:pt>
                <c:pt idx="1">
                  <c:v>14</c:v>
                </c:pt>
                <c:pt idx="2">
                  <c:v>4</c:v>
                </c:pt>
                <c:pt idx="3">
                  <c:v>1</c:v>
                </c:pt>
                <c:pt idx="4">
                  <c:v>22</c:v>
                </c:pt>
                <c:pt idx="5">
                  <c:v>14</c:v>
                </c:pt>
                <c:pt idx="6">
                  <c:v>9</c:v>
                </c:pt>
                <c:pt idx="7">
                  <c:v>4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Kampala-Wakiso'!$AA$9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14</c:v>
                </c:pt>
                <c:pt idx="5">
                  <c:v>3</c:v>
                </c:pt>
                <c:pt idx="6">
                  <c:v>10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Kampala-Wakiso'!$AB$9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1</c:v>
                </c:pt>
                <c:pt idx="8">
                  <c:v>8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Kampala-Wakiso'!$AC$9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Kampala-Wakiso'!$AC$10:$AC$21</c:f>
              <c:numCache>
                <c:formatCode>0</c:formatCode>
                <c:ptCount val="12"/>
                <c:pt idx="0">
                  <c:v>295</c:v>
                </c:pt>
                <c:pt idx="1">
                  <c:v>212</c:v>
                </c:pt>
                <c:pt idx="2">
                  <c:v>255</c:v>
                </c:pt>
                <c:pt idx="3">
                  <c:v>270</c:v>
                </c:pt>
                <c:pt idx="4">
                  <c:v>292</c:v>
                </c:pt>
                <c:pt idx="5">
                  <c:v>245</c:v>
                </c:pt>
                <c:pt idx="6">
                  <c:v>310</c:v>
                </c:pt>
                <c:pt idx="7">
                  <c:v>235</c:v>
                </c:pt>
                <c:pt idx="8">
                  <c:v>200</c:v>
                </c:pt>
                <c:pt idx="9">
                  <c:v>316</c:v>
                </c:pt>
                <c:pt idx="10">
                  <c:v>302</c:v>
                </c:pt>
                <c:pt idx="11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Kampala-Wakiso'!$AD$9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Kampala-Wakiso'!$AD$10:$AD$21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061760"/>
        <c:axId val="103071744"/>
      </c:lineChart>
      <c:catAx>
        <c:axId val="10306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071744"/>
        <c:crosses val="autoZero"/>
        <c:auto val="1"/>
        <c:lblAlgn val="ctr"/>
        <c:lblOffset val="100"/>
        <c:noMultiLvlLbl val="0"/>
      </c:catAx>
      <c:valAx>
        <c:axId val="10307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06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Kampala-Wakiso'!$C$60:$N$60</c:f>
              <c:numCache>
                <c:formatCode>0.00%</c:formatCode>
                <c:ptCount val="12"/>
                <c:pt idx="0">
                  <c:v>0.3336329780403236</c:v>
                </c:pt>
                <c:pt idx="1">
                  <c:v>0.2587646076794658</c:v>
                </c:pt>
                <c:pt idx="2">
                  <c:v>3.6984718119943492E-2</c:v>
                </c:pt>
                <c:pt idx="3">
                  <c:v>0.28881469115191988</c:v>
                </c:pt>
                <c:pt idx="4">
                  <c:v>4.8799280852703224E-3</c:v>
                </c:pt>
                <c:pt idx="5">
                  <c:v>1.7978682419416978E-3</c:v>
                </c:pt>
                <c:pt idx="6">
                  <c:v>5.2523436496725313E-2</c:v>
                </c:pt>
                <c:pt idx="7">
                  <c:v>1.2071401053037114E-2</c:v>
                </c:pt>
                <c:pt idx="8">
                  <c:v>5.2651855656864E-3</c:v>
                </c:pt>
                <c:pt idx="9">
                  <c:v>5.1367664055477075E-3</c:v>
                </c:pt>
                <c:pt idx="11">
                  <c:v>1.284191601386927E-4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Wakiso-Kampala'!$AE$9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Wakiso-Kampala'!$AE$10:$AE$21</c:f>
              <c:numCache>
                <c:formatCode>0</c:formatCode>
                <c:ptCount val="12"/>
                <c:pt idx="0">
                  <c:v>931</c:v>
                </c:pt>
                <c:pt idx="1">
                  <c:v>875</c:v>
                </c:pt>
                <c:pt idx="2">
                  <c:v>809</c:v>
                </c:pt>
                <c:pt idx="3">
                  <c:v>529</c:v>
                </c:pt>
                <c:pt idx="4">
                  <c:v>574</c:v>
                </c:pt>
                <c:pt idx="5">
                  <c:v>543</c:v>
                </c:pt>
                <c:pt idx="6">
                  <c:v>565</c:v>
                </c:pt>
                <c:pt idx="7">
                  <c:v>406</c:v>
                </c:pt>
                <c:pt idx="8">
                  <c:v>588</c:v>
                </c:pt>
                <c:pt idx="9">
                  <c:v>582</c:v>
                </c:pt>
                <c:pt idx="10">
                  <c:v>538</c:v>
                </c:pt>
                <c:pt idx="11">
                  <c:v>585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Wakiso-Kampala'!$AF$9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Wakiso-Kampala'!$AF$10:$AF$21</c:f>
              <c:numCache>
                <c:formatCode>0</c:formatCode>
                <c:ptCount val="12"/>
                <c:pt idx="0">
                  <c:v>1599</c:v>
                </c:pt>
                <c:pt idx="1">
                  <c:v>1648</c:v>
                </c:pt>
                <c:pt idx="2">
                  <c:v>1412</c:v>
                </c:pt>
                <c:pt idx="3">
                  <c:v>924</c:v>
                </c:pt>
                <c:pt idx="4">
                  <c:v>1066</c:v>
                </c:pt>
                <c:pt idx="5">
                  <c:v>953</c:v>
                </c:pt>
                <c:pt idx="6">
                  <c:v>940</c:v>
                </c:pt>
                <c:pt idx="7">
                  <c:v>756</c:v>
                </c:pt>
                <c:pt idx="8">
                  <c:v>855</c:v>
                </c:pt>
                <c:pt idx="9">
                  <c:v>907</c:v>
                </c:pt>
                <c:pt idx="10">
                  <c:v>958</c:v>
                </c:pt>
                <c:pt idx="11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113856"/>
        <c:axId val="103115776"/>
      </c:lineChart>
      <c:catAx>
        <c:axId val="103113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15776"/>
        <c:crosses val="autoZero"/>
        <c:auto val="1"/>
        <c:lblAlgn val="ctr"/>
        <c:lblOffset val="100"/>
        <c:noMultiLvlLbl val="0"/>
      </c:catAx>
      <c:valAx>
        <c:axId val="103115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1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Wakiso-Kampala'!$C$59:$N$59</c:f>
              <c:numCache>
                <c:formatCode>0.0%</c:formatCode>
                <c:ptCount val="12"/>
                <c:pt idx="0">
                  <c:v>0.18816458622283866</c:v>
                </c:pt>
                <c:pt idx="1">
                  <c:v>7.281553398058252E-2</c:v>
                </c:pt>
                <c:pt idx="2">
                  <c:v>3.0898443519802744E-2</c:v>
                </c:pt>
                <c:pt idx="3">
                  <c:v>0.24333487440283558</c:v>
                </c:pt>
                <c:pt idx="4">
                  <c:v>3.8526737555863769E-3</c:v>
                </c:pt>
                <c:pt idx="5">
                  <c:v>1.1558021266759131E-3</c:v>
                </c:pt>
                <c:pt idx="6">
                  <c:v>3.0127908768685468E-2</c:v>
                </c:pt>
                <c:pt idx="7">
                  <c:v>4.7773154569271071E-3</c:v>
                </c:pt>
                <c:pt idx="8">
                  <c:v>1.6951764524580058E-3</c:v>
                </c:pt>
                <c:pt idx="9">
                  <c:v>3.0050855293573741E-3</c:v>
                </c:pt>
                <c:pt idx="10">
                  <c:v>0.42017259978425026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Wakiso-Kampala'!$S$9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Wakiso-Kampala'!$S$10:$S$21</c:f>
              <c:numCache>
                <c:formatCode>0</c:formatCode>
                <c:ptCount val="12"/>
                <c:pt idx="0">
                  <c:v>330</c:v>
                </c:pt>
                <c:pt idx="1">
                  <c:v>328</c:v>
                </c:pt>
                <c:pt idx="2">
                  <c:v>280</c:v>
                </c:pt>
                <c:pt idx="3">
                  <c:v>188</c:v>
                </c:pt>
                <c:pt idx="4">
                  <c:v>181</c:v>
                </c:pt>
                <c:pt idx="5">
                  <c:v>205</c:v>
                </c:pt>
                <c:pt idx="6">
                  <c:v>141</c:v>
                </c:pt>
                <c:pt idx="7">
                  <c:v>106</c:v>
                </c:pt>
                <c:pt idx="8">
                  <c:v>174</c:v>
                </c:pt>
                <c:pt idx="9">
                  <c:v>174</c:v>
                </c:pt>
                <c:pt idx="10">
                  <c:v>165</c:v>
                </c:pt>
                <c:pt idx="11">
                  <c:v>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Wakiso-Kampala'!$T$9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Wakiso-Kampala'!$T$10:$T$21</c:f>
              <c:numCache>
                <c:formatCode>0</c:formatCode>
                <c:ptCount val="12"/>
                <c:pt idx="0">
                  <c:v>126</c:v>
                </c:pt>
                <c:pt idx="1">
                  <c:v>121</c:v>
                </c:pt>
                <c:pt idx="2">
                  <c:v>114</c:v>
                </c:pt>
                <c:pt idx="3">
                  <c:v>82</c:v>
                </c:pt>
                <c:pt idx="4">
                  <c:v>55</c:v>
                </c:pt>
                <c:pt idx="5">
                  <c:v>49</c:v>
                </c:pt>
                <c:pt idx="6">
                  <c:v>74</c:v>
                </c:pt>
                <c:pt idx="7">
                  <c:v>52</c:v>
                </c:pt>
                <c:pt idx="8">
                  <c:v>77</c:v>
                </c:pt>
                <c:pt idx="9">
                  <c:v>84</c:v>
                </c:pt>
                <c:pt idx="10">
                  <c:v>63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Wakiso-Kampala'!$U$9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Wakiso-Kampala'!$U$10:$U$21</c:f>
              <c:numCache>
                <c:formatCode>0</c:formatCode>
                <c:ptCount val="12"/>
                <c:pt idx="0">
                  <c:v>48</c:v>
                </c:pt>
                <c:pt idx="1">
                  <c:v>38</c:v>
                </c:pt>
                <c:pt idx="2">
                  <c:v>45</c:v>
                </c:pt>
                <c:pt idx="3">
                  <c:v>32</c:v>
                </c:pt>
                <c:pt idx="4">
                  <c:v>28</c:v>
                </c:pt>
                <c:pt idx="5">
                  <c:v>40</c:v>
                </c:pt>
                <c:pt idx="6">
                  <c:v>25</c:v>
                </c:pt>
                <c:pt idx="7">
                  <c:v>18</c:v>
                </c:pt>
                <c:pt idx="8">
                  <c:v>43</c:v>
                </c:pt>
                <c:pt idx="9">
                  <c:v>25</c:v>
                </c:pt>
                <c:pt idx="10">
                  <c:v>36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Wakiso-Kampala'!$V$9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Wakiso-Kampala'!$V$10:$V$21</c:f>
              <c:numCache>
                <c:formatCode>0</c:formatCode>
                <c:ptCount val="12"/>
                <c:pt idx="0">
                  <c:v>383</c:v>
                </c:pt>
                <c:pt idx="1">
                  <c:v>344</c:v>
                </c:pt>
                <c:pt idx="2">
                  <c:v>316</c:v>
                </c:pt>
                <c:pt idx="3">
                  <c:v>178</c:v>
                </c:pt>
                <c:pt idx="4">
                  <c:v>248</c:v>
                </c:pt>
                <c:pt idx="5">
                  <c:v>204</c:v>
                </c:pt>
                <c:pt idx="6">
                  <c:v>275</c:v>
                </c:pt>
                <c:pt idx="7">
                  <c:v>184</c:v>
                </c:pt>
                <c:pt idx="8">
                  <c:v>248</c:v>
                </c:pt>
                <c:pt idx="9">
                  <c:v>258</c:v>
                </c:pt>
                <c:pt idx="10">
                  <c:v>230</c:v>
                </c:pt>
                <c:pt idx="11">
                  <c:v>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Wakiso-Kampala'!$W$9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Wakiso-Kampala'!$W$10:$W$21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8</c:v>
                </c:pt>
                <c:pt idx="3">
                  <c:v>7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Wakiso-Kampala'!$X$9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Wakiso-Kampala'!$Y$9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Wakiso-Kampala'!$Y$10:$Y$21</c:f>
              <c:numCache>
                <c:formatCode>0</c:formatCode>
                <c:ptCount val="12"/>
                <c:pt idx="0">
                  <c:v>36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38</c:v>
                </c:pt>
                <c:pt idx="5">
                  <c:v>32</c:v>
                </c:pt>
                <c:pt idx="6">
                  <c:v>41</c:v>
                </c:pt>
                <c:pt idx="7">
                  <c:v>31</c:v>
                </c:pt>
                <c:pt idx="8">
                  <c:v>30</c:v>
                </c:pt>
                <c:pt idx="9">
                  <c:v>30</c:v>
                </c:pt>
                <c:pt idx="10">
                  <c:v>23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Wakiso-Kampala'!$Z$9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17</c:v>
                </c:pt>
                <c:pt idx="5">
                  <c:v>7</c:v>
                </c:pt>
                <c:pt idx="6">
                  <c:v>2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Wakiso-Kampala'!$AA$9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Wakiso-Kampala'!$AA$10:$AA$21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Wakiso-Kampala'!$AB$9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5</c:v>
                </c:pt>
                <c:pt idx="9">
                  <c:v>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Wakiso-Kampala'!$AC$9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Wakiso-Kampala'!$AC$10:$AC$21</c:f>
              <c:numCache>
                <c:formatCode>0</c:formatCode>
                <c:ptCount val="12"/>
                <c:pt idx="0">
                  <c:v>668</c:v>
                </c:pt>
                <c:pt idx="1">
                  <c:v>773</c:v>
                </c:pt>
                <c:pt idx="2">
                  <c:v>603</c:v>
                </c:pt>
                <c:pt idx="3">
                  <c:v>395</c:v>
                </c:pt>
                <c:pt idx="4">
                  <c:v>492</c:v>
                </c:pt>
                <c:pt idx="5">
                  <c:v>410</c:v>
                </c:pt>
                <c:pt idx="6">
                  <c:v>375</c:v>
                </c:pt>
                <c:pt idx="7">
                  <c:v>350</c:v>
                </c:pt>
                <c:pt idx="8">
                  <c:v>267</c:v>
                </c:pt>
                <c:pt idx="9">
                  <c:v>325</c:v>
                </c:pt>
                <c:pt idx="10">
                  <c:v>420</c:v>
                </c:pt>
                <c:pt idx="11">
                  <c:v>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Wakiso-Kampala'!$AD$9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Wakiso-Kampala'!$AD$10:$AD$21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77152"/>
        <c:axId val="103387136"/>
      </c:lineChart>
      <c:catAx>
        <c:axId val="10337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387136"/>
        <c:crosses val="autoZero"/>
        <c:auto val="1"/>
        <c:lblAlgn val="ctr"/>
        <c:lblOffset val="100"/>
        <c:noMultiLvlLbl val="0"/>
      </c:catAx>
      <c:valAx>
        <c:axId val="10338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37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Wakiso-Kampala'!$C$60:$N$60</c:f>
              <c:numCache>
                <c:formatCode>0.00%</c:formatCode>
                <c:ptCount val="12"/>
                <c:pt idx="0">
                  <c:v>0.32451827242524917</c:v>
                </c:pt>
                <c:pt idx="1">
                  <c:v>0.12558139534883722</c:v>
                </c:pt>
                <c:pt idx="2">
                  <c:v>5.3289036544850496E-2</c:v>
                </c:pt>
                <c:pt idx="3">
                  <c:v>0.41966777408637873</c:v>
                </c:pt>
                <c:pt idx="4">
                  <c:v>6.6445182724252493E-3</c:v>
                </c:pt>
                <c:pt idx="5">
                  <c:v>1.9933554817275745E-3</c:v>
                </c:pt>
                <c:pt idx="6">
                  <c:v>5.1960132890365447E-2</c:v>
                </c:pt>
                <c:pt idx="7">
                  <c:v>8.2392026578073096E-3</c:v>
                </c:pt>
                <c:pt idx="8">
                  <c:v>2.9235880398671096E-3</c:v>
                </c:pt>
                <c:pt idx="9">
                  <c:v>5.1827242524916948E-3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Kampala-Wakiso-24h'!$AE$9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Kampala-Wakiso-24h'!$R$10:$R$33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Kampala-Wakiso-24h'!$AE$10:$AE$33</c:f>
              <c:numCache>
                <c:formatCode>0</c:formatCode>
                <c:ptCount val="24"/>
                <c:pt idx="0">
                  <c:v>375</c:v>
                </c:pt>
                <c:pt idx="1">
                  <c:v>590</c:v>
                </c:pt>
                <c:pt idx="2">
                  <c:v>718</c:v>
                </c:pt>
                <c:pt idx="3">
                  <c:v>809</c:v>
                </c:pt>
                <c:pt idx="4">
                  <c:v>582</c:v>
                </c:pt>
                <c:pt idx="5">
                  <c:v>580</c:v>
                </c:pt>
                <c:pt idx="6">
                  <c:v>552</c:v>
                </c:pt>
                <c:pt idx="7">
                  <c:v>728</c:v>
                </c:pt>
                <c:pt idx="8">
                  <c:v>819</c:v>
                </c:pt>
                <c:pt idx="9">
                  <c:v>942</c:v>
                </c:pt>
                <c:pt idx="10">
                  <c:v>877</c:v>
                </c:pt>
                <c:pt idx="11">
                  <c:v>918</c:v>
                </c:pt>
                <c:pt idx="12">
                  <c:v>883</c:v>
                </c:pt>
                <c:pt idx="13">
                  <c:v>880</c:v>
                </c:pt>
                <c:pt idx="14">
                  <c:v>926</c:v>
                </c:pt>
                <c:pt idx="15">
                  <c:v>843</c:v>
                </c:pt>
                <c:pt idx="16">
                  <c:v>227</c:v>
                </c:pt>
                <c:pt idx="17">
                  <c:v>154</c:v>
                </c:pt>
                <c:pt idx="18">
                  <c:v>82</c:v>
                </c:pt>
                <c:pt idx="19">
                  <c:v>92</c:v>
                </c:pt>
                <c:pt idx="20">
                  <c:v>93</c:v>
                </c:pt>
                <c:pt idx="21">
                  <c:v>105</c:v>
                </c:pt>
                <c:pt idx="22">
                  <c:v>157</c:v>
                </c:pt>
                <c:pt idx="23">
                  <c:v>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Kampala-Wakiso-24h'!$AF$9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Kampala-Wakiso-24h'!$R$10:$R$33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Kampala-Wakiso-24h'!$AF$10:$AF$33</c:f>
              <c:numCache>
                <c:formatCode>0</c:formatCode>
                <c:ptCount val="24"/>
                <c:pt idx="0">
                  <c:v>626</c:v>
                </c:pt>
                <c:pt idx="1">
                  <c:v>935</c:v>
                </c:pt>
                <c:pt idx="2">
                  <c:v>1008</c:v>
                </c:pt>
                <c:pt idx="3">
                  <c:v>1144</c:v>
                </c:pt>
                <c:pt idx="4">
                  <c:v>884</c:v>
                </c:pt>
                <c:pt idx="5">
                  <c:v>975</c:v>
                </c:pt>
                <c:pt idx="6">
                  <c:v>867</c:v>
                </c:pt>
                <c:pt idx="7">
                  <c:v>1053</c:v>
                </c:pt>
                <c:pt idx="8">
                  <c:v>1209</c:v>
                </c:pt>
                <c:pt idx="9">
                  <c:v>1276</c:v>
                </c:pt>
                <c:pt idx="10">
                  <c:v>1242</c:v>
                </c:pt>
                <c:pt idx="11">
                  <c:v>1278</c:v>
                </c:pt>
                <c:pt idx="12">
                  <c:v>1233</c:v>
                </c:pt>
                <c:pt idx="13">
                  <c:v>1240</c:v>
                </c:pt>
                <c:pt idx="14">
                  <c:v>1276</c:v>
                </c:pt>
                <c:pt idx="15">
                  <c:v>1173</c:v>
                </c:pt>
                <c:pt idx="16">
                  <c:v>317</c:v>
                </c:pt>
                <c:pt idx="17">
                  <c:v>237</c:v>
                </c:pt>
                <c:pt idx="18">
                  <c:v>157</c:v>
                </c:pt>
                <c:pt idx="19">
                  <c:v>149</c:v>
                </c:pt>
                <c:pt idx="20">
                  <c:v>128</c:v>
                </c:pt>
                <c:pt idx="21">
                  <c:v>189</c:v>
                </c:pt>
                <c:pt idx="22">
                  <c:v>269</c:v>
                </c:pt>
                <c:pt idx="23">
                  <c:v>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695872"/>
        <c:axId val="103697792"/>
      </c:lineChart>
      <c:catAx>
        <c:axId val="103695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97792"/>
        <c:crosses val="autoZero"/>
        <c:auto val="1"/>
        <c:lblAlgn val="ctr"/>
        <c:lblOffset val="100"/>
        <c:noMultiLvlLbl val="0"/>
      </c:catAx>
      <c:valAx>
        <c:axId val="103697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69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Kampala-Wakiso-24h'!$C$9:$N$9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Kampala-Wakiso-24h'!$C$107:$N$107</c:f>
              <c:numCache>
                <c:formatCode>0.0%</c:formatCode>
                <c:ptCount val="12"/>
                <c:pt idx="0">
                  <c:v>0.20320075066465099</c:v>
                </c:pt>
                <c:pt idx="1">
                  <c:v>0.19845696710629204</c:v>
                </c:pt>
                <c:pt idx="2">
                  <c:v>3.4613981129124748E-2</c:v>
                </c:pt>
                <c:pt idx="3">
                  <c:v>0.19079393212740448</c:v>
                </c:pt>
                <c:pt idx="4">
                  <c:v>4.5873950894020745E-3</c:v>
                </c:pt>
                <c:pt idx="5">
                  <c:v>1.8766616274826669E-3</c:v>
                </c:pt>
                <c:pt idx="6">
                  <c:v>3.2841578480946675E-2</c:v>
                </c:pt>
                <c:pt idx="7">
                  <c:v>1.0686545378720743E-2</c:v>
                </c:pt>
                <c:pt idx="8">
                  <c:v>3.075639889485482E-3</c:v>
                </c:pt>
                <c:pt idx="9">
                  <c:v>4.6916540687066671E-3</c:v>
                </c:pt>
                <c:pt idx="10">
                  <c:v>0.31512276494813118</c:v>
                </c:pt>
                <c:pt idx="11">
                  <c:v>5.2129489652296305E-5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Kampala-Wakiso-24h'!$C$9:$N$9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Kampala-Wakiso-24h'!$C$108:$N$108</c:f>
              <c:numCache>
                <c:formatCode>0.00%</c:formatCode>
                <c:ptCount val="12"/>
                <c:pt idx="0">
                  <c:v>0.29669660526716396</c:v>
                </c:pt>
                <c:pt idx="1">
                  <c:v>0.28977013244024968</c:v>
                </c:pt>
                <c:pt idx="2">
                  <c:v>5.0540417110671337E-2</c:v>
                </c:pt>
                <c:pt idx="3">
                  <c:v>0.27858121479677272</c:v>
                </c:pt>
                <c:pt idx="4">
                  <c:v>6.6981275688841532E-3</c:v>
                </c:pt>
                <c:pt idx="5">
                  <c:v>2.740143096361699E-3</c:v>
                </c:pt>
                <c:pt idx="6">
                  <c:v>4.7952504186329729E-2</c:v>
                </c:pt>
                <c:pt idx="7">
                  <c:v>1.5603592632059675E-2</c:v>
                </c:pt>
                <c:pt idx="8">
                  <c:v>4.4907900745927839E-3</c:v>
                </c:pt>
                <c:pt idx="9">
                  <c:v>6.8503577409042473E-3</c:v>
                </c:pt>
                <c:pt idx="11">
                  <c:v>7.6115086010047187E-5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Wakiso-Kampala-24h'!$AE$9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Wakiso-Kampala-24h'!$R$10:$R$33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Wakiso-Kampala-24h'!$AE$10:$AE$33</c:f>
              <c:numCache>
                <c:formatCode>0</c:formatCode>
                <c:ptCount val="24"/>
                <c:pt idx="0">
                  <c:v>1053</c:v>
                </c:pt>
                <c:pt idx="1">
                  <c:v>679</c:v>
                </c:pt>
                <c:pt idx="2">
                  <c:v>861</c:v>
                </c:pt>
                <c:pt idx="3">
                  <c:v>716</c:v>
                </c:pt>
                <c:pt idx="4">
                  <c:v>558</c:v>
                </c:pt>
                <c:pt idx="5">
                  <c:v>628</c:v>
                </c:pt>
                <c:pt idx="6">
                  <c:v>541</c:v>
                </c:pt>
                <c:pt idx="7">
                  <c:v>553</c:v>
                </c:pt>
                <c:pt idx="8">
                  <c:v>566</c:v>
                </c:pt>
                <c:pt idx="9">
                  <c:v>693</c:v>
                </c:pt>
                <c:pt idx="10">
                  <c:v>682</c:v>
                </c:pt>
                <c:pt idx="11">
                  <c:v>609</c:v>
                </c:pt>
                <c:pt idx="12">
                  <c:v>482</c:v>
                </c:pt>
                <c:pt idx="13">
                  <c:v>382</c:v>
                </c:pt>
                <c:pt idx="14">
                  <c:v>348</c:v>
                </c:pt>
                <c:pt idx="15">
                  <c:v>313</c:v>
                </c:pt>
                <c:pt idx="16">
                  <c:v>124</c:v>
                </c:pt>
                <c:pt idx="17">
                  <c:v>91</c:v>
                </c:pt>
                <c:pt idx="18">
                  <c:v>92</c:v>
                </c:pt>
                <c:pt idx="19">
                  <c:v>98</c:v>
                </c:pt>
                <c:pt idx="20">
                  <c:v>107</c:v>
                </c:pt>
                <c:pt idx="21">
                  <c:v>187</c:v>
                </c:pt>
                <c:pt idx="22">
                  <c:v>201</c:v>
                </c:pt>
                <c:pt idx="23">
                  <c:v>319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Wakiso-Kampala-24h'!$AF$9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Wakiso-Kampala-24h'!$R$10:$R$33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Wakiso-Kampala-24h'!$AF$10:$AF$33</c:f>
              <c:numCache>
                <c:formatCode>0</c:formatCode>
                <c:ptCount val="24"/>
                <c:pt idx="0">
                  <c:v>1593</c:v>
                </c:pt>
                <c:pt idx="1">
                  <c:v>1544</c:v>
                </c:pt>
                <c:pt idx="2">
                  <c:v>1424</c:v>
                </c:pt>
                <c:pt idx="3">
                  <c:v>1191</c:v>
                </c:pt>
                <c:pt idx="4">
                  <c:v>938</c:v>
                </c:pt>
                <c:pt idx="5">
                  <c:v>963</c:v>
                </c:pt>
                <c:pt idx="6">
                  <c:v>914</c:v>
                </c:pt>
                <c:pt idx="7">
                  <c:v>854</c:v>
                </c:pt>
                <c:pt idx="8">
                  <c:v>931</c:v>
                </c:pt>
                <c:pt idx="9">
                  <c:v>1003</c:v>
                </c:pt>
                <c:pt idx="10">
                  <c:v>1077</c:v>
                </c:pt>
                <c:pt idx="11">
                  <c:v>864</c:v>
                </c:pt>
                <c:pt idx="12">
                  <c:v>882</c:v>
                </c:pt>
                <c:pt idx="13">
                  <c:v>740</c:v>
                </c:pt>
                <c:pt idx="14">
                  <c:v>635</c:v>
                </c:pt>
                <c:pt idx="15">
                  <c:v>665</c:v>
                </c:pt>
                <c:pt idx="16">
                  <c:v>190</c:v>
                </c:pt>
                <c:pt idx="17">
                  <c:v>168</c:v>
                </c:pt>
                <c:pt idx="18">
                  <c:v>169</c:v>
                </c:pt>
                <c:pt idx="19">
                  <c:v>213</c:v>
                </c:pt>
                <c:pt idx="20">
                  <c:v>183</c:v>
                </c:pt>
                <c:pt idx="21">
                  <c:v>304</c:v>
                </c:pt>
                <c:pt idx="22">
                  <c:v>295</c:v>
                </c:pt>
                <c:pt idx="23">
                  <c:v>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767040"/>
        <c:axId val="103781504"/>
      </c:lineChart>
      <c:catAx>
        <c:axId val="103767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81504"/>
        <c:crosses val="autoZero"/>
        <c:auto val="1"/>
        <c:lblAlgn val="ctr"/>
        <c:lblOffset val="100"/>
        <c:noMultiLvlLbl val="0"/>
      </c:catAx>
      <c:valAx>
        <c:axId val="103781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6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Wakiso-Kampala-24h'!$C$9:$N$9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Wakiso-Kampala-24h'!$C$107:$N$107</c:f>
              <c:numCache>
                <c:formatCode>0.0%</c:formatCode>
                <c:ptCount val="12"/>
                <c:pt idx="0">
                  <c:v>0.20509023092534695</c:v>
                </c:pt>
                <c:pt idx="1">
                  <c:v>7.9480006582195159E-2</c:v>
                </c:pt>
                <c:pt idx="2">
                  <c:v>3.0771762382754649E-2</c:v>
                </c:pt>
                <c:pt idx="3">
                  <c:v>0.22017442817179531</c:v>
                </c:pt>
                <c:pt idx="4">
                  <c:v>9.0505183478690136E-3</c:v>
                </c:pt>
                <c:pt idx="5">
                  <c:v>1.0421809006637046E-3</c:v>
                </c:pt>
                <c:pt idx="6">
                  <c:v>3.2636717678679171E-2</c:v>
                </c:pt>
                <c:pt idx="7">
                  <c:v>9.8184411167791131E-3</c:v>
                </c:pt>
                <c:pt idx="8">
                  <c:v>5.7045691404750149E-3</c:v>
                </c:pt>
                <c:pt idx="9">
                  <c:v>3.1813943283418352E-3</c:v>
                </c:pt>
                <c:pt idx="10">
                  <c:v>0.40304975042510011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Wakiso-Kampala-24h'!$C$9:$N$9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Wakiso-Kampala-24h'!$C$108:$N$108</c:f>
              <c:numCache>
                <c:formatCode>0.00%</c:formatCode>
                <c:ptCount val="12"/>
                <c:pt idx="0">
                  <c:v>0.34356335569236424</c:v>
                </c:pt>
                <c:pt idx="1">
                  <c:v>0.13314343471469264</c:v>
                </c:pt>
                <c:pt idx="2">
                  <c:v>5.1548286318110814E-2</c:v>
                </c:pt>
                <c:pt idx="3">
                  <c:v>0.36883212349535971</c:v>
                </c:pt>
                <c:pt idx="4">
                  <c:v>1.5161260681797298E-2</c:v>
                </c:pt>
                <c:pt idx="5">
                  <c:v>1.7458421391160525E-3</c:v>
                </c:pt>
                <c:pt idx="6">
                  <c:v>5.4672424882844801E-2</c:v>
                </c:pt>
                <c:pt idx="7">
                  <c:v>1.6447670679040707E-2</c:v>
                </c:pt>
                <c:pt idx="8">
                  <c:v>9.5561885509510246E-3</c:v>
                </c:pt>
                <c:pt idx="9">
                  <c:v>5.3294128457226867E-3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Kampala-Wakiso-24h'!$AE$9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Kampala-Wakiso-24h'!$R$10:$R$33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Kampala-Wakiso-24h'!$AE$10:$AE$33</c:f>
              <c:numCache>
                <c:formatCode>0</c:formatCode>
                <c:ptCount val="24"/>
                <c:pt idx="0">
                  <c:v>1092</c:v>
                </c:pt>
                <c:pt idx="1">
                  <c:v>1375</c:v>
                </c:pt>
                <c:pt idx="2">
                  <c:v>593</c:v>
                </c:pt>
                <c:pt idx="3">
                  <c:v>866</c:v>
                </c:pt>
                <c:pt idx="4">
                  <c:v>709</c:v>
                </c:pt>
                <c:pt idx="5">
                  <c:v>665</c:v>
                </c:pt>
                <c:pt idx="6">
                  <c:v>520</c:v>
                </c:pt>
                <c:pt idx="7">
                  <c:v>681</c:v>
                </c:pt>
                <c:pt idx="8">
                  <c:v>625</c:v>
                </c:pt>
                <c:pt idx="9">
                  <c:v>1197</c:v>
                </c:pt>
                <c:pt idx="10">
                  <c:v>593</c:v>
                </c:pt>
                <c:pt idx="11">
                  <c:v>494</c:v>
                </c:pt>
                <c:pt idx="12">
                  <c:v>386</c:v>
                </c:pt>
                <c:pt idx="13">
                  <c:v>882</c:v>
                </c:pt>
                <c:pt idx="14">
                  <c:v>737</c:v>
                </c:pt>
                <c:pt idx="15">
                  <c:v>696</c:v>
                </c:pt>
                <c:pt idx="16">
                  <c:v>692</c:v>
                </c:pt>
                <c:pt idx="17">
                  <c:v>265</c:v>
                </c:pt>
                <c:pt idx="18">
                  <c:v>321</c:v>
                </c:pt>
                <c:pt idx="19">
                  <c:v>180</c:v>
                </c:pt>
                <c:pt idx="20">
                  <c:v>173</c:v>
                </c:pt>
                <c:pt idx="21">
                  <c:v>52</c:v>
                </c:pt>
                <c:pt idx="22">
                  <c:v>112</c:v>
                </c:pt>
                <c:pt idx="23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Kampala-Wakiso-24h'!$AF$9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Kampala-Wakiso-24h'!$R$10:$R$33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Kampala-Wakiso-24h'!$AF$10:$AF$33</c:f>
              <c:numCache>
                <c:formatCode>0</c:formatCode>
                <c:ptCount val="24"/>
                <c:pt idx="0">
                  <c:v>1425</c:v>
                </c:pt>
                <c:pt idx="1">
                  <c:v>1724</c:v>
                </c:pt>
                <c:pt idx="2">
                  <c:v>834</c:v>
                </c:pt>
                <c:pt idx="3">
                  <c:v>1167</c:v>
                </c:pt>
                <c:pt idx="4">
                  <c:v>922</c:v>
                </c:pt>
                <c:pt idx="5">
                  <c:v>861</c:v>
                </c:pt>
                <c:pt idx="6">
                  <c:v>873</c:v>
                </c:pt>
                <c:pt idx="7">
                  <c:v>1029</c:v>
                </c:pt>
                <c:pt idx="8">
                  <c:v>975</c:v>
                </c:pt>
                <c:pt idx="9">
                  <c:v>1560</c:v>
                </c:pt>
                <c:pt idx="10">
                  <c:v>876</c:v>
                </c:pt>
                <c:pt idx="11">
                  <c:v>694</c:v>
                </c:pt>
                <c:pt idx="12">
                  <c:v>596</c:v>
                </c:pt>
                <c:pt idx="13">
                  <c:v>1237</c:v>
                </c:pt>
                <c:pt idx="14">
                  <c:v>1052</c:v>
                </c:pt>
                <c:pt idx="15">
                  <c:v>1061</c:v>
                </c:pt>
                <c:pt idx="16">
                  <c:v>952</c:v>
                </c:pt>
                <c:pt idx="17">
                  <c:v>437</c:v>
                </c:pt>
                <c:pt idx="18">
                  <c:v>484</c:v>
                </c:pt>
                <c:pt idx="19">
                  <c:v>323</c:v>
                </c:pt>
                <c:pt idx="20">
                  <c:v>224</c:v>
                </c:pt>
                <c:pt idx="21">
                  <c:v>121</c:v>
                </c:pt>
                <c:pt idx="22">
                  <c:v>184</c:v>
                </c:pt>
                <c:pt idx="23">
                  <c:v>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70368"/>
        <c:axId val="105372288"/>
      </c:lineChart>
      <c:catAx>
        <c:axId val="105370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372288"/>
        <c:crosses val="autoZero"/>
        <c:auto val="1"/>
        <c:lblAlgn val="ctr"/>
        <c:lblOffset val="100"/>
        <c:noMultiLvlLbl val="0"/>
      </c:catAx>
      <c:valAx>
        <c:axId val="1053722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37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Kampala-Wakiso-24h'!$C$9:$N$9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Kampala-Wakiso-24h'!$C$107:$N$107</c:f>
              <c:numCache>
                <c:formatCode>0.0%</c:formatCode>
                <c:ptCount val="12"/>
                <c:pt idx="0">
                  <c:v>0.20538080712106815</c:v>
                </c:pt>
                <c:pt idx="1">
                  <c:v>0.14697204580687104</c:v>
                </c:pt>
                <c:pt idx="2">
                  <c:v>6.5809871480722107E-2</c:v>
                </c:pt>
                <c:pt idx="3">
                  <c:v>0.18037705655848377</c:v>
                </c:pt>
                <c:pt idx="4">
                  <c:v>9.3514027104065617E-3</c:v>
                </c:pt>
                <c:pt idx="5">
                  <c:v>1.4502175326298946E-3</c:v>
                </c:pt>
                <c:pt idx="6">
                  <c:v>5.9858978846827025E-2</c:v>
                </c:pt>
                <c:pt idx="7">
                  <c:v>2.3403510526578988E-2</c:v>
                </c:pt>
                <c:pt idx="8">
                  <c:v>9.1013652047807168E-3</c:v>
                </c:pt>
                <c:pt idx="9">
                  <c:v>4.6506976046406965E-3</c:v>
                </c:pt>
                <c:pt idx="10">
                  <c:v>0.29364404660699106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Kampala-Wakiso-24h'!$C$9:$N$9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Kampala-Wakiso-24h'!$C$108:$N$108</c:f>
              <c:numCache>
                <c:formatCode>0.00%</c:formatCode>
                <c:ptCount val="12"/>
                <c:pt idx="0">
                  <c:v>0.29076106194690265</c:v>
                </c:pt>
                <c:pt idx="1">
                  <c:v>0.20807079646017698</c:v>
                </c:pt>
                <c:pt idx="2">
                  <c:v>9.3168141592920348E-2</c:v>
                </c:pt>
                <c:pt idx="3">
                  <c:v>0.25536283185840708</c:v>
                </c:pt>
                <c:pt idx="4">
                  <c:v>1.3238938053097345E-2</c:v>
                </c:pt>
                <c:pt idx="5">
                  <c:v>2.0530973451327434E-3</c:v>
                </c:pt>
                <c:pt idx="6">
                  <c:v>8.4743362831858404E-2</c:v>
                </c:pt>
                <c:pt idx="7">
                  <c:v>3.3132743362831861E-2</c:v>
                </c:pt>
                <c:pt idx="8">
                  <c:v>1.288495575221239E-2</c:v>
                </c:pt>
                <c:pt idx="9">
                  <c:v>6.5840707964601774E-3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Wakiso-Kampala-24h'!$AE$9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Wakiso-Kampala-24h'!$R$10:$R$33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Wakiso-Kampala-24h'!$AE$10:$AE$33</c:f>
              <c:numCache>
                <c:formatCode>0</c:formatCode>
                <c:ptCount val="24"/>
                <c:pt idx="0">
                  <c:v>433</c:v>
                </c:pt>
                <c:pt idx="1">
                  <c:v>517</c:v>
                </c:pt>
                <c:pt idx="2">
                  <c:v>807</c:v>
                </c:pt>
                <c:pt idx="3">
                  <c:v>705</c:v>
                </c:pt>
                <c:pt idx="4">
                  <c:v>722</c:v>
                </c:pt>
                <c:pt idx="5">
                  <c:v>378</c:v>
                </c:pt>
                <c:pt idx="6">
                  <c:v>590</c:v>
                </c:pt>
                <c:pt idx="7">
                  <c:v>566</c:v>
                </c:pt>
                <c:pt idx="8">
                  <c:v>418</c:v>
                </c:pt>
                <c:pt idx="9">
                  <c:v>386</c:v>
                </c:pt>
                <c:pt idx="10">
                  <c:v>449</c:v>
                </c:pt>
                <c:pt idx="11">
                  <c:v>344</c:v>
                </c:pt>
                <c:pt idx="12">
                  <c:v>483</c:v>
                </c:pt>
                <c:pt idx="13">
                  <c:v>604</c:v>
                </c:pt>
                <c:pt idx="14">
                  <c:v>557</c:v>
                </c:pt>
                <c:pt idx="15">
                  <c:v>406</c:v>
                </c:pt>
                <c:pt idx="16">
                  <c:v>384</c:v>
                </c:pt>
                <c:pt idx="17">
                  <c:v>195</c:v>
                </c:pt>
                <c:pt idx="18">
                  <c:v>98</c:v>
                </c:pt>
                <c:pt idx="19">
                  <c:v>151</c:v>
                </c:pt>
                <c:pt idx="20">
                  <c:v>87</c:v>
                </c:pt>
                <c:pt idx="21">
                  <c:v>123</c:v>
                </c:pt>
                <c:pt idx="22">
                  <c:v>251</c:v>
                </c:pt>
                <c:pt idx="23">
                  <c:v>481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Wakiso-Kampala-24h'!$AF$9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Wakiso-Kampala-24h'!$R$10:$R$33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Wakiso-Kampala-24h'!$AF$10:$AF$33</c:f>
              <c:numCache>
                <c:formatCode>0</c:formatCode>
                <c:ptCount val="24"/>
                <c:pt idx="0">
                  <c:v>708</c:v>
                </c:pt>
                <c:pt idx="1">
                  <c:v>812</c:v>
                </c:pt>
                <c:pt idx="2">
                  <c:v>1109</c:v>
                </c:pt>
                <c:pt idx="3">
                  <c:v>1016</c:v>
                </c:pt>
                <c:pt idx="4">
                  <c:v>974</c:v>
                </c:pt>
                <c:pt idx="5">
                  <c:v>626</c:v>
                </c:pt>
                <c:pt idx="6">
                  <c:v>846</c:v>
                </c:pt>
                <c:pt idx="7">
                  <c:v>756</c:v>
                </c:pt>
                <c:pt idx="8">
                  <c:v>605</c:v>
                </c:pt>
                <c:pt idx="9">
                  <c:v>600</c:v>
                </c:pt>
                <c:pt idx="10">
                  <c:v>676</c:v>
                </c:pt>
                <c:pt idx="11">
                  <c:v>532</c:v>
                </c:pt>
                <c:pt idx="12">
                  <c:v>813</c:v>
                </c:pt>
                <c:pt idx="13">
                  <c:v>979</c:v>
                </c:pt>
                <c:pt idx="14">
                  <c:v>917</c:v>
                </c:pt>
                <c:pt idx="15">
                  <c:v>721</c:v>
                </c:pt>
                <c:pt idx="16">
                  <c:v>627</c:v>
                </c:pt>
                <c:pt idx="17">
                  <c:v>308</c:v>
                </c:pt>
                <c:pt idx="18">
                  <c:v>165</c:v>
                </c:pt>
                <c:pt idx="19">
                  <c:v>253</c:v>
                </c:pt>
                <c:pt idx="20">
                  <c:v>129</c:v>
                </c:pt>
                <c:pt idx="21">
                  <c:v>214</c:v>
                </c:pt>
                <c:pt idx="22">
                  <c:v>371</c:v>
                </c:pt>
                <c:pt idx="23">
                  <c:v>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728256"/>
        <c:axId val="105746816"/>
      </c:lineChart>
      <c:catAx>
        <c:axId val="105728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46816"/>
        <c:crosses val="autoZero"/>
        <c:auto val="1"/>
        <c:lblAlgn val="ctr"/>
        <c:lblOffset val="100"/>
        <c:noMultiLvlLbl val="0"/>
      </c:catAx>
      <c:valAx>
        <c:axId val="1057468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2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Wakiso-Kampala-24h'!$C$9:$N$9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Wakiso-Kampala-24h'!$C$107:$N$107</c:f>
              <c:numCache>
                <c:formatCode>0.0%</c:formatCode>
                <c:ptCount val="12"/>
                <c:pt idx="0">
                  <c:v>0.2281008882837321</c:v>
                </c:pt>
                <c:pt idx="1">
                  <c:v>9.9850872074174937E-2</c:v>
                </c:pt>
                <c:pt idx="2">
                  <c:v>3.6633599170070676E-2</c:v>
                </c:pt>
                <c:pt idx="3">
                  <c:v>0.20385139078000389</c:v>
                </c:pt>
                <c:pt idx="4">
                  <c:v>4.3441613175128051E-3</c:v>
                </c:pt>
                <c:pt idx="5">
                  <c:v>3.3715878882188939E-3</c:v>
                </c:pt>
                <c:pt idx="6">
                  <c:v>4.0199701744148351E-2</c:v>
                </c:pt>
                <c:pt idx="7">
                  <c:v>3.2224599623938276E-2</c:v>
                </c:pt>
                <c:pt idx="8">
                  <c:v>4.6683524606107758E-3</c:v>
                </c:pt>
                <c:pt idx="9">
                  <c:v>3.890293717175647E-3</c:v>
                </c:pt>
                <c:pt idx="10">
                  <c:v>0.34286455294041368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Wakiso-Kampala-24h'!$C$9:$N$9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Wakiso-Kampala-24h'!$C$108:$N$108</c:f>
              <c:numCache>
                <c:formatCode>0.00%</c:formatCode>
                <c:ptCount val="12"/>
                <c:pt idx="0">
                  <c:v>0.34711396151948692</c:v>
                </c:pt>
                <c:pt idx="1">
                  <c:v>0.15194869264923533</c:v>
                </c:pt>
                <c:pt idx="2">
                  <c:v>5.5747409965466205E-2</c:v>
                </c:pt>
                <c:pt idx="3">
                  <c:v>0.31021213616181548</c:v>
                </c:pt>
                <c:pt idx="4">
                  <c:v>6.6107548100641338E-3</c:v>
                </c:pt>
                <c:pt idx="5">
                  <c:v>5.1307350764676863E-3</c:v>
                </c:pt>
                <c:pt idx="6">
                  <c:v>6.1174148988653185E-2</c:v>
                </c:pt>
                <c:pt idx="7">
                  <c:v>4.9037987173162309E-2</c:v>
                </c:pt>
                <c:pt idx="8">
                  <c:v>7.1040947212629504E-3</c:v>
                </c:pt>
                <c:pt idx="9">
                  <c:v>5.9200789343857915E-3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Kampala-wakiso'!$AE$9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Kampala-wakiso'!$AE$10:$AE$21</c:f>
              <c:numCache>
                <c:formatCode>0</c:formatCode>
                <c:ptCount val="12"/>
                <c:pt idx="0">
                  <c:v>459</c:v>
                </c:pt>
                <c:pt idx="1">
                  <c:v>613</c:v>
                </c:pt>
                <c:pt idx="2">
                  <c:v>724</c:v>
                </c:pt>
                <c:pt idx="3">
                  <c:v>755</c:v>
                </c:pt>
                <c:pt idx="4">
                  <c:v>850</c:v>
                </c:pt>
                <c:pt idx="5">
                  <c:v>653</c:v>
                </c:pt>
                <c:pt idx="6">
                  <c:v>734</c:v>
                </c:pt>
                <c:pt idx="7">
                  <c:v>489</c:v>
                </c:pt>
                <c:pt idx="8">
                  <c:v>665</c:v>
                </c:pt>
                <c:pt idx="9">
                  <c:v>685</c:v>
                </c:pt>
                <c:pt idx="10">
                  <c:v>817</c:v>
                </c:pt>
                <c:pt idx="11">
                  <c:v>703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Kampala-wakiso'!$AF$9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Kampala-wakiso'!$AF$10:$AF$21</c:f>
              <c:numCache>
                <c:formatCode>0</c:formatCode>
                <c:ptCount val="12"/>
                <c:pt idx="0">
                  <c:v>692</c:v>
                </c:pt>
                <c:pt idx="1">
                  <c:v>918</c:v>
                </c:pt>
                <c:pt idx="2">
                  <c:v>1064</c:v>
                </c:pt>
                <c:pt idx="3">
                  <c:v>1105</c:v>
                </c:pt>
                <c:pt idx="4">
                  <c:v>1160</c:v>
                </c:pt>
                <c:pt idx="5">
                  <c:v>998</c:v>
                </c:pt>
                <c:pt idx="6">
                  <c:v>1229</c:v>
                </c:pt>
                <c:pt idx="7">
                  <c:v>764</c:v>
                </c:pt>
                <c:pt idx="8">
                  <c:v>1005</c:v>
                </c:pt>
                <c:pt idx="9">
                  <c:v>1020</c:v>
                </c:pt>
                <c:pt idx="10">
                  <c:v>1302</c:v>
                </c:pt>
                <c:pt idx="11">
                  <c:v>1007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46112"/>
        <c:axId val="105956480"/>
      </c:lineChart>
      <c:catAx>
        <c:axId val="105946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56480"/>
        <c:crosses val="autoZero"/>
        <c:auto val="1"/>
        <c:lblAlgn val="ctr"/>
        <c:lblOffset val="100"/>
        <c:noMultiLvlLbl val="0"/>
      </c:catAx>
      <c:valAx>
        <c:axId val="105956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4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Kampala-wakiso'!$C$59:$N$59</c:f>
              <c:numCache>
                <c:formatCode>0.0%</c:formatCode>
                <c:ptCount val="12"/>
                <c:pt idx="0">
                  <c:v>0.18281148075668624</c:v>
                </c:pt>
                <c:pt idx="1">
                  <c:v>0.20474559686888455</c:v>
                </c:pt>
                <c:pt idx="2">
                  <c:v>2.2423352902804956E-2</c:v>
                </c:pt>
                <c:pt idx="3">
                  <c:v>0.21387801696020875</c:v>
                </c:pt>
                <c:pt idx="4">
                  <c:v>2.2015655577299412E-3</c:v>
                </c:pt>
                <c:pt idx="5">
                  <c:v>2.7723418134377037E-3</c:v>
                </c:pt>
                <c:pt idx="6">
                  <c:v>1.6715590345727331E-2</c:v>
                </c:pt>
                <c:pt idx="7">
                  <c:v>5.0554468362687538E-3</c:v>
                </c:pt>
                <c:pt idx="8">
                  <c:v>2.2015655577299412E-3</c:v>
                </c:pt>
                <c:pt idx="9">
                  <c:v>1.1497064579256359E-2</c:v>
                </c:pt>
                <c:pt idx="10">
                  <c:v>0.33569797782126548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Kampala-wakiso'!$S$9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Kampala-wakiso'!$S$10:$S$21</c:f>
              <c:numCache>
                <c:formatCode>0</c:formatCode>
                <c:ptCount val="12"/>
                <c:pt idx="0">
                  <c:v>110</c:v>
                </c:pt>
                <c:pt idx="1">
                  <c:v>165</c:v>
                </c:pt>
                <c:pt idx="2">
                  <c:v>205</c:v>
                </c:pt>
                <c:pt idx="3">
                  <c:v>197</c:v>
                </c:pt>
                <c:pt idx="4">
                  <c:v>210</c:v>
                </c:pt>
                <c:pt idx="5">
                  <c:v>215</c:v>
                </c:pt>
                <c:pt idx="6">
                  <c:v>220</c:v>
                </c:pt>
                <c:pt idx="7">
                  <c:v>135</c:v>
                </c:pt>
                <c:pt idx="8">
                  <c:v>180</c:v>
                </c:pt>
                <c:pt idx="9">
                  <c:v>210</c:v>
                </c:pt>
                <c:pt idx="10">
                  <c:v>225</c:v>
                </c:pt>
                <c:pt idx="11">
                  <c:v>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Kampala-wakiso'!$T$9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Kampala-wakiso'!$R$10:$R$21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Kampala-wakiso'!$T$10:$T$21</c:f>
              <c:numCache>
                <c:formatCode>0</c:formatCode>
                <c:ptCount val="12"/>
                <c:pt idx="0">
                  <c:v>104</c:v>
                </c:pt>
                <c:pt idx="1">
                  <c:v>180</c:v>
                </c:pt>
                <c:pt idx="2">
                  <c:v>240</c:v>
                </c:pt>
                <c:pt idx="3">
                  <c:v>245</c:v>
                </c:pt>
                <c:pt idx="4">
                  <c:v>252</c:v>
                </c:pt>
                <c:pt idx="5">
                  <c:v>200</c:v>
                </c:pt>
                <c:pt idx="6">
                  <c:v>220</c:v>
                </c:pt>
                <c:pt idx="7">
                  <c:v>170</c:v>
                </c:pt>
                <c:pt idx="8">
                  <c:v>200</c:v>
                </c:pt>
                <c:pt idx="9">
                  <c:v>215</c:v>
                </c:pt>
                <c:pt idx="10">
                  <c:v>260</c:v>
                </c:pt>
                <c:pt idx="11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Kampala-wakiso'!$U$9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Kampala-wakiso'!$U$10:$U$21</c:f>
              <c:numCache>
                <c:formatCode>0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24</c:v>
                </c:pt>
                <c:pt idx="3">
                  <c:v>16</c:v>
                </c:pt>
                <c:pt idx="4">
                  <c:v>20</c:v>
                </c:pt>
                <c:pt idx="5">
                  <c:v>30</c:v>
                </c:pt>
                <c:pt idx="6">
                  <c:v>17</c:v>
                </c:pt>
                <c:pt idx="7">
                  <c:v>37</c:v>
                </c:pt>
                <c:pt idx="8">
                  <c:v>11</c:v>
                </c:pt>
                <c:pt idx="9">
                  <c:v>17</c:v>
                </c:pt>
                <c:pt idx="10">
                  <c:v>55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Kampala-wakiso'!$V$9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Kampala-wakiso'!$V$10:$V$21</c:f>
              <c:numCache>
                <c:formatCode>0</c:formatCode>
                <c:ptCount val="12"/>
                <c:pt idx="0">
                  <c:v>184</c:v>
                </c:pt>
                <c:pt idx="1">
                  <c:v>230</c:v>
                </c:pt>
                <c:pt idx="2">
                  <c:v>220</c:v>
                </c:pt>
                <c:pt idx="3">
                  <c:v>260</c:v>
                </c:pt>
                <c:pt idx="4">
                  <c:v>255</c:v>
                </c:pt>
                <c:pt idx="5">
                  <c:v>185</c:v>
                </c:pt>
                <c:pt idx="6">
                  <c:v>254</c:v>
                </c:pt>
                <c:pt idx="7">
                  <c:v>120</c:v>
                </c:pt>
                <c:pt idx="8">
                  <c:v>230</c:v>
                </c:pt>
                <c:pt idx="9">
                  <c:v>210</c:v>
                </c:pt>
                <c:pt idx="10">
                  <c:v>230</c:v>
                </c:pt>
                <c:pt idx="11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Kampala-wakiso'!$W$9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Kampala-wakiso'!$W$10:$W$21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Kampala-wakiso'!$X$9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Kampala-wakiso'!$X$10:$X$21</c:f>
              <c:numCache>
                <c:formatCode>0</c:formatCode>
                <c:ptCount val="12"/>
                <c:pt idx="0">
                  <c:v>13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8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Kampala-wakiso'!$Y$9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Kampala-wakiso'!$Y$10:$Y$21</c:f>
              <c:numCache>
                <c:formatCode>0</c:formatCode>
                <c:ptCount val="12"/>
                <c:pt idx="0">
                  <c:v>18</c:v>
                </c:pt>
                <c:pt idx="1">
                  <c:v>10</c:v>
                </c:pt>
                <c:pt idx="2">
                  <c:v>11</c:v>
                </c:pt>
                <c:pt idx="3">
                  <c:v>28</c:v>
                </c:pt>
                <c:pt idx="4">
                  <c:v>9</c:v>
                </c:pt>
                <c:pt idx="5">
                  <c:v>12</c:v>
                </c:pt>
                <c:pt idx="6">
                  <c:v>12</c:v>
                </c:pt>
                <c:pt idx="7">
                  <c:v>17</c:v>
                </c:pt>
                <c:pt idx="8">
                  <c:v>24</c:v>
                </c:pt>
                <c:pt idx="9">
                  <c:v>28</c:v>
                </c:pt>
                <c:pt idx="10">
                  <c:v>20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Kampala-wakiso'!$Z$9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Kampala-wakiso'!$Z$10:$Z$21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8</c:v>
                </c:pt>
                <c:pt idx="9">
                  <c:v>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Kampala-wakiso'!$AA$9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Kampala-wakiso'!$AB$9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Kampala-wakiso'!$AB$10:$AB$21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91</c:v>
                </c:pt>
                <c:pt idx="5">
                  <c:v>9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Kampala-wakiso'!$AC$9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Kampala-wakiso'!$AC$10:$AC$21</c:f>
              <c:numCache>
                <c:formatCode>0</c:formatCode>
                <c:ptCount val="12"/>
                <c:pt idx="0">
                  <c:v>233</c:v>
                </c:pt>
                <c:pt idx="1">
                  <c:v>305</c:v>
                </c:pt>
                <c:pt idx="2">
                  <c:v>340</c:v>
                </c:pt>
                <c:pt idx="3">
                  <c:v>350</c:v>
                </c:pt>
                <c:pt idx="4">
                  <c:v>310</c:v>
                </c:pt>
                <c:pt idx="5">
                  <c:v>345</c:v>
                </c:pt>
                <c:pt idx="6">
                  <c:v>495</c:v>
                </c:pt>
                <c:pt idx="7">
                  <c:v>275</c:v>
                </c:pt>
                <c:pt idx="8">
                  <c:v>340</c:v>
                </c:pt>
                <c:pt idx="9">
                  <c:v>335</c:v>
                </c:pt>
                <c:pt idx="10">
                  <c:v>485</c:v>
                </c:pt>
                <c:pt idx="11">
                  <c:v>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Kampala-wakiso'!$AD$9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Kampala-wakiso'!$AD$10:$AD$21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2480"/>
        <c:axId val="105974016"/>
      </c:lineChart>
      <c:catAx>
        <c:axId val="105972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74016"/>
        <c:crosses val="autoZero"/>
        <c:auto val="1"/>
        <c:lblAlgn val="ctr"/>
        <c:lblOffset val="100"/>
        <c:noMultiLvlLbl val="0"/>
      </c:catAx>
      <c:valAx>
        <c:axId val="10597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97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Kampala-wakiso'!$C$60:$N$60</c:f>
              <c:numCache>
                <c:formatCode>0.00%</c:formatCode>
                <c:ptCount val="12"/>
                <c:pt idx="0">
                  <c:v>0.2751933226954707</c:v>
                </c:pt>
                <c:pt idx="1">
                  <c:v>0.3082116116361851</c:v>
                </c:pt>
                <c:pt idx="2">
                  <c:v>3.3754756352031422E-2</c:v>
                </c:pt>
                <c:pt idx="3">
                  <c:v>0.32195900331410338</c:v>
                </c:pt>
                <c:pt idx="4">
                  <c:v>3.3141033509267214E-3</c:v>
                </c:pt>
                <c:pt idx="5">
                  <c:v>4.1733153307966127E-3</c:v>
                </c:pt>
                <c:pt idx="6">
                  <c:v>2.5162636553332514E-2</c:v>
                </c:pt>
                <c:pt idx="7">
                  <c:v>7.6101632502761753E-3</c:v>
                </c:pt>
                <c:pt idx="8">
                  <c:v>3.3141033509267214E-3</c:v>
                </c:pt>
                <c:pt idx="9">
                  <c:v>1.7306984165950657E-2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Wakiso-Kampala'!$AE$9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Wakiso-Kampala'!$AE$10:$AE$21</c:f>
              <c:numCache>
                <c:formatCode>0</c:formatCode>
                <c:ptCount val="12"/>
                <c:pt idx="0">
                  <c:v>552</c:v>
                </c:pt>
                <c:pt idx="1">
                  <c:v>633</c:v>
                </c:pt>
                <c:pt idx="2">
                  <c:v>635</c:v>
                </c:pt>
                <c:pt idx="3">
                  <c:v>644</c:v>
                </c:pt>
                <c:pt idx="4">
                  <c:v>442</c:v>
                </c:pt>
                <c:pt idx="5">
                  <c:v>271</c:v>
                </c:pt>
                <c:pt idx="6">
                  <c:v>298</c:v>
                </c:pt>
                <c:pt idx="7">
                  <c:v>208</c:v>
                </c:pt>
                <c:pt idx="8">
                  <c:v>302</c:v>
                </c:pt>
                <c:pt idx="9">
                  <c:v>336</c:v>
                </c:pt>
                <c:pt idx="10">
                  <c:v>323</c:v>
                </c:pt>
                <c:pt idx="11">
                  <c:v>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Wakiso-Kampala'!$AF$9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Wakiso-Kampala'!$AF$10:$AF$21</c:f>
              <c:numCache>
                <c:formatCode>0</c:formatCode>
                <c:ptCount val="12"/>
                <c:pt idx="0">
                  <c:v>878</c:v>
                </c:pt>
                <c:pt idx="1">
                  <c:v>1098</c:v>
                </c:pt>
                <c:pt idx="2">
                  <c:v>1015</c:v>
                </c:pt>
                <c:pt idx="3">
                  <c:v>1034</c:v>
                </c:pt>
                <c:pt idx="4">
                  <c:v>812</c:v>
                </c:pt>
                <c:pt idx="5">
                  <c:v>571</c:v>
                </c:pt>
                <c:pt idx="6">
                  <c:v>613</c:v>
                </c:pt>
                <c:pt idx="7">
                  <c:v>334</c:v>
                </c:pt>
                <c:pt idx="8">
                  <c:v>492</c:v>
                </c:pt>
                <c:pt idx="9">
                  <c:v>586</c:v>
                </c:pt>
                <c:pt idx="10">
                  <c:v>655</c:v>
                </c:pt>
                <c:pt idx="11">
                  <c:v>526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417152"/>
        <c:axId val="106443904"/>
      </c:lineChart>
      <c:catAx>
        <c:axId val="106417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443904"/>
        <c:crosses val="autoZero"/>
        <c:auto val="1"/>
        <c:lblAlgn val="ctr"/>
        <c:lblOffset val="100"/>
        <c:noMultiLvlLbl val="0"/>
      </c:catAx>
      <c:valAx>
        <c:axId val="1064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41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Wakiso-Kampala'!$C$59:$N$59</c:f>
              <c:numCache>
                <c:formatCode>0.0%</c:formatCode>
                <c:ptCount val="12"/>
                <c:pt idx="0">
                  <c:v>0.19108428140236824</c:v>
                </c:pt>
                <c:pt idx="1">
                  <c:v>9.8328302762944048E-2</c:v>
                </c:pt>
                <c:pt idx="2">
                  <c:v>2.9719061992105875E-2</c:v>
                </c:pt>
                <c:pt idx="3">
                  <c:v>0.21418620849779429</c:v>
                </c:pt>
                <c:pt idx="4">
                  <c:v>3.9470629208265611E-3</c:v>
                </c:pt>
                <c:pt idx="5">
                  <c:v>9.2872068725330858E-4</c:v>
                </c:pt>
                <c:pt idx="6">
                  <c:v>2.5423728813559324E-2</c:v>
                </c:pt>
                <c:pt idx="7">
                  <c:v>2.4378918040399351E-3</c:v>
                </c:pt>
                <c:pt idx="8">
                  <c:v>1.7413512885999535E-3</c:v>
                </c:pt>
                <c:pt idx="9">
                  <c:v>2.7861620617599257E-3</c:v>
                </c:pt>
                <c:pt idx="10">
                  <c:v>0.42941722776874852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65"/>
          <c:y val="2.296022663732378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Wakiso-Kampala'!$S$9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Wakiso-Kampala'!$S$10:$S$21</c:f>
              <c:numCache>
                <c:formatCode>0</c:formatCode>
                <c:ptCount val="12"/>
                <c:pt idx="0">
                  <c:v>134</c:v>
                </c:pt>
                <c:pt idx="1">
                  <c:v>212</c:v>
                </c:pt>
                <c:pt idx="2">
                  <c:v>230</c:v>
                </c:pt>
                <c:pt idx="3">
                  <c:v>201</c:v>
                </c:pt>
                <c:pt idx="4">
                  <c:v>198</c:v>
                </c:pt>
                <c:pt idx="5">
                  <c:v>83</c:v>
                </c:pt>
                <c:pt idx="6">
                  <c:v>101</c:v>
                </c:pt>
                <c:pt idx="7">
                  <c:v>56</c:v>
                </c:pt>
                <c:pt idx="8">
                  <c:v>95</c:v>
                </c:pt>
                <c:pt idx="9">
                  <c:v>100</c:v>
                </c:pt>
                <c:pt idx="10">
                  <c:v>115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Wakiso-Kampala'!$T$9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Wakiso-Kampala'!$R$10:$R$21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Wakiso-Kampala'!$T$10:$T$21</c:f>
              <c:numCache>
                <c:formatCode>0</c:formatCode>
                <c:ptCount val="12"/>
                <c:pt idx="0">
                  <c:v>47</c:v>
                </c:pt>
                <c:pt idx="1">
                  <c:v>77</c:v>
                </c:pt>
                <c:pt idx="2">
                  <c:v>75</c:v>
                </c:pt>
                <c:pt idx="3">
                  <c:v>155</c:v>
                </c:pt>
                <c:pt idx="4">
                  <c:v>77</c:v>
                </c:pt>
                <c:pt idx="5">
                  <c:v>67</c:v>
                </c:pt>
                <c:pt idx="6">
                  <c:v>61</c:v>
                </c:pt>
                <c:pt idx="7">
                  <c:v>34</c:v>
                </c:pt>
                <c:pt idx="8">
                  <c:v>61</c:v>
                </c:pt>
                <c:pt idx="9">
                  <c:v>82</c:v>
                </c:pt>
                <c:pt idx="10">
                  <c:v>76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Wakiso-Kampala'!$U$9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Wakiso-Kampala'!$U$10:$U$21</c:f>
              <c:numCache>
                <c:formatCode>0</c:formatCode>
                <c:ptCount val="12"/>
                <c:pt idx="0">
                  <c:v>16</c:v>
                </c:pt>
                <c:pt idx="1">
                  <c:v>23</c:v>
                </c:pt>
                <c:pt idx="2">
                  <c:v>38</c:v>
                </c:pt>
                <c:pt idx="3">
                  <c:v>16</c:v>
                </c:pt>
                <c:pt idx="4">
                  <c:v>27</c:v>
                </c:pt>
                <c:pt idx="5">
                  <c:v>17</c:v>
                </c:pt>
                <c:pt idx="6">
                  <c:v>18</c:v>
                </c:pt>
                <c:pt idx="7">
                  <c:v>17</c:v>
                </c:pt>
                <c:pt idx="8">
                  <c:v>20</c:v>
                </c:pt>
                <c:pt idx="9">
                  <c:v>27</c:v>
                </c:pt>
                <c:pt idx="10">
                  <c:v>24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Wakiso-Kampala'!$V$9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Wakiso-Kampala'!$V$10:$V$21</c:f>
              <c:numCache>
                <c:formatCode>0</c:formatCode>
                <c:ptCount val="12"/>
                <c:pt idx="0">
                  <c:v>315</c:v>
                </c:pt>
                <c:pt idx="1">
                  <c:v>285</c:v>
                </c:pt>
                <c:pt idx="2">
                  <c:v>245</c:v>
                </c:pt>
                <c:pt idx="3">
                  <c:v>245</c:v>
                </c:pt>
                <c:pt idx="4">
                  <c:v>116</c:v>
                </c:pt>
                <c:pt idx="5">
                  <c:v>89</c:v>
                </c:pt>
                <c:pt idx="6">
                  <c:v>82</c:v>
                </c:pt>
                <c:pt idx="7">
                  <c:v>81</c:v>
                </c:pt>
                <c:pt idx="8">
                  <c:v>104</c:v>
                </c:pt>
                <c:pt idx="9">
                  <c:v>107</c:v>
                </c:pt>
                <c:pt idx="10">
                  <c:v>91</c:v>
                </c:pt>
                <c:pt idx="11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Wakiso-Kampala'!$W$9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Wakiso-Kampala'!$W$10:$W$21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5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Wakiso-Kampala'!$X$9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Wakiso-Kampala'!$Y$9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Wakiso-Kampala'!$Y$10:$Y$21</c:f>
              <c:numCache>
                <c:formatCode>0</c:formatCode>
                <c:ptCount val="12"/>
                <c:pt idx="0">
                  <c:v>27</c:v>
                </c:pt>
                <c:pt idx="1">
                  <c:v>25</c:v>
                </c:pt>
                <c:pt idx="2">
                  <c:v>35</c:v>
                </c:pt>
                <c:pt idx="3">
                  <c:v>19</c:v>
                </c:pt>
                <c:pt idx="4">
                  <c:v>19</c:v>
                </c:pt>
                <c:pt idx="5">
                  <c:v>9</c:v>
                </c:pt>
                <c:pt idx="6">
                  <c:v>29</c:v>
                </c:pt>
                <c:pt idx="7">
                  <c:v>6</c:v>
                </c:pt>
                <c:pt idx="8">
                  <c:v>15</c:v>
                </c:pt>
                <c:pt idx="9">
                  <c:v>16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Wakiso-Kampala'!$Z$9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Wakiso-Kampala'!$Z$10:$Z$21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Wakiso-Kampala'!$AA$9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Wakiso-Kampala'!$AB$9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Wakiso-Kampala'!$AC$9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Wakiso-Kampala'!$AC$10:$AC$21</c:f>
              <c:numCache>
                <c:formatCode>0</c:formatCode>
                <c:ptCount val="12"/>
                <c:pt idx="0">
                  <c:v>326</c:v>
                </c:pt>
                <c:pt idx="1">
                  <c:v>465</c:v>
                </c:pt>
                <c:pt idx="2">
                  <c:v>380</c:v>
                </c:pt>
                <c:pt idx="3">
                  <c:v>390</c:v>
                </c:pt>
                <c:pt idx="4">
                  <c:v>370</c:v>
                </c:pt>
                <c:pt idx="5">
                  <c:v>300</c:v>
                </c:pt>
                <c:pt idx="6">
                  <c:v>315</c:v>
                </c:pt>
                <c:pt idx="7">
                  <c:v>126</c:v>
                </c:pt>
                <c:pt idx="8">
                  <c:v>190</c:v>
                </c:pt>
                <c:pt idx="9">
                  <c:v>250</c:v>
                </c:pt>
                <c:pt idx="10">
                  <c:v>332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Wakiso-Kampala'!$AD$9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Wakiso-Kampala'!$AD$10:$AD$21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300160"/>
        <c:axId val="106301696"/>
      </c:lineChart>
      <c:catAx>
        <c:axId val="106300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301696"/>
        <c:crosses val="autoZero"/>
        <c:auto val="1"/>
        <c:lblAlgn val="ctr"/>
        <c:lblOffset val="100"/>
        <c:noMultiLvlLbl val="0"/>
      </c:catAx>
      <c:valAx>
        <c:axId val="10630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3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Wakiso-Kampala'!$C$60:$N$60</c:f>
              <c:numCache>
                <c:formatCode>0.00%</c:formatCode>
                <c:ptCount val="12"/>
                <c:pt idx="0">
                  <c:v>0.33489318413021363</c:v>
                </c:pt>
                <c:pt idx="1">
                  <c:v>0.1723296032553408</c:v>
                </c:pt>
                <c:pt idx="2">
                  <c:v>5.2085452695829093E-2</c:v>
                </c:pt>
                <c:pt idx="3">
                  <c:v>0.37538148524923703</c:v>
                </c:pt>
                <c:pt idx="4">
                  <c:v>6.9175991861648014E-3</c:v>
                </c:pt>
                <c:pt idx="5">
                  <c:v>1.6276703967446592E-3</c:v>
                </c:pt>
                <c:pt idx="6">
                  <c:v>4.4557477110885042E-2</c:v>
                </c:pt>
                <c:pt idx="7">
                  <c:v>4.2726347914547307E-3</c:v>
                </c:pt>
                <c:pt idx="8">
                  <c:v>3.0518819938962359E-3</c:v>
                </c:pt>
                <c:pt idx="9">
                  <c:v>4.8830111902339775E-3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Kampala-Wakiso'!$AE$9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Kampala-Wakiso'!$R$10:$R$33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Kampala-Wakiso'!$AE$10:$AE$33</c:f>
              <c:numCache>
                <c:formatCode>0</c:formatCode>
                <c:ptCount val="24"/>
                <c:pt idx="0">
                  <c:v>593.71428571428578</c:v>
                </c:pt>
                <c:pt idx="1">
                  <c:v>645.71428571428567</c:v>
                </c:pt>
                <c:pt idx="2">
                  <c:v>620.30952380952385</c:v>
                </c:pt>
                <c:pt idx="3">
                  <c:v>690.42857142857144</c:v>
                </c:pt>
                <c:pt idx="4">
                  <c:v>652.42857142857144</c:v>
                </c:pt>
                <c:pt idx="5">
                  <c:v>581.42857142857133</c:v>
                </c:pt>
                <c:pt idx="6">
                  <c:v>588.14285714285711</c:v>
                </c:pt>
                <c:pt idx="7">
                  <c:v>602.57142857142867</c:v>
                </c:pt>
                <c:pt idx="8">
                  <c:v>731.28571428571422</c:v>
                </c:pt>
                <c:pt idx="9">
                  <c:v>831.28571428571422</c:v>
                </c:pt>
                <c:pt idx="10">
                  <c:v>871.71428571428567</c:v>
                </c:pt>
                <c:pt idx="11">
                  <c:v>753.42857142857144</c:v>
                </c:pt>
                <c:pt idx="12">
                  <c:v>634.5</c:v>
                </c:pt>
                <c:pt idx="13">
                  <c:v>881</c:v>
                </c:pt>
                <c:pt idx="14">
                  <c:v>831.5</c:v>
                </c:pt>
                <c:pt idx="15">
                  <c:v>769.5</c:v>
                </c:pt>
                <c:pt idx="16">
                  <c:v>459.5</c:v>
                </c:pt>
                <c:pt idx="17">
                  <c:v>209.5</c:v>
                </c:pt>
                <c:pt idx="18">
                  <c:v>201.5</c:v>
                </c:pt>
                <c:pt idx="19">
                  <c:v>136</c:v>
                </c:pt>
                <c:pt idx="20">
                  <c:v>133</c:v>
                </c:pt>
                <c:pt idx="21">
                  <c:v>78.5</c:v>
                </c:pt>
                <c:pt idx="22">
                  <c:v>134.5</c:v>
                </c:pt>
                <c:pt idx="23">
                  <c:v>212.5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Kampala-Wakiso'!$AF$9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Kampala-Wakiso'!$R$10:$R$33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Kampala-Wakiso'!$AF$10:$AF$33</c:f>
              <c:numCache>
                <c:formatCode>0</c:formatCode>
                <c:ptCount val="24"/>
                <c:pt idx="0">
                  <c:v>872.71428571428578</c:v>
                </c:pt>
                <c:pt idx="1">
                  <c:v>1006.5714285714286</c:v>
                </c:pt>
                <c:pt idx="2">
                  <c:v>928.45238095238085</c:v>
                </c:pt>
                <c:pt idx="3">
                  <c:v>1026.2857142857144</c:v>
                </c:pt>
                <c:pt idx="4">
                  <c:v>984.57142857142844</c:v>
                </c:pt>
                <c:pt idx="5">
                  <c:v>890.57142857142856</c:v>
                </c:pt>
                <c:pt idx="6">
                  <c:v>917.28571428571422</c:v>
                </c:pt>
                <c:pt idx="7">
                  <c:v>917.71428571428578</c:v>
                </c:pt>
                <c:pt idx="8">
                  <c:v>1040.9999999999998</c:v>
                </c:pt>
                <c:pt idx="9">
                  <c:v>1171</c:v>
                </c:pt>
                <c:pt idx="10">
                  <c:v>1244.8571428571429</c:v>
                </c:pt>
                <c:pt idx="11">
                  <c:v>1091.7142857142858</c:v>
                </c:pt>
                <c:pt idx="12">
                  <c:v>914.5</c:v>
                </c:pt>
                <c:pt idx="13">
                  <c:v>1238.5</c:v>
                </c:pt>
                <c:pt idx="14">
                  <c:v>1164</c:v>
                </c:pt>
                <c:pt idx="15">
                  <c:v>1117</c:v>
                </c:pt>
                <c:pt idx="16">
                  <c:v>634.5</c:v>
                </c:pt>
                <c:pt idx="17">
                  <c:v>337</c:v>
                </c:pt>
                <c:pt idx="18">
                  <c:v>320.5</c:v>
                </c:pt>
                <c:pt idx="19">
                  <c:v>236</c:v>
                </c:pt>
                <c:pt idx="20">
                  <c:v>176</c:v>
                </c:pt>
                <c:pt idx="21">
                  <c:v>155</c:v>
                </c:pt>
                <c:pt idx="22">
                  <c:v>226.5</c:v>
                </c:pt>
                <c:pt idx="23">
                  <c:v>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818560"/>
        <c:axId val="106845312"/>
      </c:lineChart>
      <c:catAx>
        <c:axId val="106818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845312"/>
        <c:crosses val="autoZero"/>
        <c:auto val="1"/>
        <c:lblAlgn val="ctr"/>
        <c:lblOffset val="100"/>
        <c:noMultiLvlLbl val="0"/>
      </c:catAx>
      <c:valAx>
        <c:axId val="1068453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681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4947342723854"/>
          <c:y val="7.0500606484241696E-2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Kampala-Wakiso'!$C$107:$N$107</c:f>
              <c:numCache>
                <c:formatCode>0.0%</c:formatCode>
                <c:ptCount val="12"/>
                <c:pt idx="0">
                  <c:v>0.19954099068673115</c:v>
                </c:pt>
                <c:pt idx="1">
                  <c:v>0.18108143397723539</c:v>
                </c:pt>
                <c:pt idx="2">
                  <c:v>3.6568830053559459E-2</c:v>
                </c:pt>
                <c:pt idx="3">
                  <c:v>0.2005240440026215</c:v>
                </c:pt>
                <c:pt idx="4">
                  <c:v>4.8663022380470529E-3</c:v>
                </c:pt>
                <c:pt idx="5">
                  <c:v>2.133087590929293E-3</c:v>
                </c:pt>
                <c:pt idx="6">
                  <c:v>3.5604609176670882E-2</c:v>
                </c:pt>
                <c:pt idx="7">
                  <c:v>9.1638648182418552E-3</c:v>
                </c:pt>
                <c:pt idx="8">
                  <c:v>3.6082953127314827E-3</c:v>
                </c:pt>
                <c:pt idx="9">
                  <c:v>4.1506695559813097E-3</c:v>
                </c:pt>
                <c:pt idx="10">
                  <c:v>0.32272774068484794</c:v>
                </c:pt>
                <c:pt idx="11">
                  <c:v>3.0131902402768121E-5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367823583985534"/>
          <c:y val="0.23398765973925389"/>
          <c:w val="0.82182781835050078"/>
          <c:h val="0.764955931328256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Kampala-Wakiso'!$C$9:$N$9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Kampala-Wakiso'!$C$108:$N$108</c:f>
              <c:numCache>
                <c:formatCode>0.00%</c:formatCode>
                <c:ptCount val="12"/>
                <c:pt idx="0">
                  <c:v>0.29462448511991929</c:v>
                </c:pt>
                <c:pt idx="1">
                  <c:v>0.26736874497169327</c:v>
                </c:pt>
                <c:pt idx="2">
                  <c:v>5.3994283023694682E-2</c:v>
                </c:pt>
                <c:pt idx="3">
                  <c:v>0.29607597424023913</c:v>
                </c:pt>
                <c:pt idx="4">
                  <c:v>7.1851492086325635E-3</c:v>
                </c:pt>
                <c:pt idx="5">
                  <c:v>3.1495274781905879E-3</c:v>
                </c:pt>
                <c:pt idx="6">
                  <c:v>5.257060020836192E-2</c:v>
                </c:pt>
                <c:pt idx="7">
                  <c:v>1.3530548006658686E-2</c:v>
                </c:pt>
                <c:pt idx="8">
                  <c:v>5.3276880355030915E-3</c:v>
                </c:pt>
                <c:pt idx="9">
                  <c:v>6.1285096191277741E-3</c:v>
                </c:pt>
                <c:pt idx="11">
                  <c:v>4.4490087979148986E-5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Wakiso-Kampala'!$AE$9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Wakiso-Kampala'!$R$10:$R$33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Wakiso-Kampala'!$AE$10:$AE$33</c:f>
              <c:numCache>
                <c:formatCode>0</c:formatCode>
                <c:ptCount val="24"/>
                <c:pt idx="0">
                  <c:v>844.42857142857133</c:v>
                </c:pt>
                <c:pt idx="1">
                  <c:v>729.42857142857133</c:v>
                </c:pt>
                <c:pt idx="2">
                  <c:v>818.42857142857144</c:v>
                </c:pt>
                <c:pt idx="3">
                  <c:v>705.57142857142856</c:v>
                </c:pt>
                <c:pt idx="4">
                  <c:v>590.71428571428567</c:v>
                </c:pt>
                <c:pt idx="5">
                  <c:v>508.42857142857144</c:v>
                </c:pt>
                <c:pt idx="6">
                  <c:v>524.57142857142856</c:v>
                </c:pt>
                <c:pt idx="7">
                  <c:v>501.42857142857133</c:v>
                </c:pt>
                <c:pt idx="8">
                  <c:v>509.71428571428567</c:v>
                </c:pt>
                <c:pt idx="9">
                  <c:v>546.85714285714289</c:v>
                </c:pt>
                <c:pt idx="10">
                  <c:v>552.85714285714289</c:v>
                </c:pt>
                <c:pt idx="11">
                  <c:v>514.85714285714278</c:v>
                </c:pt>
                <c:pt idx="12">
                  <c:v>482.5</c:v>
                </c:pt>
                <c:pt idx="13">
                  <c:v>493</c:v>
                </c:pt>
                <c:pt idx="14">
                  <c:v>452.5</c:v>
                </c:pt>
                <c:pt idx="15">
                  <c:v>359.5</c:v>
                </c:pt>
                <c:pt idx="16">
                  <c:v>254</c:v>
                </c:pt>
                <c:pt idx="17">
                  <c:v>143</c:v>
                </c:pt>
                <c:pt idx="18">
                  <c:v>95</c:v>
                </c:pt>
                <c:pt idx="19">
                  <c:v>124.5</c:v>
                </c:pt>
                <c:pt idx="20">
                  <c:v>97</c:v>
                </c:pt>
                <c:pt idx="21">
                  <c:v>155</c:v>
                </c:pt>
                <c:pt idx="22">
                  <c:v>226</c:v>
                </c:pt>
                <c:pt idx="23">
                  <c:v>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Wakiso-Kampala'!$AF$9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Wakiso-Kampala'!$R$10:$R$33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Wakiso-Kampala'!$AF$10:$AF$33</c:f>
              <c:numCache>
                <c:formatCode>0</c:formatCode>
                <c:ptCount val="24"/>
                <c:pt idx="0">
                  <c:v>1433.4285714285711</c:v>
                </c:pt>
                <c:pt idx="1">
                  <c:v>1386.5714285714284</c:v>
                </c:pt>
                <c:pt idx="2">
                  <c:v>1364.7142857142856</c:v>
                </c:pt>
                <c:pt idx="3">
                  <c:v>1188.2857142857142</c:v>
                </c:pt>
                <c:pt idx="4">
                  <c:v>1021.1428571428571</c:v>
                </c:pt>
                <c:pt idx="5">
                  <c:v>864</c:v>
                </c:pt>
                <c:pt idx="6">
                  <c:v>863</c:v>
                </c:pt>
                <c:pt idx="7">
                  <c:v>795.28571428571422</c:v>
                </c:pt>
                <c:pt idx="8">
                  <c:v>782.71428571428567</c:v>
                </c:pt>
                <c:pt idx="9">
                  <c:v>846.00000000000011</c:v>
                </c:pt>
                <c:pt idx="10">
                  <c:v>934.42857142857133</c:v>
                </c:pt>
                <c:pt idx="11">
                  <c:v>906.99999999999989</c:v>
                </c:pt>
                <c:pt idx="12">
                  <c:v>847.5</c:v>
                </c:pt>
                <c:pt idx="13">
                  <c:v>859.5</c:v>
                </c:pt>
                <c:pt idx="14">
                  <c:v>776</c:v>
                </c:pt>
                <c:pt idx="15">
                  <c:v>693</c:v>
                </c:pt>
                <c:pt idx="16">
                  <c:v>408.5</c:v>
                </c:pt>
                <c:pt idx="17">
                  <c:v>238</c:v>
                </c:pt>
                <c:pt idx="18">
                  <c:v>167</c:v>
                </c:pt>
                <c:pt idx="19">
                  <c:v>233</c:v>
                </c:pt>
                <c:pt idx="20">
                  <c:v>156</c:v>
                </c:pt>
                <c:pt idx="21">
                  <c:v>259</c:v>
                </c:pt>
                <c:pt idx="22">
                  <c:v>333</c:v>
                </c:pt>
                <c:pt idx="23">
                  <c:v>578.5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482112"/>
        <c:axId val="107496576"/>
      </c:lineChart>
      <c:catAx>
        <c:axId val="107482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96576"/>
        <c:crosses val="autoZero"/>
        <c:auto val="1"/>
        <c:lblAlgn val="ctr"/>
        <c:lblOffset val="100"/>
        <c:noMultiLvlLbl val="0"/>
      </c:catAx>
      <c:valAx>
        <c:axId val="10749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48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593899599759331"/>
          <c:y val="0.10473118985126859"/>
          <c:w val="0.82101228366016787"/>
          <c:h val="0.7517860487703353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Wakiso-Kampala'!$C$107:$N$107</c:f>
              <c:numCache>
                <c:formatCode>0.0%</c:formatCode>
                <c:ptCount val="12"/>
                <c:pt idx="0">
                  <c:v>0.2012361707381182</c:v>
                </c:pt>
                <c:pt idx="1">
                  <c:v>7.9451050984077926E-2</c:v>
                </c:pt>
                <c:pt idx="2">
                  <c:v>3.3779639821902206E-2</c:v>
                </c:pt>
                <c:pt idx="3">
                  <c:v>0.21704274824968744</c:v>
                </c:pt>
                <c:pt idx="4">
                  <c:v>4.8029056384359895E-3</c:v>
                </c:pt>
                <c:pt idx="5">
                  <c:v>1.6368111255366429E-3</c:v>
                </c:pt>
                <c:pt idx="6">
                  <c:v>3.6591291049709672E-2</c:v>
                </c:pt>
                <c:pt idx="7">
                  <c:v>1.0569578411616182E-2</c:v>
                </c:pt>
                <c:pt idx="8">
                  <c:v>4.2015468064261763E-3</c:v>
                </c:pt>
                <c:pt idx="9">
                  <c:v>3.3174298481071138E-3</c:v>
                </c:pt>
                <c:pt idx="10">
                  <c:v>0.40736286230874003</c:v>
                </c:pt>
                <c:pt idx="11">
                  <c:v>7.9650176425140781E-6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123405833952742"/>
          <c:y val="0.24902280162353491"/>
          <c:w val="0.82814190732580062"/>
          <c:h val="0.741811708989303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Wakiso-Kampala'!$C$9:$N$9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Wakiso-Kampala'!$C$108:$N$108</c:f>
              <c:numCache>
                <c:formatCode>0.00%</c:formatCode>
                <c:ptCount val="12"/>
                <c:pt idx="0">
                  <c:v>0.33956051340635712</c:v>
                </c:pt>
                <c:pt idx="1">
                  <c:v>0.13406357099657279</c:v>
                </c:pt>
                <c:pt idx="2">
                  <c:v>5.6998857603655674E-2</c:v>
                </c:pt>
                <c:pt idx="3">
                  <c:v>0.36623210805725437</c:v>
                </c:pt>
                <c:pt idx="4">
                  <c:v>8.1042940662589876E-3</c:v>
                </c:pt>
                <c:pt idx="5">
                  <c:v>2.7619111618842817E-3</c:v>
                </c:pt>
                <c:pt idx="6">
                  <c:v>6.174316242188025E-2</c:v>
                </c:pt>
                <c:pt idx="7">
                  <c:v>1.7834822928566627E-2</c:v>
                </c:pt>
                <c:pt idx="8">
                  <c:v>7.089577313352597E-3</c:v>
                </c:pt>
                <c:pt idx="9">
                  <c:v>5.5977420872253209E-3</c:v>
                </c:pt>
                <c:pt idx="11">
                  <c:v>1.3439956992137626E-5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800217791924946"/>
          <c:y val="4.7854317884531532E-2"/>
          <c:w val="0.75043260768874465"/>
          <c:h val="0.7057377208956373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Kampala-Wakiso-2Dir'!$C$9:$N$9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Kampala-Wakiso-2Dir'!$C$107:$N$107</c:f>
              <c:numCache>
                <c:formatCode>0.0%</c:formatCode>
                <c:ptCount val="12"/>
                <c:pt idx="0">
                  <c:v>0.20036495220003725</c:v>
                </c:pt>
                <c:pt idx="1">
                  <c:v>0.13168283227684752</c:v>
                </c:pt>
                <c:pt idx="2">
                  <c:v>3.5213112469286212E-2</c:v>
                </c:pt>
                <c:pt idx="3">
                  <c:v>0.2085531477772502</c:v>
                </c:pt>
                <c:pt idx="4">
                  <c:v>4.8354876009167689E-3</c:v>
                </c:pt>
                <c:pt idx="5">
                  <c:v>1.8918667795420291E-3</c:v>
                </c:pt>
                <c:pt idx="6">
                  <c:v>3.6084197105159935E-2</c:v>
                </c:pt>
                <c:pt idx="7">
                  <c:v>9.8471278726435588E-3</c:v>
                </c:pt>
                <c:pt idx="8">
                  <c:v>3.8966519378084295E-3</c:v>
                </c:pt>
                <c:pt idx="9">
                  <c:v>3.7456639342569858E-3</c:v>
                </c:pt>
                <c:pt idx="10">
                  <c:v>0.3638656026098987</c:v>
                </c:pt>
                <c:pt idx="11">
                  <c:v>1.9357436352749277E-5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8031831127492036E-2"/>
          <c:y val="0.23830846144231971"/>
          <c:w val="0.82819165689395213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98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Kampala-Wakiso-2Dir'!$C$9:$N$9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Kampala-Wakiso-2Dir'!$C$108:$N$108</c:f>
              <c:numCache>
                <c:formatCode>0.00%</c:formatCode>
                <c:ptCount val="12"/>
                <c:pt idx="0">
                  <c:v>0.31497267404825768</c:v>
                </c:pt>
                <c:pt idx="1">
                  <c:v>0.2070047348753799</c:v>
                </c:pt>
                <c:pt idx="2">
                  <c:v>5.5354831642113217E-2</c:v>
                </c:pt>
                <c:pt idx="3">
                  <c:v>0.32784447537012779</c:v>
                </c:pt>
                <c:pt idx="4">
                  <c:v>7.6013616316859319E-3</c:v>
                </c:pt>
                <c:pt idx="5">
                  <c:v>2.9740048444226248E-3</c:v>
                </c:pt>
                <c:pt idx="6">
                  <c:v>5.672417220826962E-2</c:v>
                </c:pt>
                <c:pt idx="7">
                  <c:v>1.547963435563905E-2</c:v>
                </c:pt>
                <c:pt idx="8">
                  <c:v>6.1255167992729318E-3</c:v>
                </c:pt>
                <c:pt idx="9">
                  <c:v>5.8881644344724905E-3</c:v>
                </c:pt>
                <c:pt idx="11">
                  <c:v>3.0429790359030955E-5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55" l="0.70000000000000062" r="0.70000000000000062" t="0.75000000000000155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Kampala-Wakiso-2Dir'!$AE$9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Kampala-Wakiso-2Dir'!$R$10:$R$33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Kampala-Wakiso-2Dir'!$AE$10:$AE$33</c:f>
              <c:numCache>
                <c:formatCode>0</c:formatCode>
                <c:ptCount val="24"/>
                <c:pt idx="0">
                  <c:v>1438.1428571428573</c:v>
                </c:pt>
                <c:pt idx="1">
                  <c:v>1375.1428571428573</c:v>
                </c:pt>
                <c:pt idx="2">
                  <c:v>1438.7380952380952</c:v>
                </c:pt>
                <c:pt idx="3">
                  <c:v>1396.0000000000002</c:v>
                </c:pt>
                <c:pt idx="4">
                  <c:v>1243.1428571428571</c:v>
                </c:pt>
                <c:pt idx="5">
                  <c:v>1089.8571428571429</c:v>
                </c:pt>
                <c:pt idx="6">
                  <c:v>1112.7142857142856</c:v>
                </c:pt>
                <c:pt idx="7">
                  <c:v>1104</c:v>
                </c:pt>
                <c:pt idx="8">
                  <c:v>1241</c:v>
                </c:pt>
                <c:pt idx="9">
                  <c:v>1378.1428571428571</c:v>
                </c:pt>
                <c:pt idx="10">
                  <c:v>1424.5714285714284</c:v>
                </c:pt>
                <c:pt idx="11">
                  <c:v>1268.2857142857142</c:v>
                </c:pt>
                <c:pt idx="12">
                  <c:v>1117</c:v>
                </c:pt>
                <c:pt idx="13">
                  <c:v>1374</c:v>
                </c:pt>
                <c:pt idx="14">
                  <c:v>1284</c:v>
                </c:pt>
                <c:pt idx="15">
                  <c:v>1129</c:v>
                </c:pt>
                <c:pt idx="16">
                  <c:v>713.5</c:v>
                </c:pt>
                <c:pt idx="17">
                  <c:v>352.5</c:v>
                </c:pt>
                <c:pt idx="18">
                  <c:v>296.5</c:v>
                </c:pt>
                <c:pt idx="19">
                  <c:v>260.5</c:v>
                </c:pt>
                <c:pt idx="20">
                  <c:v>230</c:v>
                </c:pt>
                <c:pt idx="21">
                  <c:v>233.5</c:v>
                </c:pt>
                <c:pt idx="22">
                  <c:v>360.5</c:v>
                </c:pt>
                <c:pt idx="23">
                  <c:v>612.5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839-45FF-BD23-6819F71F5254}"/>
            </c:ext>
          </c:extLst>
        </c:ser>
        <c:ser>
          <c:idx val="1"/>
          <c:order val="1"/>
          <c:tx>
            <c:strRef>
              <c:f>'Avg Week Kampala-Wakiso-2Dir'!$AF$9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Kampala-Wakiso-2Dir'!$R$10:$R$33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Kampala-Wakiso-2Dir'!$AF$10:$AF$33</c:f>
              <c:numCache>
                <c:formatCode>0</c:formatCode>
                <c:ptCount val="24"/>
                <c:pt idx="0">
                  <c:v>2306.1428571428569</c:v>
                </c:pt>
                <c:pt idx="1">
                  <c:v>2393.1428571428569</c:v>
                </c:pt>
                <c:pt idx="2">
                  <c:v>2293.1666666666665</c:v>
                </c:pt>
                <c:pt idx="3">
                  <c:v>2214.5714285714289</c:v>
                </c:pt>
                <c:pt idx="4">
                  <c:v>2005.7142857142853</c:v>
                </c:pt>
                <c:pt idx="5">
                  <c:v>1754.5714285714289</c:v>
                </c:pt>
                <c:pt idx="6">
                  <c:v>1780.2857142857142</c:v>
                </c:pt>
                <c:pt idx="7">
                  <c:v>1713</c:v>
                </c:pt>
                <c:pt idx="8">
                  <c:v>1823.7142857142858</c:v>
                </c:pt>
                <c:pt idx="9">
                  <c:v>2017.0000000000002</c:v>
                </c:pt>
                <c:pt idx="10">
                  <c:v>2179.2857142857142</c:v>
                </c:pt>
                <c:pt idx="11">
                  <c:v>1998.7142857142856</c:v>
                </c:pt>
                <c:pt idx="12">
                  <c:v>1762</c:v>
                </c:pt>
                <c:pt idx="13">
                  <c:v>2098</c:v>
                </c:pt>
                <c:pt idx="14">
                  <c:v>1940</c:v>
                </c:pt>
                <c:pt idx="15">
                  <c:v>1810</c:v>
                </c:pt>
                <c:pt idx="16">
                  <c:v>1043</c:v>
                </c:pt>
                <c:pt idx="17">
                  <c:v>575</c:v>
                </c:pt>
                <c:pt idx="18">
                  <c:v>487.5</c:v>
                </c:pt>
                <c:pt idx="19">
                  <c:v>469</c:v>
                </c:pt>
                <c:pt idx="20">
                  <c:v>332</c:v>
                </c:pt>
                <c:pt idx="21">
                  <c:v>414</c:v>
                </c:pt>
                <c:pt idx="22">
                  <c:v>559.5</c:v>
                </c:pt>
                <c:pt idx="23">
                  <c:v>930.5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839-45FF-BD23-6819F71F5254}"/>
            </c:ext>
          </c:extLst>
        </c:ser>
        <c:ser>
          <c:idx val="5"/>
          <c:order val="2"/>
          <c:tx>
            <c:strRef>
              <c:f>'Avg Week Kampala-Wakiso-2Dir'!$AC$9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Kampala-Wakiso-2Dir'!$R$10:$R$33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Kampala-Wakiso-2Dir'!$AC$10:$AC$33</c:f>
              <c:numCache>
                <c:formatCode>0</c:formatCode>
                <c:ptCount val="24"/>
                <c:pt idx="0">
                  <c:v>868</c:v>
                </c:pt>
                <c:pt idx="1">
                  <c:v>1018</c:v>
                </c:pt>
                <c:pt idx="2">
                  <c:v>854.42857142857133</c:v>
                </c:pt>
                <c:pt idx="3">
                  <c:v>818.57142857142867</c:v>
                </c:pt>
                <c:pt idx="4">
                  <c:v>762.57142857142867</c:v>
                </c:pt>
                <c:pt idx="5">
                  <c:v>664.71428571428578</c:v>
                </c:pt>
                <c:pt idx="6">
                  <c:v>667.57142857142856</c:v>
                </c:pt>
                <c:pt idx="7">
                  <c:v>609</c:v>
                </c:pt>
                <c:pt idx="8">
                  <c:v>582.71428571428567</c:v>
                </c:pt>
                <c:pt idx="9">
                  <c:v>638.85714285714289</c:v>
                </c:pt>
                <c:pt idx="10">
                  <c:v>754.71428571428578</c:v>
                </c:pt>
                <c:pt idx="11">
                  <c:v>730.42857142857144</c:v>
                </c:pt>
                <c:pt idx="12">
                  <c:v>645</c:v>
                </c:pt>
                <c:pt idx="13">
                  <c:v>724</c:v>
                </c:pt>
                <c:pt idx="14">
                  <c:v>656</c:v>
                </c:pt>
                <c:pt idx="15">
                  <c:v>681</c:v>
                </c:pt>
                <c:pt idx="16">
                  <c:v>329.5</c:v>
                </c:pt>
                <c:pt idx="17">
                  <c:v>222.5</c:v>
                </c:pt>
                <c:pt idx="18">
                  <c:v>191</c:v>
                </c:pt>
                <c:pt idx="19">
                  <c:v>208.5</c:v>
                </c:pt>
                <c:pt idx="20">
                  <c:v>102</c:v>
                </c:pt>
                <c:pt idx="21">
                  <c:v>180.5</c:v>
                </c:pt>
                <c:pt idx="22">
                  <c:v>199</c:v>
                </c:pt>
                <c:pt idx="23">
                  <c:v>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39-45FF-BD23-6819F71F52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Kampala-Wakiso-2Dir'!$S$9:$AF$9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Kampala-Wakiso-2Dir'!$S$41:$AF$41</c:f>
              <c:numCache>
                <c:formatCode>0</c:formatCode>
                <c:ptCount val="14"/>
                <c:pt idx="0">
                  <c:v>7393.4285714285716</c:v>
                </c:pt>
                <c:pt idx="1">
                  <c:v>4859.0714285714284</c:v>
                </c:pt>
                <c:pt idx="2">
                  <c:v>1299.3571428571429</c:v>
                </c:pt>
                <c:pt idx="3">
                  <c:v>7695.5714285714284</c:v>
                </c:pt>
                <c:pt idx="4">
                  <c:v>178.42857142857144</c:v>
                </c:pt>
                <c:pt idx="5">
                  <c:v>69.80952380952381</c:v>
                </c:pt>
                <c:pt idx="6">
                  <c:v>1331.5</c:v>
                </c:pt>
                <c:pt idx="7">
                  <c:v>363.35714285714289</c:v>
                </c:pt>
                <c:pt idx="8">
                  <c:v>143.78571428571428</c:v>
                </c:pt>
                <c:pt idx="9">
                  <c:v>138.21428571428572</c:v>
                </c:pt>
                <c:pt idx="10">
                  <c:v>13426.571428571428</c:v>
                </c:pt>
                <c:pt idx="11">
                  <c:v>0.71428571428571419</c:v>
                </c:pt>
                <c:pt idx="12">
                  <c:v>23473.238095238095</c:v>
                </c:pt>
                <c:pt idx="13">
                  <c:v>36899.809523809527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7-4D88-9AA8-B9BF74761F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Kampala-Wakiso-2Dir'!$S$9:$AF$9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Kampala-Wakiso-2Dir'!$S$42:$AF$42</c:f>
              <c:numCache>
                <c:formatCode>0.000</c:formatCode>
                <c:ptCount val="14"/>
                <c:pt idx="0">
                  <c:v>1.5302779420461265</c:v>
                </c:pt>
                <c:pt idx="1">
                  <c:v>1.5601091642968534</c:v>
                </c:pt>
                <c:pt idx="2">
                  <c:v>1.4751054168018165</c:v>
                </c:pt>
                <c:pt idx="3">
                  <c:v>1.49064696441419</c:v>
                </c:pt>
                <c:pt idx="4">
                  <c:v>1.5730478589420656</c:v>
                </c:pt>
                <c:pt idx="5">
                  <c:v>1.7758933979406419</c:v>
                </c:pt>
                <c:pt idx="6">
                  <c:v>1.411983032873807</c:v>
                </c:pt>
                <c:pt idx="7">
                  <c:v>1.4542595769010864</c:v>
                </c:pt>
                <c:pt idx="8">
                  <c:v>1.7688927943760981</c:v>
                </c:pt>
                <c:pt idx="9">
                  <c:v>1.4907550077041605</c:v>
                </c:pt>
                <c:pt idx="10">
                  <c:v>1.4969022249828787</c:v>
                </c:pt>
                <c:pt idx="11">
                  <c:v>1</c:v>
                </c:pt>
                <c:pt idx="12">
                  <c:v>1.5134516102786422</c:v>
                </c:pt>
                <c:pt idx="13">
                  <c:v>1.5073876772512453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5-4472-834F-E678EDC7FEF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6347</xdr:colOff>
      <xdr:row>43</xdr:row>
      <xdr:rowOff>0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15876</xdr:colOff>
      <xdr:row>58</xdr:row>
      <xdr:rowOff>279400</xdr:rowOff>
    </xdr:from>
    <xdr:to>
      <xdr:col>31</xdr:col>
      <xdr:colOff>63500</xdr:colOff>
      <xdr:row>76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75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6348</xdr:colOff>
      <xdr:row>43</xdr:row>
      <xdr:rowOff>0</xdr:rowOff>
    </xdr:from>
    <xdr:to>
      <xdr:col>28</xdr:col>
      <xdr:colOff>15874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492125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6348</xdr:colOff>
      <xdr:row>59</xdr:row>
      <xdr:rowOff>1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72</xdr:row>
      <xdr:rowOff>269875</xdr:rowOff>
    </xdr:from>
    <xdr:to>
      <xdr:col>25</xdr:col>
      <xdr:colOff>0</xdr:colOff>
      <xdr:row>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6349</xdr:colOff>
      <xdr:row>42</xdr:row>
      <xdr:rowOff>285749</xdr:rowOff>
    </xdr:from>
    <xdr:to>
      <xdr:col>28</xdr:col>
      <xdr:colOff>0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3432A2-8238-4137-AC8E-ABA9469F0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58</xdr:row>
      <xdr:rowOff>285749</xdr:rowOff>
    </xdr:from>
    <xdr:to>
      <xdr:col>31</xdr:col>
      <xdr:colOff>539750</xdr:colOff>
      <xdr:row>73</xdr:row>
      <xdr:rowOff>15875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506F3BE-2DE7-49CB-AC3F-688BC77BBF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713176</xdr:colOff>
      <xdr:row>73</xdr:row>
      <xdr:rowOff>2454</xdr:rowOff>
    </xdr:from>
    <xdr:to>
      <xdr:col>31</xdr:col>
      <xdr:colOff>539750</xdr:colOff>
      <xdr:row>90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0BEA664-E74E-4A69-AAC6-E12EBF8C6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2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s="51" customFormat="1" ht="31.5" customHeight="1" x14ac:dyDescent="0.25">
      <c r="B2" s="55" t="s">
        <v>95</v>
      </c>
      <c r="C2" s="56"/>
      <c r="D2" s="55"/>
      <c r="E2" s="56"/>
      <c r="F2" s="55"/>
      <c r="G2" s="56"/>
      <c r="H2" s="55"/>
      <c r="I2" s="56"/>
      <c r="J2" s="55"/>
      <c r="K2" s="56"/>
      <c r="L2" s="55"/>
      <c r="M2" s="56"/>
      <c r="N2" s="55"/>
      <c r="O2" s="56"/>
      <c r="P2" s="55"/>
      <c r="Q2" s="56"/>
      <c r="R2" s="55"/>
      <c r="S2" s="56"/>
      <c r="T2" s="55"/>
      <c r="U2" s="56"/>
      <c r="V2" s="55"/>
      <c r="W2" s="56"/>
      <c r="X2" s="55"/>
      <c r="Y2" s="56"/>
      <c r="Z2" s="55"/>
      <c r="AA2" s="56"/>
      <c r="AB2" s="55"/>
      <c r="AC2" s="56"/>
      <c r="AD2" s="55"/>
      <c r="AE2" s="56"/>
    </row>
    <row r="3" spans="2:32" ht="20.100000000000001" customHeight="1" x14ac:dyDescent="0.25">
      <c r="B3" s="21" t="s">
        <v>96</v>
      </c>
      <c r="C3" s="61" t="s">
        <v>170</v>
      </c>
      <c r="D3" s="61"/>
      <c r="E3" s="61"/>
      <c r="F3" s="61"/>
      <c r="G3" s="61"/>
      <c r="H3" s="21"/>
      <c r="I3" s="21"/>
      <c r="J3" s="21"/>
      <c r="K3" s="21"/>
      <c r="L3" s="21"/>
      <c r="M3" s="21"/>
      <c r="N3" s="21"/>
      <c r="O3" s="21"/>
      <c r="P3" s="21"/>
    </row>
    <row r="4" spans="2:32" ht="19.5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4.75" customHeight="1" x14ac:dyDescent="0.25">
      <c r="C5" s="4" t="s">
        <v>3</v>
      </c>
      <c r="D5" s="36" t="s">
        <v>162</v>
      </c>
      <c r="E5" s="3"/>
      <c r="F5" s="41" t="s">
        <v>1</v>
      </c>
      <c r="G5" s="57" t="s">
        <v>177</v>
      </c>
      <c r="H5" s="58"/>
      <c r="I5" s="14"/>
      <c r="J5" s="2" t="s">
        <v>5</v>
      </c>
      <c r="K5" s="57" t="s">
        <v>173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171</v>
      </c>
      <c r="E6" s="58"/>
      <c r="F6" s="2" t="s">
        <v>2</v>
      </c>
      <c r="G6" s="57" t="s">
        <v>172</v>
      </c>
      <c r="H6" s="58"/>
      <c r="J6" s="2" t="s">
        <v>21</v>
      </c>
      <c r="K6" s="57" t="s">
        <v>174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32</v>
      </c>
      <c r="D10" s="50">
        <v>10</v>
      </c>
      <c r="E10" s="50">
        <v>5</v>
      </c>
      <c r="F10" s="50">
        <v>35</v>
      </c>
      <c r="G10" s="50">
        <v>1</v>
      </c>
      <c r="H10" s="50">
        <v>1</v>
      </c>
      <c r="I10" s="50">
        <v>6</v>
      </c>
      <c r="J10" s="50">
        <v>0</v>
      </c>
      <c r="K10" s="50">
        <v>1</v>
      </c>
      <c r="L10" s="50">
        <v>0</v>
      </c>
      <c r="M10" s="50">
        <v>80</v>
      </c>
      <c r="N10" s="50">
        <v>0</v>
      </c>
      <c r="O10" s="15">
        <f t="shared" ref="O10:O57" si="0">SUM(C10:L10,N10)</f>
        <v>91</v>
      </c>
      <c r="P10" s="15">
        <f t="shared" ref="P10:P57" si="1">SUM(C10:N10)</f>
        <v>171</v>
      </c>
      <c r="R10" s="1" t="s">
        <v>6</v>
      </c>
      <c r="S10" s="17">
        <f t="shared" ref="S10:AF10" si="2">SUM(C10:C13)</f>
        <v>105</v>
      </c>
      <c r="T10" s="17">
        <f t="shared" si="2"/>
        <v>49</v>
      </c>
      <c r="U10" s="17">
        <f t="shared" si="2"/>
        <v>21</v>
      </c>
      <c r="V10" s="17">
        <f t="shared" si="2"/>
        <v>126</v>
      </c>
      <c r="W10" s="17">
        <f t="shared" si="2"/>
        <v>9</v>
      </c>
      <c r="X10" s="17">
        <f t="shared" si="2"/>
        <v>6</v>
      </c>
      <c r="Y10" s="17">
        <f t="shared" si="2"/>
        <v>17</v>
      </c>
      <c r="Z10" s="17">
        <f t="shared" si="2"/>
        <v>2</v>
      </c>
      <c r="AA10" s="17">
        <f t="shared" si="2"/>
        <v>1</v>
      </c>
      <c r="AB10" s="17">
        <f t="shared" si="2"/>
        <v>1</v>
      </c>
      <c r="AC10" s="17">
        <f t="shared" si="2"/>
        <v>326</v>
      </c>
      <c r="AD10" s="17">
        <f t="shared" si="2"/>
        <v>0</v>
      </c>
      <c r="AE10" s="31">
        <f t="shared" si="2"/>
        <v>337</v>
      </c>
      <c r="AF10" s="31">
        <f t="shared" si="2"/>
        <v>663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13</v>
      </c>
      <c r="E11" s="50">
        <v>6</v>
      </c>
      <c r="F11" s="50">
        <v>31</v>
      </c>
      <c r="G11" s="50">
        <v>6</v>
      </c>
      <c r="H11" s="50">
        <v>1</v>
      </c>
      <c r="I11" s="50">
        <v>6</v>
      </c>
      <c r="J11" s="50">
        <v>0</v>
      </c>
      <c r="K11" s="50">
        <v>0</v>
      </c>
      <c r="L11" s="50">
        <v>1</v>
      </c>
      <c r="M11" s="50">
        <v>96</v>
      </c>
      <c r="N11" s="50">
        <v>0</v>
      </c>
      <c r="O11" s="15">
        <f t="shared" si="0"/>
        <v>76</v>
      </c>
      <c r="P11" s="15">
        <f t="shared" si="1"/>
        <v>172</v>
      </c>
      <c r="R11" s="1" t="s">
        <v>7</v>
      </c>
      <c r="S11" s="17">
        <f t="shared" ref="S11:AF11" si="3">SUM(C14:C17)</f>
        <v>110</v>
      </c>
      <c r="T11" s="17">
        <f t="shared" si="3"/>
        <v>48</v>
      </c>
      <c r="U11" s="17">
        <f t="shared" si="3"/>
        <v>30</v>
      </c>
      <c r="V11" s="17">
        <f t="shared" si="3"/>
        <v>167</v>
      </c>
      <c r="W11" s="17">
        <f t="shared" si="3"/>
        <v>3</v>
      </c>
      <c r="X11" s="17">
        <f t="shared" si="3"/>
        <v>1</v>
      </c>
      <c r="Y11" s="17">
        <f t="shared" si="3"/>
        <v>21</v>
      </c>
      <c r="Z11" s="17">
        <f t="shared" si="3"/>
        <v>6</v>
      </c>
      <c r="AA11" s="17">
        <f t="shared" si="3"/>
        <v>6</v>
      </c>
      <c r="AB11" s="17">
        <f t="shared" si="3"/>
        <v>2</v>
      </c>
      <c r="AC11" s="17">
        <f t="shared" si="3"/>
        <v>395</v>
      </c>
      <c r="AD11" s="17">
        <f t="shared" si="3"/>
        <v>0</v>
      </c>
      <c r="AE11" s="31">
        <f t="shared" si="3"/>
        <v>394</v>
      </c>
      <c r="AF11" s="31">
        <f t="shared" si="3"/>
        <v>789</v>
      </c>
    </row>
    <row r="12" spans="2:32" ht="23.1" customHeight="1" x14ac:dyDescent="0.25">
      <c r="B12" s="23" t="s">
        <v>39</v>
      </c>
      <c r="C12" s="50">
        <v>26</v>
      </c>
      <c r="D12" s="50">
        <v>8</v>
      </c>
      <c r="E12" s="50">
        <v>6</v>
      </c>
      <c r="F12" s="50">
        <v>23</v>
      </c>
      <c r="G12" s="50">
        <v>1</v>
      </c>
      <c r="H12" s="50">
        <v>0</v>
      </c>
      <c r="I12" s="50">
        <v>3</v>
      </c>
      <c r="J12" s="50">
        <v>2</v>
      </c>
      <c r="K12" s="50">
        <v>0</v>
      </c>
      <c r="L12" s="50">
        <v>0</v>
      </c>
      <c r="M12" s="50">
        <v>75</v>
      </c>
      <c r="N12" s="50">
        <v>0</v>
      </c>
      <c r="O12" s="15">
        <f t="shared" si="0"/>
        <v>69</v>
      </c>
      <c r="P12" s="15">
        <f t="shared" si="1"/>
        <v>144</v>
      </c>
      <c r="R12" s="1" t="s">
        <v>8</v>
      </c>
      <c r="S12" s="17">
        <f t="shared" ref="S12:AF12" si="4">SUM(C18:C21)</f>
        <v>128</v>
      </c>
      <c r="T12" s="17">
        <f t="shared" si="4"/>
        <v>83</v>
      </c>
      <c r="U12" s="17">
        <f t="shared" si="4"/>
        <v>29</v>
      </c>
      <c r="V12" s="17">
        <f t="shared" si="4"/>
        <v>156</v>
      </c>
      <c r="W12" s="17">
        <f t="shared" si="4"/>
        <v>2</v>
      </c>
      <c r="X12" s="17">
        <f t="shared" si="4"/>
        <v>3</v>
      </c>
      <c r="Y12" s="17">
        <f t="shared" si="4"/>
        <v>31</v>
      </c>
      <c r="Z12" s="17">
        <f t="shared" si="4"/>
        <v>8</v>
      </c>
      <c r="AA12" s="17">
        <f t="shared" si="4"/>
        <v>0</v>
      </c>
      <c r="AB12" s="17">
        <f t="shared" si="4"/>
        <v>2</v>
      </c>
      <c r="AC12" s="17">
        <f t="shared" si="4"/>
        <v>350</v>
      </c>
      <c r="AD12" s="17">
        <f t="shared" si="4"/>
        <v>0</v>
      </c>
      <c r="AE12" s="31">
        <f t="shared" si="4"/>
        <v>442</v>
      </c>
      <c r="AF12" s="31">
        <f t="shared" si="4"/>
        <v>792</v>
      </c>
    </row>
    <row r="13" spans="2:32" ht="23.1" customHeight="1" x14ac:dyDescent="0.25">
      <c r="B13" s="23" t="s">
        <v>40</v>
      </c>
      <c r="C13" s="50">
        <v>35</v>
      </c>
      <c r="D13" s="50">
        <v>18</v>
      </c>
      <c r="E13" s="50">
        <v>4</v>
      </c>
      <c r="F13" s="50">
        <v>37</v>
      </c>
      <c r="G13" s="50">
        <v>1</v>
      </c>
      <c r="H13" s="50">
        <v>4</v>
      </c>
      <c r="I13" s="50">
        <v>2</v>
      </c>
      <c r="J13" s="50">
        <v>0</v>
      </c>
      <c r="K13" s="50">
        <v>0</v>
      </c>
      <c r="L13" s="50">
        <v>0</v>
      </c>
      <c r="M13" s="50">
        <v>75</v>
      </c>
      <c r="N13" s="50">
        <v>0</v>
      </c>
      <c r="O13" s="15">
        <f t="shared" si="0"/>
        <v>101</v>
      </c>
      <c r="P13" s="15">
        <f t="shared" si="1"/>
        <v>176</v>
      </c>
      <c r="R13" s="1" t="s">
        <v>9</v>
      </c>
      <c r="S13" s="17">
        <f t="shared" ref="S13:AF13" si="5">SUM(C22:C25)</f>
        <v>139</v>
      </c>
      <c r="T13" s="17">
        <f t="shared" si="5"/>
        <v>116</v>
      </c>
      <c r="U13" s="17">
        <f t="shared" si="5"/>
        <v>44</v>
      </c>
      <c r="V13" s="17">
        <f t="shared" si="5"/>
        <v>165</v>
      </c>
      <c r="W13" s="17">
        <f t="shared" si="5"/>
        <v>2</v>
      </c>
      <c r="X13" s="17">
        <f t="shared" si="5"/>
        <v>1</v>
      </c>
      <c r="Y13" s="17">
        <f t="shared" si="5"/>
        <v>50</v>
      </c>
      <c r="Z13" s="17">
        <f t="shared" si="5"/>
        <v>2</v>
      </c>
      <c r="AA13" s="17">
        <f t="shared" si="5"/>
        <v>5</v>
      </c>
      <c r="AB13" s="17">
        <f t="shared" si="5"/>
        <v>1</v>
      </c>
      <c r="AC13" s="17">
        <f t="shared" si="5"/>
        <v>405</v>
      </c>
      <c r="AD13" s="17">
        <f t="shared" si="5"/>
        <v>0</v>
      </c>
      <c r="AE13" s="31">
        <f t="shared" si="5"/>
        <v>525</v>
      </c>
      <c r="AF13" s="31">
        <f t="shared" si="5"/>
        <v>930</v>
      </c>
    </row>
    <row r="14" spans="2:32" ht="23.1" customHeight="1" x14ac:dyDescent="0.25">
      <c r="B14" s="23" t="s">
        <v>41</v>
      </c>
      <c r="C14" s="50">
        <v>37</v>
      </c>
      <c r="D14" s="50">
        <v>12</v>
      </c>
      <c r="E14" s="50">
        <v>8</v>
      </c>
      <c r="F14" s="50">
        <v>47</v>
      </c>
      <c r="G14" s="50">
        <v>1</v>
      </c>
      <c r="H14" s="50">
        <v>0</v>
      </c>
      <c r="I14" s="50">
        <v>9</v>
      </c>
      <c r="J14" s="50">
        <v>2</v>
      </c>
      <c r="K14" s="50">
        <v>2</v>
      </c>
      <c r="L14" s="50">
        <v>0</v>
      </c>
      <c r="M14" s="50">
        <v>90</v>
      </c>
      <c r="N14" s="50">
        <v>0</v>
      </c>
      <c r="O14" s="15">
        <f t="shared" si="0"/>
        <v>118</v>
      </c>
      <c r="P14" s="15">
        <f t="shared" si="1"/>
        <v>208</v>
      </c>
      <c r="R14" s="1" t="s">
        <v>10</v>
      </c>
      <c r="S14" s="17">
        <f t="shared" ref="S14:AF14" si="6">SUM(C26:C29)</f>
        <v>113</v>
      </c>
      <c r="T14" s="17">
        <f t="shared" si="6"/>
        <v>76</v>
      </c>
      <c r="U14" s="17">
        <f t="shared" si="6"/>
        <v>17</v>
      </c>
      <c r="V14" s="17">
        <f t="shared" si="6"/>
        <v>182</v>
      </c>
      <c r="W14" s="17">
        <f t="shared" si="6"/>
        <v>1</v>
      </c>
      <c r="X14" s="17">
        <f t="shared" si="6"/>
        <v>1</v>
      </c>
      <c r="Y14" s="17">
        <f t="shared" si="6"/>
        <v>43</v>
      </c>
      <c r="Z14" s="17">
        <f t="shared" si="6"/>
        <v>8</v>
      </c>
      <c r="AA14" s="17">
        <f t="shared" si="6"/>
        <v>8</v>
      </c>
      <c r="AB14" s="17">
        <f t="shared" si="6"/>
        <v>1</v>
      </c>
      <c r="AC14" s="17">
        <f t="shared" si="6"/>
        <v>311</v>
      </c>
      <c r="AD14" s="17">
        <f t="shared" si="6"/>
        <v>0</v>
      </c>
      <c r="AE14" s="31">
        <f t="shared" si="6"/>
        <v>450</v>
      </c>
      <c r="AF14" s="31">
        <f t="shared" si="6"/>
        <v>761</v>
      </c>
    </row>
    <row r="15" spans="2:32" ht="23.1" customHeight="1" x14ac:dyDescent="0.25">
      <c r="B15" s="23" t="s">
        <v>42</v>
      </c>
      <c r="C15" s="50">
        <v>20</v>
      </c>
      <c r="D15" s="50">
        <v>10</v>
      </c>
      <c r="E15" s="50">
        <v>8</v>
      </c>
      <c r="F15" s="50">
        <v>52</v>
      </c>
      <c r="G15" s="50">
        <v>1</v>
      </c>
      <c r="H15" s="50">
        <v>0</v>
      </c>
      <c r="I15" s="50">
        <v>2</v>
      </c>
      <c r="J15" s="50">
        <v>2</v>
      </c>
      <c r="K15" s="50">
        <v>1</v>
      </c>
      <c r="L15" s="50">
        <v>1</v>
      </c>
      <c r="M15" s="50">
        <v>125</v>
      </c>
      <c r="N15" s="50">
        <v>0</v>
      </c>
      <c r="O15" s="15">
        <f t="shared" si="0"/>
        <v>97</v>
      </c>
      <c r="P15" s="15">
        <f t="shared" si="1"/>
        <v>222</v>
      </c>
      <c r="R15" s="1" t="s">
        <v>11</v>
      </c>
      <c r="S15" s="17">
        <f t="shared" ref="S15:AF15" si="7">SUM(C30:C33)</f>
        <v>105</v>
      </c>
      <c r="T15" s="17">
        <f t="shared" si="7"/>
        <v>72</v>
      </c>
      <c r="U15" s="17">
        <f t="shared" si="7"/>
        <v>30</v>
      </c>
      <c r="V15" s="17">
        <f t="shared" si="7"/>
        <v>134</v>
      </c>
      <c r="W15" s="17">
        <f t="shared" si="7"/>
        <v>0</v>
      </c>
      <c r="X15" s="17">
        <f t="shared" si="7"/>
        <v>1</v>
      </c>
      <c r="Y15" s="17">
        <f t="shared" si="7"/>
        <v>55</v>
      </c>
      <c r="Z15" s="17">
        <f t="shared" si="7"/>
        <v>10</v>
      </c>
      <c r="AA15" s="17">
        <f t="shared" si="7"/>
        <v>6</v>
      </c>
      <c r="AB15" s="17">
        <f t="shared" si="7"/>
        <v>1</v>
      </c>
      <c r="AC15" s="17">
        <f t="shared" si="7"/>
        <v>347</v>
      </c>
      <c r="AD15" s="17">
        <f t="shared" si="7"/>
        <v>0</v>
      </c>
      <c r="AE15" s="31">
        <f t="shared" si="7"/>
        <v>414</v>
      </c>
      <c r="AF15" s="31">
        <f t="shared" si="7"/>
        <v>761</v>
      </c>
    </row>
    <row r="16" spans="2:32" ht="23.1" customHeight="1" x14ac:dyDescent="0.25">
      <c r="B16" s="23" t="s">
        <v>43</v>
      </c>
      <c r="C16" s="50">
        <v>23</v>
      </c>
      <c r="D16" s="50">
        <v>6</v>
      </c>
      <c r="E16" s="50">
        <v>3</v>
      </c>
      <c r="F16" s="50">
        <v>33</v>
      </c>
      <c r="G16" s="50">
        <v>0</v>
      </c>
      <c r="H16" s="50">
        <v>0</v>
      </c>
      <c r="I16" s="50">
        <v>5</v>
      </c>
      <c r="J16" s="50">
        <v>1</v>
      </c>
      <c r="K16" s="50">
        <v>2</v>
      </c>
      <c r="L16" s="50">
        <v>0</v>
      </c>
      <c r="M16" s="50">
        <v>100</v>
      </c>
      <c r="N16" s="50">
        <v>0</v>
      </c>
      <c r="O16" s="15">
        <f t="shared" si="0"/>
        <v>73</v>
      </c>
      <c r="P16" s="15">
        <f t="shared" si="1"/>
        <v>173</v>
      </c>
      <c r="R16" s="1" t="s">
        <v>12</v>
      </c>
      <c r="S16" s="17">
        <f t="shared" ref="S16:AF16" si="8">SUM(C34:C37)</f>
        <v>132</v>
      </c>
      <c r="T16" s="17">
        <f t="shared" si="8"/>
        <v>114</v>
      </c>
      <c r="U16" s="17">
        <f t="shared" si="8"/>
        <v>24</v>
      </c>
      <c r="V16" s="17">
        <f t="shared" si="8"/>
        <v>153</v>
      </c>
      <c r="W16" s="17">
        <f t="shared" si="8"/>
        <v>1</v>
      </c>
      <c r="X16" s="17">
        <f t="shared" si="8"/>
        <v>1</v>
      </c>
      <c r="Y16" s="17">
        <f t="shared" si="8"/>
        <v>32</v>
      </c>
      <c r="Z16" s="17">
        <f t="shared" si="8"/>
        <v>4</v>
      </c>
      <c r="AA16" s="17">
        <f t="shared" si="8"/>
        <v>0</v>
      </c>
      <c r="AB16" s="17">
        <f t="shared" si="8"/>
        <v>1</v>
      </c>
      <c r="AC16" s="17">
        <f t="shared" si="8"/>
        <v>312</v>
      </c>
      <c r="AD16" s="17">
        <f t="shared" si="8"/>
        <v>0</v>
      </c>
      <c r="AE16" s="31">
        <f t="shared" si="8"/>
        <v>462</v>
      </c>
      <c r="AF16" s="31">
        <f t="shared" si="8"/>
        <v>774</v>
      </c>
    </row>
    <row r="17" spans="2:32" ht="23.1" customHeight="1" x14ac:dyDescent="0.25">
      <c r="B17" s="23" t="s">
        <v>44</v>
      </c>
      <c r="C17" s="50">
        <v>30</v>
      </c>
      <c r="D17" s="50">
        <v>20</v>
      </c>
      <c r="E17" s="50">
        <v>11</v>
      </c>
      <c r="F17" s="50">
        <v>35</v>
      </c>
      <c r="G17" s="50">
        <v>1</v>
      </c>
      <c r="H17" s="50">
        <v>1</v>
      </c>
      <c r="I17" s="50">
        <v>5</v>
      </c>
      <c r="J17" s="50">
        <v>1</v>
      </c>
      <c r="K17" s="50">
        <v>1</v>
      </c>
      <c r="L17" s="50">
        <v>1</v>
      </c>
      <c r="M17" s="50">
        <v>80</v>
      </c>
      <c r="N17" s="50">
        <v>0</v>
      </c>
      <c r="O17" s="15">
        <f t="shared" si="0"/>
        <v>106</v>
      </c>
      <c r="P17" s="15">
        <f t="shared" si="1"/>
        <v>186</v>
      </c>
      <c r="R17" s="1" t="s">
        <v>13</v>
      </c>
      <c r="S17" s="17">
        <f t="shared" ref="S17:AF17" si="9">SUM(C38:C41)</f>
        <v>87</v>
      </c>
      <c r="T17" s="17">
        <f t="shared" si="9"/>
        <v>76</v>
      </c>
      <c r="U17" s="17">
        <f t="shared" si="9"/>
        <v>29</v>
      </c>
      <c r="V17" s="17">
        <f t="shared" si="9"/>
        <v>88</v>
      </c>
      <c r="W17" s="17">
        <f t="shared" si="9"/>
        <v>3</v>
      </c>
      <c r="X17" s="17">
        <f t="shared" si="9"/>
        <v>0</v>
      </c>
      <c r="Y17" s="17">
        <f t="shared" si="9"/>
        <v>37</v>
      </c>
      <c r="Z17" s="17">
        <f t="shared" si="9"/>
        <v>2</v>
      </c>
      <c r="AA17" s="17">
        <f t="shared" si="9"/>
        <v>5</v>
      </c>
      <c r="AB17" s="17">
        <f t="shared" si="9"/>
        <v>6</v>
      </c>
      <c r="AC17" s="17">
        <f t="shared" si="9"/>
        <v>330</v>
      </c>
      <c r="AD17" s="17">
        <f t="shared" si="9"/>
        <v>0</v>
      </c>
      <c r="AE17" s="31">
        <f t="shared" si="9"/>
        <v>333</v>
      </c>
      <c r="AF17" s="31">
        <f t="shared" si="9"/>
        <v>663</v>
      </c>
    </row>
    <row r="18" spans="2:32" ht="23.1" customHeight="1" x14ac:dyDescent="0.25">
      <c r="B18" s="23" t="s">
        <v>45</v>
      </c>
      <c r="C18" s="50">
        <v>38</v>
      </c>
      <c r="D18" s="50">
        <v>30</v>
      </c>
      <c r="E18" s="50">
        <v>6</v>
      </c>
      <c r="F18" s="50">
        <v>46</v>
      </c>
      <c r="G18" s="50">
        <v>0</v>
      </c>
      <c r="H18" s="50">
        <v>3</v>
      </c>
      <c r="I18" s="50">
        <v>10</v>
      </c>
      <c r="J18" s="50">
        <v>2</v>
      </c>
      <c r="K18" s="50">
        <v>0</v>
      </c>
      <c r="L18" s="50">
        <v>0</v>
      </c>
      <c r="M18" s="50">
        <v>85</v>
      </c>
      <c r="N18" s="50">
        <v>0</v>
      </c>
      <c r="O18" s="15">
        <f t="shared" si="0"/>
        <v>135</v>
      </c>
      <c r="P18" s="15">
        <f t="shared" si="1"/>
        <v>220</v>
      </c>
      <c r="R18" s="1" t="s">
        <v>14</v>
      </c>
      <c r="S18" s="17">
        <f t="shared" ref="S18:AF18" si="10">SUM(C42:C45)</f>
        <v>98</v>
      </c>
      <c r="T18" s="17">
        <f t="shared" si="10"/>
        <v>79</v>
      </c>
      <c r="U18" s="17">
        <f t="shared" si="10"/>
        <v>32</v>
      </c>
      <c r="V18" s="17">
        <f t="shared" si="10"/>
        <v>70</v>
      </c>
      <c r="W18" s="17">
        <f t="shared" si="10"/>
        <v>0</v>
      </c>
      <c r="X18" s="17">
        <f t="shared" si="10"/>
        <v>0</v>
      </c>
      <c r="Y18" s="17">
        <f t="shared" si="10"/>
        <v>27</v>
      </c>
      <c r="Z18" s="17">
        <f t="shared" si="10"/>
        <v>2</v>
      </c>
      <c r="AA18" s="17">
        <f t="shared" si="10"/>
        <v>4</v>
      </c>
      <c r="AB18" s="17">
        <f t="shared" si="10"/>
        <v>6</v>
      </c>
      <c r="AC18" s="17">
        <f t="shared" si="10"/>
        <v>113</v>
      </c>
      <c r="AD18" s="17">
        <f t="shared" si="10"/>
        <v>0</v>
      </c>
      <c r="AE18" s="31">
        <f t="shared" si="10"/>
        <v>318</v>
      </c>
      <c r="AF18" s="31">
        <f t="shared" si="10"/>
        <v>431</v>
      </c>
    </row>
    <row r="19" spans="2:32" ht="23.1" customHeight="1" x14ac:dyDescent="0.25">
      <c r="B19" s="23" t="s">
        <v>46</v>
      </c>
      <c r="C19" s="50">
        <v>27</v>
      </c>
      <c r="D19" s="50">
        <v>16</v>
      </c>
      <c r="E19" s="50">
        <v>13</v>
      </c>
      <c r="F19" s="50">
        <v>45</v>
      </c>
      <c r="G19" s="50">
        <v>1</v>
      </c>
      <c r="H19" s="50">
        <v>0</v>
      </c>
      <c r="I19" s="50">
        <v>6</v>
      </c>
      <c r="J19" s="50">
        <v>5</v>
      </c>
      <c r="K19" s="50">
        <v>0</v>
      </c>
      <c r="L19" s="50">
        <v>0</v>
      </c>
      <c r="M19" s="50">
        <v>100</v>
      </c>
      <c r="N19" s="50">
        <v>0</v>
      </c>
      <c r="O19" s="15">
        <f t="shared" si="0"/>
        <v>113</v>
      </c>
      <c r="P19" s="15">
        <f t="shared" si="1"/>
        <v>213</v>
      </c>
      <c r="R19" s="1" t="s">
        <v>15</v>
      </c>
      <c r="S19" s="17">
        <f t="shared" ref="S19:AF19" si="11">SUM(C46:C49)</f>
        <v>168</v>
      </c>
      <c r="T19" s="17">
        <f t="shared" si="11"/>
        <v>195</v>
      </c>
      <c r="U19" s="17">
        <f t="shared" si="11"/>
        <v>30</v>
      </c>
      <c r="V19" s="17">
        <f t="shared" si="11"/>
        <v>170</v>
      </c>
      <c r="W19" s="17">
        <f t="shared" si="11"/>
        <v>1</v>
      </c>
      <c r="X19" s="17">
        <f t="shared" si="11"/>
        <v>4</v>
      </c>
      <c r="Y19" s="17">
        <f t="shared" si="11"/>
        <v>52</v>
      </c>
      <c r="Z19" s="17">
        <f t="shared" si="11"/>
        <v>11</v>
      </c>
      <c r="AA19" s="17">
        <f t="shared" si="11"/>
        <v>3</v>
      </c>
      <c r="AB19" s="17">
        <f t="shared" si="11"/>
        <v>2</v>
      </c>
      <c r="AC19" s="17">
        <f t="shared" si="11"/>
        <v>295</v>
      </c>
      <c r="AD19" s="17">
        <f t="shared" si="11"/>
        <v>0</v>
      </c>
      <c r="AE19" s="31">
        <f t="shared" si="11"/>
        <v>636</v>
      </c>
      <c r="AF19" s="31">
        <f t="shared" si="11"/>
        <v>931</v>
      </c>
    </row>
    <row r="20" spans="2:32" ht="23.1" customHeight="1" x14ac:dyDescent="0.25">
      <c r="B20" s="23" t="s">
        <v>47</v>
      </c>
      <c r="C20" s="50">
        <v>32</v>
      </c>
      <c r="D20" s="50">
        <v>27</v>
      </c>
      <c r="E20" s="50">
        <v>4</v>
      </c>
      <c r="F20" s="50">
        <v>28</v>
      </c>
      <c r="G20" s="50">
        <v>0</v>
      </c>
      <c r="H20" s="50">
        <v>0</v>
      </c>
      <c r="I20" s="50">
        <v>7</v>
      </c>
      <c r="J20" s="50">
        <v>1</v>
      </c>
      <c r="K20" s="50">
        <v>0</v>
      </c>
      <c r="L20" s="50">
        <v>1</v>
      </c>
      <c r="M20" s="50">
        <v>105</v>
      </c>
      <c r="N20" s="50">
        <v>0</v>
      </c>
      <c r="O20" s="15">
        <f t="shared" si="0"/>
        <v>100</v>
      </c>
      <c r="P20" s="15">
        <f t="shared" si="1"/>
        <v>205</v>
      </c>
      <c r="R20" s="1" t="s">
        <v>16</v>
      </c>
      <c r="S20" s="17">
        <f t="shared" ref="S20:AF20" si="12">SUM(C50:C53)</f>
        <v>265</v>
      </c>
      <c r="T20" s="17">
        <f t="shared" si="12"/>
        <v>293</v>
      </c>
      <c r="U20" s="17">
        <f t="shared" si="12"/>
        <v>57</v>
      </c>
      <c r="V20" s="17">
        <f t="shared" si="12"/>
        <v>288</v>
      </c>
      <c r="W20" s="17">
        <f t="shared" si="12"/>
        <v>3</v>
      </c>
      <c r="X20" s="17">
        <f t="shared" si="12"/>
        <v>0</v>
      </c>
      <c r="Y20" s="17">
        <f t="shared" si="12"/>
        <v>70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340</v>
      </c>
      <c r="AD20" s="17">
        <f t="shared" si="12"/>
        <v>0</v>
      </c>
      <c r="AE20" s="31">
        <f t="shared" si="12"/>
        <v>977</v>
      </c>
      <c r="AF20" s="31">
        <f t="shared" si="12"/>
        <v>1317</v>
      </c>
    </row>
    <row r="21" spans="2:32" ht="23.1" customHeight="1" x14ac:dyDescent="0.25">
      <c r="B21" s="23" t="s">
        <v>48</v>
      </c>
      <c r="C21" s="50">
        <v>31</v>
      </c>
      <c r="D21" s="50">
        <v>10</v>
      </c>
      <c r="E21" s="50">
        <v>6</v>
      </c>
      <c r="F21" s="50">
        <v>37</v>
      </c>
      <c r="G21" s="50">
        <v>1</v>
      </c>
      <c r="H21" s="50">
        <v>0</v>
      </c>
      <c r="I21" s="50">
        <v>8</v>
      </c>
      <c r="J21" s="50">
        <v>0</v>
      </c>
      <c r="K21" s="50">
        <v>0</v>
      </c>
      <c r="L21" s="50">
        <v>1</v>
      </c>
      <c r="M21" s="50">
        <v>60</v>
      </c>
      <c r="N21" s="50">
        <v>0</v>
      </c>
      <c r="O21" s="15">
        <f t="shared" si="0"/>
        <v>94</v>
      </c>
      <c r="P21" s="15">
        <f t="shared" si="1"/>
        <v>154</v>
      </c>
      <c r="R21" s="36" t="s">
        <v>20</v>
      </c>
      <c r="S21" s="34">
        <f t="shared" ref="S21:AF21" si="13">SUM(C54:C57)</f>
        <v>105</v>
      </c>
      <c r="T21" s="17">
        <f t="shared" si="13"/>
        <v>49</v>
      </c>
      <c r="U21" s="17">
        <f t="shared" si="13"/>
        <v>21</v>
      </c>
      <c r="V21" s="17">
        <f t="shared" si="13"/>
        <v>126</v>
      </c>
      <c r="W21" s="17">
        <f t="shared" si="13"/>
        <v>9</v>
      </c>
      <c r="X21" s="17">
        <f t="shared" si="13"/>
        <v>6</v>
      </c>
      <c r="Y21" s="17">
        <f t="shared" si="13"/>
        <v>17</v>
      </c>
      <c r="Z21" s="17">
        <f t="shared" si="13"/>
        <v>8</v>
      </c>
      <c r="AA21" s="17">
        <f t="shared" si="13"/>
        <v>1</v>
      </c>
      <c r="AB21" s="17">
        <f t="shared" si="13"/>
        <v>1</v>
      </c>
      <c r="AC21" s="17">
        <f t="shared" si="13"/>
        <v>326</v>
      </c>
      <c r="AD21" s="17">
        <f t="shared" si="13"/>
        <v>0</v>
      </c>
      <c r="AE21" s="31">
        <f t="shared" si="13"/>
        <v>343</v>
      </c>
      <c r="AF21" s="31">
        <f t="shared" si="13"/>
        <v>669</v>
      </c>
    </row>
    <row r="22" spans="2:32" ht="23.1" customHeight="1" x14ac:dyDescent="0.25">
      <c r="B22" s="23" t="s">
        <v>49</v>
      </c>
      <c r="C22" s="50">
        <v>36</v>
      </c>
      <c r="D22" s="50">
        <v>23</v>
      </c>
      <c r="E22" s="50">
        <v>9</v>
      </c>
      <c r="F22" s="50">
        <v>42</v>
      </c>
      <c r="G22" s="50">
        <v>1</v>
      </c>
      <c r="H22" s="50">
        <v>0</v>
      </c>
      <c r="I22" s="50">
        <v>15</v>
      </c>
      <c r="J22" s="50">
        <v>0</v>
      </c>
      <c r="K22" s="50">
        <v>1</v>
      </c>
      <c r="L22" s="50">
        <v>0</v>
      </c>
      <c r="M22" s="50">
        <v>95</v>
      </c>
      <c r="N22" s="50">
        <v>0</v>
      </c>
      <c r="O22" s="15">
        <f t="shared" si="0"/>
        <v>127</v>
      </c>
      <c r="P22" s="15">
        <f t="shared" si="1"/>
        <v>222</v>
      </c>
      <c r="R22" s="38" t="s">
        <v>90</v>
      </c>
      <c r="S22" s="39">
        <f>MAX(S10:S12)</f>
        <v>128</v>
      </c>
      <c r="T22" s="39">
        <f t="shared" ref="T22:AF22" si="14">MAX(T10:T12)</f>
        <v>83</v>
      </c>
      <c r="U22" s="39">
        <f t="shared" si="14"/>
        <v>30</v>
      </c>
      <c r="V22" s="39">
        <f t="shared" si="14"/>
        <v>167</v>
      </c>
      <c r="W22" s="39">
        <f t="shared" si="14"/>
        <v>9</v>
      </c>
      <c r="X22" s="39">
        <f t="shared" si="14"/>
        <v>6</v>
      </c>
      <c r="Y22" s="39">
        <f t="shared" si="14"/>
        <v>31</v>
      </c>
      <c r="Z22" s="39">
        <f t="shared" si="14"/>
        <v>8</v>
      </c>
      <c r="AA22" s="39">
        <f t="shared" si="14"/>
        <v>6</v>
      </c>
      <c r="AB22" s="39">
        <f t="shared" si="14"/>
        <v>2</v>
      </c>
      <c r="AC22" s="39">
        <f t="shared" si="14"/>
        <v>395</v>
      </c>
      <c r="AD22" s="39">
        <f t="shared" si="14"/>
        <v>0</v>
      </c>
      <c r="AE22" s="40">
        <f t="shared" si="14"/>
        <v>442</v>
      </c>
      <c r="AF22" s="40">
        <f t="shared" si="14"/>
        <v>792</v>
      </c>
    </row>
    <row r="23" spans="2:32" ht="23.1" customHeight="1" x14ac:dyDescent="0.25">
      <c r="B23" s="23" t="s">
        <v>50</v>
      </c>
      <c r="C23" s="50">
        <v>30</v>
      </c>
      <c r="D23" s="50">
        <v>30</v>
      </c>
      <c r="E23" s="50">
        <v>13</v>
      </c>
      <c r="F23" s="50">
        <v>31</v>
      </c>
      <c r="G23" s="50">
        <v>0</v>
      </c>
      <c r="H23" s="50">
        <v>1</v>
      </c>
      <c r="I23" s="50">
        <v>7</v>
      </c>
      <c r="J23" s="50">
        <v>1</v>
      </c>
      <c r="K23" s="50">
        <v>3</v>
      </c>
      <c r="L23" s="50">
        <v>0</v>
      </c>
      <c r="M23" s="50">
        <v>105</v>
      </c>
      <c r="N23" s="50">
        <v>0</v>
      </c>
      <c r="O23" s="15">
        <f t="shared" si="0"/>
        <v>116</v>
      </c>
      <c r="P23" s="15">
        <f t="shared" si="1"/>
        <v>221</v>
      </c>
      <c r="R23" s="38" t="s">
        <v>91</v>
      </c>
      <c r="S23" s="39">
        <f>MAX(S13:S18)</f>
        <v>139</v>
      </c>
      <c r="T23" s="39">
        <f t="shared" ref="T23:AF23" si="15">MAX(T13:T18)</f>
        <v>116</v>
      </c>
      <c r="U23" s="39">
        <f t="shared" si="15"/>
        <v>44</v>
      </c>
      <c r="V23" s="39">
        <f t="shared" si="15"/>
        <v>182</v>
      </c>
      <c r="W23" s="39">
        <f t="shared" si="15"/>
        <v>3</v>
      </c>
      <c r="X23" s="39">
        <f t="shared" si="15"/>
        <v>1</v>
      </c>
      <c r="Y23" s="39">
        <f t="shared" si="15"/>
        <v>55</v>
      </c>
      <c r="Z23" s="39">
        <f t="shared" si="15"/>
        <v>10</v>
      </c>
      <c r="AA23" s="39">
        <f t="shared" si="15"/>
        <v>8</v>
      </c>
      <c r="AB23" s="39">
        <f t="shared" si="15"/>
        <v>6</v>
      </c>
      <c r="AC23" s="39">
        <f t="shared" si="15"/>
        <v>405</v>
      </c>
      <c r="AD23" s="39">
        <f t="shared" si="15"/>
        <v>0</v>
      </c>
      <c r="AE23" s="40">
        <f t="shared" si="15"/>
        <v>525</v>
      </c>
      <c r="AF23" s="40">
        <f t="shared" si="15"/>
        <v>930</v>
      </c>
    </row>
    <row r="24" spans="2:32" ht="23.1" customHeight="1" x14ac:dyDescent="0.25">
      <c r="B24" s="23" t="s">
        <v>51</v>
      </c>
      <c r="C24" s="50">
        <v>30</v>
      </c>
      <c r="D24" s="50">
        <v>33</v>
      </c>
      <c r="E24" s="50">
        <v>10</v>
      </c>
      <c r="F24" s="50">
        <v>50</v>
      </c>
      <c r="G24" s="50">
        <v>1</v>
      </c>
      <c r="H24" s="50">
        <v>0</v>
      </c>
      <c r="I24" s="50">
        <v>11</v>
      </c>
      <c r="J24" s="50">
        <v>1</v>
      </c>
      <c r="K24" s="50">
        <v>0</v>
      </c>
      <c r="L24" s="50">
        <v>0</v>
      </c>
      <c r="M24" s="50">
        <v>125</v>
      </c>
      <c r="N24" s="50">
        <v>0</v>
      </c>
      <c r="O24" s="15">
        <f t="shared" si="0"/>
        <v>136</v>
      </c>
      <c r="P24" s="15">
        <f t="shared" si="1"/>
        <v>261</v>
      </c>
      <c r="R24" s="38" t="s">
        <v>92</v>
      </c>
      <c r="S24" s="39">
        <f>MAX(S19:S21)</f>
        <v>265</v>
      </c>
      <c r="T24" s="39">
        <f t="shared" ref="T24:AF24" si="16">MAX(T19:T21)</f>
        <v>293</v>
      </c>
      <c r="U24" s="39">
        <f t="shared" si="16"/>
        <v>57</v>
      </c>
      <c r="V24" s="39">
        <f t="shared" si="16"/>
        <v>288</v>
      </c>
      <c r="W24" s="39">
        <f t="shared" si="16"/>
        <v>9</v>
      </c>
      <c r="X24" s="39">
        <f t="shared" si="16"/>
        <v>6</v>
      </c>
      <c r="Y24" s="39">
        <f t="shared" si="16"/>
        <v>70</v>
      </c>
      <c r="Z24" s="39">
        <f t="shared" si="16"/>
        <v>11</v>
      </c>
      <c r="AA24" s="39">
        <f t="shared" si="16"/>
        <v>3</v>
      </c>
      <c r="AB24" s="39">
        <f t="shared" si="16"/>
        <v>2</v>
      </c>
      <c r="AC24" s="39">
        <f t="shared" si="16"/>
        <v>340</v>
      </c>
      <c r="AD24" s="39">
        <f t="shared" si="16"/>
        <v>0</v>
      </c>
      <c r="AE24" s="40">
        <f t="shared" si="16"/>
        <v>977</v>
      </c>
      <c r="AF24" s="40">
        <f t="shared" si="16"/>
        <v>1317</v>
      </c>
    </row>
    <row r="25" spans="2:32" ht="23.1" customHeight="1" x14ac:dyDescent="0.25">
      <c r="B25" s="23" t="s">
        <v>52</v>
      </c>
      <c r="C25" s="50">
        <v>43</v>
      </c>
      <c r="D25" s="50">
        <v>30</v>
      </c>
      <c r="E25" s="50">
        <v>12</v>
      </c>
      <c r="F25" s="50">
        <v>42</v>
      </c>
      <c r="G25" s="50">
        <v>0</v>
      </c>
      <c r="H25" s="50">
        <v>0</v>
      </c>
      <c r="I25" s="50">
        <v>17</v>
      </c>
      <c r="J25" s="50">
        <v>0</v>
      </c>
      <c r="K25" s="50">
        <v>1</v>
      </c>
      <c r="L25" s="50">
        <v>1</v>
      </c>
      <c r="M25" s="50">
        <v>80</v>
      </c>
      <c r="N25" s="50">
        <v>0</v>
      </c>
      <c r="O25" s="15">
        <f t="shared" si="0"/>
        <v>146</v>
      </c>
      <c r="P25" s="15">
        <f t="shared" si="1"/>
        <v>226</v>
      </c>
      <c r="R25" s="37" t="s">
        <v>85</v>
      </c>
      <c r="S25" s="35">
        <f t="shared" ref="S25:AF25" si="17">SUM(S10:S12)</f>
        <v>343</v>
      </c>
      <c r="T25" s="16">
        <f t="shared" si="17"/>
        <v>180</v>
      </c>
      <c r="U25" s="16">
        <f t="shared" si="17"/>
        <v>80</v>
      </c>
      <c r="V25" s="16">
        <f t="shared" si="17"/>
        <v>449</v>
      </c>
      <c r="W25" s="16">
        <f t="shared" si="17"/>
        <v>14</v>
      </c>
      <c r="X25" s="16">
        <f t="shared" si="17"/>
        <v>10</v>
      </c>
      <c r="Y25" s="16">
        <f t="shared" si="17"/>
        <v>69</v>
      </c>
      <c r="Z25" s="16">
        <f t="shared" si="17"/>
        <v>16</v>
      </c>
      <c r="AA25" s="16">
        <f t="shared" si="17"/>
        <v>7</v>
      </c>
      <c r="AB25" s="16">
        <f t="shared" si="17"/>
        <v>5</v>
      </c>
      <c r="AC25" s="16">
        <f t="shared" si="17"/>
        <v>1071</v>
      </c>
      <c r="AD25" s="16">
        <f t="shared" si="17"/>
        <v>0</v>
      </c>
      <c r="AE25" s="32">
        <f t="shared" si="17"/>
        <v>1173</v>
      </c>
      <c r="AF25" s="32">
        <f t="shared" si="17"/>
        <v>2244</v>
      </c>
    </row>
    <row r="26" spans="2:32" ht="23.1" customHeight="1" x14ac:dyDescent="0.25">
      <c r="B26" s="23" t="s">
        <v>53</v>
      </c>
      <c r="C26" s="50">
        <v>45</v>
      </c>
      <c r="D26" s="50">
        <v>21</v>
      </c>
      <c r="E26" s="50">
        <v>5</v>
      </c>
      <c r="F26" s="50">
        <v>58</v>
      </c>
      <c r="G26" s="50">
        <v>0</v>
      </c>
      <c r="H26" s="50">
        <v>0</v>
      </c>
      <c r="I26" s="50">
        <v>12</v>
      </c>
      <c r="J26" s="50">
        <v>3</v>
      </c>
      <c r="K26" s="50">
        <v>6</v>
      </c>
      <c r="L26" s="50">
        <v>0</v>
      </c>
      <c r="M26" s="50">
        <v>85</v>
      </c>
      <c r="N26" s="50">
        <v>0</v>
      </c>
      <c r="O26" s="15">
        <f t="shared" si="0"/>
        <v>150</v>
      </c>
      <c r="P26" s="15">
        <f t="shared" si="1"/>
        <v>235</v>
      </c>
      <c r="R26" s="28" t="s">
        <v>86</v>
      </c>
      <c r="S26" s="16">
        <f t="shared" ref="S26:AF26" si="18">SUM(S13:S18)</f>
        <v>674</v>
      </c>
      <c r="T26" s="16">
        <f t="shared" si="18"/>
        <v>533</v>
      </c>
      <c r="U26" s="16">
        <f t="shared" si="18"/>
        <v>176</v>
      </c>
      <c r="V26" s="16">
        <f t="shared" si="18"/>
        <v>792</v>
      </c>
      <c r="W26" s="16">
        <f t="shared" si="18"/>
        <v>7</v>
      </c>
      <c r="X26" s="16">
        <f t="shared" si="18"/>
        <v>4</v>
      </c>
      <c r="Y26" s="16">
        <f t="shared" si="18"/>
        <v>244</v>
      </c>
      <c r="Z26" s="16">
        <f t="shared" si="18"/>
        <v>28</v>
      </c>
      <c r="AA26" s="16">
        <f t="shared" si="18"/>
        <v>28</v>
      </c>
      <c r="AB26" s="16">
        <f t="shared" si="18"/>
        <v>16</v>
      </c>
      <c r="AC26" s="16">
        <f t="shared" si="18"/>
        <v>1818</v>
      </c>
      <c r="AD26" s="16">
        <f t="shared" si="18"/>
        <v>0</v>
      </c>
      <c r="AE26" s="32">
        <f t="shared" si="18"/>
        <v>2502</v>
      </c>
      <c r="AF26" s="32">
        <f t="shared" si="18"/>
        <v>4320</v>
      </c>
    </row>
    <row r="27" spans="2:32" ht="23.1" customHeight="1" x14ac:dyDescent="0.25">
      <c r="B27" s="23" t="s">
        <v>54</v>
      </c>
      <c r="C27" s="50">
        <v>25</v>
      </c>
      <c r="D27" s="50">
        <v>20</v>
      </c>
      <c r="E27" s="50">
        <v>3</v>
      </c>
      <c r="F27" s="50">
        <v>50</v>
      </c>
      <c r="G27" s="50">
        <v>0</v>
      </c>
      <c r="H27" s="50">
        <v>0</v>
      </c>
      <c r="I27" s="50">
        <v>12</v>
      </c>
      <c r="J27" s="50">
        <v>3</v>
      </c>
      <c r="K27" s="50">
        <v>0</v>
      </c>
      <c r="L27" s="50">
        <v>0</v>
      </c>
      <c r="M27" s="50">
        <v>95</v>
      </c>
      <c r="N27" s="50">
        <v>0</v>
      </c>
      <c r="O27" s="15">
        <f t="shared" si="0"/>
        <v>113</v>
      </c>
      <c r="P27" s="15">
        <f t="shared" si="1"/>
        <v>208</v>
      </c>
      <c r="R27" s="29" t="s">
        <v>87</v>
      </c>
      <c r="S27" s="16">
        <f t="shared" ref="S27:AF27" si="19">SUM(S19:S21)</f>
        <v>538</v>
      </c>
      <c r="T27" s="16">
        <f t="shared" si="19"/>
        <v>537</v>
      </c>
      <c r="U27" s="16">
        <f t="shared" si="19"/>
        <v>108</v>
      </c>
      <c r="V27" s="16">
        <f t="shared" si="19"/>
        <v>584</v>
      </c>
      <c r="W27" s="16">
        <f t="shared" si="19"/>
        <v>13</v>
      </c>
      <c r="X27" s="16">
        <f t="shared" si="19"/>
        <v>10</v>
      </c>
      <c r="Y27" s="16">
        <f t="shared" si="19"/>
        <v>139</v>
      </c>
      <c r="Z27" s="16">
        <f t="shared" si="19"/>
        <v>20</v>
      </c>
      <c r="AA27" s="16">
        <f t="shared" si="19"/>
        <v>4</v>
      </c>
      <c r="AB27" s="16">
        <f t="shared" si="19"/>
        <v>3</v>
      </c>
      <c r="AC27" s="16">
        <f t="shared" si="19"/>
        <v>961</v>
      </c>
      <c r="AD27" s="16">
        <f t="shared" si="19"/>
        <v>0</v>
      </c>
      <c r="AE27" s="32">
        <f t="shared" si="19"/>
        <v>1956</v>
      </c>
      <c r="AF27" s="32">
        <f t="shared" si="19"/>
        <v>2917</v>
      </c>
    </row>
    <row r="28" spans="2:32" ht="23.1" customHeight="1" x14ac:dyDescent="0.25">
      <c r="B28" s="23" t="s">
        <v>55</v>
      </c>
      <c r="C28" s="50">
        <v>21</v>
      </c>
      <c r="D28" s="50">
        <v>17</v>
      </c>
      <c r="E28" s="50">
        <v>0</v>
      </c>
      <c r="F28" s="50">
        <v>32</v>
      </c>
      <c r="G28" s="50">
        <v>0</v>
      </c>
      <c r="H28" s="50">
        <v>0</v>
      </c>
      <c r="I28" s="50">
        <v>10</v>
      </c>
      <c r="J28" s="50">
        <v>0</v>
      </c>
      <c r="K28" s="50">
        <v>1</v>
      </c>
      <c r="L28" s="50">
        <v>1</v>
      </c>
      <c r="M28" s="50">
        <v>71</v>
      </c>
      <c r="N28" s="50">
        <v>0</v>
      </c>
      <c r="O28" s="15">
        <f t="shared" si="0"/>
        <v>82</v>
      </c>
      <c r="P28" s="15">
        <f t="shared" si="1"/>
        <v>153</v>
      </c>
      <c r="R28" s="5" t="s">
        <v>17</v>
      </c>
      <c r="S28" s="16">
        <f t="shared" ref="S28:AF28" si="20">SUM(S10:S21)</f>
        <v>1555</v>
      </c>
      <c r="T28" s="16">
        <f t="shared" si="20"/>
        <v>1250</v>
      </c>
      <c r="U28" s="16">
        <f t="shared" si="20"/>
        <v>364</v>
      </c>
      <c r="V28" s="16">
        <f t="shared" si="20"/>
        <v>1825</v>
      </c>
      <c r="W28" s="16">
        <f t="shared" si="20"/>
        <v>34</v>
      </c>
      <c r="X28" s="16">
        <f t="shared" si="20"/>
        <v>24</v>
      </c>
      <c r="Y28" s="16">
        <f t="shared" si="20"/>
        <v>452</v>
      </c>
      <c r="Z28" s="16">
        <f t="shared" si="20"/>
        <v>64</v>
      </c>
      <c r="AA28" s="16">
        <f t="shared" si="20"/>
        <v>39</v>
      </c>
      <c r="AB28" s="16">
        <f t="shared" si="20"/>
        <v>24</v>
      </c>
      <c r="AC28" s="16">
        <f t="shared" si="20"/>
        <v>3850</v>
      </c>
      <c r="AD28" s="16">
        <f t="shared" si="20"/>
        <v>0</v>
      </c>
      <c r="AE28" s="32">
        <f t="shared" si="20"/>
        <v>5631</v>
      </c>
      <c r="AF28" s="32">
        <f t="shared" si="20"/>
        <v>9481</v>
      </c>
    </row>
    <row r="29" spans="2:32" ht="23.1" customHeight="1" x14ac:dyDescent="0.25">
      <c r="B29" s="23" t="s">
        <v>56</v>
      </c>
      <c r="C29" s="50">
        <v>22</v>
      </c>
      <c r="D29" s="50">
        <v>18</v>
      </c>
      <c r="E29" s="50">
        <v>9</v>
      </c>
      <c r="F29" s="50">
        <v>42</v>
      </c>
      <c r="G29" s="50">
        <v>1</v>
      </c>
      <c r="H29" s="50">
        <v>1</v>
      </c>
      <c r="I29" s="50">
        <v>9</v>
      </c>
      <c r="J29" s="50">
        <v>2</v>
      </c>
      <c r="K29" s="50">
        <v>1</v>
      </c>
      <c r="L29" s="50">
        <v>0</v>
      </c>
      <c r="M29" s="50">
        <v>60</v>
      </c>
      <c r="N29" s="50">
        <v>0</v>
      </c>
      <c r="O29" s="15">
        <f t="shared" si="0"/>
        <v>105</v>
      </c>
      <c r="P29" s="15">
        <f t="shared" si="1"/>
        <v>165</v>
      </c>
      <c r="R29"/>
      <c r="S29" s="20"/>
      <c r="T29" s="19"/>
    </row>
    <row r="30" spans="2:32" ht="23.1" customHeight="1" x14ac:dyDescent="0.25">
      <c r="B30" s="23" t="s">
        <v>57</v>
      </c>
      <c r="C30" s="50">
        <v>40</v>
      </c>
      <c r="D30" s="50">
        <v>15</v>
      </c>
      <c r="E30" s="50">
        <v>10</v>
      </c>
      <c r="F30" s="50">
        <v>33</v>
      </c>
      <c r="G30" s="50">
        <v>0</v>
      </c>
      <c r="H30" s="50">
        <v>0</v>
      </c>
      <c r="I30" s="50">
        <v>24</v>
      </c>
      <c r="J30" s="50">
        <v>1</v>
      </c>
      <c r="K30" s="50">
        <v>1</v>
      </c>
      <c r="L30" s="50">
        <v>0</v>
      </c>
      <c r="M30" s="50">
        <v>86</v>
      </c>
      <c r="N30" s="50">
        <v>0</v>
      </c>
      <c r="O30" s="15">
        <f t="shared" si="0"/>
        <v>124</v>
      </c>
      <c r="P30" s="15">
        <f t="shared" si="1"/>
        <v>210</v>
      </c>
    </row>
    <row r="31" spans="2:32" ht="23.1" customHeight="1" x14ac:dyDescent="0.25">
      <c r="B31" s="24" t="s">
        <v>58</v>
      </c>
      <c r="C31" s="50">
        <v>22</v>
      </c>
      <c r="D31" s="50">
        <v>16</v>
      </c>
      <c r="E31" s="50">
        <v>6</v>
      </c>
      <c r="F31" s="50">
        <v>31</v>
      </c>
      <c r="G31" s="50">
        <v>0</v>
      </c>
      <c r="H31" s="50">
        <v>1</v>
      </c>
      <c r="I31" s="50">
        <v>13</v>
      </c>
      <c r="J31" s="50">
        <v>4</v>
      </c>
      <c r="K31" s="50">
        <v>1</v>
      </c>
      <c r="L31" s="50">
        <v>1</v>
      </c>
      <c r="M31" s="50">
        <v>96</v>
      </c>
      <c r="N31" s="50">
        <v>0</v>
      </c>
      <c r="O31" s="15">
        <f t="shared" si="0"/>
        <v>95</v>
      </c>
      <c r="P31" s="15">
        <f t="shared" si="1"/>
        <v>191</v>
      </c>
    </row>
    <row r="32" spans="2:32" ht="23.1" customHeight="1" x14ac:dyDescent="0.25">
      <c r="B32" s="24" t="s">
        <v>59</v>
      </c>
      <c r="C32" s="50">
        <v>25</v>
      </c>
      <c r="D32" s="50">
        <v>26</v>
      </c>
      <c r="E32" s="50">
        <v>6</v>
      </c>
      <c r="F32" s="50">
        <v>47</v>
      </c>
      <c r="G32" s="50">
        <v>0</v>
      </c>
      <c r="H32" s="50">
        <v>0</v>
      </c>
      <c r="I32" s="50">
        <v>6</v>
      </c>
      <c r="J32" s="50">
        <v>5</v>
      </c>
      <c r="K32" s="50">
        <v>2</v>
      </c>
      <c r="L32" s="50">
        <v>0</v>
      </c>
      <c r="M32" s="50">
        <v>70</v>
      </c>
      <c r="N32" s="50">
        <v>0</v>
      </c>
      <c r="O32" s="15">
        <f t="shared" si="0"/>
        <v>117</v>
      </c>
      <c r="P32" s="15">
        <f t="shared" si="1"/>
        <v>187</v>
      </c>
    </row>
    <row r="33" spans="2:20" ht="23.1" customHeight="1" x14ac:dyDescent="0.25">
      <c r="B33" s="23" t="s">
        <v>60</v>
      </c>
      <c r="C33" s="50">
        <v>18</v>
      </c>
      <c r="D33" s="50">
        <v>15</v>
      </c>
      <c r="E33" s="50">
        <v>8</v>
      </c>
      <c r="F33" s="50">
        <v>23</v>
      </c>
      <c r="G33" s="50">
        <v>0</v>
      </c>
      <c r="H33" s="50">
        <v>0</v>
      </c>
      <c r="I33" s="50">
        <v>12</v>
      </c>
      <c r="J33" s="50">
        <v>0</v>
      </c>
      <c r="K33" s="50">
        <v>2</v>
      </c>
      <c r="L33" s="50">
        <v>0</v>
      </c>
      <c r="M33" s="50">
        <v>95</v>
      </c>
      <c r="N33" s="50">
        <v>0</v>
      </c>
      <c r="O33" s="15">
        <f t="shared" si="0"/>
        <v>78</v>
      </c>
      <c r="P33" s="15">
        <f t="shared" si="1"/>
        <v>173</v>
      </c>
    </row>
    <row r="34" spans="2:20" ht="23.1" customHeight="1" x14ac:dyDescent="0.25">
      <c r="B34" s="24" t="s">
        <v>61</v>
      </c>
      <c r="C34" s="50">
        <v>35</v>
      </c>
      <c r="D34" s="50">
        <v>32</v>
      </c>
      <c r="E34" s="50">
        <v>9</v>
      </c>
      <c r="F34" s="50">
        <v>45</v>
      </c>
      <c r="G34" s="50">
        <v>0</v>
      </c>
      <c r="H34" s="50">
        <v>0</v>
      </c>
      <c r="I34" s="50">
        <v>10</v>
      </c>
      <c r="J34" s="50">
        <v>2</v>
      </c>
      <c r="K34" s="50">
        <v>0</v>
      </c>
      <c r="L34" s="50">
        <v>0</v>
      </c>
      <c r="M34" s="50">
        <v>107</v>
      </c>
      <c r="N34" s="50">
        <v>0</v>
      </c>
      <c r="O34" s="15">
        <f t="shared" si="0"/>
        <v>133</v>
      </c>
      <c r="P34" s="15">
        <f t="shared" si="1"/>
        <v>240</v>
      </c>
    </row>
    <row r="35" spans="2:20" ht="23.1" customHeight="1" x14ac:dyDescent="0.25">
      <c r="B35" s="24" t="s">
        <v>62</v>
      </c>
      <c r="C35" s="50">
        <v>31</v>
      </c>
      <c r="D35" s="50">
        <v>32</v>
      </c>
      <c r="E35" s="50">
        <v>4</v>
      </c>
      <c r="F35" s="50">
        <v>43</v>
      </c>
      <c r="G35" s="50">
        <v>1</v>
      </c>
      <c r="H35" s="50">
        <v>0</v>
      </c>
      <c r="I35" s="50">
        <v>8</v>
      </c>
      <c r="J35" s="50">
        <v>2</v>
      </c>
      <c r="K35" s="50">
        <v>0</v>
      </c>
      <c r="L35" s="50">
        <v>1</v>
      </c>
      <c r="M35" s="50">
        <v>80</v>
      </c>
      <c r="N35" s="50">
        <v>0</v>
      </c>
      <c r="O35" s="15">
        <f t="shared" si="0"/>
        <v>122</v>
      </c>
      <c r="P35" s="15">
        <f t="shared" si="1"/>
        <v>202</v>
      </c>
    </row>
    <row r="36" spans="2:20" ht="23.1" customHeight="1" x14ac:dyDescent="0.25">
      <c r="B36" s="24" t="s">
        <v>63</v>
      </c>
      <c r="C36" s="50">
        <v>30</v>
      </c>
      <c r="D36" s="50">
        <v>30</v>
      </c>
      <c r="E36" s="50">
        <v>6</v>
      </c>
      <c r="F36" s="50">
        <v>35</v>
      </c>
      <c r="G36" s="50">
        <v>0</v>
      </c>
      <c r="H36" s="50">
        <v>1</v>
      </c>
      <c r="I36" s="50">
        <v>4</v>
      </c>
      <c r="J36" s="50">
        <v>0</v>
      </c>
      <c r="K36" s="50">
        <v>0</v>
      </c>
      <c r="L36" s="50">
        <v>0</v>
      </c>
      <c r="M36" s="50">
        <v>80</v>
      </c>
      <c r="N36" s="50">
        <v>0</v>
      </c>
      <c r="O36" s="15">
        <f t="shared" si="0"/>
        <v>106</v>
      </c>
      <c r="P36" s="15">
        <f t="shared" si="1"/>
        <v>186</v>
      </c>
    </row>
    <row r="37" spans="2:20" ht="23.1" customHeight="1" x14ac:dyDescent="0.25">
      <c r="B37" s="23" t="s">
        <v>64</v>
      </c>
      <c r="C37" s="50">
        <v>36</v>
      </c>
      <c r="D37" s="50">
        <v>20</v>
      </c>
      <c r="E37" s="50">
        <v>5</v>
      </c>
      <c r="F37" s="50">
        <v>30</v>
      </c>
      <c r="G37" s="50">
        <v>0</v>
      </c>
      <c r="H37" s="50">
        <v>0</v>
      </c>
      <c r="I37" s="50">
        <v>10</v>
      </c>
      <c r="J37" s="50">
        <v>0</v>
      </c>
      <c r="K37" s="50">
        <v>0</v>
      </c>
      <c r="L37" s="50">
        <v>0</v>
      </c>
      <c r="M37" s="50">
        <v>45</v>
      </c>
      <c r="N37" s="50">
        <v>0</v>
      </c>
      <c r="O37" s="15">
        <f t="shared" si="0"/>
        <v>101</v>
      </c>
      <c r="P37" s="15">
        <f t="shared" si="1"/>
        <v>146</v>
      </c>
    </row>
    <row r="38" spans="2:20" ht="23.1" customHeight="1" x14ac:dyDescent="0.25">
      <c r="B38" s="24" t="s">
        <v>65</v>
      </c>
      <c r="C38" s="50">
        <v>25</v>
      </c>
      <c r="D38" s="50">
        <v>7</v>
      </c>
      <c r="E38" s="50">
        <v>7</v>
      </c>
      <c r="F38" s="50">
        <v>30</v>
      </c>
      <c r="G38" s="50">
        <v>1</v>
      </c>
      <c r="H38" s="50">
        <v>0</v>
      </c>
      <c r="I38" s="50">
        <v>6</v>
      </c>
      <c r="J38" s="50">
        <v>2</v>
      </c>
      <c r="K38" s="50">
        <v>0</v>
      </c>
      <c r="L38" s="50">
        <v>0</v>
      </c>
      <c r="M38" s="50">
        <v>110</v>
      </c>
      <c r="N38" s="50">
        <v>0</v>
      </c>
      <c r="O38" s="15">
        <f t="shared" si="0"/>
        <v>78</v>
      </c>
      <c r="P38" s="15">
        <f t="shared" si="1"/>
        <v>188</v>
      </c>
    </row>
    <row r="39" spans="2:20" ht="23.1" customHeight="1" x14ac:dyDescent="0.25">
      <c r="B39" s="24" t="s">
        <v>66</v>
      </c>
      <c r="C39" s="50">
        <v>20</v>
      </c>
      <c r="D39" s="50">
        <v>30</v>
      </c>
      <c r="E39" s="50">
        <v>8</v>
      </c>
      <c r="F39" s="50">
        <v>20</v>
      </c>
      <c r="G39" s="50">
        <v>0</v>
      </c>
      <c r="H39" s="50">
        <v>0</v>
      </c>
      <c r="I39" s="50">
        <v>9</v>
      </c>
      <c r="J39" s="50">
        <v>0</v>
      </c>
      <c r="K39" s="50">
        <v>2</v>
      </c>
      <c r="L39" s="50">
        <v>0</v>
      </c>
      <c r="M39" s="50">
        <v>80</v>
      </c>
      <c r="N39" s="50">
        <v>0</v>
      </c>
      <c r="O39" s="15">
        <f t="shared" si="0"/>
        <v>89</v>
      </c>
      <c r="P39" s="15">
        <f t="shared" si="1"/>
        <v>169</v>
      </c>
    </row>
    <row r="40" spans="2:20" ht="23.1" customHeight="1" x14ac:dyDescent="0.25">
      <c r="B40" s="24" t="s">
        <v>67</v>
      </c>
      <c r="C40" s="50">
        <v>11</v>
      </c>
      <c r="D40" s="50">
        <v>12</v>
      </c>
      <c r="E40" s="50">
        <v>4</v>
      </c>
      <c r="F40" s="50">
        <v>8</v>
      </c>
      <c r="G40" s="50">
        <v>2</v>
      </c>
      <c r="H40" s="50">
        <v>0</v>
      </c>
      <c r="I40" s="50">
        <v>16</v>
      </c>
      <c r="J40" s="50">
        <v>0</v>
      </c>
      <c r="K40" s="50">
        <v>3</v>
      </c>
      <c r="L40" s="50">
        <v>4</v>
      </c>
      <c r="M40" s="50">
        <v>70</v>
      </c>
      <c r="N40" s="50">
        <v>0</v>
      </c>
      <c r="O40" s="15">
        <f t="shared" si="0"/>
        <v>60</v>
      </c>
      <c r="P40" s="15">
        <f t="shared" si="1"/>
        <v>130</v>
      </c>
    </row>
    <row r="41" spans="2:20" ht="23.1" customHeight="1" x14ac:dyDescent="0.25">
      <c r="B41" s="23" t="s">
        <v>68</v>
      </c>
      <c r="C41" s="50">
        <v>31</v>
      </c>
      <c r="D41" s="50">
        <v>27</v>
      </c>
      <c r="E41" s="50">
        <v>10</v>
      </c>
      <c r="F41" s="50">
        <v>30</v>
      </c>
      <c r="G41" s="50">
        <v>0</v>
      </c>
      <c r="H41" s="50">
        <v>0</v>
      </c>
      <c r="I41" s="50">
        <v>6</v>
      </c>
      <c r="J41" s="50">
        <v>0</v>
      </c>
      <c r="K41" s="50">
        <v>0</v>
      </c>
      <c r="L41" s="50">
        <v>2</v>
      </c>
      <c r="M41" s="50">
        <v>70</v>
      </c>
      <c r="N41" s="50">
        <v>0</v>
      </c>
      <c r="O41" s="15">
        <f t="shared" si="0"/>
        <v>106</v>
      </c>
      <c r="P41" s="15">
        <f t="shared" si="1"/>
        <v>176</v>
      </c>
    </row>
    <row r="42" spans="2:20" ht="23.1" customHeight="1" x14ac:dyDescent="0.25">
      <c r="B42" s="24" t="s">
        <v>69</v>
      </c>
      <c r="C42" s="50">
        <v>22</v>
      </c>
      <c r="D42" s="50">
        <v>10</v>
      </c>
      <c r="E42" s="50">
        <v>8</v>
      </c>
      <c r="F42" s="50">
        <v>20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1</v>
      </c>
      <c r="M42" s="50">
        <v>45</v>
      </c>
      <c r="N42" s="50">
        <v>0</v>
      </c>
      <c r="O42" s="15">
        <f t="shared" si="0"/>
        <v>65</v>
      </c>
      <c r="P42" s="15">
        <f t="shared" si="1"/>
        <v>110</v>
      </c>
    </row>
    <row r="43" spans="2:20" ht="23.1" customHeight="1" x14ac:dyDescent="0.25">
      <c r="B43" s="23" t="s">
        <v>70</v>
      </c>
      <c r="C43" s="50">
        <v>37</v>
      </c>
      <c r="D43" s="50">
        <v>35</v>
      </c>
      <c r="E43" s="50">
        <v>13</v>
      </c>
      <c r="F43" s="50">
        <v>28</v>
      </c>
      <c r="G43" s="50">
        <v>0</v>
      </c>
      <c r="H43" s="50">
        <v>0</v>
      </c>
      <c r="I43" s="50">
        <v>13</v>
      </c>
      <c r="J43" s="50">
        <v>0</v>
      </c>
      <c r="K43" s="50">
        <v>4</v>
      </c>
      <c r="L43" s="50">
        <v>1</v>
      </c>
      <c r="M43" s="50">
        <v>31</v>
      </c>
      <c r="N43" s="50">
        <v>0</v>
      </c>
      <c r="O43" s="15">
        <f t="shared" si="0"/>
        <v>131</v>
      </c>
      <c r="P43" s="15">
        <f t="shared" si="1"/>
        <v>162</v>
      </c>
    </row>
    <row r="44" spans="2:20" ht="23.1" customHeight="1" x14ac:dyDescent="0.25">
      <c r="B44" s="25" t="s">
        <v>71</v>
      </c>
      <c r="C44" s="50">
        <v>16</v>
      </c>
      <c r="D44" s="50">
        <v>16</v>
      </c>
      <c r="E44" s="50">
        <v>8</v>
      </c>
      <c r="F44" s="50">
        <v>11</v>
      </c>
      <c r="G44" s="50">
        <v>0</v>
      </c>
      <c r="H44" s="50">
        <v>0</v>
      </c>
      <c r="I44" s="50">
        <v>6</v>
      </c>
      <c r="J44" s="50">
        <v>0</v>
      </c>
      <c r="K44" s="50">
        <v>0</v>
      </c>
      <c r="L44" s="50">
        <v>2</v>
      </c>
      <c r="M44" s="50">
        <v>13</v>
      </c>
      <c r="N44" s="50">
        <v>0</v>
      </c>
      <c r="O44" s="15">
        <f t="shared" si="0"/>
        <v>59</v>
      </c>
      <c r="P44" s="15">
        <f t="shared" si="1"/>
        <v>72</v>
      </c>
    </row>
    <row r="45" spans="2:20" ht="23.1" customHeight="1" x14ac:dyDescent="0.25">
      <c r="B45" s="23" t="s">
        <v>72</v>
      </c>
      <c r="C45" s="50">
        <v>23</v>
      </c>
      <c r="D45" s="50">
        <v>18</v>
      </c>
      <c r="E45" s="50">
        <v>3</v>
      </c>
      <c r="F45" s="50">
        <v>11</v>
      </c>
      <c r="G45" s="50">
        <v>0</v>
      </c>
      <c r="H45" s="50">
        <v>0</v>
      </c>
      <c r="I45" s="50">
        <v>5</v>
      </c>
      <c r="J45" s="50">
        <v>1</v>
      </c>
      <c r="K45" s="50">
        <v>0</v>
      </c>
      <c r="L45" s="50">
        <v>2</v>
      </c>
      <c r="M45" s="50">
        <v>24</v>
      </c>
      <c r="N45" s="50">
        <v>0</v>
      </c>
      <c r="O45" s="15">
        <f t="shared" si="0"/>
        <v>63</v>
      </c>
      <c r="P45" s="15">
        <f t="shared" si="1"/>
        <v>87</v>
      </c>
    </row>
    <row r="46" spans="2:20" ht="23.1" customHeight="1" x14ac:dyDescent="0.25">
      <c r="B46" s="24" t="s">
        <v>73</v>
      </c>
      <c r="C46" s="50">
        <v>33</v>
      </c>
      <c r="D46" s="50">
        <v>27</v>
      </c>
      <c r="E46" s="50">
        <v>4</v>
      </c>
      <c r="F46" s="50">
        <v>35</v>
      </c>
      <c r="G46" s="50">
        <v>0</v>
      </c>
      <c r="H46" s="50">
        <v>0</v>
      </c>
      <c r="I46" s="50">
        <v>8</v>
      </c>
      <c r="J46" s="50">
        <v>2</v>
      </c>
      <c r="K46" s="50">
        <v>0</v>
      </c>
      <c r="L46" s="50">
        <v>1</v>
      </c>
      <c r="M46" s="50">
        <v>75</v>
      </c>
      <c r="N46" s="50">
        <v>0</v>
      </c>
      <c r="O46" s="15">
        <f t="shared" si="0"/>
        <v>110</v>
      </c>
      <c r="P46" s="15">
        <f t="shared" si="1"/>
        <v>185</v>
      </c>
      <c r="R46" s="8"/>
      <c r="T46"/>
    </row>
    <row r="47" spans="2:20" ht="23.1" customHeight="1" x14ac:dyDescent="0.25">
      <c r="B47" s="24" t="s">
        <v>74</v>
      </c>
      <c r="C47" s="50">
        <v>35</v>
      </c>
      <c r="D47" s="50">
        <v>45</v>
      </c>
      <c r="E47" s="50">
        <v>6</v>
      </c>
      <c r="F47" s="50">
        <v>40</v>
      </c>
      <c r="G47" s="50">
        <v>0</v>
      </c>
      <c r="H47" s="50">
        <v>1</v>
      </c>
      <c r="I47" s="50">
        <v>15</v>
      </c>
      <c r="J47" s="50">
        <v>5</v>
      </c>
      <c r="K47" s="50">
        <v>0</v>
      </c>
      <c r="L47" s="50">
        <v>1</v>
      </c>
      <c r="M47" s="50">
        <v>60</v>
      </c>
      <c r="N47" s="50">
        <v>0</v>
      </c>
      <c r="O47" s="15">
        <f t="shared" si="0"/>
        <v>148</v>
      </c>
      <c r="P47" s="15">
        <f t="shared" si="1"/>
        <v>208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75</v>
      </c>
      <c r="E48" s="50">
        <v>16</v>
      </c>
      <c r="F48" s="50">
        <v>50</v>
      </c>
      <c r="G48" s="50">
        <v>1</v>
      </c>
      <c r="H48" s="50">
        <v>2</v>
      </c>
      <c r="I48" s="50">
        <v>17</v>
      </c>
      <c r="J48" s="50">
        <v>1</v>
      </c>
      <c r="K48" s="50">
        <v>3</v>
      </c>
      <c r="L48" s="50">
        <v>0</v>
      </c>
      <c r="M48" s="50">
        <v>65</v>
      </c>
      <c r="N48" s="50">
        <v>0</v>
      </c>
      <c r="O48" s="15">
        <f t="shared" si="0"/>
        <v>205</v>
      </c>
      <c r="P48" s="15">
        <f t="shared" si="1"/>
        <v>270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48</v>
      </c>
      <c r="E49" s="50">
        <v>4</v>
      </c>
      <c r="F49" s="50">
        <v>45</v>
      </c>
      <c r="G49" s="50">
        <v>0</v>
      </c>
      <c r="H49" s="50">
        <v>1</v>
      </c>
      <c r="I49" s="50">
        <v>12</v>
      </c>
      <c r="J49" s="50">
        <v>3</v>
      </c>
      <c r="K49" s="50">
        <v>0</v>
      </c>
      <c r="L49" s="50">
        <v>0</v>
      </c>
      <c r="M49" s="50">
        <v>95</v>
      </c>
      <c r="N49" s="50">
        <v>0</v>
      </c>
      <c r="O49" s="15">
        <f t="shared" si="0"/>
        <v>173</v>
      </c>
      <c r="P49" s="15">
        <f t="shared" si="1"/>
        <v>268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60</v>
      </c>
      <c r="E50" s="50">
        <v>11</v>
      </c>
      <c r="F50" s="50">
        <v>70</v>
      </c>
      <c r="G50" s="50">
        <v>0</v>
      </c>
      <c r="H50" s="50">
        <v>0</v>
      </c>
      <c r="I50" s="50">
        <v>21</v>
      </c>
      <c r="J50" s="50">
        <v>0</v>
      </c>
      <c r="K50" s="50">
        <v>0</v>
      </c>
      <c r="L50" s="50">
        <v>0</v>
      </c>
      <c r="M50" s="50">
        <v>85</v>
      </c>
      <c r="N50" s="50">
        <v>0</v>
      </c>
      <c r="O50" s="15">
        <f t="shared" si="0"/>
        <v>217</v>
      </c>
      <c r="P50" s="15">
        <f t="shared" si="1"/>
        <v>302</v>
      </c>
      <c r="R50" s="8"/>
      <c r="T50"/>
    </row>
    <row r="51" spans="2:20" ht="23.1" customHeight="1" x14ac:dyDescent="0.25">
      <c r="B51" s="24" t="s">
        <v>78</v>
      </c>
      <c r="C51" s="50">
        <v>50</v>
      </c>
      <c r="D51" s="50">
        <v>53</v>
      </c>
      <c r="E51" s="50">
        <v>10</v>
      </c>
      <c r="F51" s="50">
        <v>60</v>
      </c>
      <c r="G51" s="50">
        <v>0</v>
      </c>
      <c r="H51" s="50">
        <v>0</v>
      </c>
      <c r="I51" s="50">
        <v>10</v>
      </c>
      <c r="J51" s="50">
        <v>0</v>
      </c>
      <c r="K51" s="50">
        <v>0</v>
      </c>
      <c r="L51" s="50">
        <v>0</v>
      </c>
      <c r="M51" s="50">
        <v>90</v>
      </c>
      <c r="N51" s="50">
        <v>0</v>
      </c>
      <c r="O51" s="15">
        <f t="shared" si="0"/>
        <v>183</v>
      </c>
      <c r="P51" s="15">
        <f t="shared" si="1"/>
        <v>273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100</v>
      </c>
      <c r="E52" s="50">
        <v>7</v>
      </c>
      <c r="F52" s="50">
        <v>68</v>
      </c>
      <c r="G52" s="50">
        <v>2</v>
      </c>
      <c r="H52" s="50">
        <v>0</v>
      </c>
      <c r="I52" s="50">
        <v>25</v>
      </c>
      <c r="J52" s="50">
        <v>1</v>
      </c>
      <c r="K52" s="50">
        <v>0</v>
      </c>
      <c r="L52" s="50">
        <v>0</v>
      </c>
      <c r="M52" s="50">
        <v>95</v>
      </c>
      <c r="N52" s="50">
        <v>0</v>
      </c>
      <c r="O52" s="15">
        <f t="shared" si="0"/>
        <v>278</v>
      </c>
      <c r="P52" s="15">
        <f t="shared" si="1"/>
        <v>373</v>
      </c>
      <c r="R52" s="8"/>
      <c r="T52"/>
    </row>
    <row r="53" spans="2:20" ht="23.1" customHeight="1" x14ac:dyDescent="0.25">
      <c r="B53" s="23" t="s">
        <v>80</v>
      </c>
      <c r="C53" s="50">
        <v>85</v>
      </c>
      <c r="D53" s="50">
        <v>80</v>
      </c>
      <c r="E53" s="50">
        <v>29</v>
      </c>
      <c r="F53" s="50">
        <v>90</v>
      </c>
      <c r="G53" s="50">
        <v>1</v>
      </c>
      <c r="H53" s="50">
        <v>0</v>
      </c>
      <c r="I53" s="50">
        <v>14</v>
      </c>
      <c r="J53" s="50">
        <v>0</v>
      </c>
      <c r="K53" s="50">
        <v>0</v>
      </c>
      <c r="L53" s="50">
        <v>0</v>
      </c>
      <c r="M53" s="50">
        <v>70</v>
      </c>
      <c r="N53" s="50">
        <v>0</v>
      </c>
      <c r="O53" s="15">
        <f t="shared" si="0"/>
        <v>299</v>
      </c>
      <c r="P53" s="15">
        <f t="shared" si="1"/>
        <v>369</v>
      </c>
      <c r="R53" s="8"/>
      <c r="T53"/>
    </row>
    <row r="54" spans="2:20" ht="23.1" customHeight="1" x14ac:dyDescent="0.25">
      <c r="B54" s="23" t="s">
        <v>81</v>
      </c>
      <c r="C54" s="50">
        <v>32</v>
      </c>
      <c r="D54" s="50">
        <v>10</v>
      </c>
      <c r="E54" s="50">
        <v>5</v>
      </c>
      <c r="F54" s="50">
        <v>35</v>
      </c>
      <c r="G54" s="50">
        <v>1</v>
      </c>
      <c r="H54" s="50">
        <v>1</v>
      </c>
      <c r="I54" s="50">
        <v>6</v>
      </c>
      <c r="J54" s="50">
        <v>0</v>
      </c>
      <c r="K54" s="50">
        <v>1</v>
      </c>
      <c r="L54" s="50">
        <v>0</v>
      </c>
      <c r="M54" s="50">
        <v>80</v>
      </c>
      <c r="N54" s="50">
        <v>0</v>
      </c>
      <c r="O54" s="15">
        <f t="shared" si="0"/>
        <v>91</v>
      </c>
      <c r="P54" s="15">
        <f t="shared" si="1"/>
        <v>171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13</v>
      </c>
      <c r="E55" s="50">
        <v>6</v>
      </c>
      <c r="F55" s="50">
        <v>31</v>
      </c>
      <c r="G55" s="50">
        <v>6</v>
      </c>
      <c r="H55" s="50">
        <v>1</v>
      </c>
      <c r="I55" s="50">
        <v>6</v>
      </c>
      <c r="J55" s="50">
        <v>0</v>
      </c>
      <c r="K55" s="50">
        <v>0</v>
      </c>
      <c r="L55" s="50">
        <v>1</v>
      </c>
      <c r="M55" s="50">
        <v>96</v>
      </c>
      <c r="N55" s="50">
        <v>0</v>
      </c>
      <c r="O55" s="15">
        <f t="shared" si="0"/>
        <v>76</v>
      </c>
      <c r="P55" s="15">
        <f t="shared" si="1"/>
        <v>172</v>
      </c>
      <c r="R55" s="8"/>
      <c r="T55"/>
    </row>
    <row r="56" spans="2:20" ht="23.1" customHeight="1" x14ac:dyDescent="0.25">
      <c r="B56" s="23" t="s">
        <v>83</v>
      </c>
      <c r="C56" s="50">
        <v>26</v>
      </c>
      <c r="D56" s="50">
        <v>8</v>
      </c>
      <c r="E56" s="50">
        <v>6</v>
      </c>
      <c r="F56" s="50">
        <v>23</v>
      </c>
      <c r="G56" s="50">
        <v>1</v>
      </c>
      <c r="H56" s="50">
        <v>0</v>
      </c>
      <c r="I56" s="50">
        <v>3</v>
      </c>
      <c r="J56" s="50">
        <v>8</v>
      </c>
      <c r="K56" s="50">
        <v>0</v>
      </c>
      <c r="L56" s="50">
        <v>0</v>
      </c>
      <c r="M56" s="50">
        <v>75</v>
      </c>
      <c r="N56" s="50">
        <v>0</v>
      </c>
      <c r="O56" s="15">
        <f t="shared" si="0"/>
        <v>75</v>
      </c>
      <c r="P56" s="15">
        <f t="shared" si="1"/>
        <v>150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18</v>
      </c>
      <c r="E57" s="50">
        <v>4</v>
      </c>
      <c r="F57" s="50">
        <v>37</v>
      </c>
      <c r="G57" s="50">
        <v>1</v>
      </c>
      <c r="H57" s="50">
        <v>4</v>
      </c>
      <c r="I57" s="50">
        <v>2</v>
      </c>
      <c r="J57" s="50">
        <v>0</v>
      </c>
      <c r="K57" s="50">
        <v>0</v>
      </c>
      <c r="L57" s="50">
        <v>0</v>
      </c>
      <c r="M57" s="50">
        <v>75</v>
      </c>
      <c r="N57" s="50">
        <v>0</v>
      </c>
      <c r="O57" s="15">
        <f t="shared" si="0"/>
        <v>101</v>
      </c>
      <c r="P57" s="15">
        <f t="shared" si="1"/>
        <v>176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1555</v>
      </c>
      <c r="D58" s="16">
        <f t="shared" si="21"/>
        <v>1250</v>
      </c>
      <c r="E58" s="16">
        <f t="shared" si="21"/>
        <v>364</v>
      </c>
      <c r="F58" s="16">
        <f t="shared" si="21"/>
        <v>1825</v>
      </c>
      <c r="G58" s="16">
        <f t="shared" si="21"/>
        <v>34</v>
      </c>
      <c r="H58" s="16">
        <f t="shared" si="21"/>
        <v>24</v>
      </c>
      <c r="I58" s="16">
        <f t="shared" si="21"/>
        <v>452</v>
      </c>
      <c r="J58" s="16">
        <f t="shared" si="21"/>
        <v>64</v>
      </c>
      <c r="K58" s="16">
        <f t="shared" si="21"/>
        <v>39</v>
      </c>
      <c r="L58" s="16">
        <f t="shared" si="21"/>
        <v>24</v>
      </c>
      <c r="M58" s="16">
        <f t="shared" si="21"/>
        <v>3850</v>
      </c>
      <c r="N58" s="16">
        <f t="shared" si="21"/>
        <v>0</v>
      </c>
      <c r="O58" s="16">
        <f t="shared" si="21"/>
        <v>5631</v>
      </c>
      <c r="P58" s="16">
        <f t="shared" si="21"/>
        <v>9481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0.1640122349963084</v>
      </c>
      <c r="D59" s="43">
        <f t="shared" si="22"/>
        <v>0.13184263263368842</v>
      </c>
      <c r="E59" s="43">
        <f t="shared" si="22"/>
        <v>3.8392574622930067E-2</v>
      </c>
      <c r="F59" s="43">
        <f t="shared" si="22"/>
        <v>0.19249024364518511</v>
      </c>
      <c r="G59" s="43">
        <f t="shared" si="22"/>
        <v>3.5861196076363254E-3</v>
      </c>
      <c r="H59" s="43">
        <f t="shared" si="22"/>
        <v>2.5313785465668178E-3</v>
      </c>
      <c r="I59" s="43">
        <f t="shared" si="22"/>
        <v>4.7674295960341735E-2</v>
      </c>
      <c r="J59" s="43">
        <f t="shared" si="22"/>
        <v>6.7503427908448474E-3</v>
      </c>
      <c r="K59" s="43">
        <f t="shared" si="22"/>
        <v>4.1134901381710788E-3</v>
      </c>
      <c r="L59" s="43">
        <f t="shared" si="22"/>
        <v>2.5313785465668178E-3</v>
      </c>
      <c r="M59" s="43">
        <f t="shared" si="22"/>
        <v>0.40607530851176038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0.27614988456757239</v>
      </c>
      <c r="D60" s="44">
        <f t="shared" ref="D60:N60" si="23">D58/$O$58</f>
        <v>0.22198543775528326</v>
      </c>
      <c r="E60" s="44">
        <f t="shared" si="23"/>
        <v>6.464215947433849E-2</v>
      </c>
      <c r="F60" s="44">
        <f t="shared" si="23"/>
        <v>0.32409873912271353</v>
      </c>
      <c r="G60" s="44">
        <f t="shared" si="23"/>
        <v>6.0380039069437043E-3</v>
      </c>
      <c r="H60" s="44">
        <f t="shared" si="23"/>
        <v>4.2621204049014382E-3</v>
      </c>
      <c r="I60" s="44">
        <f t="shared" si="23"/>
        <v>8.0269934292310427E-2</v>
      </c>
      <c r="J60" s="44">
        <f t="shared" si="23"/>
        <v>1.1365654413070502E-2</v>
      </c>
      <c r="K60" s="44">
        <f t="shared" si="23"/>
        <v>6.9259456579648373E-3</v>
      </c>
      <c r="L60" s="44">
        <f t="shared" si="23"/>
        <v>4.2621204049014382E-3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23">
    <mergeCell ref="G5:H5"/>
    <mergeCell ref="G6:H6"/>
    <mergeCell ref="R8:AF8"/>
    <mergeCell ref="B1:AE1"/>
    <mergeCell ref="C3:G3"/>
    <mergeCell ref="D6:E6"/>
    <mergeCell ref="K6:L6"/>
    <mergeCell ref="K5:L5"/>
    <mergeCell ref="B2:C2"/>
    <mergeCell ref="D2:E2"/>
    <mergeCell ref="F2:G2"/>
    <mergeCell ref="H2:I2"/>
    <mergeCell ref="J2:K2"/>
    <mergeCell ref="L2:M2"/>
    <mergeCell ref="N2:O2"/>
    <mergeCell ref="Z2:AA2"/>
    <mergeCell ref="AB2:AC2"/>
    <mergeCell ref="AD2:AE2"/>
    <mergeCell ref="P2:Q2"/>
    <mergeCell ref="R2:S2"/>
    <mergeCell ref="T2:U2"/>
    <mergeCell ref="V2:W2"/>
    <mergeCell ref="X2:Y2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5" zoomScale="60" workbookViewId="0">
      <selection activeCell="D15" sqref="D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19.5" customHeight="1" x14ac:dyDescent="0.25">
      <c r="C5" s="4" t="s">
        <v>3</v>
      </c>
      <c r="D5" s="36" t="str">
        <f>'22.07 Kampala-Wakiso'!D5</f>
        <v>22.07.19</v>
      </c>
      <c r="E5" s="3"/>
      <c r="F5" s="41" t="s">
        <v>1</v>
      </c>
      <c r="G5" s="62" t="str">
        <f>'22.07 Kampala-Wakiso'!G5:H5</f>
        <v>AFTER STABEX NANSANA</v>
      </c>
      <c r="H5" s="63"/>
      <c r="I5" s="14"/>
      <c r="J5" s="2" t="s">
        <v>5</v>
      </c>
      <c r="K5" s="62" t="str">
        <f>'22.07 Kampala-Wakiso'!K5:L5</f>
        <v>FARIDA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175</v>
      </c>
      <c r="E6" s="58"/>
      <c r="F6" s="2" t="s">
        <v>2</v>
      </c>
      <c r="G6" s="57" t="s">
        <v>176</v>
      </c>
      <c r="H6" s="58"/>
      <c r="J6" s="2" t="s">
        <v>21</v>
      </c>
      <c r="K6" s="62" t="str">
        <f>'22.07 Kampala-Wakiso'!K6:L6</f>
        <v>NUSULAH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85</v>
      </c>
      <c r="D10" s="50">
        <v>30</v>
      </c>
      <c r="E10" s="50">
        <v>12</v>
      </c>
      <c r="F10" s="50">
        <v>75</v>
      </c>
      <c r="G10" s="50">
        <v>1</v>
      </c>
      <c r="H10" s="50">
        <v>0</v>
      </c>
      <c r="I10" s="50">
        <v>4</v>
      </c>
      <c r="J10" s="50">
        <v>1</v>
      </c>
      <c r="K10" s="50">
        <v>0</v>
      </c>
      <c r="L10" s="50">
        <v>0</v>
      </c>
      <c r="M10" s="50">
        <v>132</v>
      </c>
      <c r="N10" s="50">
        <v>0</v>
      </c>
      <c r="O10" s="15">
        <f t="shared" ref="O10:O57" si="0">SUM(C10:L10,N10)</f>
        <v>208</v>
      </c>
      <c r="P10" s="15">
        <f t="shared" ref="P10:P57" si="1">SUM(C10:N10)</f>
        <v>340</v>
      </c>
      <c r="R10" s="1" t="s">
        <v>6</v>
      </c>
      <c r="S10" s="17">
        <f t="shared" ref="S10:AF10" si="2">SUM(C10:C13)</f>
        <v>331</v>
      </c>
      <c r="T10" s="17">
        <f t="shared" si="2"/>
        <v>135</v>
      </c>
      <c r="U10" s="17">
        <f t="shared" si="2"/>
        <v>59</v>
      </c>
      <c r="V10" s="17">
        <f t="shared" si="2"/>
        <v>355</v>
      </c>
      <c r="W10" s="17">
        <f t="shared" si="2"/>
        <v>13</v>
      </c>
      <c r="X10" s="17">
        <f t="shared" si="2"/>
        <v>1</v>
      </c>
      <c r="Y10" s="17">
        <f t="shared" si="2"/>
        <v>20</v>
      </c>
      <c r="Z10" s="17">
        <f t="shared" si="2"/>
        <v>1</v>
      </c>
      <c r="AA10" s="17">
        <f t="shared" si="2"/>
        <v>1</v>
      </c>
      <c r="AB10" s="17">
        <f t="shared" si="2"/>
        <v>2</v>
      </c>
      <c r="AC10" s="17">
        <f t="shared" si="2"/>
        <v>694</v>
      </c>
      <c r="AD10" s="17">
        <f t="shared" si="2"/>
        <v>0</v>
      </c>
      <c r="AE10" s="31">
        <f t="shared" si="2"/>
        <v>918</v>
      </c>
      <c r="AF10" s="31">
        <f t="shared" si="2"/>
        <v>1612</v>
      </c>
    </row>
    <row r="11" spans="2:32" s="6" customFormat="1" ht="23.1" customHeight="1" x14ac:dyDescent="0.25">
      <c r="B11" s="23" t="s">
        <v>38</v>
      </c>
      <c r="C11" s="50">
        <v>70</v>
      </c>
      <c r="D11" s="50">
        <v>30</v>
      </c>
      <c r="E11" s="50">
        <v>20</v>
      </c>
      <c r="F11" s="50">
        <v>105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210</v>
      </c>
      <c r="N11" s="50">
        <v>0</v>
      </c>
      <c r="O11" s="15">
        <f t="shared" si="0"/>
        <v>225</v>
      </c>
      <c r="P11" s="15">
        <f t="shared" si="1"/>
        <v>435</v>
      </c>
      <c r="R11" s="1" t="s">
        <v>7</v>
      </c>
      <c r="S11" s="17">
        <f t="shared" ref="S11:AF11" si="3">SUM(C14:C17)</f>
        <v>302</v>
      </c>
      <c r="T11" s="17">
        <f t="shared" si="3"/>
        <v>131</v>
      </c>
      <c r="U11" s="17">
        <f t="shared" si="3"/>
        <v>51</v>
      </c>
      <c r="V11" s="17">
        <f t="shared" si="3"/>
        <v>238</v>
      </c>
      <c r="W11" s="17">
        <f t="shared" si="3"/>
        <v>4</v>
      </c>
      <c r="X11" s="17">
        <f t="shared" si="3"/>
        <v>0</v>
      </c>
      <c r="Y11" s="17">
        <f t="shared" si="3"/>
        <v>39</v>
      </c>
      <c r="Z11" s="17">
        <f t="shared" si="3"/>
        <v>10</v>
      </c>
      <c r="AA11" s="17">
        <f t="shared" si="3"/>
        <v>3</v>
      </c>
      <c r="AB11" s="17">
        <f t="shared" si="3"/>
        <v>3</v>
      </c>
      <c r="AC11" s="17">
        <f t="shared" si="3"/>
        <v>521</v>
      </c>
      <c r="AD11" s="17">
        <f t="shared" si="3"/>
        <v>0</v>
      </c>
      <c r="AE11" s="31">
        <f t="shared" si="3"/>
        <v>781</v>
      </c>
      <c r="AF11" s="31">
        <f t="shared" si="3"/>
        <v>1302</v>
      </c>
    </row>
    <row r="12" spans="2:32" ht="23.1" customHeight="1" x14ac:dyDescent="0.25">
      <c r="B12" s="23" t="s">
        <v>39</v>
      </c>
      <c r="C12" s="50">
        <v>80</v>
      </c>
      <c r="D12" s="50">
        <v>49</v>
      </c>
      <c r="E12" s="50">
        <v>10</v>
      </c>
      <c r="F12" s="50">
        <v>75</v>
      </c>
      <c r="G12" s="50">
        <v>6</v>
      </c>
      <c r="H12" s="50">
        <v>0</v>
      </c>
      <c r="I12" s="50">
        <v>6</v>
      </c>
      <c r="J12" s="50">
        <v>0</v>
      </c>
      <c r="K12" s="50">
        <v>0</v>
      </c>
      <c r="L12" s="50">
        <v>0</v>
      </c>
      <c r="M12" s="50">
        <v>216</v>
      </c>
      <c r="N12" s="50">
        <v>0</v>
      </c>
      <c r="O12" s="15">
        <f t="shared" si="0"/>
        <v>226</v>
      </c>
      <c r="P12" s="15">
        <f t="shared" si="1"/>
        <v>442</v>
      </c>
      <c r="R12" s="1" t="s">
        <v>8</v>
      </c>
      <c r="S12" s="17">
        <f t="shared" ref="S12:AF12" si="4">SUM(C18:C21)</f>
        <v>260</v>
      </c>
      <c r="T12" s="17">
        <f t="shared" si="4"/>
        <v>141</v>
      </c>
      <c r="U12" s="17">
        <f t="shared" si="4"/>
        <v>44</v>
      </c>
      <c r="V12" s="17">
        <f t="shared" si="4"/>
        <v>282</v>
      </c>
      <c r="W12" s="17">
        <f t="shared" si="4"/>
        <v>7</v>
      </c>
      <c r="X12" s="17">
        <f t="shared" si="4"/>
        <v>6</v>
      </c>
      <c r="Y12" s="17">
        <f t="shared" si="4"/>
        <v>37</v>
      </c>
      <c r="Z12" s="17">
        <f t="shared" si="4"/>
        <v>11</v>
      </c>
      <c r="AA12" s="17">
        <f t="shared" si="4"/>
        <v>2</v>
      </c>
      <c r="AB12" s="17">
        <f t="shared" si="4"/>
        <v>1</v>
      </c>
      <c r="AC12" s="17">
        <f t="shared" si="4"/>
        <v>486</v>
      </c>
      <c r="AD12" s="17">
        <f t="shared" si="4"/>
        <v>0</v>
      </c>
      <c r="AE12" s="31">
        <f t="shared" si="4"/>
        <v>791</v>
      </c>
      <c r="AF12" s="31">
        <f t="shared" si="4"/>
        <v>1277</v>
      </c>
    </row>
    <row r="13" spans="2:32" ht="23.1" customHeight="1" x14ac:dyDescent="0.25">
      <c r="B13" s="23" t="s">
        <v>40</v>
      </c>
      <c r="C13" s="50">
        <v>96</v>
      </c>
      <c r="D13" s="50">
        <v>26</v>
      </c>
      <c r="E13" s="50">
        <v>17</v>
      </c>
      <c r="F13" s="50">
        <v>100</v>
      </c>
      <c r="G13" s="50">
        <v>6</v>
      </c>
      <c r="H13" s="50">
        <v>1</v>
      </c>
      <c r="I13" s="50">
        <v>10</v>
      </c>
      <c r="J13" s="50">
        <v>0</v>
      </c>
      <c r="K13" s="50">
        <v>1</v>
      </c>
      <c r="L13" s="50">
        <v>2</v>
      </c>
      <c r="M13" s="50">
        <v>136</v>
      </c>
      <c r="N13" s="50">
        <v>0</v>
      </c>
      <c r="O13" s="15">
        <f t="shared" si="0"/>
        <v>259</v>
      </c>
      <c r="P13" s="15">
        <f t="shared" si="1"/>
        <v>395</v>
      </c>
      <c r="R13" s="1" t="s">
        <v>9</v>
      </c>
      <c r="S13" s="17">
        <f t="shared" ref="S13:AF13" si="5">SUM(C22:C25)</f>
        <v>253</v>
      </c>
      <c r="T13" s="17">
        <f t="shared" si="5"/>
        <v>106</v>
      </c>
      <c r="U13" s="17">
        <f t="shared" si="5"/>
        <v>49</v>
      </c>
      <c r="V13" s="17">
        <f t="shared" si="5"/>
        <v>314</v>
      </c>
      <c r="W13" s="17">
        <f t="shared" si="5"/>
        <v>1</v>
      </c>
      <c r="X13" s="17">
        <f t="shared" si="5"/>
        <v>1</v>
      </c>
      <c r="Y13" s="17">
        <f t="shared" si="5"/>
        <v>34</v>
      </c>
      <c r="Z13" s="17">
        <f t="shared" si="5"/>
        <v>23</v>
      </c>
      <c r="AA13" s="17">
        <f t="shared" si="5"/>
        <v>3</v>
      </c>
      <c r="AB13" s="17">
        <f t="shared" si="5"/>
        <v>1</v>
      </c>
      <c r="AC13" s="17">
        <f t="shared" si="5"/>
        <v>600</v>
      </c>
      <c r="AD13" s="17">
        <f t="shared" si="5"/>
        <v>0</v>
      </c>
      <c r="AE13" s="31">
        <f t="shared" si="5"/>
        <v>785</v>
      </c>
      <c r="AF13" s="31">
        <f t="shared" si="5"/>
        <v>1385</v>
      </c>
    </row>
    <row r="14" spans="2:32" ht="23.1" customHeight="1" x14ac:dyDescent="0.25">
      <c r="B14" s="23" t="s">
        <v>41</v>
      </c>
      <c r="C14" s="50">
        <v>73</v>
      </c>
      <c r="D14" s="50">
        <v>33</v>
      </c>
      <c r="E14" s="50">
        <v>10</v>
      </c>
      <c r="F14" s="50">
        <v>48</v>
      </c>
      <c r="G14" s="50">
        <v>0</v>
      </c>
      <c r="H14" s="50">
        <v>0</v>
      </c>
      <c r="I14" s="50">
        <v>7</v>
      </c>
      <c r="J14" s="50">
        <v>4</v>
      </c>
      <c r="K14" s="50">
        <v>0</v>
      </c>
      <c r="L14" s="50">
        <v>2</v>
      </c>
      <c r="M14" s="50">
        <v>104</v>
      </c>
      <c r="N14" s="50">
        <v>0</v>
      </c>
      <c r="O14" s="15">
        <f t="shared" si="0"/>
        <v>177</v>
      </c>
      <c r="P14" s="15">
        <f t="shared" si="1"/>
        <v>281</v>
      </c>
      <c r="R14" s="1" t="s">
        <v>10</v>
      </c>
      <c r="S14" s="17">
        <f t="shared" ref="S14:AF14" si="6">SUM(C26:C29)</f>
        <v>200</v>
      </c>
      <c r="T14" s="17">
        <f t="shared" si="6"/>
        <v>98</v>
      </c>
      <c r="U14" s="17">
        <f t="shared" si="6"/>
        <v>49</v>
      </c>
      <c r="V14" s="17">
        <f t="shared" si="6"/>
        <v>236</v>
      </c>
      <c r="W14" s="17">
        <f t="shared" si="6"/>
        <v>2</v>
      </c>
      <c r="X14" s="17">
        <f t="shared" si="6"/>
        <v>2</v>
      </c>
      <c r="Y14" s="17">
        <f t="shared" si="6"/>
        <v>26</v>
      </c>
      <c r="Z14" s="17">
        <f t="shared" si="6"/>
        <v>9</v>
      </c>
      <c r="AA14" s="17">
        <f t="shared" si="6"/>
        <v>0</v>
      </c>
      <c r="AB14" s="17">
        <f t="shared" si="6"/>
        <v>14</v>
      </c>
      <c r="AC14" s="17">
        <f t="shared" si="6"/>
        <v>452</v>
      </c>
      <c r="AD14" s="17">
        <f t="shared" si="6"/>
        <v>0</v>
      </c>
      <c r="AE14" s="31">
        <f t="shared" si="6"/>
        <v>636</v>
      </c>
      <c r="AF14" s="31">
        <f t="shared" si="6"/>
        <v>1088</v>
      </c>
    </row>
    <row r="15" spans="2:32" ht="23.1" customHeight="1" x14ac:dyDescent="0.25">
      <c r="B15" s="23" t="s">
        <v>42</v>
      </c>
      <c r="C15" s="50">
        <v>88</v>
      </c>
      <c r="D15" s="50">
        <v>26</v>
      </c>
      <c r="E15" s="50">
        <v>17</v>
      </c>
      <c r="F15" s="50">
        <v>50</v>
      </c>
      <c r="G15" s="50">
        <v>2</v>
      </c>
      <c r="H15" s="50">
        <v>0</v>
      </c>
      <c r="I15" s="50">
        <v>13</v>
      </c>
      <c r="J15" s="50">
        <v>3</v>
      </c>
      <c r="K15" s="50">
        <v>2</v>
      </c>
      <c r="L15" s="50">
        <v>1</v>
      </c>
      <c r="M15" s="50">
        <v>130</v>
      </c>
      <c r="N15" s="50">
        <v>0</v>
      </c>
      <c r="O15" s="15">
        <f t="shared" si="0"/>
        <v>202</v>
      </c>
      <c r="P15" s="15">
        <f t="shared" si="1"/>
        <v>332</v>
      </c>
      <c r="R15" s="1" t="s">
        <v>11</v>
      </c>
      <c r="S15" s="17">
        <f t="shared" ref="S15:AF15" si="7">SUM(C30:C33)</f>
        <v>229</v>
      </c>
      <c r="T15" s="17">
        <f t="shared" si="7"/>
        <v>97</v>
      </c>
      <c r="U15" s="17">
        <f t="shared" si="7"/>
        <v>53</v>
      </c>
      <c r="V15" s="17">
        <f t="shared" si="7"/>
        <v>249</v>
      </c>
      <c r="W15" s="17">
        <f t="shared" si="7"/>
        <v>0</v>
      </c>
      <c r="X15" s="17">
        <f t="shared" si="7"/>
        <v>1</v>
      </c>
      <c r="Y15" s="17">
        <f t="shared" si="7"/>
        <v>35</v>
      </c>
      <c r="Z15" s="17">
        <f t="shared" si="7"/>
        <v>3</v>
      </c>
      <c r="AA15" s="17">
        <f t="shared" si="7"/>
        <v>1</v>
      </c>
      <c r="AB15" s="17">
        <f t="shared" si="7"/>
        <v>2</v>
      </c>
      <c r="AC15" s="17">
        <f t="shared" si="7"/>
        <v>380</v>
      </c>
      <c r="AD15" s="17">
        <f t="shared" si="7"/>
        <v>0</v>
      </c>
      <c r="AE15" s="31">
        <f t="shared" si="7"/>
        <v>670</v>
      </c>
      <c r="AF15" s="31">
        <f t="shared" si="7"/>
        <v>1050</v>
      </c>
    </row>
    <row r="16" spans="2:32" ht="23.1" customHeight="1" x14ac:dyDescent="0.25">
      <c r="B16" s="23" t="s">
        <v>43</v>
      </c>
      <c r="C16" s="50">
        <v>73</v>
      </c>
      <c r="D16" s="50">
        <v>26</v>
      </c>
      <c r="E16" s="50">
        <v>13</v>
      </c>
      <c r="F16" s="50">
        <v>65</v>
      </c>
      <c r="G16" s="50">
        <v>2</v>
      </c>
      <c r="H16" s="50">
        <v>0</v>
      </c>
      <c r="I16" s="50">
        <v>11</v>
      </c>
      <c r="J16" s="50">
        <v>3</v>
      </c>
      <c r="K16" s="50">
        <v>1</v>
      </c>
      <c r="L16" s="50">
        <v>0</v>
      </c>
      <c r="M16" s="50">
        <v>145</v>
      </c>
      <c r="N16" s="50">
        <v>0</v>
      </c>
      <c r="O16" s="15">
        <f t="shared" si="0"/>
        <v>194</v>
      </c>
      <c r="P16" s="15">
        <f t="shared" si="1"/>
        <v>339</v>
      </c>
      <c r="R16" s="1" t="s">
        <v>12</v>
      </c>
      <c r="S16" s="17">
        <f t="shared" ref="S16:AF16" si="8">SUM(C34:C37)</f>
        <v>189</v>
      </c>
      <c r="T16" s="17">
        <f t="shared" si="8"/>
        <v>81</v>
      </c>
      <c r="U16" s="17">
        <f t="shared" si="8"/>
        <v>32</v>
      </c>
      <c r="V16" s="17">
        <f t="shared" si="8"/>
        <v>215</v>
      </c>
      <c r="W16" s="17">
        <f t="shared" si="8"/>
        <v>0</v>
      </c>
      <c r="X16" s="17">
        <f t="shared" si="8"/>
        <v>1</v>
      </c>
      <c r="Y16" s="17">
        <f t="shared" si="8"/>
        <v>49</v>
      </c>
      <c r="Z16" s="17">
        <f t="shared" si="8"/>
        <v>9</v>
      </c>
      <c r="AA16" s="17">
        <f t="shared" si="8"/>
        <v>5</v>
      </c>
      <c r="AB16" s="17">
        <f t="shared" si="8"/>
        <v>3</v>
      </c>
      <c r="AC16" s="17">
        <f t="shared" si="8"/>
        <v>371</v>
      </c>
      <c r="AD16" s="17">
        <f t="shared" si="8"/>
        <v>0</v>
      </c>
      <c r="AE16" s="31">
        <f t="shared" si="8"/>
        <v>584</v>
      </c>
      <c r="AF16" s="31">
        <f t="shared" si="8"/>
        <v>955</v>
      </c>
    </row>
    <row r="17" spans="2:32" ht="23.1" customHeight="1" x14ac:dyDescent="0.25">
      <c r="B17" s="23" t="s">
        <v>44</v>
      </c>
      <c r="C17" s="50">
        <v>68</v>
      </c>
      <c r="D17" s="50">
        <v>46</v>
      </c>
      <c r="E17" s="50">
        <v>11</v>
      </c>
      <c r="F17" s="50">
        <v>75</v>
      </c>
      <c r="G17" s="50">
        <v>0</v>
      </c>
      <c r="H17" s="50">
        <v>0</v>
      </c>
      <c r="I17" s="50">
        <v>8</v>
      </c>
      <c r="J17" s="50">
        <v>0</v>
      </c>
      <c r="K17" s="50">
        <v>0</v>
      </c>
      <c r="L17" s="50">
        <v>0</v>
      </c>
      <c r="M17" s="50">
        <v>142</v>
      </c>
      <c r="N17" s="50">
        <v>0</v>
      </c>
      <c r="O17" s="15">
        <f t="shared" si="0"/>
        <v>208</v>
      </c>
      <c r="P17" s="15">
        <f t="shared" si="1"/>
        <v>350</v>
      </c>
      <c r="R17" s="1" t="s">
        <v>13</v>
      </c>
      <c r="S17" s="17">
        <f t="shared" ref="S17:AF17" si="9">SUM(C38:C41)</f>
        <v>187</v>
      </c>
      <c r="T17" s="17">
        <f t="shared" si="9"/>
        <v>89</v>
      </c>
      <c r="U17" s="17">
        <f t="shared" si="9"/>
        <v>47</v>
      </c>
      <c r="V17" s="17">
        <f t="shared" si="9"/>
        <v>243</v>
      </c>
      <c r="W17" s="17">
        <f t="shared" si="9"/>
        <v>2</v>
      </c>
      <c r="X17" s="17">
        <f t="shared" si="9"/>
        <v>1</v>
      </c>
      <c r="Y17" s="17">
        <f t="shared" si="9"/>
        <v>48</v>
      </c>
      <c r="Z17" s="17">
        <f t="shared" si="9"/>
        <v>12</v>
      </c>
      <c r="AA17" s="17">
        <f t="shared" si="9"/>
        <v>4</v>
      </c>
      <c r="AB17" s="17">
        <f t="shared" si="9"/>
        <v>0</v>
      </c>
      <c r="AC17" s="17">
        <f t="shared" si="9"/>
        <v>400</v>
      </c>
      <c r="AD17" s="17">
        <f t="shared" si="9"/>
        <v>0</v>
      </c>
      <c r="AE17" s="31">
        <f t="shared" si="9"/>
        <v>633</v>
      </c>
      <c r="AF17" s="31">
        <f t="shared" si="9"/>
        <v>1033</v>
      </c>
    </row>
    <row r="18" spans="2:32" ht="23.1" customHeight="1" x14ac:dyDescent="0.25">
      <c r="B18" s="23" t="s">
        <v>45</v>
      </c>
      <c r="C18" s="50">
        <v>74</v>
      </c>
      <c r="D18" s="50">
        <v>42</v>
      </c>
      <c r="E18" s="50">
        <v>9</v>
      </c>
      <c r="F18" s="50">
        <v>77</v>
      </c>
      <c r="G18" s="50">
        <v>0</v>
      </c>
      <c r="H18" s="50">
        <v>1</v>
      </c>
      <c r="I18" s="50">
        <v>12</v>
      </c>
      <c r="J18" s="50">
        <v>2</v>
      </c>
      <c r="K18" s="50">
        <v>0</v>
      </c>
      <c r="L18" s="50">
        <v>1</v>
      </c>
      <c r="M18" s="50">
        <v>135</v>
      </c>
      <c r="N18" s="50">
        <v>0</v>
      </c>
      <c r="O18" s="15">
        <f t="shared" si="0"/>
        <v>218</v>
      </c>
      <c r="P18" s="15">
        <f t="shared" si="1"/>
        <v>353</v>
      </c>
      <c r="R18" s="1" t="s">
        <v>14</v>
      </c>
      <c r="S18" s="17">
        <f t="shared" ref="S18:AF18" si="10">SUM(C42:C45)</f>
        <v>152</v>
      </c>
      <c r="T18" s="17">
        <f t="shared" si="10"/>
        <v>61</v>
      </c>
      <c r="U18" s="17">
        <f t="shared" si="10"/>
        <v>32</v>
      </c>
      <c r="V18" s="17">
        <f t="shared" si="10"/>
        <v>191</v>
      </c>
      <c r="W18" s="17">
        <f t="shared" si="10"/>
        <v>1</v>
      </c>
      <c r="X18" s="17">
        <f t="shared" si="10"/>
        <v>0</v>
      </c>
      <c r="Y18" s="17">
        <f t="shared" si="10"/>
        <v>53</v>
      </c>
      <c r="Z18" s="17">
        <f t="shared" si="10"/>
        <v>17</v>
      </c>
      <c r="AA18" s="17">
        <f t="shared" si="10"/>
        <v>0</v>
      </c>
      <c r="AB18" s="17">
        <f t="shared" si="10"/>
        <v>3</v>
      </c>
      <c r="AC18" s="17">
        <f t="shared" si="10"/>
        <v>200</v>
      </c>
      <c r="AD18" s="17">
        <f t="shared" si="10"/>
        <v>0</v>
      </c>
      <c r="AE18" s="31">
        <f t="shared" si="10"/>
        <v>510</v>
      </c>
      <c r="AF18" s="31">
        <f t="shared" si="10"/>
        <v>710</v>
      </c>
    </row>
    <row r="19" spans="2:32" ht="23.1" customHeight="1" x14ac:dyDescent="0.25">
      <c r="B19" s="23" t="s">
        <v>46</v>
      </c>
      <c r="C19" s="50">
        <v>60</v>
      </c>
      <c r="D19" s="50">
        <v>38</v>
      </c>
      <c r="E19" s="50">
        <v>12</v>
      </c>
      <c r="F19" s="50">
        <v>57</v>
      </c>
      <c r="G19" s="50">
        <v>1</v>
      </c>
      <c r="H19" s="50">
        <v>0</v>
      </c>
      <c r="I19" s="50">
        <v>9</v>
      </c>
      <c r="J19" s="50">
        <v>5</v>
      </c>
      <c r="K19" s="50">
        <v>1</v>
      </c>
      <c r="L19" s="50">
        <v>0</v>
      </c>
      <c r="M19" s="50">
        <v>118</v>
      </c>
      <c r="N19" s="50">
        <v>0</v>
      </c>
      <c r="O19" s="15">
        <f t="shared" si="0"/>
        <v>183</v>
      </c>
      <c r="P19" s="15">
        <f t="shared" si="1"/>
        <v>301</v>
      </c>
      <c r="R19" s="1" t="s">
        <v>15</v>
      </c>
      <c r="S19" s="17">
        <f t="shared" ref="S19:AF19" si="11">SUM(C46:C49)</f>
        <v>218</v>
      </c>
      <c r="T19" s="17">
        <f t="shared" si="11"/>
        <v>94</v>
      </c>
      <c r="U19" s="17">
        <f t="shared" si="11"/>
        <v>42</v>
      </c>
      <c r="V19" s="17">
        <f t="shared" si="11"/>
        <v>238</v>
      </c>
      <c r="W19" s="17">
        <f t="shared" si="11"/>
        <v>4</v>
      </c>
      <c r="X19" s="17">
        <f t="shared" si="11"/>
        <v>2</v>
      </c>
      <c r="Y19" s="17">
        <f t="shared" si="11"/>
        <v>53</v>
      </c>
      <c r="Z19" s="17">
        <f t="shared" si="11"/>
        <v>9</v>
      </c>
      <c r="AA19" s="17">
        <f t="shared" si="11"/>
        <v>0</v>
      </c>
      <c r="AB19" s="17">
        <f t="shared" si="11"/>
        <v>5</v>
      </c>
      <c r="AC19" s="17">
        <f t="shared" si="11"/>
        <v>305</v>
      </c>
      <c r="AD19" s="17">
        <f t="shared" si="11"/>
        <v>0</v>
      </c>
      <c r="AE19" s="31">
        <f t="shared" si="11"/>
        <v>665</v>
      </c>
      <c r="AF19" s="31">
        <f t="shared" si="11"/>
        <v>970</v>
      </c>
    </row>
    <row r="20" spans="2:32" ht="23.1" customHeight="1" x14ac:dyDescent="0.25">
      <c r="B20" s="23" t="s">
        <v>47</v>
      </c>
      <c r="C20" s="50">
        <v>68</v>
      </c>
      <c r="D20" s="50">
        <v>47</v>
      </c>
      <c r="E20" s="50">
        <v>7</v>
      </c>
      <c r="F20" s="50">
        <v>55</v>
      </c>
      <c r="G20" s="50">
        <v>5</v>
      </c>
      <c r="H20" s="50">
        <v>5</v>
      </c>
      <c r="I20" s="50">
        <v>8</v>
      </c>
      <c r="J20" s="50">
        <v>3</v>
      </c>
      <c r="K20" s="50">
        <v>0</v>
      </c>
      <c r="L20" s="50">
        <v>0</v>
      </c>
      <c r="M20" s="50">
        <v>122</v>
      </c>
      <c r="N20" s="50">
        <v>0</v>
      </c>
      <c r="O20" s="15">
        <f t="shared" si="0"/>
        <v>198</v>
      </c>
      <c r="P20" s="15">
        <f t="shared" si="1"/>
        <v>320</v>
      </c>
      <c r="R20" s="1" t="s">
        <v>16</v>
      </c>
      <c r="S20" s="17">
        <f t="shared" ref="S20:AF20" si="12">SUM(C50:C53)</f>
        <v>169</v>
      </c>
      <c r="T20" s="17">
        <f t="shared" si="12"/>
        <v>100</v>
      </c>
      <c r="U20" s="17">
        <f t="shared" si="12"/>
        <v>44</v>
      </c>
      <c r="V20" s="17">
        <f t="shared" si="12"/>
        <v>227</v>
      </c>
      <c r="W20" s="17">
        <f t="shared" si="12"/>
        <v>3</v>
      </c>
      <c r="X20" s="17">
        <f t="shared" si="12"/>
        <v>0</v>
      </c>
      <c r="Y20" s="17">
        <f t="shared" si="12"/>
        <v>47</v>
      </c>
      <c r="Z20" s="17">
        <f t="shared" si="12"/>
        <v>6</v>
      </c>
      <c r="AA20" s="17">
        <f t="shared" si="12"/>
        <v>5</v>
      </c>
      <c r="AB20" s="17">
        <f t="shared" si="12"/>
        <v>6</v>
      </c>
      <c r="AC20" s="17">
        <f t="shared" si="12"/>
        <v>395</v>
      </c>
      <c r="AD20" s="17">
        <f t="shared" si="12"/>
        <v>0</v>
      </c>
      <c r="AE20" s="31">
        <f t="shared" si="12"/>
        <v>607</v>
      </c>
      <c r="AF20" s="31">
        <f t="shared" si="12"/>
        <v>1002</v>
      </c>
    </row>
    <row r="21" spans="2:32" ht="23.1" customHeight="1" x14ac:dyDescent="0.25">
      <c r="B21" s="23" t="s">
        <v>48</v>
      </c>
      <c r="C21" s="50">
        <v>58</v>
      </c>
      <c r="D21" s="50">
        <v>14</v>
      </c>
      <c r="E21" s="50">
        <v>16</v>
      </c>
      <c r="F21" s="50">
        <v>93</v>
      </c>
      <c r="G21" s="50">
        <v>1</v>
      </c>
      <c r="H21" s="50">
        <v>0</v>
      </c>
      <c r="I21" s="50">
        <v>8</v>
      </c>
      <c r="J21" s="50">
        <v>1</v>
      </c>
      <c r="K21" s="50">
        <v>1</v>
      </c>
      <c r="L21" s="50">
        <v>0</v>
      </c>
      <c r="M21" s="50">
        <v>111</v>
      </c>
      <c r="N21" s="50">
        <v>0</v>
      </c>
      <c r="O21" s="15">
        <f t="shared" si="0"/>
        <v>192</v>
      </c>
      <c r="P21" s="15">
        <f t="shared" si="1"/>
        <v>303</v>
      </c>
      <c r="R21" s="36" t="s">
        <v>20</v>
      </c>
      <c r="S21" s="34">
        <f t="shared" ref="S21:AF21" si="13">SUM(C54:C57)</f>
        <v>158</v>
      </c>
      <c r="T21" s="17">
        <f t="shared" si="13"/>
        <v>92</v>
      </c>
      <c r="U21" s="17">
        <f t="shared" si="13"/>
        <v>24</v>
      </c>
      <c r="V21" s="17">
        <f t="shared" si="13"/>
        <v>275</v>
      </c>
      <c r="W21" s="17">
        <f t="shared" si="13"/>
        <v>6</v>
      </c>
      <c r="X21" s="17">
        <f t="shared" si="13"/>
        <v>2</v>
      </c>
      <c r="Y21" s="17">
        <f t="shared" si="13"/>
        <v>46</v>
      </c>
      <c r="Z21" s="17">
        <f t="shared" si="13"/>
        <v>7</v>
      </c>
      <c r="AA21" s="17">
        <f t="shared" si="13"/>
        <v>1</v>
      </c>
      <c r="AB21" s="17">
        <f t="shared" si="13"/>
        <v>4</v>
      </c>
      <c r="AC21" s="17">
        <f t="shared" si="13"/>
        <v>477</v>
      </c>
      <c r="AD21" s="17">
        <f t="shared" si="13"/>
        <v>0</v>
      </c>
      <c r="AE21" s="31">
        <f t="shared" si="13"/>
        <v>615</v>
      </c>
      <c r="AF21" s="31">
        <f t="shared" si="13"/>
        <v>1092</v>
      </c>
    </row>
    <row r="22" spans="2:32" ht="23.1" customHeight="1" x14ac:dyDescent="0.25">
      <c r="B22" s="23" t="s">
        <v>49</v>
      </c>
      <c r="C22" s="50">
        <v>57</v>
      </c>
      <c r="D22" s="50">
        <v>24</v>
      </c>
      <c r="E22" s="50">
        <v>10</v>
      </c>
      <c r="F22" s="50">
        <v>65</v>
      </c>
      <c r="G22" s="50">
        <v>0</v>
      </c>
      <c r="H22" s="50">
        <v>1</v>
      </c>
      <c r="I22" s="50">
        <v>10</v>
      </c>
      <c r="J22" s="50">
        <v>2</v>
      </c>
      <c r="K22" s="50">
        <v>2</v>
      </c>
      <c r="L22" s="50">
        <v>1</v>
      </c>
      <c r="M22" s="50">
        <v>144</v>
      </c>
      <c r="N22" s="50">
        <v>0</v>
      </c>
      <c r="O22" s="15">
        <f t="shared" si="0"/>
        <v>172</v>
      </c>
      <c r="P22" s="15">
        <f t="shared" si="1"/>
        <v>316</v>
      </c>
      <c r="R22" s="38" t="s">
        <v>90</v>
      </c>
      <c r="S22" s="39">
        <f>MAX(S10:S12)</f>
        <v>331</v>
      </c>
      <c r="T22" s="39">
        <f t="shared" ref="T22:AF22" si="14">MAX(T10:T12)</f>
        <v>141</v>
      </c>
      <c r="U22" s="39">
        <f t="shared" si="14"/>
        <v>59</v>
      </c>
      <c r="V22" s="39">
        <f t="shared" si="14"/>
        <v>355</v>
      </c>
      <c r="W22" s="39">
        <f t="shared" si="14"/>
        <v>13</v>
      </c>
      <c r="X22" s="39">
        <f t="shared" si="14"/>
        <v>6</v>
      </c>
      <c r="Y22" s="39">
        <f t="shared" si="14"/>
        <v>39</v>
      </c>
      <c r="Z22" s="39">
        <f t="shared" si="14"/>
        <v>11</v>
      </c>
      <c r="AA22" s="39">
        <f t="shared" si="14"/>
        <v>3</v>
      </c>
      <c r="AB22" s="39">
        <f t="shared" si="14"/>
        <v>3</v>
      </c>
      <c r="AC22" s="39">
        <f t="shared" si="14"/>
        <v>694</v>
      </c>
      <c r="AD22" s="39">
        <f t="shared" si="14"/>
        <v>0</v>
      </c>
      <c r="AE22" s="40">
        <f t="shared" si="14"/>
        <v>918</v>
      </c>
      <c r="AF22" s="40">
        <f t="shared" si="14"/>
        <v>1612</v>
      </c>
    </row>
    <row r="23" spans="2:32" ht="23.1" customHeight="1" x14ac:dyDescent="0.25">
      <c r="B23" s="23" t="s">
        <v>50</v>
      </c>
      <c r="C23" s="50">
        <v>70</v>
      </c>
      <c r="D23" s="50">
        <v>26</v>
      </c>
      <c r="E23" s="50">
        <v>10</v>
      </c>
      <c r="F23" s="50">
        <v>78</v>
      </c>
      <c r="G23" s="50">
        <v>0</v>
      </c>
      <c r="H23" s="50">
        <v>0</v>
      </c>
      <c r="I23" s="50">
        <v>11</v>
      </c>
      <c r="J23" s="50">
        <v>16</v>
      </c>
      <c r="K23" s="50">
        <v>1</v>
      </c>
      <c r="L23" s="50">
        <v>0</v>
      </c>
      <c r="M23" s="50">
        <v>135</v>
      </c>
      <c r="N23" s="50">
        <v>0</v>
      </c>
      <c r="O23" s="15">
        <f t="shared" si="0"/>
        <v>212</v>
      </c>
      <c r="P23" s="15">
        <f t="shared" si="1"/>
        <v>347</v>
      </c>
      <c r="R23" s="38" t="s">
        <v>91</v>
      </c>
      <c r="S23" s="39">
        <f>MAX(S13:S18)</f>
        <v>253</v>
      </c>
      <c r="T23" s="39">
        <f t="shared" ref="T23:AF23" si="15">MAX(T13:T18)</f>
        <v>106</v>
      </c>
      <c r="U23" s="39">
        <f t="shared" si="15"/>
        <v>53</v>
      </c>
      <c r="V23" s="39">
        <f t="shared" si="15"/>
        <v>314</v>
      </c>
      <c r="W23" s="39">
        <f t="shared" si="15"/>
        <v>2</v>
      </c>
      <c r="X23" s="39">
        <f t="shared" si="15"/>
        <v>2</v>
      </c>
      <c r="Y23" s="39">
        <f t="shared" si="15"/>
        <v>53</v>
      </c>
      <c r="Z23" s="39">
        <f t="shared" si="15"/>
        <v>23</v>
      </c>
      <c r="AA23" s="39">
        <f t="shared" si="15"/>
        <v>5</v>
      </c>
      <c r="AB23" s="39">
        <f t="shared" si="15"/>
        <v>14</v>
      </c>
      <c r="AC23" s="39">
        <f t="shared" si="15"/>
        <v>600</v>
      </c>
      <c r="AD23" s="39">
        <f t="shared" si="15"/>
        <v>0</v>
      </c>
      <c r="AE23" s="40">
        <f t="shared" si="15"/>
        <v>785</v>
      </c>
      <c r="AF23" s="40">
        <f t="shared" si="15"/>
        <v>1385</v>
      </c>
    </row>
    <row r="24" spans="2:32" ht="23.1" customHeight="1" x14ac:dyDescent="0.25">
      <c r="B24" s="23" t="s">
        <v>51</v>
      </c>
      <c r="C24" s="50">
        <v>63</v>
      </c>
      <c r="D24" s="50">
        <v>29</v>
      </c>
      <c r="E24" s="50">
        <v>12</v>
      </c>
      <c r="F24" s="50">
        <v>90</v>
      </c>
      <c r="G24" s="50">
        <v>1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195</v>
      </c>
      <c r="N24" s="50">
        <v>0</v>
      </c>
      <c r="O24" s="15">
        <f t="shared" si="0"/>
        <v>195</v>
      </c>
      <c r="P24" s="15">
        <f t="shared" si="1"/>
        <v>390</v>
      </c>
      <c r="R24" s="38" t="s">
        <v>92</v>
      </c>
      <c r="S24" s="39">
        <f>MAX(S19:S21)</f>
        <v>218</v>
      </c>
      <c r="T24" s="39">
        <f t="shared" ref="T24:AF24" si="16">MAX(T19:T21)</f>
        <v>100</v>
      </c>
      <c r="U24" s="39">
        <f t="shared" si="16"/>
        <v>44</v>
      </c>
      <c r="V24" s="39">
        <f t="shared" si="16"/>
        <v>275</v>
      </c>
      <c r="W24" s="39">
        <f t="shared" si="16"/>
        <v>6</v>
      </c>
      <c r="X24" s="39">
        <f t="shared" si="16"/>
        <v>2</v>
      </c>
      <c r="Y24" s="39">
        <f t="shared" si="16"/>
        <v>53</v>
      </c>
      <c r="Z24" s="39">
        <f t="shared" si="16"/>
        <v>9</v>
      </c>
      <c r="AA24" s="39">
        <f t="shared" si="16"/>
        <v>5</v>
      </c>
      <c r="AB24" s="39">
        <f t="shared" si="16"/>
        <v>6</v>
      </c>
      <c r="AC24" s="39">
        <f t="shared" si="16"/>
        <v>477</v>
      </c>
      <c r="AD24" s="39">
        <f t="shared" si="16"/>
        <v>0</v>
      </c>
      <c r="AE24" s="40">
        <f t="shared" si="16"/>
        <v>665</v>
      </c>
      <c r="AF24" s="40">
        <f t="shared" si="16"/>
        <v>1092</v>
      </c>
    </row>
    <row r="25" spans="2:32" ht="23.1" customHeight="1" x14ac:dyDescent="0.25">
      <c r="B25" s="23" t="s">
        <v>52</v>
      </c>
      <c r="C25" s="50">
        <v>63</v>
      </c>
      <c r="D25" s="50">
        <v>27</v>
      </c>
      <c r="E25" s="50">
        <v>17</v>
      </c>
      <c r="F25" s="50">
        <v>81</v>
      </c>
      <c r="G25" s="50">
        <v>0</v>
      </c>
      <c r="H25" s="50">
        <v>0</v>
      </c>
      <c r="I25" s="50">
        <v>13</v>
      </c>
      <c r="J25" s="50">
        <v>5</v>
      </c>
      <c r="K25" s="50">
        <v>0</v>
      </c>
      <c r="L25" s="50">
        <v>0</v>
      </c>
      <c r="M25" s="50">
        <v>126</v>
      </c>
      <c r="N25" s="50">
        <v>0</v>
      </c>
      <c r="O25" s="15">
        <f t="shared" si="0"/>
        <v>206</v>
      </c>
      <c r="P25" s="15">
        <f t="shared" si="1"/>
        <v>332</v>
      </c>
      <c r="R25" s="37" t="s">
        <v>85</v>
      </c>
      <c r="S25" s="35">
        <f t="shared" ref="S25:AF25" si="17">SUM(S10:S12)</f>
        <v>893</v>
      </c>
      <c r="T25" s="16">
        <f t="shared" si="17"/>
        <v>407</v>
      </c>
      <c r="U25" s="16">
        <f t="shared" si="17"/>
        <v>154</v>
      </c>
      <c r="V25" s="16">
        <f t="shared" si="17"/>
        <v>875</v>
      </c>
      <c r="W25" s="16">
        <f t="shared" si="17"/>
        <v>24</v>
      </c>
      <c r="X25" s="16">
        <f t="shared" si="17"/>
        <v>7</v>
      </c>
      <c r="Y25" s="16">
        <f t="shared" si="17"/>
        <v>96</v>
      </c>
      <c r="Z25" s="16">
        <f t="shared" si="17"/>
        <v>22</v>
      </c>
      <c r="AA25" s="16">
        <f t="shared" si="17"/>
        <v>6</v>
      </c>
      <c r="AB25" s="16">
        <f t="shared" si="17"/>
        <v>6</v>
      </c>
      <c r="AC25" s="16">
        <f t="shared" si="17"/>
        <v>1701</v>
      </c>
      <c r="AD25" s="16">
        <f t="shared" si="17"/>
        <v>0</v>
      </c>
      <c r="AE25" s="32">
        <f t="shared" si="17"/>
        <v>2490</v>
      </c>
      <c r="AF25" s="32">
        <f t="shared" si="17"/>
        <v>4191</v>
      </c>
    </row>
    <row r="26" spans="2:32" ht="23.1" customHeight="1" x14ac:dyDescent="0.25">
      <c r="B26" s="23" t="s">
        <v>53</v>
      </c>
      <c r="C26" s="50">
        <v>36</v>
      </c>
      <c r="D26" s="50">
        <v>15</v>
      </c>
      <c r="E26" s="50">
        <v>12</v>
      </c>
      <c r="F26" s="50">
        <v>46</v>
      </c>
      <c r="G26" s="50">
        <v>2</v>
      </c>
      <c r="H26" s="50">
        <v>1</v>
      </c>
      <c r="I26" s="50">
        <v>5</v>
      </c>
      <c r="J26" s="50">
        <v>4</v>
      </c>
      <c r="K26" s="50">
        <v>0</v>
      </c>
      <c r="L26" s="50">
        <v>11</v>
      </c>
      <c r="M26" s="50">
        <v>115</v>
      </c>
      <c r="N26" s="50">
        <v>0</v>
      </c>
      <c r="O26" s="15">
        <f t="shared" si="0"/>
        <v>132</v>
      </c>
      <c r="P26" s="15">
        <f t="shared" si="1"/>
        <v>247</v>
      </c>
      <c r="R26" s="28" t="s">
        <v>86</v>
      </c>
      <c r="S26" s="16">
        <f t="shared" ref="S26:AF26" si="18">SUM(S13:S18)</f>
        <v>1210</v>
      </c>
      <c r="T26" s="16">
        <f t="shared" si="18"/>
        <v>532</v>
      </c>
      <c r="U26" s="16">
        <f t="shared" si="18"/>
        <v>262</v>
      </c>
      <c r="V26" s="16">
        <f t="shared" si="18"/>
        <v>1448</v>
      </c>
      <c r="W26" s="16">
        <f t="shared" si="18"/>
        <v>6</v>
      </c>
      <c r="X26" s="16">
        <f t="shared" si="18"/>
        <v>6</v>
      </c>
      <c r="Y26" s="16">
        <f t="shared" si="18"/>
        <v>245</v>
      </c>
      <c r="Z26" s="16">
        <f t="shared" si="18"/>
        <v>73</v>
      </c>
      <c r="AA26" s="16">
        <f t="shared" si="18"/>
        <v>13</v>
      </c>
      <c r="AB26" s="16">
        <f t="shared" si="18"/>
        <v>23</v>
      </c>
      <c r="AC26" s="16">
        <f t="shared" si="18"/>
        <v>2403</v>
      </c>
      <c r="AD26" s="16">
        <f t="shared" si="18"/>
        <v>0</v>
      </c>
      <c r="AE26" s="32">
        <f t="shared" si="18"/>
        <v>3818</v>
      </c>
      <c r="AF26" s="32">
        <f t="shared" si="18"/>
        <v>6221</v>
      </c>
    </row>
    <row r="27" spans="2:32" ht="23.1" customHeight="1" x14ac:dyDescent="0.25">
      <c r="B27" s="23" t="s">
        <v>54</v>
      </c>
      <c r="C27" s="50">
        <v>61</v>
      </c>
      <c r="D27" s="50">
        <v>30</v>
      </c>
      <c r="E27" s="50">
        <v>10</v>
      </c>
      <c r="F27" s="50">
        <v>62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147</v>
      </c>
      <c r="N27" s="50">
        <v>0</v>
      </c>
      <c r="O27" s="15">
        <f t="shared" si="0"/>
        <v>166</v>
      </c>
      <c r="P27" s="15">
        <f t="shared" si="1"/>
        <v>313</v>
      </c>
      <c r="R27" s="29" t="s">
        <v>87</v>
      </c>
      <c r="S27" s="16">
        <f t="shared" ref="S27:AF27" si="19">SUM(S19:S21)</f>
        <v>545</v>
      </c>
      <c r="T27" s="16">
        <f t="shared" si="19"/>
        <v>286</v>
      </c>
      <c r="U27" s="16">
        <f t="shared" si="19"/>
        <v>110</v>
      </c>
      <c r="V27" s="16">
        <f t="shared" si="19"/>
        <v>740</v>
      </c>
      <c r="W27" s="16">
        <f t="shared" si="19"/>
        <v>13</v>
      </c>
      <c r="X27" s="16">
        <f t="shared" si="19"/>
        <v>4</v>
      </c>
      <c r="Y27" s="16">
        <f t="shared" si="19"/>
        <v>146</v>
      </c>
      <c r="Z27" s="16">
        <f t="shared" si="19"/>
        <v>22</v>
      </c>
      <c r="AA27" s="16">
        <f t="shared" si="19"/>
        <v>6</v>
      </c>
      <c r="AB27" s="16">
        <f t="shared" si="19"/>
        <v>15</v>
      </c>
      <c r="AC27" s="16">
        <f t="shared" si="19"/>
        <v>1177</v>
      </c>
      <c r="AD27" s="16">
        <f t="shared" si="19"/>
        <v>0</v>
      </c>
      <c r="AE27" s="32">
        <f t="shared" si="19"/>
        <v>1887</v>
      </c>
      <c r="AF27" s="32">
        <f t="shared" si="19"/>
        <v>3064</v>
      </c>
    </row>
    <row r="28" spans="2:32" ht="23.1" customHeight="1" x14ac:dyDescent="0.25">
      <c r="B28" s="23" t="s">
        <v>55</v>
      </c>
      <c r="C28" s="50">
        <v>50</v>
      </c>
      <c r="D28" s="50">
        <v>23</v>
      </c>
      <c r="E28" s="50">
        <v>15</v>
      </c>
      <c r="F28" s="50">
        <v>65</v>
      </c>
      <c r="G28" s="50">
        <v>0</v>
      </c>
      <c r="H28" s="50">
        <v>1</v>
      </c>
      <c r="I28" s="50">
        <v>10</v>
      </c>
      <c r="J28" s="50">
        <v>5</v>
      </c>
      <c r="K28" s="50">
        <v>0</v>
      </c>
      <c r="L28" s="50">
        <v>2</v>
      </c>
      <c r="M28" s="50">
        <v>95</v>
      </c>
      <c r="N28" s="50">
        <v>0</v>
      </c>
      <c r="O28" s="15">
        <f t="shared" si="0"/>
        <v>171</v>
      </c>
      <c r="P28" s="15">
        <f t="shared" si="1"/>
        <v>266</v>
      </c>
      <c r="R28" s="5" t="s">
        <v>17</v>
      </c>
      <c r="S28" s="16">
        <f t="shared" ref="S28:AF28" si="20">SUM(S10:S21)</f>
        <v>2648</v>
      </c>
      <c r="T28" s="16">
        <f t="shared" si="20"/>
        <v>1225</v>
      </c>
      <c r="U28" s="16">
        <f t="shared" si="20"/>
        <v>526</v>
      </c>
      <c r="V28" s="16">
        <f t="shared" si="20"/>
        <v>3063</v>
      </c>
      <c r="W28" s="16">
        <f t="shared" si="20"/>
        <v>43</v>
      </c>
      <c r="X28" s="16">
        <f t="shared" si="20"/>
        <v>17</v>
      </c>
      <c r="Y28" s="16">
        <f t="shared" si="20"/>
        <v>487</v>
      </c>
      <c r="Z28" s="16">
        <f t="shared" si="20"/>
        <v>117</v>
      </c>
      <c r="AA28" s="16">
        <f t="shared" si="20"/>
        <v>25</v>
      </c>
      <c r="AB28" s="16">
        <f t="shared" si="20"/>
        <v>44</v>
      </c>
      <c r="AC28" s="16">
        <f t="shared" si="20"/>
        <v>5281</v>
      </c>
      <c r="AD28" s="16">
        <f t="shared" si="20"/>
        <v>0</v>
      </c>
      <c r="AE28" s="32">
        <f t="shared" si="20"/>
        <v>8195</v>
      </c>
      <c r="AF28" s="32">
        <f t="shared" si="20"/>
        <v>13476</v>
      </c>
    </row>
    <row r="29" spans="2:32" ht="23.1" customHeight="1" x14ac:dyDescent="0.25">
      <c r="B29" s="23" t="s">
        <v>56</v>
      </c>
      <c r="C29" s="50">
        <v>53</v>
      </c>
      <c r="D29" s="50">
        <v>30</v>
      </c>
      <c r="E29" s="50">
        <v>12</v>
      </c>
      <c r="F29" s="50">
        <v>63</v>
      </c>
      <c r="G29" s="50">
        <v>0</v>
      </c>
      <c r="H29" s="50">
        <v>0</v>
      </c>
      <c r="I29" s="50">
        <v>8</v>
      </c>
      <c r="J29" s="50">
        <v>0</v>
      </c>
      <c r="K29" s="50">
        <v>0</v>
      </c>
      <c r="L29" s="50">
        <v>1</v>
      </c>
      <c r="M29" s="50">
        <v>95</v>
      </c>
      <c r="N29" s="50">
        <v>0</v>
      </c>
      <c r="O29" s="15">
        <f t="shared" si="0"/>
        <v>167</v>
      </c>
      <c r="P29" s="15">
        <f t="shared" si="1"/>
        <v>262</v>
      </c>
      <c r="R29"/>
      <c r="S29" s="20"/>
      <c r="T29" s="19"/>
    </row>
    <row r="30" spans="2:32" ht="23.1" customHeight="1" x14ac:dyDescent="0.25">
      <c r="B30" s="23" t="s">
        <v>57</v>
      </c>
      <c r="C30" s="50">
        <v>50</v>
      </c>
      <c r="D30" s="50">
        <v>18</v>
      </c>
      <c r="E30" s="50">
        <v>12</v>
      </c>
      <c r="F30" s="50">
        <v>58</v>
      </c>
      <c r="G30" s="50">
        <v>0</v>
      </c>
      <c r="H30" s="50">
        <v>0</v>
      </c>
      <c r="I30" s="50">
        <v>11</v>
      </c>
      <c r="J30" s="50">
        <v>0</v>
      </c>
      <c r="K30" s="50">
        <v>1</v>
      </c>
      <c r="L30" s="50">
        <v>1</v>
      </c>
      <c r="M30" s="50">
        <v>120</v>
      </c>
      <c r="N30" s="50">
        <v>0</v>
      </c>
      <c r="O30" s="15">
        <f t="shared" si="0"/>
        <v>151</v>
      </c>
      <c r="P30" s="15">
        <f t="shared" si="1"/>
        <v>271</v>
      </c>
    </row>
    <row r="31" spans="2:32" ht="23.1" customHeight="1" x14ac:dyDescent="0.25">
      <c r="B31" s="24" t="s">
        <v>58</v>
      </c>
      <c r="C31" s="50">
        <v>68</v>
      </c>
      <c r="D31" s="50">
        <v>26</v>
      </c>
      <c r="E31" s="50">
        <v>11</v>
      </c>
      <c r="F31" s="50">
        <v>50</v>
      </c>
      <c r="G31" s="50">
        <v>0</v>
      </c>
      <c r="H31" s="50">
        <v>1</v>
      </c>
      <c r="I31" s="50">
        <v>7</v>
      </c>
      <c r="J31" s="50">
        <v>1</v>
      </c>
      <c r="K31" s="50">
        <v>0</v>
      </c>
      <c r="L31" s="50">
        <v>0</v>
      </c>
      <c r="M31" s="50">
        <v>80</v>
      </c>
      <c r="N31" s="50">
        <v>0</v>
      </c>
      <c r="O31" s="15">
        <f t="shared" si="0"/>
        <v>164</v>
      </c>
      <c r="P31" s="15">
        <f t="shared" si="1"/>
        <v>244</v>
      </c>
    </row>
    <row r="32" spans="2:32" ht="23.1" customHeight="1" x14ac:dyDescent="0.25">
      <c r="B32" s="24" t="s">
        <v>59</v>
      </c>
      <c r="C32" s="50">
        <v>65</v>
      </c>
      <c r="D32" s="50">
        <v>37</v>
      </c>
      <c r="E32" s="50">
        <v>23</v>
      </c>
      <c r="F32" s="50">
        <v>80</v>
      </c>
      <c r="G32" s="50">
        <v>0</v>
      </c>
      <c r="H32" s="50">
        <v>0</v>
      </c>
      <c r="I32" s="50">
        <v>6</v>
      </c>
      <c r="J32" s="50">
        <v>1</v>
      </c>
      <c r="K32" s="50">
        <v>0</v>
      </c>
      <c r="L32" s="50">
        <v>0</v>
      </c>
      <c r="M32" s="50">
        <v>110</v>
      </c>
      <c r="N32" s="50">
        <v>0</v>
      </c>
      <c r="O32" s="15">
        <f t="shared" si="0"/>
        <v>212</v>
      </c>
      <c r="P32" s="15">
        <f t="shared" si="1"/>
        <v>322</v>
      </c>
    </row>
    <row r="33" spans="2:20" ht="23.1" customHeight="1" x14ac:dyDescent="0.25">
      <c r="B33" s="23" t="s">
        <v>60</v>
      </c>
      <c r="C33" s="50">
        <v>46</v>
      </c>
      <c r="D33" s="50">
        <v>16</v>
      </c>
      <c r="E33" s="50">
        <v>7</v>
      </c>
      <c r="F33" s="50">
        <v>61</v>
      </c>
      <c r="G33" s="50">
        <v>0</v>
      </c>
      <c r="H33" s="50">
        <v>0</v>
      </c>
      <c r="I33" s="50">
        <v>11</v>
      </c>
      <c r="J33" s="50">
        <v>1</v>
      </c>
      <c r="K33" s="50">
        <v>0</v>
      </c>
      <c r="L33" s="50">
        <v>1</v>
      </c>
      <c r="M33" s="50">
        <v>70</v>
      </c>
      <c r="N33" s="50">
        <v>0</v>
      </c>
      <c r="O33" s="15">
        <f t="shared" si="0"/>
        <v>143</v>
      </c>
      <c r="P33" s="15">
        <f t="shared" si="1"/>
        <v>213</v>
      </c>
    </row>
    <row r="34" spans="2:20" ht="23.1" customHeight="1" x14ac:dyDescent="0.25">
      <c r="B34" s="24" t="s">
        <v>61</v>
      </c>
      <c r="C34" s="50">
        <v>64</v>
      </c>
      <c r="D34" s="50">
        <v>18</v>
      </c>
      <c r="E34" s="50">
        <v>14</v>
      </c>
      <c r="F34" s="50">
        <v>72</v>
      </c>
      <c r="G34" s="50">
        <v>0</v>
      </c>
      <c r="H34" s="50">
        <v>0</v>
      </c>
      <c r="I34" s="50">
        <v>14</v>
      </c>
      <c r="J34" s="50">
        <v>4</v>
      </c>
      <c r="K34" s="50">
        <v>1</v>
      </c>
      <c r="L34" s="50">
        <v>0</v>
      </c>
      <c r="M34" s="50">
        <v>101</v>
      </c>
      <c r="N34" s="50">
        <v>0</v>
      </c>
      <c r="O34" s="15">
        <f t="shared" si="0"/>
        <v>187</v>
      </c>
      <c r="P34" s="15">
        <f t="shared" si="1"/>
        <v>288</v>
      </c>
    </row>
    <row r="35" spans="2:20" ht="23.1" customHeight="1" x14ac:dyDescent="0.25">
      <c r="B35" s="24" t="s">
        <v>62</v>
      </c>
      <c r="C35" s="50">
        <v>40</v>
      </c>
      <c r="D35" s="50">
        <v>23</v>
      </c>
      <c r="E35" s="50">
        <v>3</v>
      </c>
      <c r="F35" s="50">
        <v>47</v>
      </c>
      <c r="G35" s="50">
        <v>0</v>
      </c>
      <c r="H35" s="50">
        <v>0</v>
      </c>
      <c r="I35" s="50">
        <v>12</v>
      </c>
      <c r="J35" s="50">
        <v>3</v>
      </c>
      <c r="K35" s="50">
        <v>1</v>
      </c>
      <c r="L35" s="50">
        <v>1</v>
      </c>
      <c r="M35" s="50">
        <v>95</v>
      </c>
      <c r="N35" s="50">
        <v>0</v>
      </c>
      <c r="O35" s="15">
        <f t="shared" si="0"/>
        <v>130</v>
      </c>
      <c r="P35" s="15">
        <f t="shared" si="1"/>
        <v>225</v>
      </c>
    </row>
    <row r="36" spans="2:20" ht="23.1" customHeight="1" x14ac:dyDescent="0.25">
      <c r="B36" s="24" t="s">
        <v>63</v>
      </c>
      <c r="C36" s="50">
        <v>44</v>
      </c>
      <c r="D36" s="50">
        <v>16</v>
      </c>
      <c r="E36" s="50">
        <v>8</v>
      </c>
      <c r="F36" s="50">
        <v>48</v>
      </c>
      <c r="G36" s="50">
        <v>0</v>
      </c>
      <c r="H36" s="50">
        <v>0</v>
      </c>
      <c r="I36" s="50">
        <v>12</v>
      </c>
      <c r="J36" s="50">
        <v>1</v>
      </c>
      <c r="K36" s="50">
        <v>3</v>
      </c>
      <c r="L36" s="50">
        <v>1</v>
      </c>
      <c r="M36" s="50">
        <v>100</v>
      </c>
      <c r="N36" s="50">
        <v>0</v>
      </c>
      <c r="O36" s="15">
        <f t="shared" si="0"/>
        <v>133</v>
      </c>
      <c r="P36" s="15">
        <f t="shared" si="1"/>
        <v>233</v>
      </c>
    </row>
    <row r="37" spans="2:20" ht="23.1" customHeight="1" x14ac:dyDescent="0.25">
      <c r="B37" s="23" t="s">
        <v>64</v>
      </c>
      <c r="C37" s="50">
        <v>41</v>
      </c>
      <c r="D37" s="50">
        <v>24</v>
      </c>
      <c r="E37" s="50">
        <v>7</v>
      </c>
      <c r="F37" s="50">
        <v>48</v>
      </c>
      <c r="G37" s="50">
        <v>0</v>
      </c>
      <c r="H37" s="50">
        <v>1</v>
      </c>
      <c r="I37" s="50">
        <v>11</v>
      </c>
      <c r="J37" s="50">
        <v>1</v>
      </c>
      <c r="K37" s="50">
        <v>0</v>
      </c>
      <c r="L37" s="50">
        <v>1</v>
      </c>
      <c r="M37" s="50">
        <v>75</v>
      </c>
      <c r="N37" s="50">
        <v>0</v>
      </c>
      <c r="O37" s="15">
        <f t="shared" si="0"/>
        <v>134</v>
      </c>
      <c r="P37" s="15">
        <f t="shared" si="1"/>
        <v>209</v>
      </c>
    </row>
    <row r="38" spans="2:20" ht="23.1" customHeight="1" x14ac:dyDescent="0.25">
      <c r="B38" s="24" t="s">
        <v>65</v>
      </c>
      <c r="C38" s="50">
        <v>40</v>
      </c>
      <c r="D38" s="50">
        <v>24</v>
      </c>
      <c r="E38" s="50">
        <v>11</v>
      </c>
      <c r="F38" s="50">
        <v>61</v>
      </c>
      <c r="G38" s="50">
        <v>1</v>
      </c>
      <c r="H38" s="50">
        <v>1</v>
      </c>
      <c r="I38" s="50">
        <v>9</v>
      </c>
      <c r="J38" s="50">
        <v>1</v>
      </c>
      <c r="K38" s="50">
        <v>2</v>
      </c>
      <c r="L38" s="50">
        <v>0</v>
      </c>
      <c r="M38" s="50">
        <v>110</v>
      </c>
      <c r="N38" s="50">
        <v>0</v>
      </c>
      <c r="O38" s="15">
        <f t="shared" si="0"/>
        <v>150</v>
      </c>
      <c r="P38" s="15">
        <f t="shared" si="1"/>
        <v>260</v>
      </c>
    </row>
    <row r="39" spans="2:20" ht="23.1" customHeight="1" x14ac:dyDescent="0.25">
      <c r="B39" s="24" t="s">
        <v>66</v>
      </c>
      <c r="C39" s="50">
        <v>39</v>
      </c>
      <c r="D39" s="50">
        <v>23</v>
      </c>
      <c r="E39" s="50">
        <v>14</v>
      </c>
      <c r="F39" s="50">
        <v>69</v>
      </c>
      <c r="G39" s="50">
        <v>0</v>
      </c>
      <c r="H39" s="50">
        <v>0</v>
      </c>
      <c r="I39" s="50">
        <v>16</v>
      </c>
      <c r="J39" s="50">
        <v>5</v>
      </c>
      <c r="K39" s="50">
        <v>2</v>
      </c>
      <c r="L39" s="50">
        <v>0</v>
      </c>
      <c r="M39" s="50">
        <v>105</v>
      </c>
      <c r="N39" s="50">
        <v>0</v>
      </c>
      <c r="O39" s="15">
        <f t="shared" si="0"/>
        <v>168</v>
      </c>
      <c r="P39" s="15">
        <f t="shared" si="1"/>
        <v>273</v>
      </c>
    </row>
    <row r="40" spans="2:20" ht="23.1" customHeight="1" x14ac:dyDescent="0.25">
      <c r="B40" s="24" t="s">
        <v>67</v>
      </c>
      <c r="C40" s="50">
        <v>70</v>
      </c>
      <c r="D40" s="50">
        <v>30</v>
      </c>
      <c r="E40" s="50">
        <v>11</v>
      </c>
      <c r="F40" s="50">
        <v>56</v>
      </c>
      <c r="G40" s="50">
        <v>0</v>
      </c>
      <c r="H40" s="50">
        <v>0</v>
      </c>
      <c r="I40" s="50">
        <v>10</v>
      </c>
      <c r="J40" s="50">
        <v>4</v>
      </c>
      <c r="K40" s="50">
        <v>0</v>
      </c>
      <c r="L40" s="50">
        <v>0</v>
      </c>
      <c r="M40" s="50">
        <v>88</v>
      </c>
      <c r="N40" s="50">
        <v>0</v>
      </c>
      <c r="O40" s="15">
        <f t="shared" si="0"/>
        <v>181</v>
      </c>
      <c r="P40" s="15">
        <f t="shared" si="1"/>
        <v>269</v>
      </c>
    </row>
    <row r="41" spans="2:20" ht="23.1" customHeight="1" x14ac:dyDescent="0.25">
      <c r="B41" s="23" t="s">
        <v>68</v>
      </c>
      <c r="C41" s="50">
        <v>38</v>
      </c>
      <c r="D41" s="50">
        <v>12</v>
      </c>
      <c r="E41" s="50">
        <v>11</v>
      </c>
      <c r="F41" s="50">
        <v>57</v>
      </c>
      <c r="G41" s="50">
        <v>1</v>
      </c>
      <c r="H41" s="50">
        <v>0</v>
      </c>
      <c r="I41" s="50">
        <v>13</v>
      </c>
      <c r="J41" s="50">
        <v>2</v>
      </c>
      <c r="K41" s="50">
        <v>0</v>
      </c>
      <c r="L41" s="50">
        <v>0</v>
      </c>
      <c r="M41" s="50">
        <v>97</v>
      </c>
      <c r="N41" s="50">
        <v>0</v>
      </c>
      <c r="O41" s="15">
        <f t="shared" si="0"/>
        <v>134</v>
      </c>
      <c r="P41" s="15">
        <f t="shared" si="1"/>
        <v>231</v>
      </c>
    </row>
    <row r="42" spans="2:20" ht="23.1" customHeight="1" x14ac:dyDescent="0.25">
      <c r="B42" s="24" t="s">
        <v>69</v>
      </c>
      <c r="C42" s="50">
        <v>27</v>
      </c>
      <c r="D42" s="50">
        <v>12</v>
      </c>
      <c r="E42" s="50">
        <v>12</v>
      </c>
      <c r="F42" s="50">
        <v>46</v>
      </c>
      <c r="G42" s="50">
        <v>0</v>
      </c>
      <c r="H42" s="50">
        <v>0</v>
      </c>
      <c r="I42" s="50">
        <v>16</v>
      </c>
      <c r="J42" s="50">
        <v>2</v>
      </c>
      <c r="K42" s="50">
        <v>0</v>
      </c>
      <c r="L42" s="50">
        <v>0</v>
      </c>
      <c r="M42" s="50">
        <v>41</v>
      </c>
      <c r="N42" s="50">
        <v>0</v>
      </c>
      <c r="O42" s="15">
        <f t="shared" si="0"/>
        <v>115</v>
      </c>
      <c r="P42" s="15">
        <f t="shared" si="1"/>
        <v>156</v>
      </c>
    </row>
    <row r="43" spans="2:20" ht="23.1" customHeight="1" x14ac:dyDescent="0.25">
      <c r="B43" s="23" t="s">
        <v>70</v>
      </c>
      <c r="C43" s="50">
        <v>25</v>
      </c>
      <c r="D43" s="50">
        <v>19</v>
      </c>
      <c r="E43" s="50">
        <v>9</v>
      </c>
      <c r="F43" s="50">
        <v>42</v>
      </c>
      <c r="G43" s="50">
        <v>0</v>
      </c>
      <c r="H43" s="50">
        <v>0</v>
      </c>
      <c r="I43" s="50">
        <v>8</v>
      </c>
      <c r="J43" s="50">
        <v>3</v>
      </c>
      <c r="K43" s="50">
        <v>0</v>
      </c>
      <c r="L43" s="50">
        <v>0</v>
      </c>
      <c r="M43" s="50">
        <v>81</v>
      </c>
      <c r="N43" s="50">
        <v>0</v>
      </c>
      <c r="O43" s="15">
        <f t="shared" si="0"/>
        <v>106</v>
      </c>
      <c r="P43" s="15">
        <f t="shared" si="1"/>
        <v>187</v>
      </c>
    </row>
    <row r="44" spans="2:20" ht="23.1" customHeight="1" x14ac:dyDescent="0.25">
      <c r="B44" s="25" t="s">
        <v>71</v>
      </c>
      <c r="C44" s="50">
        <v>60</v>
      </c>
      <c r="D44" s="50">
        <v>12</v>
      </c>
      <c r="E44" s="50">
        <v>3</v>
      </c>
      <c r="F44" s="50">
        <v>60</v>
      </c>
      <c r="G44" s="50">
        <v>0</v>
      </c>
      <c r="H44" s="50">
        <v>0</v>
      </c>
      <c r="I44" s="50">
        <v>16</v>
      </c>
      <c r="J44" s="50">
        <v>7</v>
      </c>
      <c r="K44" s="50">
        <v>0</v>
      </c>
      <c r="L44" s="50">
        <v>1</v>
      </c>
      <c r="M44" s="50">
        <v>33</v>
      </c>
      <c r="N44" s="50">
        <v>0</v>
      </c>
      <c r="O44" s="15">
        <f t="shared" si="0"/>
        <v>159</v>
      </c>
      <c r="P44" s="15">
        <f t="shared" si="1"/>
        <v>192</v>
      </c>
    </row>
    <row r="45" spans="2:20" ht="23.1" customHeight="1" x14ac:dyDescent="0.25">
      <c r="B45" s="23" t="s">
        <v>72</v>
      </c>
      <c r="C45" s="50">
        <v>40</v>
      </c>
      <c r="D45" s="50">
        <v>18</v>
      </c>
      <c r="E45" s="50">
        <v>8</v>
      </c>
      <c r="F45" s="50">
        <v>43</v>
      </c>
      <c r="G45" s="50">
        <v>1</v>
      </c>
      <c r="H45" s="50">
        <v>0</v>
      </c>
      <c r="I45" s="50">
        <v>13</v>
      </c>
      <c r="J45" s="50">
        <v>5</v>
      </c>
      <c r="K45" s="50">
        <v>0</v>
      </c>
      <c r="L45" s="50">
        <v>2</v>
      </c>
      <c r="M45" s="50">
        <v>45</v>
      </c>
      <c r="N45" s="50">
        <v>0</v>
      </c>
      <c r="O45" s="15">
        <f t="shared" si="0"/>
        <v>130</v>
      </c>
      <c r="P45" s="15">
        <f t="shared" si="1"/>
        <v>175</v>
      </c>
    </row>
    <row r="46" spans="2:20" ht="23.1" customHeight="1" x14ac:dyDescent="0.25">
      <c r="B46" s="24" t="s">
        <v>73</v>
      </c>
      <c r="C46" s="50">
        <v>41</v>
      </c>
      <c r="D46" s="50">
        <v>19</v>
      </c>
      <c r="E46" s="50">
        <v>7</v>
      </c>
      <c r="F46" s="50">
        <v>42</v>
      </c>
      <c r="G46" s="50">
        <v>1</v>
      </c>
      <c r="H46" s="50">
        <v>0</v>
      </c>
      <c r="I46" s="50">
        <v>16</v>
      </c>
      <c r="J46" s="50">
        <v>5</v>
      </c>
      <c r="K46" s="50">
        <v>0</v>
      </c>
      <c r="L46" s="50">
        <v>2</v>
      </c>
      <c r="M46" s="50">
        <v>75</v>
      </c>
      <c r="N46" s="50">
        <v>0</v>
      </c>
      <c r="O46" s="15">
        <f t="shared" si="0"/>
        <v>133</v>
      </c>
      <c r="P46" s="15">
        <f t="shared" si="1"/>
        <v>208</v>
      </c>
      <c r="R46" s="8"/>
      <c r="T46"/>
    </row>
    <row r="47" spans="2:20" ht="23.1" customHeight="1" x14ac:dyDescent="0.25">
      <c r="B47" s="24" t="s">
        <v>74</v>
      </c>
      <c r="C47" s="50">
        <v>47</v>
      </c>
      <c r="D47" s="50">
        <v>25</v>
      </c>
      <c r="E47" s="50">
        <v>10</v>
      </c>
      <c r="F47" s="50">
        <v>60</v>
      </c>
      <c r="G47" s="50">
        <v>1</v>
      </c>
      <c r="H47" s="50">
        <v>1</v>
      </c>
      <c r="I47" s="50">
        <v>12</v>
      </c>
      <c r="J47" s="50">
        <v>4</v>
      </c>
      <c r="K47" s="50">
        <v>0</v>
      </c>
      <c r="L47" s="50">
        <v>1</v>
      </c>
      <c r="M47" s="50">
        <v>75</v>
      </c>
      <c r="N47" s="50">
        <v>0</v>
      </c>
      <c r="O47" s="15">
        <f t="shared" si="0"/>
        <v>161</v>
      </c>
      <c r="P47" s="15">
        <f t="shared" si="1"/>
        <v>236</v>
      </c>
      <c r="R47" s="8"/>
      <c r="T47"/>
    </row>
    <row r="48" spans="2:20" ht="23.1" customHeight="1" x14ac:dyDescent="0.25">
      <c r="B48" s="24" t="s">
        <v>75</v>
      </c>
      <c r="C48" s="50">
        <v>75</v>
      </c>
      <c r="D48" s="50">
        <v>26</v>
      </c>
      <c r="E48" s="50">
        <v>16</v>
      </c>
      <c r="F48" s="50">
        <v>71</v>
      </c>
      <c r="G48" s="50">
        <v>2</v>
      </c>
      <c r="H48" s="50">
        <v>1</v>
      </c>
      <c r="I48" s="50">
        <v>16</v>
      </c>
      <c r="J48" s="50">
        <v>0</v>
      </c>
      <c r="K48" s="50">
        <v>0</v>
      </c>
      <c r="L48" s="50">
        <v>1</v>
      </c>
      <c r="M48" s="50">
        <v>70</v>
      </c>
      <c r="N48" s="50">
        <v>0</v>
      </c>
      <c r="O48" s="15">
        <f t="shared" si="0"/>
        <v>208</v>
      </c>
      <c r="P48" s="15">
        <f t="shared" si="1"/>
        <v>278</v>
      </c>
      <c r="R48" s="8"/>
      <c r="T48"/>
    </row>
    <row r="49" spans="2:20" ht="23.1" customHeight="1" x14ac:dyDescent="0.25">
      <c r="B49" s="23" t="s">
        <v>76</v>
      </c>
      <c r="C49" s="50">
        <v>55</v>
      </c>
      <c r="D49" s="50">
        <v>24</v>
      </c>
      <c r="E49" s="50">
        <v>9</v>
      </c>
      <c r="F49" s="50">
        <v>65</v>
      </c>
      <c r="G49" s="50">
        <v>0</v>
      </c>
      <c r="H49" s="50">
        <v>0</v>
      </c>
      <c r="I49" s="50">
        <v>9</v>
      </c>
      <c r="J49" s="50">
        <v>0</v>
      </c>
      <c r="K49" s="50">
        <v>0</v>
      </c>
      <c r="L49" s="50">
        <v>1</v>
      </c>
      <c r="M49" s="50">
        <v>85</v>
      </c>
      <c r="N49" s="50">
        <v>0</v>
      </c>
      <c r="O49" s="15">
        <f t="shared" si="0"/>
        <v>163</v>
      </c>
      <c r="P49" s="15">
        <f t="shared" si="1"/>
        <v>248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20</v>
      </c>
      <c r="E50" s="50">
        <v>10</v>
      </c>
      <c r="F50" s="50">
        <v>53</v>
      </c>
      <c r="G50" s="50">
        <v>0</v>
      </c>
      <c r="H50" s="50">
        <v>0</v>
      </c>
      <c r="I50" s="50">
        <v>9</v>
      </c>
      <c r="J50" s="50">
        <v>2</v>
      </c>
      <c r="K50" s="50">
        <v>2</v>
      </c>
      <c r="L50" s="50">
        <v>0</v>
      </c>
      <c r="M50" s="50">
        <v>90</v>
      </c>
      <c r="N50" s="50">
        <v>0</v>
      </c>
      <c r="O50" s="15">
        <f t="shared" si="0"/>
        <v>141</v>
      </c>
      <c r="P50" s="15">
        <f t="shared" si="1"/>
        <v>231</v>
      </c>
      <c r="R50" s="8"/>
      <c r="T50"/>
    </row>
    <row r="51" spans="2:20" ht="23.1" customHeight="1" x14ac:dyDescent="0.25">
      <c r="B51" s="24" t="s">
        <v>78</v>
      </c>
      <c r="C51" s="50">
        <v>38</v>
      </c>
      <c r="D51" s="50">
        <v>29</v>
      </c>
      <c r="E51" s="50">
        <v>16</v>
      </c>
      <c r="F51" s="50">
        <v>59</v>
      </c>
      <c r="G51" s="50">
        <v>1</v>
      </c>
      <c r="H51" s="50">
        <v>0</v>
      </c>
      <c r="I51" s="50">
        <v>17</v>
      </c>
      <c r="J51" s="50">
        <v>2</v>
      </c>
      <c r="K51" s="50">
        <v>2</v>
      </c>
      <c r="L51" s="50">
        <v>4</v>
      </c>
      <c r="M51" s="50">
        <v>110</v>
      </c>
      <c r="N51" s="50">
        <v>0</v>
      </c>
      <c r="O51" s="15">
        <f t="shared" si="0"/>
        <v>168</v>
      </c>
      <c r="P51" s="15">
        <f t="shared" si="1"/>
        <v>278</v>
      </c>
      <c r="R51" s="8"/>
      <c r="T51"/>
    </row>
    <row r="52" spans="2:20" ht="23.1" customHeight="1" x14ac:dyDescent="0.25">
      <c r="B52" s="24" t="s">
        <v>79</v>
      </c>
      <c r="C52" s="50">
        <v>70</v>
      </c>
      <c r="D52" s="50">
        <v>26</v>
      </c>
      <c r="E52" s="50">
        <v>14</v>
      </c>
      <c r="F52" s="50">
        <v>73</v>
      </c>
      <c r="G52" s="50">
        <v>1</v>
      </c>
      <c r="H52" s="50">
        <v>0</v>
      </c>
      <c r="I52" s="50">
        <v>12</v>
      </c>
      <c r="J52" s="50">
        <v>2</v>
      </c>
      <c r="K52" s="50">
        <v>1</v>
      </c>
      <c r="L52" s="50">
        <v>1</v>
      </c>
      <c r="M52" s="50">
        <v>120</v>
      </c>
      <c r="N52" s="50">
        <v>0</v>
      </c>
      <c r="O52" s="15">
        <f t="shared" si="0"/>
        <v>200</v>
      </c>
      <c r="P52" s="15">
        <f t="shared" si="1"/>
        <v>320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25</v>
      </c>
      <c r="E53" s="50">
        <v>4</v>
      </c>
      <c r="F53" s="50">
        <v>42</v>
      </c>
      <c r="G53" s="50">
        <v>1</v>
      </c>
      <c r="H53" s="50">
        <v>0</v>
      </c>
      <c r="I53" s="50">
        <v>9</v>
      </c>
      <c r="J53" s="50">
        <v>0</v>
      </c>
      <c r="K53" s="50">
        <v>0</v>
      </c>
      <c r="L53" s="50">
        <v>1</v>
      </c>
      <c r="M53" s="50">
        <v>75</v>
      </c>
      <c r="N53" s="50">
        <v>0</v>
      </c>
      <c r="O53" s="15">
        <f t="shared" si="0"/>
        <v>98</v>
      </c>
      <c r="P53" s="15">
        <f t="shared" si="1"/>
        <v>173</v>
      </c>
      <c r="R53" s="8"/>
      <c r="T53"/>
    </row>
    <row r="54" spans="2:20" ht="23.1" customHeight="1" x14ac:dyDescent="0.25">
      <c r="B54" s="23" t="s">
        <v>81</v>
      </c>
      <c r="C54" s="50">
        <v>39</v>
      </c>
      <c r="D54" s="50">
        <v>25</v>
      </c>
      <c r="E54" s="50">
        <v>8</v>
      </c>
      <c r="F54" s="50">
        <v>61</v>
      </c>
      <c r="G54" s="50">
        <v>1</v>
      </c>
      <c r="H54" s="50">
        <v>0</v>
      </c>
      <c r="I54" s="50">
        <v>7</v>
      </c>
      <c r="J54" s="50">
        <v>2</v>
      </c>
      <c r="K54" s="50">
        <v>0</v>
      </c>
      <c r="L54" s="50">
        <v>1</v>
      </c>
      <c r="M54" s="50">
        <v>120</v>
      </c>
      <c r="N54" s="50">
        <v>0</v>
      </c>
      <c r="O54" s="15">
        <f t="shared" si="0"/>
        <v>144</v>
      </c>
      <c r="P54" s="15">
        <f t="shared" si="1"/>
        <v>264</v>
      </c>
      <c r="R54" s="8"/>
      <c r="T54"/>
    </row>
    <row r="55" spans="2:20" ht="23.1" customHeight="1" x14ac:dyDescent="0.25">
      <c r="B55" s="23" t="s">
        <v>82</v>
      </c>
      <c r="C55" s="50">
        <v>41</v>
      </c>
      <c r="D55" s="50">
        <v>23</v>
      </c>
      <c r="E55" s="50">
        <v>6</v>
      </c>
      <c r="F55" s="50">
        <v>85</v>
      </c>
      <c r="G55" s="50">
        <v>1</v>
      </c>
      <c r="H55" s="50">
        <v>0</v>
      </c>
      <c r="I55" s="50">
        <v>15</v>
      </c>
      <c r="J55" s="50">
        <v>1</v>
      </c>
      <c r="K55" s="50">
        <v>1</v>
      </c>
      <c r="L55" s="50">
        <v>1</v>
      </c>
      <c r="M55" s="50">
        <v>102</v>
      </c>
      <c r="N55" s="50">
        <v>0</v>
      </c>
      <c r="O55" s="15">
        <f t="shared" si="0"/>
        <v>174</v>
      </c>
      <c r="P55" s="15">
        <f t="shared" si="1"/>
        <v>276</v>
      </c>
      <c r="R55" s="8"/>
      <c r="T55"/>
    </row>
    <row r="56" spans="2:20" ht="23.1" customHeight="1" x14ac:dyDescent="0.25">
      <c r="B56" s="23" t="s">
        <v>83</v>
      </c>
      <c r="C56" s="50">
        <v>41</v>
      </c>
      <c r="D56" s="50">
        <v>25</v>
      </c>
      <c r="E56" s="50">
        <v>4</v>
      </c>
      <c r="F56" s="50">
        <v>85</v>
      </c>
      <c r="G56" s="50">
        <v>2</v>
      </c>
      <c r="H56" s="50">
        <v>1</v>
      </c>
      <c r="I56" s="50">
        <v>12</v>
      </c>
      <c r="J56" s="50">
        <v>2</v>
      </c>
      <c r="K56" s="50">
        <v>0</v>
      </c>
      <c r="L56" s="50">
        <v>1</v>
      </c>
      <c r="M56" s="50">
        <v>135</v>
      </c>
      <c r="N56" s="50">
        <v>0</v>
      </c>
      <c r="O56" s="15">
        <f t="shared" si="0"/>
        <v>173</v>
      </c>
      <c r="P56" s="15">
        <f t="shared" si="1"/>
        <v>308</v>
      </c>
      <c r="R56" s="8"/>
      <c r="T56"/>
    </row>
    <row r="57" spans="2:20" ht="23.1" customHeight="1" x14ac:dyDescent="0.25">
      <c r="B57" s="23" t="s">
        <v>84</v>
      </c>
      <c r="C57" s="50">
        <v>37</v>
      </c>
      <c r="D57" s="50">
        <v>19</v>
      </c>
      <c r="E57" s="50">
        <v>6</v>
      </c>
      <c r="F57" s="50">
        <v>44</v>
      </c>
      <c r="G57" s="50">
        <v>2</v>
      </c>
      <c r="H57" s="50">
        <v>1</v>
      </c>
      <c r="I57" s="50">
        <v>12</v>
      </c>
      <c r="J57" s="50">
        <v>2</v>
      </c>
      <c r="K57" s="50">
        <v>0</v>
      </c>
      <c r="L57" s="50">
        <v>1</v>
      </c>
      <c r="M57" s="50">
        <v>120</v>
      </c>
      <c r="N57" s="50">
        <v>0</v>
      </c>
      <c r="O57" s="15">
        <f t="shared" si="0"/>
        <v>124</v>
      </c>
      <c r="P57" s="15">
        <f t="shared" si="1"/>
        <v>244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2648</v>
      </c>
      <c r="D58" s="16">
        <f t="shared" si="21"/>
        <v>1225</v>
      </c>
      <c r="E58" s="16">
        <f t="shared" si="21"/>
        <v>526</v>
      </c>
      <c r="F58" s="16">
        <f t="shared" si="21"/>
        <v>3063</v>
      </c>
      <c r="G58" s="16">
        <f t="shared" si="21"/>
        <v>43</v>
      </c>
      <c r="H58" s="16">
        <f t="shared" si="21"/>
        <v>17</v>
      </c>
      <c r="I58" s="16">
        <f t="shared" si="21"/>
        <v>487</v>
      </c>
      <c r="J58" s="16">
        <f t="shared" si="21"/>
        <v>117</v>
      </c>
      <c r="K58" s="16">
        <f t="shared" si="21"/>
        <v>25</v>
      </c>
      <c r="L58" s="16">
        <f t="shared" si="21"/>
        <v>44</v>
      </c>
      <c r="M58" s="16">
        <f t="shared" si="21"/>
        <v>5281</v>
      </c>
      <c r="N58" s="16">
        <f t="shared" si="21"/>
        <v>0</v>
      </c>
      <c r="O58" s="16">
        <f t="shared" si="21"/>
        <v>8195</v>
      </c>
      <c r="P58" s="16">
        <f t="shared" si="21"/>
        <v>13476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0.19649747699614128</v>
      </c>
      <c r="D59" s="43">
        <f t="shared" si="22"/>
        <v>9.0902344909468691E-2</v>
      </c>
      <c r="E59" s="43">
        <f t="shared" si="22"/>
        <v>3.9032353814188188E-2</v>
      </c>
      <c r="F59" s="43">
        <f t="shared" si="22"/>
        <v>0.22729296527159396</v>
      </c>
      <c r="G59" s="43">
        <f t="shared" si="22"/>
        <v>3.1908578213119621E-3</v>
      </c>
      <c r="H59" s="43">
        <f t="shared" si="22"/>
        <v>1.2615019293558919E-3</v>
      </c>
      <c r="I59" s="43">
        <f t="shared" si="22"/>
        <v>3.613831997625408E-2</v>
      </c>
      <c r="J59" s="43">
        <f t="shared" si="22"/>
        <v>8.682101513802316E-3</v>
      </c>
      <c r="K59" s="43">
        <f t="shared" si="22"/>
        <v>1.8551498961116059E-3</v>
      </c>
      <c r="L59" s="43">
        <f t="shared" si="22"/>
        <v>3.2650638171564262E-3</v>
      </c>
      <c r="M59" s="43">
        <f t="shared" si="22"/>
        <v>0.39188186405461561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0.32312385600976207</v>
      </c>
      <c r="D60" s="44">
        <f t="shared" ref="D60:N60" si="23">D58/$O$58</f>
        <v>0.14948139109212935</v>
      </c>
      <c r="E60" s="44">
        <f t="shared" si="23"/>
        <v>6.4185478950579619E-2</v>
      </c>
      <c r="F60" s="44">
        <f t="shared" si="23"/>
        <v>0.37376449054301403</v>
      </c>
      <c r="G60" s="44">
        <f t="shared" si="23"/>
        <v>5.2471018913971936E-3</v>
      </c>
      <c r="H60" s="44">
        <f t="shared" si="23"/>
        <v>2.0744356314826113E-3</v>
      </c>
      <c r="I60" s="44">
        <f t="shared" si="23"/>
        <v>5.9426479560707748E-2</v>
      </c>
      <c r="J60" s="44">
        <f t="shared" si="23"/>
        <v>1.4276998169615619E-2</v>
      </c>
      <c r="K60" s="44">
        <f t="shared" si="23"/>
        <v>3.0506406345332522E-3</v>
      </c>
      <c r="L60" s="44">
        <f t="shared" si="23"/>
        <v>5.3691275167785232E-3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H10" sqref="H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19.5" customHeight="1" x14ac:dyDescent="0.25">
      <c r="C5" s="4" t="s">
        <v>3</v>
      </c>
      <c r="D5" s="36" t="s">
        <v>163</v>
      </c>
      <c r="E5" s="3"/>
      <c r="F5" s="41" t="s">
        <v>1</v>
      </c>
      <c r="G5" s="66" t="str">
        <f>'22.07 Kampala-Wakiso'!G5:H5</f>
        <v>AFTER STABEX NANSANA</v>
      </c>
      <c r="H5" s="67"/>
      <c r="I5" s="14"/>
      <c r="J5" s="2" t="s">
        <v>5</v>
      </c>
      <c r="K5" s="66" t="str">
        <f>'22.07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Kampala-Wakiso'!D6:E6</f>
        <v>KAMPALA</v>
      </c>
      <c r="E6" s="67"/>
      <c r="F6" s="2" t="s">
        <v>2</v>
      </c>
      <c r="G6" s="66" t="str">
        <f>'22.07 Kampala-Wakiso'!G6:H6</f>
        <v>WAKISO</v>
      </c>
      <c r="H6" s="67"/>
      <c r="J6" s="2" t="s">
        <v>21</v>
      </c>
      <c r="K6" s="66" t="str">
        <f>'22.07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</v>
      </c>
      <c r="D10" s="50">
        <v>22</v>
      </c>
      <c r="E10" s="50">
        <v>7</v>
      </c>
      <c r="F10" s="50">
        <v>50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57" si="0">SUM(C10:L10,N10)</f>
        <v>98</v>
      </c>
      <c r="P10" s="15">
        <f t="shared" ref="P10:P57" si="1">SUM(C10:N10)</f>
        <v>133</v>
      </c>
      <c r="R10" s="1" t="s">
        <v>6</v>
      </c>
      <c r="S10" s="17">
        <f t="shared" ref="S10:AF10" si="2">SUM(C10:C13)</f>
        <v>67</v>
      </c>
      <c r="T10" s="17">
        <f t="shared" si="2"/>
        <v>52</v>
      </c>
      <c r="U10" s="17">
        <f t="shared" si="2"/>
        <v>15</v>
      </c>
      <c r="V10" s="17">
        <f t="shared" si="2"/>
        <v>120</v>
      </c>
      <c r="W10" s="17">
        <f t="shared" si="2"/>
        <v>5</v>
      </c>
      <c r="X10" s="17">
        <f t="shared" si="2"/>
        <v>0</v>
      </c>
      <c r="Y10" s="17">
        <f t="shared" si="2"/>
        <v>7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170</v>
      </c>
      <c r="AD10" s="17">
        <f t="shared" si="2"/>
        <v>0</v>
      </c>
      <c r="AE10" s="31">
        <f t="shared" si="2"/>
        <v>267</v>
      </c>
      <c r="AF10" s="31">
        <f t="shared" si="2"/>
        <v>437</v>
      </c>
    </row>
    <row r="11" spans="2:32" s="6" customFormat="1" ht="23.1" customHeight="1" x14ac:dyDescent="0.25">
      <c r="B11" s="23" t="s">
        <v>38</v>
      </c>
      <c r="C11" s="50">
        <v>23</v>
      </c>
      <c r="D11" s="50">
        <v>15</v>
      </c>
      <c r="E11" s="50">
        <v>2</v>
      </c>
      <c r="F11" s="50">
        <v>31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50</v>
      </c>
      <c r="N11" s="50">
        <v>0</v>
      </c>
      <c r="O11" s="15">
        <f t="shared" si="0"/>
        <v>72</v>
      </c>
      <c r="P11" s="15">
        <f t="shared" si="1"/>
        <v>122</v>
      </c>
      <c r="R11" s="1" t="s">
        <v>7</v>
      </c>
      <c r="S11" s="17">
        <f t="shared" ref="S11:AF11" si="3">SUM(C14:C17)</f>
        <v>142</v>
      </c>
      <c r="T11" s="17">
        <f t="shared" si="3"/>
        <v>118</v>
      </c>
      <c r="U11" s="17">
        <f t="shared" si="3"/>
        <v>58</v>
      </c>
      <c r="V11" s="17">
        <f t="shared" si="3"/>
        <v>122</v>
      </c>
      <c r="W11" s="17">
        <f t="shared" si="3"/>
        <v>7</v>
      </c>
      <c r="X11" s="17">
        <f t="shared" si="3"/>
        <v>8</v>
      </c>
      <c r="Y11" s="17">
        <f t="shared" si="3"/>
        <v>7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500</v>
      </c>
      <c r="AD11" s="17">
        <f t="shared" si="3"/>
        <v>0</v>
      </c>
      <c r="AE11" s="31">
        <f t="shared" si="3"/>
        <v>463</v>
      </c>
      <c r="AF11" s="31">
        <f t="shared" si="3"/>
        <v>963</v>
      </c>
    </row>
    <row r="12" spans="2:32" ht="23.1" customHeight="1" x14ac:dyDescent="0.25">
      <c r="B12" s="23" t="s">
        <v>39</v>
      </c>
      <c r="C12" s="50">
        <v>16</v>
      </c>
      <c r="D12" s="50">
        <v>10</v>
      </c>
      <c r="E12" s="50">
        <v>3</v>
      </c>
      <c r="F12" s="50">
        <v>20</v>
      </c>
      <c r="G12" s="50">
        <v>2</v>
      </c>
      <c r="H12" s="50">
        <v>0</v>
      </c>
      <c r="I12" s="50">
        <v>5</v>
      </c>
      <c r="J12" s="50">
        <v>1</v>
      </c>
      <c r="K12" s="50">
        <v>0</v>
      </c>
      <c r="L12" s="50">
        <v>0</v>
      </c>
      <c r="M12" s="50">
        <v>70</v>
      </c>
      <c r="N12" s="50">
        <v>0</v>
      </c>
      <c r="O12" s="15">
        <f t="shared" si="0"/>
        <v>57</v>
      </c>
      <c r="P12" s="15">
        <f t="shared" si="1"/>
        <v>127</v>
      </c>
      <c r="R12" s="1" t="s">
        <v>8</v>
      </c>
      <c r="S12" s="17">
        <f t="shared" ref="S12:AF12" si="4">SUM(C18:C21)</f>
        <v>128</v>
      </c>
      <c r="T12" s="17">
        <f t="shared" si="4"/>
        <v>169</v>
      </c>
      <c r="U12" s="17">
        <f t="shared" si="4"/>
        <v>27</v>
      </c>
      <c r="V12" s="17">
        <f t="shared" si="4"/>
        <v>176</v>
      </c>
      <c r="W12" s="17">
        <f t="shared" si="4"/>
        <v>2</v>
      </c>
      <c r="X12" s="17">
        <f t="shared" si="4"/>
        <v>0</v>
      </c>
      <c r="Y12" s="17">
        <f t="shared" si="4"/>
        <v>33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276</v>
      </c>
      <c r="AD12" s="17">
        <f t="shared" si="4"/>
        <v>0</v>
      </c>
      <c r="AE12" s="31">
        <f t="shared" si="4"/>
        <v>535</v>
      </c>
      <c r="AF12" s="31">
        <f t="shared" si="4"/>
        <v>811</v>
      </c>
    </row>
    <row r="13" spans="2:32" ht="23.1" customHeight="1" x14ac:dyDescent="0.25">
      <c r="B13" s="23" t="s">
        <v>40</v>
      </c>
      <c r="C13" s="50">
        <v>10</v>
      </c>
      <c r="D13" s="50">
        <v>5</v>
      </c>
      <c r="E13" s="50">
        <v>3</v>
      </c>
      <c r="F13" s="50">
        <v>19</v>
      </c>
      <c r="G13" s="50">
        <v>1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15</v>
      </c>
      <c r="N13" s="50">
        <v>0</v>
      </c>
      <c r="O13" s="15">
        <f t="shared" si="0"/>
        <v>40</v>
      </c>
      <c r="P13" s="15">
        <f t="shared" si="1"/>
        <v>55</v>
      </c>
      <c r="R13" s="1" t="s">
        <v>9</v>
      </c>
      <c r="S13" s="17">
        <f t="shared" ref="S13:AF13" si="5">SUM(C22:C25)</f>
        <v>185</v>
      </c>
      <c r="T13" s="17">
        <f t="shared" si="5"/>
        <v>187</v>
      </c>
      <c r="U13" s="17">
        <f t="shared" si="5"/>
        <v>33</v>
      </c>
      <c r="V13" s="17">
        <f t="shared" si="5"/>
        <v>151</v>
      </c>
      <c r="W13" s="17">
        <f t="shared" si="5"/>
        <v>2</v>
      </c>
      <c r="X13" s="17">
        <f t="shared" si="5"/>
        <v>2</v>
      </c>
      <c r="Y13" s="17">
        <f t="shared" si="5"/>
        <v>25</v>
      </c>
      <c r="Z13" s="17">
        <f t="shared" si="5"/>
        <v>6</v>
      </c>
      <c r="AA13" s="17">
        <f t="shared" si="5"/>
        <v>4</v>
      </c>
      <c r="AB13" s="17">
        <f t="shared" si="5"/>
        <v>0</v>
      </c>
      <c r="AC13" s="17">
        <f t="shared" si="5"/>
        <v>345</v>
      </c>
      <c r="AD13" s="17">
        <f t="shared" si="5"/>
        <v>0</v>
      </c>
      <c r="AE13" s="31">
        <f t="shared" si="5"/>
        <v>595</v>
      </c>
      <c r="AF13" s="31">
        <f t="shared" si="5"/>
        <v>940</v>
      </c>
    </row>
    <row r="14" spans="2:32" ht="23.1" customHeight="1" x14ac:dyDescent="0.25">
      <c r="B14" s="23" t="s">
        <v>41</v>
      </c>
      <c r="C14" s="50">
        <v>32</v>
      </c>
      <c r="D14" s="50">
        <v>40</v>
      </c>
      <c r="E14" s="50">
        <v>5</v>
      </c>
      <c r="F14" s="50">
        <v>42</v>
      </c>
      <c r="G14" s="50">
        <v>2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120</v>
      </c>
      <c r="N14" s="50">
        <v>0</v>
      </c>
      <c r="O14" s="15">
        <f t="shared" si="0"/>
        <v>124</v>
      </c>
      <c r="P14" s="15">
        <f t="shared" si="1"/>
        <v>244</v>
      </c>
      <c r="R14" s="1" t="s">
        <v>10</v>
      </c>
      <c r="S14" s="17">
        <f t="shared" ref="S14:AF14" si="6">SUM(C26:C29)</f>
        <v>188</v>
      </c>
      <c r="T14" s="17">
        <f t="shared" si="6"/>
        <v>158</v>
      </c>
      <c r="U14" s="17">
        <f t="shared" si="6"/>
        <v>24</v>
      </c>
      <c r="V14" s="17">
        <f t="shared" si="6"/>
        <v>165</v>
      </c>
      <c r="W14" s="17">
        <f t="shared" si="6"/>
        <v>0</v>
      </c>
      <c r="X14" s="17">
        <f t="shared" si="6"/>
        <v>1</v>
      </c>
      <c r="Y14" s="17">
        <f t="shared" si="6"/>
        <v>39</v>
      </c>
      <c r="Z14" s="17">
        <f t="shared" si="6"/>
        <v>5</v>
      </c>
      <c r="AA14" s="17">
        <f t="shared" si="6"/>
        <v>3</v>
      </c>
      <c r="AB14" s="17">
        <f t="shared" si="6"/>
        <v>1</v>
      </c>
      <c r="AC14" s="17">
        <f t="shared" si="6"/>
        <v>427</v>
      </c>
      <c r="AD14" s="17">
        <f t="shared" si="6"/>
        <v>0</v>
      </c>
      <c r="AE14" s="31">
        <f t="shared" si="6"/>
        <v>584</v>
      </c>
      <c r="AF14" s="31">
        <f t="shared" si="6"/>
        <v>1011</v>
      </c>
    </row>
    <row r="15" spans="2:32" ht="23.1" customHeight="1" x14ac:dyDescent="0.25">
      <c r="B15" s="23" t="s">
        <v>42</v>
      </c>
      <c r="C15" s="50">
        <v>25</v>
      </c>
      <c r="D15" s="50">
        <v>36</v>
      </c>
      <c r="E15" s="50">
        <v>3</v>
      </c>
      <c r="F15" s="50">
        <v>35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145</v>
      </c>
      <c r="N15" s="50">
        <v>0</v>
      </c>
      <c r="O15" s="15">
        <f t="shared" si="0"/>
        <v>100</v>
      </c>
      <c r="P15" s="15">
        <f t="shared" si="1"/>
        <v>245</v>
      </c>
      <c r="R15" s="1" t="s">
        <v>11</v>
      </c>
      <c r="S15" s="17">
        <f t="shared" ref="S15:AF15" si="7">SUM(C30:C33)</f>
        <v>151</v>
      </c>
      <c r="T15" s="17">
        <f t="shared" si="7"/>
        <v>159</v>
      </c>
      <c r="U15" s="17">
        <f t="shared" si="7"/>
        <v>28</v>
      </c>
      <c r="V15" s="17">
        <f t="shared" si="7"/>
        <v>172</v>
      </c>
      <c r="W15" s="17">
        <f t="shared" si="7"/>
        <v>0</v>
      </c>
      <c r="X15" s="17">
        <f t="shared" si="7"/>
        <v>0</v>
      </c>
      <c r="Y15" s="17">
        <f t="shared" si="7"/>
        <v>61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335</v>
      </c>
      <c r="AD15" s="17">
        <f t="shared" si="7"/>
        <v>0</v>
      </c>
      <c r="AE15" s="31">
        <f t="shared" si="7"/>
        <v>575</v>
      </c>
      <c r="AF15" s="31">
        <f t="shared" si="7"/>
        <v>910</v>
      </c>
    </row>
    <row r="16" spans="2:32" ht="23.1" customHeight="1" x14ac:dyDescent="0.25">
      <c r="B16" s="23" t="s">
        <v>43</v>
      </c>
      <c r="C16" s="50">
        <v>35</v>
      </c>
      <c r="D16" s="50">
        <v>40</v>
      </c>
      <c r="E16" s="50">
        <v>15</v>
      </c>
      <c r="F16" s="50">
        <v>45</v>
      </c>
      <c r="G16" s="50">
        <v>5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125</v>
      </c>
      <c r="N16" s="50">
        <v>0</v>
      </c>
      <c r="O16" s="15">
        <f t="shared" si="0"/>
        <v>144</v>
      </c>
      <c r="P16" s="15">
        <f t="shared" si="1"/>
        <v>269</v>
      </c>
      <c r="R16" s="1" t="s">
        <v>12</v>
      </c>
      <c r="S16" s="17">
        <f t="shared" ref="S16:AF16" si="8">SUM(C34:C37)</f>
        <v>204</v>
      </c>
      <c r="T16" s="17">
        <f t="shared" si="8"/>
        <v>226</v>
      </c>
      <c r="U16" s="17">
        <f t="shared" si="8"/>
        <v>46</v>
      </c>
      <c r="V16" s="17">
        <f t="shared" si="8"/>
        <v>207</v>
      </c>
      <c r="W16" s="17">
        <f t="shared" si="8"/>
        <v>0</v>
      </c>
      <c r="X16" s="17">
        <f t="shared" si="8"/>
        <v>0</v>
      </c>
      <c r="Y16" s="17">
        <f t="shared" si="8"/>
        <v>56</v>
      </c>
      <c r="Z16" s="17">
        <f t="shared" si="8"/>
        <v>2</v>
      </c>
      <c r="AA16" s="17">
        <f t="shared" si="8"/>
        <v>5</v>
      </c>
      <c r="AB16" s="17">
        <f t="shared" si="8"/>
        <v>0</v>
      </c>
      <c r="AC16" s="17">
        <f t="shared" si="8"/>
        <v>315</v>
      </c>
      <c r="AD16" s="17">
        <f t="shared" si="8"/>
        <v>0</v>
      </c>
      <c r="AE16" s="31">
        <f t="shared" si="8"/>
        <v>746</v>
      </c>
      <c r="AF16" s="31">
        <f t="shared" si="8"/>
        <v>1061</v>
      </c>
    </row>
    <row r="17" spans="2:32" ht="23.1" customHeight="1" x14ac:dyDescent="0.25">
      <c r="B17" s="23" t="s">
        <v>44</v>
      </c>
      <c r="C17" s="50">
        <v>50</v>
      </c>
      <c r="D17" s="50">
        <v>2</v>
      </c>
      <c r="E17" s="50">
        <v>35</v>
      </c>
      <c r="F17" s="50">
        <v>0</v>
      </c>
      <c r="G17" s="50">
        <v>0</v>
      </c>
      <c r="H17" s="50">
        <v>8</v>
      </c>
      <c r="I17" s="50">
        <v>0</v>
      </c>
      <c r="J17" s="50">
        <v>0</v>
      </c>
      <c r="K17" s="50">
        <v>0</v>
      </c>
      <c r="L17" s="50">
        <v>0</v>
      </c>
      <c r="M17" s="50">
        <v>110</v>
      </c>
      <c r="N17" s="50">
        <v>0</v>
      </c>
      <c r="O17" s="15">
        <f t="shared" si="0"/>
        <v>95</v>
      </c>
      <c r="P17" s="15">
        <f t="shared" si="1"/>
        <v>205</v>
      </c>
      <c r="R17" s="1" t="s">
        <v>13</v>
      </c>
      <c r="S17" s="17">
        <f t="shared" ref="S17:AF17" si="9">SUM(C38:C41)</f>
        <v>205</v>
      </c>
      <c r="T17" s="17">
        <f t="shared" si="9"/>
        <v>246</v>
      </c>
      <c r="U17" s="17">
        <f t="shared" si="9"/>
        <v>22</v>
      </c>
      <c r="V17" s="17">
        <f t="shared" si="9"/>
        <v>315</v>
      </c>
      <c r="W17" s="17">
        <f t="shared" si="9"/>
        <v>2</v>
      </c>
      <c r="X17" s="17">
        <f t="shared" si="9"/>
        <v>2</v>
      </c>
      <c r="Y17" s="17">
        <f t="shared" si="9"/>
        <v>112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458</v>
      </c>
      <c r="AD17" s="17">
        <f t="shared" si="9"/>
        <v>0</v>
      </c>
      <c r="AE17" s="31">
        <f t="shared" si="9"/>
        <v>904</v>
      </c>
      <c r="AF17" s="31">
        <f t="shared" si="9"/>
        <v>1362</v>
      </c>
    </row>
    <row r="18" spans="2:32" ht="23.1" customHeight="1" x14ac:dyDescent="0.25">
      <c r="B18" s="23" t="s">
        <v>45</v>
      </c>
      <c r="C18" s="50">
        <v>25</v>
      </c>
      <c r="D18" s="50">
        <v>23</v>
      </c>
      <c r="E18" s="50">
        <v>6</v>
      </c>
      <c r="F18" s="50">
        <v>55</v>
      </c>
      <c r="G18" s="50">
        <v>1</v>
      </c>
      <c r="H18" s="50">
        <v>0</v>
      </c>
      <c r="I18" s="50">
        <v>12</v>
      </c>
      <c r="J18" s="50">
        <v>0</v>
      </c>
      <c r="K18" s="50">
        <v>0</v>
      </c>
      <c r="L18" s="50">
        <v>0</v>
      </c>
      <c r="M18" s="50">
        <v>95</v>
      </c>
      <c r="N18" s="50">
        <v>0</v>
      </c>
      <c r="O18" s="15">
        <f t="shared" si="0"/>
        <v>122</v>
      </c>
      <c r="P18" s="15">
        <f t="shared" si="1"/>
        <v>217</v>
      </c>
      <c r="R18" s="1" t="s">
        <v>14</v>
      </c>
      <c r="S18" s="17">
        <f t="shared" ref="S18:AF18" si="10">SUM(C42:C45)</f>
        <v>250</v>
      </c>
      <c r="T18" s="17">
        <f t="shared" si="10"/>
        <v>230</v>
      </c>
      <c r="U18" s="17">
        <f t="shared" si="10"/>
        <v>52</v>
      </c>
      <c r="V18" s="17">
        <f t="shared" si="10"/>
        <v>255</v>
      </c>
      <c r="W18" s="17">
        <f t="shared" si="10"/>
        <v>1</v>
      </c>
      <c r="X18" s="17">
        <f t="shared" si="10"/>
        <v>1</v>
      </c>
      <c r="Y18" s="17">
        <f t="shared" si="10"/>
        <v>27</v>
      </c>
      <c r="Z18" s="17">
        <f t="shared" si="10"/>
        <v>1</v>
      </c>
      <c r="AA18" s="17">
        <f t="shared" si="10"/>
        <v>4</v>
      </c>
      <c r="AB18" s="17">
        <f t="shared" si="10"/>
        <v>2</v>
      </c>
      <c r="AC18" s="17">
        <f t="shared" si="10"/>
        <v>430</v>
      </c>
      <c r="AD18" s="17">
        <f t="shared" si="10"/>
        <v>0</v>
      </c>
      <c r="AE18" s="31">
        <f t="shared" si="10"/>
        <v>823</v>
      </c>
      <c r="AF18" s="31">
        <f t="shared" si="10"/>
        <v>1253</v>
      </c>
    </row>
    <row r="19" spans="2:32" ht="23.1" customHeight="1" x14ac:dyDescent="0.25">
      <c r="B19" s="23" t="s">
        <v>46</v>
      </c>
      <c r="C19" s="50">
        <v>25</v>
      </c>
      <c r="D19" s="50">
        <v>45</v>
      </c>
      <c r="E19" s="50">
        <v>10</v>
      </c>
      <c r="F19" s="50">
        <v>41</v>
      </c>
      <c r="G19" s="50">
        <v>0</v>
      </c>
      <c r="H19" s="50">
        <v>0</v>
      </c>
      <c r="I19" s="50">
        <v>7</v>
      </c>
      <c r="J19" s="50">
        <v>0</v>
      </c>
      <c r="K19" s="50">
        <v>0</v>
      </c>
      <c r="L19" s="50">
        <v>0</v>
      </c>
      <c r="M19" s="50">
        <v>58</v>
      </c>
      <c r="N19" s="50">
        <v>0</v>
      </c>
      <c r="O19" s="15">
        <f t="shared" si="0"/>
        <v>128</v>
      </c>
      <c r="P19" s="15">
        <f t="shared" si="1"/>
        <v>186</v>
      </c>
      <c r="R19" s="1" t="s">
        <v>15</v>
      </c>
      <c r="S19" s="17">
        <f t="shared" ref="S19:AF19" si="11">SUM(C46:C49)</f>
        <v>236</v>
      </c>
      <c r="T19" s="17">
        <f t="shared" si="11"/>
        <v>285</v>
      </c>
      <c r="U19" s="17">
        <f t="shared" si="11"/>
        <v>39</v>
      </c>
      <c r="V19" s="17">
        <f t="shared" si="11"/>
        <v>186</v>
      </c>
      <c r="W19" s="17">
        <f t="shared" si="11"/>
        <v>1</v>
      </c>
      <c r="X19" s="17">
        <f t="shared" si="11"/>
        <v>2</v>
      </c>
      <c r="Y19" s="17">
        <f t="shared" si="11"/>
        <v>28</v>
      </c>
      <c r="Z19" s="17">
        <f t="shared" si="11"/>
        <v>2</v>
      </c>
      <c r="AA19" s="17">
        <f t="shared" si="11"/>
        <v>5</v>
      </c>
      <c r="AB19" s="17">
        <f t="shared" si="11"/>
        <v>3</v>
      </c>
      <c r="AC19" s="17">
        <f t="shared" si="11"/>
        <v>395</v>
      </c>
      <c r="AD19" s="17">
        <f t="shared" si="11"/>
        <v>0</v>
      </c>
      <c r="AE19" s="31">
        <f t="shared" si="11"/>
        <v>787</v>
      </c>
      <c r="AF19" s="31">
        <f t="shared" si="11"/>
        <v>1182</v>
      </c>
    </row>
    <row r="20" spans="2:32" ht="23.1" customHeight="1" x14ac:dyDescent="0.25">
      <c r="B20" s="23" t="s">
        <v>47</v>
      </c>
      <c r="C20" s="50">
        <v>40</v>
      </c>
      <c r="D20" s="50">
        <v>58</v>
      </c>
      <c r="E20" s="50">
        <v>3</v>
      </c>
      <c r="F20" s="50">
        <v>55</v>
      </c>
      <c r="G20" s="50">
        <v>0</v>
      </c>
      <c r="H20" s="50">
        <v>0</v>
      </c>
      <c r="I20" s="50">
        <v>7</v>
      </c>
      <c r="J20" s="50">
        <v>0</v>
      </c>
      <c r="K20" s="50">
        <v>0</v>
      </c>
      <c r="L20" s="50">
        <v>0</v>
      </c>
      <c r="M20" s="50">
        <v>58</v>
      </c>
      <c r="N20" s="50">
        <v>0</v>
      </c>
      <c r="O20" s="15">
        <f t="shared" si="0"/>
        <v>163</v>
      </c>
      <c r="P20" s="15">
        <f t="shared" si="1"/>
        <v>221</v>
      </c>
      <c r="R20" s="1" t="s">
        <v>16</v>
      </c>
      <c r="S20" s="17">
        <f t="shared" ref="S20:AF20" si="12">SUM(C50:C53)</f>
        <v>346</v>
      </c>
      <c r="T20" s="17">
        <f t="shared" si="12"/>
        <v>120</v>
      </c>
      <c r="U20" s="17">
        <f t="shared" si="12"/>
        <v>39</v>
      </c>
      <c r="V20" s="17">
        <f t="shared" si="12"/>
        <v>330</v>
      </c>
      <c r="W20" s="17">
        <f t="shared" si="12"/>
        <v>5</v>
      </c>
      <c r="X20" s="17">
        <f t="shared" si="12"/>
        <v>2</v>
      </c>
      <c r="Y20" s="17">
        <f t="shared" si="12"/>
        <v>70</v>
      </c>
      <c r="Z20" s="17">
        <f t="shared" si="12"/>
        <v>12</v>
      </c>
      <c r="AA20" s="17">
        <f t="shared" si="12"/>
        <v>11</v>
      </c>
      <c r="AB20" s="17">
        <f t="shared" si="12"/>
        <v>1</v>
      </c>
      <c r="AC20" s="17">
        <f t="shared" si="12"/>
        <v>462</v>
      </c>
      <c r="AD20" s="17">
        <f t="shared" si="12"/>
        <v>0</v>
      </c>
      <c r="AE20" s="31">
        <f t="shared" si="12"/>
        <v>936</v>
      </c>
      <c r="AF20" s="31">
        <f t="shared" si="12"/>
        <v>1398</v>
      </c>
    </row>
    <row r="21" spans="2:32" ht="23.1" customHeight="1" x14ac:dyDescent="0.25">
      <c r="B21" s="23" t="s">
        <v>48</v>
      </c>
      <c r="C21" s="50">
        <v>38</v>
      </c>
      <c r="D21" s="50">
        <v>43</v>
      </c>
      <c r="E21" s="50">
        <v>8</v>
      </c>
      <c r="F21" s="50">
        <v>25</v>
      </c>
      <c r="G21" s="50">
        <v>1</v>
      </c>
      <c r="H21" s="50">
        <v>0</v>
      </c>
      <c r="I21" s="50">
        <v>7</v>
      </c>
      <c r="J21" s="50">
        <v>0</v>
      </c>
      <c r="K21" s="50">
        <v>0</v>
      </c>
      <c r="L21" s="50">
        <v>0</v>
      </c>
      <c r="M21" s="50">
        <v>65</v>
      </c>
      <c r="N21" s="50">
        <v>0</v>
      </c>
      <c r="O21" s="15">
        <f t="shared" si="0"/>
        <v>122</v>
      </c>
      <c r="P21" s="15">
        <f t="shared" si="1"/>
        <v>187</v>
      </c>
      <c r="R21" s="36" t="s">
        <v>20</v>
      </c>
      <c r="S21" s="34">
        <f t="shared" ref="S21:AF21" si="13">SUM(C54:C57)</f>
        <v>295</v>
      </c>
      <c r="T21" s="17">
        <f t="shared" si="13"/>
        <v>331</v>
      </c>
      <c r="U21" s="17">
        <f t="shared" si="13"/>
        <v>35</v>
      </c>
      <c r="V21" s="17">
        <f t="shared" si="13"/>
        <v>295</v>
      </c>
      <c r="W21" s="17">
        <f t="shared" si="13"/>
        <v>15</v>
      </c>
      <c r="X21" s="17">
        <f t="shared" si="13"/>
        <v>0</v>
      </c>
      <c r="Y21" s="17">
        <f t="shared" si="13"/>
        <v>43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515</v>
      </c>
      <c r="AD21" s="17">
        <f t="shared" si="13"/>
        <v>0</v>
      </c>
      <c r="AE21" s="31">
        <f t="shared" si="13"/>
        <v>1020</v>
      </c>
      <c r="AF21" s="31">
        <f t="shared" si="13"/>
        <v>1535</v>
      </c>
    </row>
    <row r="22" spans="2:32" ht="23.1" customHeight="1" x14ac:dyDescent="0.25">
      <c r="B22" s="23" t="s">
        <v>49</v>
      </c>
      <c r="C22" s="50">
        <v>35</v>
      </c>
      <c r="D22" s="50">
        <v>22</v>
      </c>
      <c r="E22" s="50">
        <v>9</v>
      </c>
      <c r="F22" s="50">
        <v>38</v>
      </c>
      <c r="G22" s="50">
        <v>0</v>
      </c>
      <c r="H22" s="50">
        <v>1</v>
      </c>
      <c r="I22" s="50">
        <v>6</v>
      </c>
      <c r="J22" s="50">
        <v>4</v>
      </c>
      <c r="K22" s="50">
        <v>3</v>
      </c>
      <c r="L22" s="50">
        <v>0</v>
      </c>
      <c r="M22" s="50">
        <v>90</v>
      </c>
      <c r="N22" s="50">
        <v>0</v>
      </c>
      <c r="O22" s="15">
        <f t="shared" si="0"/>
        <v>118</v>
      </c>
      <c r="P22" s="15">
        <f t="shared" si="1"/>
        <v>208</v>
      </c>
      <c r="R22" s="38" t="s">
        <v>90</v>
      </c>
      <c r="S22" s="39">
        <f>MAX(S10:S12)</f>
        <v>142</v>
      </c>
      <c r="T22" s="39">
        <f t="shared" ref="T22:AF22" si="14">MAX(T10:T12)</f>
        <v>169</v>
      </c>
      <c r="U22" s="39">
        <f t="shared" si="14"/>
        <v>58</v>
      </c>
      <c r="V22" s="39">
        <f t="shared" si="14"/>
        <v>176</v>
      </c>
      <c r="W22" s="39">
        <f t="shared" si="14"/>
        <v>7</v>
      </c>
      <c r="X22" s="39">
        <f t="shared" si="14"/>
        <v>8</v>
      </c>
      <c r="Y22" s="39">
        <f t="shared" si="14"/>
        <v>33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500</v>
      </c>
      <c r="AD22" s="39">
        <f t="shared" si="14"/>
        <v>0</v>
      </c>
      <c r="AE22" s="40">
        <f t="shared" si="14"/>
        <v>535</v>
      </c>
      <c r="AF22" s="40">
        <f t="shared" si="14"/>
        <v>963</v>
      </c>
    </row>
    <row r="23" spans="2:32" ht="23.1" customHeight="1" x14ac:dyDescent="0.25">
      <c r="B23" s="23" t="s">
        <v>50</v>
      </c>
      <c r="C23" s="50">
        <v>60</v>
      </c>
      <c r="D23" s="50">
        <v>60</v>
      </c>
      <c r="E23" s="50">
        <v>11</v>
      </c>
      <c r="F23" s="50">
        <v>55</v>
      </c>
      <c r="G23" s="50">
        <v>0</v>
      </c>
      <c r="H23" s="50">
        <v>1</v>
      </c>
      <c r="I23" s="50">
        <v>6</v>
      </c>
      <c r="J23" s="50">
        <v>0</v>
      </c>
      <c r="K23" s="50">
        <v>1</v>
      </c>
      <c r="L23" s="50">
        <v>0</v>
      </c>
      <c r="M23" s="50">
        <v>125</v>
      </c>
      <c r="N23" s="50">
        <v>0</v>
      </c>
      <c r="O23" s="15">
        <f t="shared" si="0"/>
        <v>194</v>
      </c>
      <c r="P23" s="15">
        <f t="shared" si="1"/>
        <v>319</v>
      </c>
      <c r="R23" s="38" t="s">
        <v>91</v>
      </c>
      <c r="S23" s="39">
        <f>MAX(S13:S18)</f>
        <v>250</v>
      </c>
      <c r="T23" s="39">
        <f t="shared" ref="T23:AF23" si="15">MAX(T13:T18)</f>
        <v>246</v>
      </c>
      <c r="U23" s="39">
        <f t="shared" si="15"/>
        <v>52</v>
      </c>
      <c r="V23" s="39">
        <f t="shared" si="15"/>
        <v>315</v>
      </c>
      <c r="W23" s="39">
        <f t="shared" si="15"/>
        <v>2</v>
      </c>
      <c r="X23" s="39">
        <f t="shared" si="15"/>
        <v>2</v>
      </c>
      <c r="Y23" s="39">
        <f t="shared" si="15"/>
        <v>112</v>
      </c>
      <c r="Z23" s="39">
        <f t="shared" si="15"/>
        <v>6</v>
      </c>
      <c r="AA23" s="39">
        <f t="shared" si="15"/>
        <v>5</v>
      </c>
      <c r="AB23" s="39">
        <f t="shared" si="15"/>
        <v>2</v>
      </c>
      <c r="AC23" s="39">
        <f t="shared" si="15"/>
        <v>458</v>
      </c>
      <c r="AD23" s="39">
        <f t="shared" si="15"/>
        <v>0</v>
      </c>
      <c r="AE23" s="40">
        <f t="shared" si="15"/>
        <v>904</v>
      </c>
      <c r="AF23" s="40">
        <f t="shared" si="15"/>
        <v>1362</v>
      </c>
    </row>
    <row r="24" spans="2:32" ht="23.1" customHeight="1" x14ac:dyDescent="0.25">
      <c r="B24" s="23" t="s">
        <v>51</v>
      </c>
      <c r="C24" s="50">
        <v>55</v>
      </c>
      <c r="D24" s="50">
        <v>53</v>
      </c>
      <c r="E24" s="50">
        <v>7</v>
      </c>
      <c r="F24" s="50">
        <v>40</v>
      </c>
      <c r="G24" s="50">
        <v>2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70</v>
      </c>
      <c r="N24" s="50">
        <v>0</v>
      </c>
      <c r="O24" s="15">
        <f t="shared" si="0"/>
        <v>160</v>
      </c>
      <c r="P24" s="15">
        <f t="shared" si="1"/>
        <v>230</v>
      </c>
      <c r="R24" s="38" t="s">
        <v>92</v>
      </c>
      <c r="S24" s="39">
        <f>MAX(S19:S21)</f>
        <v>346</v>
      </c>
      <c r="T24" s="39">
        <f t="shared" ref="T24:AF24" si="16">MAX(T19:T21)</f>
        <v>331</v>
      </c>
      <c r="U24" s="39">
        <f t="shared" si="16"/>
        <v>39</v>
      </c>
      <c r="V24" s="39">
        <f t="shared" si="16"/>
        <v>330</v>
      </c>
      <c r="W24" s="39">
        <f t="shared" si="16"/>
        <v>15</v>
      </c>
      <c r="X24" s="39">
        <f t="shared" si="16"/>
        <v>2</v>
      </c>
      <c r="Y24" s="39">
        <f t="shared" si="16"/>
        <v>70</v>
      </c>
      <c r="Z24" s="39">
        <f t="shared" si="16"/>
        <v>12</v>
      </c>
      <c r="AA24" s="39">
        <f t="shared" si="16"/>
        <v>11</v>
      </c>
      <c r="AB24" s="39">
        <f t="shared" si="16"/>
        <v>3</v>
      </c>
      <c r="AC24" s="39">
        <f t="shared" si="16"/>
        <v>515</v>
      </c>
      <c r="AD24" s="39">
        <f t="shared" si="16"/>
        <v>0</v>
      </c>
      <c r="AE24" s="40">
        <f t="shared" si="16"/>
        <v>1020</v>
      </c>
      <c r="AF24" s="40">
        <f t="shared" si="16"/>
        <v>1535</v>
      </c>
    </row>
    <row r="25" spans="2:32" ht="23.1" customHeight="1" x14ac:dyDescent="0.25">
      <c r="B25" s="23" t="s">
        <v>52</v>
      </c>
      <c r="C25" s="50">
        <v>35</v>
      </c>
      <c r="D25" s="50">
        <v>52</v>
      </c>
      <c r="E25" s="50">
        <v>6</v>
      </c>
      <c r="F25" s="50">
        <v>18</v>
      </c>
      <c r="G25" s="50">
        <v>0</v>
      </c>
      <c r="H25" s="50">
        <v>0</v>
      </c>
      <c r="I25" s="50">
        <v>10</v>
      </c>
      <c r="J25" s="50">
        <v>2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123</v>
      </c>
      <c r="P25" s="15">
        <f t="shared" si="1"/>
        <v>183</v>
      </c>
      <c r="R25" s="37" t="s">
        <v>85</v>
      </c>
      <c r="S25" s="35">
        <f t="shared" ref="S25:AF25" si="17">SUM(S10:S12)</f>
        <v>337</v>
      </c>
      <c r="T25" s="16">
        <f t="shared" si="17"/>
        <v>339</v>
      </c>
      <c r="U25" s="16">
        <f t="shared" si="17"/>
        <v>100</v>
      </c>
      <c r="V25" s="16">
        <f t="shared" si="17"/>
        <v>418</v>
      </c>
      <c r="W25" s="16">
        <f t="shared" si="17"/>
        <v>14</v>
      </c>
      <c r="X25" s="16">
        <f t="shared" si="17"/>
        <v>8</v>
      </c>
      <c r="Y25" s="16">
        <f t="shared" si="17"/>
        <v>47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946</v>
      </c>
      <c r="AD25" s="16">
        <f t="shared" si="17"/>
        <v>0</v>
      </c>
      <c r="AE25" s="32">
        <f t="shared" si="17"/>
        <v>1265</v>
      </c>
      <c r="AF25" s="32">
        <f t="shared" si="17"/>
        <v>2211</v>
      </c>
    </row>
    <row r="26" spans="2:32" ht="23.1" customHeight="1" x14ac:dyDescent="0.25">
      <c r="B26" s="23" t="s">
        <v>53</v>
      </c>
      <c r="C26" s="50">
        <v>60</v>
      </c>
      <c r="D26" s="50">
        <v>70</v>
      </c>
      <c r="E26" s="50">
        <v>5</v>
      </c>
      <c r="F26" s="50">
        <v>45</v>
      </c>
      <c r="G26" s="50">
        <v>0</v>
      </c>
      <c r="H26" s="50">
        <v>0</v>
      </c>
      <c r="I26" s="50">
        <v>10</v>
      </c>
      <c r="J26" s="50">
        <v>0</v>
      </c>
      <c r="K26" s="50">
        <v>0</v>
      </c>
      <c r="L26" s="50">
        <v>0</v>
      </c>
      <c r="M26" s="50">
        <v>95</v>
      </c>
      <c r="N26" s="50">
        <v>0</v>
      </c>
      <c r="O26" s="15">
        <f t="shared" si="0"/>
        <v>190</v>
      </c>
      <c r="P26" s="15">
        <f t="shared" si="1"/>
        <v>285</v>
      </c>
      <c r="R26" s="28" t="s">
        <v>86</v>
      </c>
      <c r="S26" s="16">
        <f t="shared" ref="S26:AF26" si="18">SUM(S13:S18)</f>
        <v>1183</v>
      </c>
      <c r="T26" s="16">
        <f t="shared" si="18"/>
        <v>1206</v>
      </c>
      <c r="U26" s="16">
        <f t="shared" si="18"/>
        <v>205</v>
      </c>
      <c r="V26" s="16">
        <f t="shared" si="18"/>
        <v>1265</v>
      </c>
      <c r="W26" s="16">
        <f t="shared" si="18"/>
        <v>5</v>
      </c>
      <c r="X26" s="16">
        <f t="shared" si="18"/>
        <v>6</v>
      </c>
      <c r="Y26" s="16">
        <f t="shared" si="18"/>
        <v>320</v>
      </c>
      <c r="Z26" s="16">
        <f t="shared" si="18"/>
        <v>18</v>
      </c>
      <c r="AA26" s="16">
        <f t="shared" si="18"/>
        <v>16</v>
      </c>
      <c r="AB26" s="16">
        <f t="shared" si="18"/>
        <v>3</v>
      </c>
      <c r="AC26" s="16">
        <f t="shared" si="18"/>
        <v>2310</v>
      </c>
      <c r="AD26" s="16">
        <f t="shared" si="18"/>
        <v>0</v>
      </c>
      <c r="AE26" s="32">
        <f t="shared" si="18"/>
        <v>4227</v>
      </c>
      <c r="AF26" s="32">
        <f t="shared" si="18"/>
        <v>6537</v>
      </c>
    </row>
    <row r="27" spans="2:32" ht="23.1" customHeight="1" x14ac:dyDescent="0.25">
      <c r="B27" s="23" t="s">
        <v>54</v>
      </c>
      <c r="C27" s="50">
        <v>48</v>
      </c>
      <c r="D27" s="50">
        <v>25</v>
      </c>
      <c r="E27" s="50">
        <v>10</v>
      </c>
      <c r="F27" s="50">
        <v>55</v>
      </c>
      <c r="G27" s="50">
        <v>0</v>
      </c>
      <c r="H27" s="50">
        <v>0</v>
      </c>
      <c r="I27" s="50">
        <v>8</v>
      </c>
      <c r="J27" s="50">
        <v>3</v>
      </c>
      <c r="K27" s="50">
        <v>0</v>
      </c>
      <c r="L27" s="50">
        <v>1</v>
      </c>
      <c r="M27" s="50">
        <v>120</v>
      </c>
      <c r="N27" s="50">
        <v>0</v>
      </c>
      <c r="O27" s="15">
        <f t="shared" si="0"/>
        <v>150</v>
      </c>
      <c r="P27" s="15">
        <f t="shared" si="1"/>
        <v>270</v>
      </c>
      <c r="R27" s="29" t="s">
        <v>87</v>
      </c>
      <c r="S27" s="16">
        <f t="shared" ref="S27:AF27" si="19">SUM(S19:S21)</f>
        <v>877</v>
      </c>
      <c r="T27" s="16">
        <f t="shared" si="19"/>
        <v>736</v>
      </c>
      <c r="U27" s="16">
        <f t="shared" si="19"/>
        <v>113</v>
      </c>
      <c r="V27" s="16">
        <f t="shared" si="19"/>
        <v>811</v>
      </c>
      <c r="W27" s="16">
        <f t="shared" si="19"/>
        <v>21</v>
      </c>
      <c r="X27" s="16">
        <f t="shared" si="19"/>
        <v>4</v>
      </c>
      <c r="Y27" s="16">
        <f t="shared" si="19"/>
        <v>141</v>
      </c>
      <c r="Z27" s="16">
        <f t="shared" si="19"/>
        <v>20</v>
      </c>
      <c r="AA27" s="16">
        <f t="shared" si="19"/>
        <v>16</v>
      </c>
      <c r="AB27" s="16">
        <f t="shared" si="19"/>
        <v>4</v>
      </c>
      <c r="AC27" s="16">
        <f t="shared" si="19"/>
        <v>1372</v>
      </c>
      <c r="AD27" s="16">
        <f t="shared" si="19"/>
        <v>0</v>
      </c>
      <c r="AE27" s="32">
        <f t="shared" si="19"/>
        <v>2743</v>
      </c>
      <c r="AF27" s="32">
        <f t="shared" si="19"/>
        <v>4115</v>
      </c>
    </row>
    <row r="28" spans="2:32" ht="23.1" customHeight="1" x14ac:dyDescent="0.25">
      <c r="B28" s="23" t="s">
        <v>55</v>
      </c>
      <c r="C28" s="50">
        <v>40</v>
      </c>
      <c r="D28" s="50">
        <v>33</v>
      </c>
      <c r="E28" s="50">
        <v>4</v>
      </c>
      <c r="F28" s="50">
        <v>35</v>
      </c>
      <c r="G28" s="50">
        <v>0</v>
      </c>
      <c r="H28" s="50">
        <v>1</v>
      </c>
      <c r="I28" s="50">
        <v>8</v>
      </c>
      <c r="J28" s="50">
        <v>1</v>
      </c>
      <c r="K28" s="50">
        <v>1</v>
      </c>
      <c r="L28" s="50">
        <v>0</v>
      </c>
      <c r="M28" s="50">
        <v>100</v>
      </c>
      <c r="N28" s="50">
        <v>0</v>
      </c>
      <c r="O28" s="15">
        <f t="shared" si="0"/>
        <v>123</v>
      </c>
      <c r="P28" s="15">
        <f t="shared" si="1"/>
        <v>223</v>
      </c>
      <c r="R28" s="5" t="s">
        <v>17</v>
      </c>
      <c r="S28" s="16">
        <f t="shared" ref="S28:AF28" si="20">SUM(S10:S21)</f>
        <v>2397</v>
      </c>
      <c r="T28" s="16">
        <f t="shared" si="20"/>
        <v>2281</v>
      </c>
      <c r="U28" s="16">
        <f t="shared" si="20"/>
        <v>418</v>
      </c>
      <c r="V28" s="16">
        <f t="shared" si="20"/>
        <v>2494</v>
      </c>
      <c r="W28" s="16">
        <f t="shared" si="20"/>
        <v>40</v>
      </c>
      <c r="X28" s="16">
        <f t="shared" si="20"/>
        <v>18</v>
      </c>
      <c r="Y28" s="16">
        <f t="shared" si="20"/>
        <v>508</v>
      </c>
      <c r="Z28" s="16">
        <f t="shared" si="20"/>
        <v>40</v>
      </c>
      <c r="AA28" s="16">
        <f t="shared" si="20"/>
        <v>32</v>
      </c>
      <c r="AB28" s="16">
        <f t="shared" si="20"/>
        <v>7</v>
      </c>
      <c r="AC28" s="16">
        <f t="shared" si="20"/>
        <v>4628</v>
      </c>
      <c r="AD28" s="16">
        <f t="shared" si="20"/>
        <v>0</v>
      </c>
      <c r="AE28" s="32">
        <f t="shared" si="20"/>
        <v>8235</v>
      </c>
      <c r="AF28" s="32">
        <f t="shared" si="20"/>
        <v>12863</v>
      </c>
    </row>
    <row r="29" spans="2:32" ht="23.1" customHeight="1" x14ac:dyDescent="0.25">
      <c r="B29" s="23" t="s">
        <v>56</v>
      </c>
      <c r="C29" s="50">
        <v>40</v>
      </c>
      <c r="D29" s="50">
        <v>30</v>
      </c>
      <c r="E29" s="50">
        <v>5</v>
      </c>
      <c r="F29" s="50">
        <v>30</v>
      </c>
      <c r="G29" s="50">
        <v>0</v>
      </c>
      <c r="H29" s="50">
        <v>0</v>
      </c>
      <c r="I29" s="50">
        <v>13</v>
      </c>
      <c r="J29" s="50">
        <v>1</v>
      </c>
      <c r="K29" s="50">
        <v>2</v>
      </c>
      <c r="L29" s="50">
        <v>0</v>
      </c>
      <c r="M29" s="50">
        <v>112</v>
      </c>
      <c r="N29" s="50">
        <v>0</v>
      </c>
      <c r="O29" s="15">
        <f t="shared" si="0"/>
        <v>121</v>
      </c>
      <c r="P29" s="15">
        <f t="shared" si="1"/>
        <v>233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55</v>
      </c>
      <c r="E30" s="50">
        <v>7</v>
      </c>
      <c r="F30" s="50">
        <v>40</v>
      </c>
      <c r="G30" s="50">
        <v>0</v>
      </c>
      <c r="H30" s="50">
        <v>0</v>
      </c>
      <c r="I30" s="50">
        <v>15</v>
      </c>
      <c r="J30" s="50">
        <v>0</v>
      </c>
      <c r="K30" s="50">
        <v>0</v>
      </c>
      <c r="L30" s="50">
        <v>0</v>
      </c>
      <c r="M30" s="50">
        <v>55</v>
      </c>
      <c r="N30" s="50">
        <v>0</v>
      </c>
      <c r="O30" s="15">
        <f t="shared" si="0"/>
        <v>162</v>
      </c>
      <c r="P30" s="15">
        <f t="shared" si="1"/>
        <v>217</v>
      </c>
    </row>
    <row r="31" spans="2:32" ht="23.1" customHeight="1" x14ac:dyDescent="0.25">
      <c r="B31" s="24" t="s">
        <v>58</v>
      </c>
      <c r="C31" s="50">
        <v>31</v>
      </c>
      <c r="D31" s="50">
        <v>35</v>
      </c>
      <c r="E31" s="50">
        <v>6</v>
      </c>
      <c r="F31" s="50">
        <v>46</v>
      </c>
      <c r="G31" s="50">
        <v>0</v>
      </c>
      <c r="H31" s="50">
        <v>0</v>
      </c>
      <c r="I31" s="50">
        <v>20</v>
      </c>
      <c r="J31" s="50">
        <v>3</v>
      </c>
      <c r="K31" s="50">
        <v>0</v>
      </c>
      <c r="L31" s="50">
        <v>0</v>
      </c>
      <c r="M31" s="50">
        <v>75</v>
      </c>
      <c r="N31" s="50">
        <v>0</v>
      </c>
      <c r="O31" s="15">
        <f t="shared" si="0"/>
        <v>141</v>
      </c>
      <c r="P31" s="15">
        <f t="shared" si="1"/>
        <v>216</v>
      </c>
    </row>
    <row r="32" spans="2:32" ht="23.1" customHeight="1" x14ac:dyDescent="0.25">
      <c r="B32" s="24" t="s">
        <v>59</v>
      </c>
      <c r="C32" s="50">
        <v>25</v>
      </c>
      <c r="D32" s="50">
        <v>38</v>
      </c>
      <c r="E32" s="50">
        <v>9</v>
      </c>
      <c r="F32" s="50">
        <v>45</v>
      </c>
      <c r="G32" s="50">
        <v>0</v>
      </c>
      <c r="H32" s="50">
        <v>0</v>
      </c>
      <c r="I32" s="50">
        <v>15</v>
      </c>
      <c r="J32" s="50">
        <v>0</v>
      </c>
      <c r="K32" s="50">
        <v>0</v>
      </c>
      <c r="L32" s="50">
        <v>0</v>
      </c>
      <c r="M32" s="50">
        <v>90</v>
      </c>
      <c r="N32" s="50">
        <v>0</v>
      </c>
      <c r="O32" s="15">
        <f t="shared" si="0"/>
        <v>132</v>
      </c>
      <c r="P32" s="15">
        <f t="shared" si="1"/>
        <v>222</v>
      </c>
    </row>
    <row r="33" spans="2:20" ht="23.1" customHeight="1" x14ac:dyDescent="0.25">
      <c r="B33" s="23" t="s">
        <v>60</v>
      </c>
      <c r="C33" s="50">
        <v>50</v>
      </c>
      <c r="D33" s="50">
        <v>31</v>
      </c>
      <c r="E33" s="50">
        <v>6</v>
      </c>
      <c r="F33" s="50">
        <v>41</v>
      </c>
      <c r="G33" s="50">
        <v>0</v>
      </c>
      <c r="H33" s="50">
        <v>0</v>
      </c>
      <c r="I33" s="50">
        <v>11</v>
      </c>
      <c r="J33" s="50">
        <v>1</v>
      </c>
      <c r="K33" s="50">
        <v>0</v>
      </c>
      <c r="L33" s="50">
        <v>0</v>
      </c>
      <c r="M33" s="50">
        <v>115</v>
      </c>
      <c r="N33" s="50">
        <v>0</v>
      </c>
      <c r="O33" s="15">
        <f t="shared" si="0"/>
        <v>140</v>
      </c>
      <c r="P33" s="15">
        <f t="shared" si="1"/>
        <v>255</v>
      </c>
    </row>
    <row r="34" spans="2:20" ht="23.1" customHeight="1" x14ac:dyDescent="0.25">
      <c r="B34" s="24" t="s">
        <v>61</v>
      </c>
      <c r="C34" s="50">
        <v>67</v>
      </c>
      <c r="D34" s="50">
        <v>63</v>
      </c>
      <c r="E34" s="50">
        <v>8</v>
      </c>
      <c r="F34" s="50">
        <v>65</v>
      </c>
      <c r="G34" s="50">
        <v>0</v>
      </c>
      <c r="H34" s="50">
        <v>0</v>
      </c>
      <c r="I34" s="50">
        <v>25</v>
      </c>
      <c r="J34" s="50">
        <v>0</v>
      </c>
      <c r="K34" s="50">
        <v>0</v>
      </c>
      <c r="L34" s="50">
        <v>0</v>
      </c>
      <c r="M34" s="50">
        <v>85</v>
      </c>
      <c r="N34" s="50">
        <v>0</v>
      </c>
      <c r="O34" s="15">
        <f t="shared" si="0"/>
        <v>228</v>
      </c>
      <c r="P34" s="15">
        <f t="shared" si="1"/>
        <v>313</v>
      </c>
    </row>
    <row r="35" spans="2:20" ht="23.1" customHeight="1" x14ac:dyDescent="0.25">
      <c r="B35" s="24" t="s">
        <v>62</v>
      </c>
      <c r="C35" s="50">
        <v>50</v>
      </c>
      <c r="D35" s="50">
        <v>48</v>
      </c>
      <c r="E35" s="50">
        <v>17</v>
      </c>
      <c r="F35" s="50">
        <v>57</v>
      </c>
      <c r="G35" s="50">
        <v>0</v>
      </c>
      <c r="H35" s="50">
        <v>0</v>
      </c>
      <c r="I35" s="50">
        <v>20</v>
      </c>
      <c r="J35" s="50">
        <v>2</v>
      </c>
      <c r="K35" s="50">
        <v>0</v>
      </c>
      <c r="L35" s="50">
        <v>0</v>
      </c>
      <c r="M35" s="50">
        <v>75</v>
      </c>
      <c r="N35" s="50">
        <v>0</v>
      </c>
      <c r="O35" s="15">
        <f t="shared" si="0"/>
        <v>194</v>
      </c>
      <c r="P35" s="15">
        <f t="shared" si="1"/>
        <v>269</v>
      </c>
    </row>
    <row r="36" spans="2:20" ht="23.1" customHeight="1" x14ac:dyDescent="0.25">
      <c r="B36" s="24" t="s">
        <v>63</v>
      </c>
      <c r="C36" s="50">
        <v>45</v>
      </c>
      <c r="D36" s="50">
        <v>45</v>
      </c>
      <c r="E36" s="50">
        <v>10</v>
      </c>
      <c r="F36" s="50">
        <v>35</v>
      </c>
      <c r="G36" s="50">
        <v>0</v>
      </c>
      <c r="H36" s="50">
        <v>0</v>
      </c>
      <c r="I36" s="50">
        <v>5</v>
      </c>
      <c r="J36" s="50">
        <v>0</v>
      </c>
      <c r="K36" s="50">
        <v>5</v>
      </c>
      <c r="L36" s="50">
        <v>0</v>
      </c>
      <c r="M36" s="50">
        <v>100</v>
      </c>
      <c r="N36" s="50">
        <v>0</v>
      </c>
      <c r="O36" s="15">
        <f t="shared" si="0"/>
        <v>145</v>
      </c>
      <c r="P36" s="15">
        <f t="shared" si="1"/>
        <v>245</v>
      </c>
    </row>
    <row r="37" spans="2:20" ht="23.1" customHeight="1" x14ac:dyDescent="0.25">
      <c r="B37" s="23" t="s">
        <v>64</v>
      </c>
      <c r="C37" s="50">
        <v>42</v>
      </c>
      <c r="D37" s="50">
        <v>70</v>
      </c>
      <c r="E37" s="50">
        <v>11</v>
      </c>
      <c r="F37" s="50">
        <v>50</v>
      </c>
      <c r="G37" s="50">
        <v>0</v>
      </c>
      <c r="H37" s="50">
        <v>0</v>
      </c>
      <c r="I37" s="50">
        <v>6</v>
      </c>
      <c r="J37" s="50">
        <v>0</v>
      </c>
      <c r="K37" s="50">
        <v>0</v>
      </c>
      <c r="L37" s="50">
        <v>0</v>
      </c>
      <c r="M37" s="50">
        <v>55</v>
      </c>
      <c r="N37" s="50">
        <v>0</v>
      </c>
      <c r="O37" s="15">
        <f t="shared" si="0"/>
        <v>179</v>
      </c>
      <c r="P37" s="15">
        <f t="shared" si="1"/>
        <v>234</v>
      </c>
    </row>
    <row r="38" spans="2:20" ht="23.1" customHeight="1" x14ac:dyDescent="0.25">
      <c r="B38" s="24" t="s">
        <v>65</v>
      </c>
      <c r="C38" s="50">
        <v>50</v>
      </c>
      <c r="D38" s="50">
        <v>36</v>
      </c>
      <c r="E38" s="50">
        <v>4</v>
      </c>
      <c r="F38" s="50">
        <v>85</v>
      </c>
      <c r="G38" s="50">
        <v>1</v>
      </c>
      <c r="H38" s="50">
        <v>1</v>
      </c>
      <c r="I38" s="50">
        <v>25</v>
      </c>
      <c r="J38" s="50">
        <v>0</v>
      </c>
      <c r="K38" s="50">
        <v>0</v>
      </c>
      <c r="L38" s="50">
        <v>0</v>
      </c>
      <c r="M38" s="50">
        <v>103</v>
      </c>
      <c r="N38" s="50">
        <v>0</v>
      </c>
      <c r="O38" s="15">
        <f t="shared" si="0"/>
        <v>202</v>
      </c>
      <c r="P38" s="15">
        <f t="shared" si="1"/>
        <v>305</v>
      </c>
    </row>
    <row r="39" spans="2:20" ht="23.1" customHeight="1" x14ac:dyDescent="0.25">
      <c r="B39" s="24" t="s">
        <v>66</v>
      </c>
      <c r="C39" s="50">
        <v>70</v>
      </c>
      <c r="D39" s="50">
        <v>70</v>
      </c>
      <c r="E39" s="50">
        <v>4</v>
      </c>
      <c r="F39" s="50">
        <v>85</v>
      </c>
      <c r="G39" s="50">
        <v>1</v>
      </c>
      <c r="H39" s="50">
        <v>1</v>
      </c>
      <c r="I39" s="50">
        <v>25</v>
      </c>
      <c r="J39" s="50">
        <v>0</v>
      </c>
      <c r="K39" s="50">
        <v>0</v>
      </c>
      <c r="L39" s="50">
        <v>0</v>
      </c>
      <c r="M39" s="50">
        <v>110</v>
      </c>
      <c r="N39" s="50">
        <v>0</v>
      </c>
      <c r="O39" s="15">
        <f t="shared" si="0"/>
        <v>256</v>
      </c>
      <c r="P39" s="15">
        <f t="shared" si="1"/>
        <v>366</v>
      </c>
    </row>
    <row r="40" spans="2:20" ht="23.1" customHeight="1" x14ac:dyDescent="0.25">
      <c r="B40" s="24" t="s">
        <v>67</v>
      </c>
      <c r="C40" s="50">
        <v>60</v>
      </c>
      <c r="D40" s="50">
        <v>75</v>
      </c>
      <c r="E40" s="50">
        <v>10</v>
      </c>
      <c r="F40" s="50">
        <v>85</v>
      </c>
      <c r="G40" s="50">
        <v>0</v>
      </c>
      <c r="H40" s="50">
        <v>0</v>
      </c>
      <c r="I40" s="50">
        <v>25</v>
      </c>
      <c r="J40" s="50">
        <v>0</v>
      </c>
      <c r="K40" s="50">
        <v>0</v>
      </c>
      <c r="L40" s="50">
        <v>0</v>
      </c>
      <c r="M40" s="50">
        <v>120</v>
      </c>
      <c r="N40" s="50">
        <v>0</v>
      </c>
      <c r="O40" s="15">
        <f t="shared" si="0"/>
        <v>255</v>
      </c>
      <c r="P40" s="15">
        <f t="shared" si="1"/>
        <v>375</v>
      </c>
    </row>
    <row r="41" spans="2:20" ht="23.1" customHeight="1" x14ac:dyDescent="0.25">
      <c r="B41" s="23" t="s">
        <v>68</v>
      </c>
      <c r="C41" s="50">
        <v>25</v>
      </c>
      <c r="D41" s="50">
        <v>65</v>
      </c>
      <c r="E41" s="50">
        <v>4</v>
      </c>
      <c r="F41" s="50">
        <v>60</v>
      </c>
      <c r="G41" s="50">
        <v>0</v>
      </c>
      <c r="H41" s="50">
        <v>0</v>
      </c>
      <c r="I41" s="50">
        <v>37</v>
      </c>
      <c r="J41" s="50">
        <v>0</v>
      </c>
      <c r="K41" s="50">
        <v>0</v>
      </c>
      <c r="L41" s="50">
        <v>0</v>
      </c>
      <c r="M41" s="50">
        <v>125</v>
      </c>
      <c r="N41" s="50">
        <v>0</v>
      </c>
      <c r="O41" s="15">
        <f t="shared" si="0"/>
        <v>191</v>
      </c>
      <c r="P41" s="15">
        <f t="shared" si="1"/>
        <v>316</v>
      </c>
    </row>
    <row r="42" spans="2:20" ht="23.1" customHeight="1" x14ac:dyDescent="0.25">
      <c r="B42" s="24" t="s">
        <v>69</v>
      </c>
      <c r="C42" s="50">
        <v>60</v>
      </c>
      <c r="D42" s="50">
        <v>65</v>
      </c>
      <c r="E42" s="50">
        <v>13</v>
      </c>
      <c r="F42" s="50">
        <v>65</v>
      </c>
      <c r="G42" s="50">
        <v>1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100</v>
      </c>
      <c r="N42" s="50">
        <v>0</v>
      </c>
      <c r="O42" s="15">
        <f t="shared" si="0"/>
        <v>208</v>
      </c>
      <c r="P42" s="15">
        <f t="shared" si="1"/>
        <v>308</v>
      </c>
    </row>
    <row r="43" spans="2:20" ht="23.1" customHeight="1" x14ac:dyDescent="0.25">
      <c r="B43" s="23" t="s">
        <v>70</v>
      </c>
      <c r="C43" s="50">
        <v>80</v>
      </c>
      <c r="D43" s="50">
        <v>70</v>
      </c>
      <c r="E43" s="50">
        <v>14</v>
      </c>
      <c r="F43" s="50">
        <v>55</v>
      </c>
      <c r="G43" s="50">
        <v>0</v>
      </c>
      <c r="H43" s="50">
        <v>0</v>
      </c>
      <c r="I43" s="50">
        <v>10</v>
      </c>
      <c r="J43" s="50">
        <v>1</v>
      </c>
      <c r="K43" s="50">
        <v>0</v>
      </c>
      <c r="L43" s="50">
        <v>0</v>
      </c>
      <c r="M43" s="50">
        <v>115</v>
      </c>
      <c r="N43" s="50">
        <v>0</v>
      </c>
      <c r="O43" s="15">
        <f t="shared" si="0"/>
        <v>230</v>
      </c>
      <c r="P43" s="15">
        <f t="shared" si="1"/>
        <v>345</v>
      </c>
    </row>
    <row r="44" spans="2:20" ht="23.1" customHeight="1" x14ac:dyDescent="0.25">
      <c r="B44" s="25" t="s">
        <v>71</v>
      </c>
      <c r="C44" s="50">
        <v>55</v>
      </c>
      <c r="D44" s="50">
        <v>60</v>
      </c>
      <c r="E44" s="50">
        <v>10</v>
      </c>
      <c r="F44" s="50">
        <v>90</v>
      </c>
      <c r="G44" s="50">
        <v>0</v>
      </c>
      <c r="H44" s="50">
        <v>1</v>
      </c>
      <c r="I44" s="50">
        <v>6</v>
      </c>
      <c r="J44" s="50">
        <v>0</v>
      </c>
      <c r="K44" s="50">
        <v>4</v>
      </c>
      <c r="L44" s="50">
        <v>2</v>
      </c>
      <c r="M44" s="50">
        <v>120</v>
      </c>
      <c r="N44" s="50">
        <v>0</v>
      </c>
      <c r="O44" s="15">
        <f t="shared" si="0"/>
        <v>228</v>
      </c>
      <c r="P44" s="15">
        <f t="shared" si="1"/>
        <v>348</v>
      </c>
    </row>
    <row r="45" spans="2:20" ht="23.1" customHeight="1" x14ac:dyDescent="0.25">
      <c r="B45" s="23" t="s">
        <v>72</v>
      </c>
      <c r="C45" s="50">
        <v>55</v>
      </c>
      <c r="D45" s="50">
        <v>35</v>
      </c>
      <c r="E45" s="50">
        <v>15</v>
      </c>
      <c r="F45" s="50">
        <v>45</v>
      </c>
      <c r="G45" s="50">
        <v>0</v>
      </c>
      <c r="H45" s="50">
        <v>0</v>
      </c>
      <c r="I45" s="50">
        <v>7</v>
      </c>
      <c r="J45" s="50">
        <v>0</v>
      </c>
      <c r="K45" s="50">
        <v>0</v>
      </c>
      <c r="L45" s="50">
        <v>0</v>
      </c>
      <c r="M45" s="50">
        <v>95</v>
      </c>
      <c r="N45" s="50">
        <v>0</v>
      </c>
      <c r="O45" s="15">
        <f t="shared" si="0"/>
        <v>157</v>
      </c>
      <c r="P45" s="15">
        <f t="shared" si="1"/>
        <v>252</v>
      </c>
    </row>
    <row r="46" spans="2:20" ht="23.1" customHeight="1" x14ac:dyDescent="0.25">
      <c r="B46" s="24" t="s">
        <v>73</v>
      </c>
      <c r="C46" s="50">
        <v>60</v>
      </c>
      <c r="D46" s="50">
        <v>60</v>
      </c>
      <c r="E46" s="50">
        <v>18</v>
      </c>
      <c r="F46" s="50">
        <v>25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100</v>
      </c>
      <c r="N46" s="50">
        <v>0</v>
      </c>
      <c r="O46" s="15">
        <f t="shared" si="0"/>
        <v>166</v>
      </c>
      <c r="P46" s="15">
        <f t="shared" si="1"/>
        <v>266</v>
      </c>
      <c r="R46" s="8"/>
      <c r="T46"/>
    </row>
    <row r="47" spans="2:20" ht="23.1" customHeight="1" x14ac:dyDescent="0.25">
      <c r="B47" s="24" t="s">
        <v>74</v>
      </c>
      <c r="C47" s="50">
        <v>71</v>
      </c>
      <c r="D47" s="50">
        <v>85</v>
      </c>
      <c r="E47" s="50">
        <v>15</v>
      </c>
      <c r="F47" s="50">
        <v>56</v>
      </c>
      <c r="G47" s="50">
        <v>0</v>
      </c>
      <c r="H47" s="50">
        <v>0</v>
      </c>
      <c r="I47" s="50">
        <v>9</v>
      </c>
      <c r="J47" s="50">
        <v>0</v>
      </c>
      <c r="K47" s="50">
        <v>3</v>
      </c>
      <c r="L47" s="50">
        <v>3</v>
      </c>
      <c r="M47" s="50">
        <v>105</v>
      </c>
      <c r="N47" s="50">
        <v>0</v>
      </c>
      <c r="O47" s="15">
        <f t="shared" si="0"/>
        <v>242</v>
      </c>
      <c r="P47" s="15">
        <f t="shared" si="1"/>
        <v>347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75</v>
      </c>
      <c r="E48" s="50">
        <v>5</v>
      </c>
      <c r="F48" s="50">
        <v>60</v>
      </c>
      <c r="G48" s="50">
        <v>1</v>
      </c>
      <c r="H48" s="50">
        <v>2</v>
      </c>
      <c r="I48" s="50">
        <v>16</v>
      </c>
      <c r="J48" s="50">
        <v>2</v>
      </c>
      <c r="K48" s="50">
        <v>0</v>
      </c>
      <c r="L48" s="50">
        <v>0</v>
      </c>
      <c r="M48" s="50">
        <v>90</v>
      </c>
      <c r="N48" s="50">
        <v>0</v>
      </c>
      <c r="O48" s="15">
        <f t="shared" si="0"/>
        <v>216</v>
      </c>
      <c r="P48" s="15">
        <f t="shared" si="1"/>
        <v>306</v>
      </c>
      <c r="R48" s="8"/>
      <c r="T48"/>
    </row>
    <row r="49" spans="2:20" ht="23.1" customHeight="1" x14ac:dyDescent="0.25">
      <c r="B49" s="23" t="s">
        <v>76</v>
      </c>
      <c r="C49" s="50">
        <v>50</v>
      </c>
      <c r="D49" s="50">
        <v>65</v>
      </c>
      <c r="E49" s="50">
        <v>1</v>
      </c>
      <c r="F49" s="50">
        <v>45</v>
      </c>
      <c r="G49" s="50">
        <v>0</v>
      </c>
      <c r="H49" s="50">
        <v>0</v>
      </c>
      <c r="I49" s="50">
        <v>0</v>
      </c>
      <c r="J49" s="50">
        <v>0</v>
      </c>
      <c r="K49" s="50">
        <v>2</v>
      </c>
      <c r="L49" s="50">
        <v>0</v>
      </c>
      <c r="M49" s="50">
        <v>100</v>
      </c>
      <c r="N49" s="50">
        <v>0</v>
      </c>
      <c r="O49" s="15">
        <f t="shared" si="0"/>
        <v>163</v>
      </c>
      <c r="P49" s="15">
        <f t="shared" si="1"/>
        <v>263</v>
      </c>
      <c r="R49" s="8"/>
      <c r="T49"/>
    </row>
    <row r="50" spans="2:20" ht="23.1" customHeight="1" x14ac:dyDescent="0.25">
      <c r="B50" s="24" t="s">
        <v>77</v>
      </c>
      <c r="C50" s="50">
        <v>74</v>
      </c>
      <c r="D50" s="50">
        <v>10</v>
      </c>
      <c r="E50" s="50">
        <v>8</v>
      </c>
      <c r="F50" s="50">
        <v>90</v>
      </c>
      <c r="G50" s="50">
        <v>1</v>
      </c>
      <c r="H50" s="50">
        <v>1</v>
      </c>
      <c r="I50" s="50">
        <v>50</v>
      </c>
      <c r="J50" s="50">
        <v>0</v>
      </c>
      <c r="K50" s="50">
        <v>0</v>
      </c>
      <c r="L50" s="50">
        <v>0</v>
      </c>
      <c r="M50" s="50">
        <v>100</v>
      </c>
      <c r="N50" s="50">
        <v>0</v>
      </c>
      <c r="O50" s="15">
        <f t="shared" si="0"/>
        <v>234</v>
      </c>
      <c r="P50" s="15">
        <f t="shared" si="1"/>
        <v>334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31</v>
      </c>
      <c r="E51" s="50">
        <v>7</v>
      </c>
      <c r="F51" s="50">
        <v>80</v>
      </c>
      <c r="G51" s="50">
        <v>3</v>
      </c>
      <c r="H51" s="50">
        <v>0</v>
      </c>
      <c r="I51" s="50">
        <v>7</v>
      </c>
      <c r="J51" s="50">
        <v>2</v>
      </c>
      <c r="K51" s="50">
        <v>3</v>
      </c>
      <c r="L51" s="50">
        <v>1</v>
      </c>
      <c r="M51" s="50">
        <v>115</v>
      </c>
      <c r="N51" s="50">
        <v>0</v>
      </c>
      <c r="O51" s="15">
        <f t="shared" si="0"/>
        <v>204</v>
      </c>
      <c r="P51" s="15">
        <f t="shared" si="1"/>
        <v>319</v>
      </c>
      <c r="R51" s="8"/>
      <c r="T51"/>
    </row>
    <row r="52" spans="2:20" ht="23.1" customHeight="1" x14ac:dyDescent="0.25">
      <c r="B52" s="24" t="s">
        <v>79</v>
      </c>
      <c r="C52" s="50">
        <v>100</v>
      </c>
      <c r="D52" s="50">
        <v>48</v>
      </c>
      <c r="E52" s="50">
        <v>8</v>
      </c>
      <c r="F52" s="50">
        <v>75</v>
      </c>
      <c r="G52" s="50">
        <v>1</v>
      </c>
      <c r="H52" s="50">
        <v>1</v>
      </c>
      <c r="I52" s="50">
        <v>6</v>
      </c>
      <c r="J52" s="50">
        <v>5</v>
      </c>
      <c r="K52" s="50">
        <v>3</v>
      </c>
      <c r="L52" s="50">
        <v>0</v>
      </c>
      <c r="M52" s="50">
        <v>90</v>
      </c>
      <c r="N52" s="50">
        <v>0</v>
      </c>
      <c r="O52" s="15">
        <f t="shared" si="0"/>
        <v>247</v>
      </c>
      <c r="P52" s="15">
        <f t="shared" si="1"/>
        <v>337</v>
      </c>
      <c r="R52" s="8"/>
      <c r="T52"/>
    </row>
    <row r="53" spans="2:20" ht="23.1" customHeight="1" x14ac:dyDescent="0.25">
      <c r="B53" s="23" t="s">
        <v>80</v>
      </c>
      <c r="C53" s="50">
        <v>102</v>
      </c>
      <c r="D53" s="50">
        <v>31</v>
      </c>
      <c r="E53" s="50">
        <v>16</v>
      </c>
      <c r="F53" s="50">
        <v>85</v>
      </c>
      <c r="G53" s="50">
        <v>0</v>
      </c>
      <c r="H53" s="50">
        <v>0</v>
      </c>
      <c r="I53" s="50">
        <v>7</v>
      </c>
      <c r="J53" s="50">
        <v>5</v>
      </c>
      <c r="K53" s="50">
        <v>5</v>
      </c>
      <c r="L53" s="50">
        <v>0</v>
      </c>
      <c r="M53" s="50">
        <v>157</v>
      </c>
      <c r="N53" s="50">
        <v>0</v>
      </c>
      <c r="O53" s="15">
        <f t="shared" si="0"/>
        <v>251</v>
      </c>
      <c r="P53" s="15">
        <f t="shared" si="1"/>
        <v>408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86</v>
      </c>
      <c r="E54" s="50">
        <v>24</v>
      </c>
      <c r="F54" s="50">
        <v>90</v>
      </c>
      <c r="G54" s="50">
        <v>2</v>
      </c>
      <c r="H54" s="50">
        <v>0</v>
      </c>
      <c r="I54" s="50">
        <v>10</v>
      </c>
      <c r="J54" s="50">
        <v>0</v>
      </c>
      <c r="K54" s="50">
        <v>0</v>
      </c>
      <c r="L54" s="50">
        <v>0</v>
      </c>
      <c r="M54" s="50">
        <v>130</v>
      </c>
      <c r="N54" s="50">
        <v>0</v>
      </c>
      <c r="O54" s="15">
        <f t="shared" si="0"/>
        <v>287</v>
      </c>
      <c r="P54" s="15">
        <f t="shared" si="1"/>
        <v>417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80</v>
      </c>
      <c r="E55" s="50">
        <v>9</v>
      </c>
      <c r="F55" s="50">
        <v>60</v>
      </c>
      <c r="G55" s="50">
        <v>10</v>
      </c>
      <c r="H55" s="50">
        <v>0</v>
      </c>
      <c r="I55" s="50">
        <v>9</v>
      </c>
      <c r="J55" s="50">
        <v>0</v>
      </c>
      <c r="K55" s="50">
        <v>0</v>
      </c>
      <c r="L55" s="50">
        <v>0</v>
      </c>
      <c r="M55" s="50">
        <v>120</v>
      </c>
      <c r="N55" s="50">
        <v>0</v>
      </c>
      <c r="O55" s="15">
        <f t="shared" si="0"/>
        <v>228</v>
      </c>
      <c r="P55" s="15">
        <f t="shared" si="1"/>
        <v>348</v>
      </c>
      <c r="R55" s="8"/>
      <c r="T55"/>
    </row>
    <row r="56" spans="2:20" ht="23.1" customHeight="1" x14ac:dyDescent="0.25">
      <c r="B56" s="23" t="s">
        <v>83</v>
      </c>
      <c r="C56" s="50">
        <v>85</v>
      </c>
      <c r="D56" s="50">
        <v>85</v>
      </c>
      <c r="E56" s="50">
        <v>2</v>
      </c>
      <c r="F56" s="50">
        <v>80</v>
      </c>
      <c r="G56" s="50">
        <v>0</v>
      </c>
      <c r="H56" s="50">
        <v>0</v>
      </c>
      <c r="I56" s="50">
        <v>7</v>
      </c>
      <c r="J56" s="50">
        <v>5</v>
      </c>
      <c r="K56" s="50">
        <v>0</v>
      </c>
      <c r="L56" s="50">
        <v>0</v>
      </c>
      <c r="M56" s="50">
        <v>130</v>
      </c>
      <c r="N56" s="50">
        <v>0</v>
      </c>
      <c r="O56" s="15">
        <f t="shared" si="0"/>
        <v>264</v>
      </c>
      <c r="P56" s="15">
        <f t="shared" si="1"/>
        <v>394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80</v>
      </c>
      <c r="E57" s="50">
        <v>0</v>
      </c>
      <c r="F57" s="50">
        <v>65</v>
      </c>
      <c r="G57" s="50">
        <v>3</v>
      </c>
      <c r="H57" s="50">
        <v>0</v>
      </c>
      <c r="I57" s="50">
        <v>17</v>
      </c>
      <c r="J57" s="50">
        <v>1</v>
      </c>
      <c r="K57" s="50">
        <v>0</v>
      </c>
      <c r="L57" s="50">
        <v>0</v>
      </c>
      <c r="M57" s="50">
        <v>135</v>
      </c>
      <c r="N57" s="50">
        <v>0</v>
      </c>
      <c r="O57" s="15">
        <f t="shared" si="0"/>
        <v>241</v>
      </c>
      <c r="P57" s="15">
        <f t="shared" si="1"/>
        <v>376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2397</v>
      </c>
      <c r="D58" s="16">
        <f t="shared" si="21"/>
        <v>2281</v>
      </c>
      <c r="E58" s="16">
        <f t="shared" si="21"/>
        <v>418</v>
      </c>
      <c r="F58" s="16">
        <f t="shared" si="21"/>
        <v>2494</v>
      </c>
      <c r="G58" s="16">
        <f t="shared" si="21"/>
        <v>40</v>
      </c>
      <c r="H58" s="16">
        <f t="shared" si="21"/>
        <v>18</v>
      </c>
      <c r="I58" s="16">
        <f t="shared" si="21"/>
        <v>508</v>
      </c>
      <c r="J58" s="16">
        <f t="shared" si="21"/>
        <v>40</v>
      </c>
      <c r="K58" s="16">
        <f t="shared" si="21"/>
        <v>32</v>
      </c>
      <c r="L58" s="16">
        <f t="shared" si="21"/>
        <v>7</v>
      </c>
      <c r="M58" s="16">
        <f t="shared" si="21"/>
        <v>4628</v>
      </c>
      <c r="N58" s="16">
        <f t="shared" si="21"/>
        <v>0</v>
      </c>
      <c r="O58" s="16">
        <f t="shared" si="21"/>
        <v>8235</v>
      </c>
      <c r="P58" s="16">
        <f t="shared" si="21"/>
        <v>12863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0.18634844126564565</v>
      </c>
      <c r="D59" s="43">
        <f t="shared" si="22"/>
        <v>0.17733032729534323</v>
      </c>
      <c r="E59" s="43">
        <f t="shared" si="22"/>
        <v>3.2496307237813882E-2</v>
      </c>
      <c r="F59" s="43">
        <f t="shared" si="22"/>
        <v>0.19388945036150199</v>
      </c>
      <c r="G59" s="43">
        <f t="shared" si="22"/>
        <v>3.1096944725180751E-3</v>
      </c>
      <c r="H59" s="43">
        <f t="shared" si="22"/>
        <v>1.3993625126331338E-3</v>
      </c>
      <c r="I59" s="43">
        <f t="shared" si="22"/>
        <v>3.9493119800979554E-2</v>
      </c>
      <c r="J59" s="43">
        <f t="shared" si="22"/>
        <v>3.1096944725180751E-3</v>
      </c>
      <c r="K59" s="43">
        <f t="shared" si="22"/>
        <v>2.48775557801446E-3</v>
      </c>
      <c r="L59" s="43">
        <f t="shared" si="22"/>
        <v>5.4419653269066311E-4</v>
      </c>
      <c r="M59" s="43">
        <f t="shared" si="22"/>
        <v>0.35979165047034128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0.29107468123861568</v>
      </c>
      <c r="D60" s="44">
        <f t="shared" ref="D60:N60" si="23">D58/$O$58</f>
        <v>0.27698846387370979</v>
      </c>
      <c r="E60" s="44">
        <f t="shared" si="23"/>
        <v>5.0758955676988467E-2</v>
      </c>
      <c r="F60" s="44">
        <f t="shared" si="23"/>
        <v>0.30285367334547664</v>
      </c>
      <c r="G60" s="44">
        <f t="shared" si="23"/>
        <v>4.8573163327261691E-3</v>
      </c>
      <c r="H60" s="44">
        <f t="shared" si="23"/>
        <v>2.185792349726776E-3</v>
      </c>
      <c r="I60" s="44">
        <f t="shared" si="23"/>
        <v>6.1687917425622345E-2</v>
      </c>
      <c r="J60" s="44">
        <f t="shared" si="23"/>
        <v>4.8573163327261691E-3</v>
      </c>
      <c r="K60" s="44">
        <f t="shared" si="23"/>
        <v>3.8858530661809352E-3</v>
      </c>
      <c r="L60" s="44">
        <f t="shared" si="23"/>
        <v>8.500303582270795E-4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19.5" customHeight="1" x14ac:dyDescent="0.25">
      <c r="C5" s="4" t="s">
        <v>3</v>
      </c>
      <c r="D5" s="36" t="str">
        <f>'23.07 KAMPALA-WAKISO'!D5</f>
        <v>23.07.19</v>
      </c>
      <c r="E5" s="3"/>
      <c r="F5" s="41" t="s">
        <v>1</v>
      </c>
      <c r="G5" s="66" t="str">
        <f>'22.07 Kampala-Wakiso'!G5:H5</f>
        <v>AFTER STABEX NANSANA</v>
      </c>
      <c r="H5" s="67"/>
      <c r="I5" s="14"/>
      <c r="J5" s="2" t="s">
        <v>5</v>
      </c>
      <c r="K5" s="66" t="str">
        <f>'22.07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Wakiso-Kampala'!D6:E6</f>
        <v>Wakiso</v>
      </c>
      <c r="E6" s="67"/>
      <c r="F6" s="2" t="s">
        <v>2</v>
      </c>
      <c r="G6" s="66" t="str">
        <f>'22.07 Wakiso-Kampala'!G6:H6</f>
        <v>Kampala</v>
      </c>
      <c r="H6" s="67"/>
      <c r="J6" s="2" t="s">
        <v>21</v>
      </c>
      <c r="K6" s="66" t="str">
        <f>'22.07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16</v>
      </c>
      <c r="E10" s="50">
        <v>5</v>
      </c>
      <c r="F10" s="50">
        <v>45</v>
      </c>
      <c r="G10" s="50">
        <v>1</v>
      </c>
      <c r="H10" s="50">
        <v>3</v>
      </c>
      <c r="I10" s="50">
        <v>3</v>
      </c>
      <c r="J10" s="50">
        <v>1</v>
      </c>
      <c r="K10" s="50">
        <v>0</v>
      </c>
      <c r="L10" s="50">
        <v>0</v>
      </c>
      <c r="M10" s="50">
        <v>100</v>
      </c>
      <c r="N10" s="50">
        <v>0</v>
      </c>
      <c r="O10" s="15">
        <f t="shared" ref="O10:O57" si="0">SUM(C10:L10,N10)</f>
        <v>114</v>
      </c>
      <c r="P10" s="15">
        <f t="shared" ref="P10:P57" si="1">SUM(C10:N10)</f>
        <v>214</v>
      </c>
      <c r="R10" s="1" t="s">
        <v>6</v>
      </c>
      <c r="S10" s="17">
        <f t="shared" ref="S10:AF10" si="2">SUM(C10:C13)</f>
        <v>304</v>
      </c>
      <c r="T10" s="17">
        <f t="shared" si="2"/>
        <v>100</v>
      </c>
      <c r="U10" s="17">
        <f t="shared" si="2"/>
        <v>53</v>
      </c>
      <c r="V10" s="17">
        <f t="shared" si="2"/>
        <v>333</v>
      </c>
      <c r="W10" s="17">
        <f t="shared" si="2"/>
        <v>8</v>
      </c>
      <c r="X10" s="17">
        <f t="shared" si="2"/>
        <v>3</v>
      </c>
      <c r="Y10" s="17">
        <f t="shared" si="2"/>
        <v>37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630</v>
      </c>
      <c r="AD10" s="17">
        <f t="shared" si="2"/>
        <v>0</v>
      </c>
      <c r="AE10" s="31">
        <f t="shared" si="2"/>
        <v>839</v>
      </c>
      <c r="AF10" s="31">
        <f t="shared" si="2"/>
        <v>1469</v>
      </c>
    </row>
    <row r="11" spans="2:32" s="6" customFormat="1" ht="23.1" customHeight="1" x14ac:dyDescent="0.25">
      <c r="B11" s="23" t="s">
        <v>38</v>
      </c>
      <c r="C11" s="50">
        <v>80</v>
      </c>
      <c r="D11" s="50">
        <v>23</v>
      </c>
      <c r="E11" s="50">
        <v>12</v>
      </c>
      <c r="F11" s="50">
        <v>105</v>
      </c>
      <c r="G11" s="50">
        <v>4</v>
      </c>
      <c r="H11" s="50">
        <v>0</v>
      </c>
      <c r="I11" s="50">
        <v>15</v>
      </c>
      <c r="J11" s="50">
        <v>0</v>
      </c>
      <c r="K11" s="50">
        <v>0</v>
      </c>
      <c r="L11" s="50">
        <v>0</v>
      </c>
      <c r="M11" s="50">
        <v>150</v>
      </c>
      <c r="N11" s="50">
        <v>0</v>
      </c>
      <c r="O11" s="15">
        <f t="shared" si="0"/>
        <v>239</v>
      </c>
      <c r="P11" s="15">
        <f t="shared" si="1"/>
        <v>389</v>
      </c>
      <c r="R11" s="1" t="s">
        <v>7</v>
      </c>
      <c r="S11" s="17">
        <f t="shared" ref="S11:AF11" si="3">SUM(C14:C17)</f>
        <v>286</v>
      </c>
      <c r="T11" s="17">
        <f t="shared" si="3"/>
        <v>121</v>
      </c>
      <c r="U11" s="17">
        <f t="shared" si="3"/>
        <v>50</v>
      </c>
      <c r="V11" s="17">
        <f t="shared" si="3"/>
        <v>272</v>
      </c>
      <c r="W11" s="17">
        <f t="shared" si="3"/>
        <v>4</v>
      </c>
      <c r="X11" s="17">
        <f t="shared" si="3"/>
        <v>0</v>
      </c>
      <c r="Y11" s="17">
        <f t="shared" si="3"/>
        <v>50</v>
      </c>
      <c r="Z11" s="17">
        <f t="shared" si="3"/>
        <v>6</v>
      </c>
      <c r="AA11" s="17">
        <f t="shared" si="3"/>
        <v>2</v>
      </c>
      <c r="AB11" s="17">
        <f t="shared" si="3"/>
        <v>1</v>
      </c>
      <c r="AC11" s="17">
        <f t="shared" si="3"/>
        <v>712</v>
      </c>
      <c r="AD11" s="17">
        <f t="shared" si="3"/>
        <v>0</v>
      </c>
      <c r="AE11" s="31">
        <f t="shared" si="3"/>
        <v>792</v>
      </c>
      <c r="AF11" s="31">
        <f t="shared" si="3"/>
        <v>1504</v>
      </c>
    </row>
    <row r="12" spans="2:32" ht="23.1" customHeight="1" x14ac:dyDescent="0.25">
      <c r="B12" s="23" t="s">
        <v>39</v>
      </c>
      <c r="C12" s="50">
        <v>100</v>
      </c>
      <c r="D12" s="50">
        <v>31</v>
      </c>
      <c r="E12" s="50">
        <v>20</v>
      </c>
      <c r="F12" s="50">
        <v>120</v>
      </c>
      <c r="G12" s="50">
        <v>2</v>
      </c>
      <c r="H12" s="50">
        <v>0</v>
      </c>
      <c r="I12" s="50">
        <v>11</v>
      </c>
      <c r="J12" s="50">
        <v>0</v>
      </c>
      <c r="K12" s="50">
        <v>0</v>
      </c>
      <c r="L12" s="50">
        <v>0</v>
      </c>
      <c r="M12" s="50">
        <v>180</v>
      </c>
      <c r="N12" s="50">
        <v>0</v>
      </c>
      <c r="O12" s="15">
        <f t="shared" si="0"/>
        <v>284</v>
      </c>
      <c r="P12" s="15">
        <f t="shared" si="1"/>
        <v>464</v>
      </c>
      <c r="R12" s="1" t="s">
        <v>8</v>
      </c>
      <c r="S12" s="17">
        <f t="shared" ref="S12:AF12" si="4">SUM(C18:C21)</f>
        <v>286</v>
      </c>
      <c r="T12" s="17">
        <f t="shared" si="4"/>
        <v>112</v>
      </c>
      <c r="U12" s="17">
        <f t="shared" si="4"/>
        <v>44</v>
      </c>
      <c r="V12" s="17">
        <f t="shared" si="4"/>
        <v>315</v>
      </c>
      <c r="W12" s="17">
        <f t="shared" si="4"/>
        <v>12</v>
      </c>
      <c r="X12" s="17">
        <f t="shared" si="4"/>
        <v>5</v>
      </c>
      <c r="Y12" s="17">
        <f t="shared" si="4"/>
        <v>48</v>
      </c>
      <c r="Z12" s="17">
        <f t="shared" si="4"/>
        <v>8</v>
      </c>
      <c r="AA12" s="17">
        <f t="shared" si="4"/>
        <v>1</v>
      </c>
      <c r="AB12" s="17">
        <f t="shared" si="4"/>
        <v>1</v>
      </c>
      <c r="AC12" s="17">
        <f t="shared" si="4"/>
        <v>550</v>
      </c>
      <c r="AD12" s="17">
        <f t="shared" si="4"/>
        <v>0</v>
      </c>
      <c r="AE12" s="31">
        <f t="shared" si="4"/>
        <v>832</v>
      </c>
      <c r="AF12" s="31">
        <f t="shared" si="4"/>
        <v>1382</v>
      </c>
    </row>
    <row r="13" spans="2:32" ht="23.1" customHeight="1" x14ac:dyDescent="0.25">
      <c r="B13" s="23" t="s">
        <v>40</v>
      </c>
      <c r="C13" s="50">
        <v>84</v>
      </c>
      <c r="D13" s="50">
        <v>30</v>
      </c>
      <c r="E13" s="50">
        <v>16</v>
      </c>
      <c r="F13" s="50">
        <v>63</v>
      </c>
      <c r="G13" s="50">
        <v>1</v>
      </c>
      <c r="H13" s="50">
        <v>0</v>
      </c>
      <c r="I13" s="50">
        <v>8</v>
      </c>
      <c r="J13" s="50">
        <v>0</v>
      </c>
      <c r="K13" s="50">
        <v>0</v>
      </c>
      <c r="L13" s="50">
        <v>0</v>
      </c>
      <c r="M13" s="50">
        <v>200</v>
      </c>
      <c r="N13" s="50">
        <v>0</v>
      </c>
      <c r="O13" s="15">
        <f t="shared" si="0"/>
        <v>202</v>
      </c>
      <c r="P13" s="15">
        <f t="shared" si="1"/>
        <v>402</v>
      </c>
      <c r="R13" s="1" t="s">
        <v>9</v>
      </c>
      <c r="S13" s="17">
        <f t="shared" ref="S13:AF13" si="5">SUM(C22:C25)</f>
        <v>259</v>
      </c>
      <c r="T13" s="17">
        <f t="shared" si="5"/>
        <v>81</v>
      </c>
      <c r="U13" s="17">
        <f t="shared" si="5"/>
        <v>45</v>
      </c>
      <c r="V13" s="17">
        <f t="shared" si="5"/>
        <v>284</v>
      </c>
      <c r="W13" s="17">
        <f t="shared" si="5"/>
        <v>3</v>
      </c>
      <c r="X13" s="17">
        <f t="shared" si="5"/>
        <v>0</v>
      </c>
      <c r="Y13" s="17">
        <f t="shared" si="5"/>
        <v>38</v>
      </c>
      <c r="Z13" s="17">
        <f t="shared" si="5"/>
        <v>3</v>
      </c>
      <c r="AA13" s="17">
        <f t="shared" si="5"/>
        <v>3</v>
      </c>
      <c r="AB13" s="17">
        <f t="shared" si="5"/>
        <v>1</v>
      </c>
      <c r="AC13" s="17">
        <f t="shared" si="5"/>
        <v>592</v>
      </c>
      <c r="AD13" s="17">
        <f t="shared" si="5"/>
        <v>0</v>
      </c>
      <c r="AE13" s="31">
        <f t="shared" si="5"/>
        <v>717</v>
      </c>
      <c r="AF13" s="31">
        <f t="shared" si="5"/>
        <v>1309</v>
      </c>
    </row>
    <row r="14" spans="2:32" ht="23.1" customHeight="1" x14ac:dyDescent="0.25">
      <c r="B14" s="23" t="s">
        <v>41</v>
      </c>
      <c r="C14" s="50">
        <v>61</v>
      </c>
      <c r="D14" s="50">
        <v>22</v>
      </c>
      <c r="E14" s="50">
        <v>12</v>
      </c>
      <c r="F14" s="50">
        <v>62</v>
      </c>
      <c r="G14" s="50">
        <v>1</v>
      </c>
      <c r="H14" s="50">
        <v>0</v>
      </c>
      <c r="I14" s="50">
        <v>15</v>
      </c>
      <c r="J14" s="50">
        <v>1</v>
      </c>
      <c r="K14" s="50">
        <v>0</v>
      </c>
      <c r="L14" s="50">
        <v>0</v>
      </c>
      <c r="M14" s="50">
        <v>195</v>
      </c>
      <c r="N14" s="50">
        <v>0</v>
      </c>
      <c r="O14" s="15">
        <f t="shared" si="0"/>
        <v>174</v>
      </c>
      <c r="P14" s="15">
        <f t="shared" si="1"/>
        <v>369</v>
      </c>
      <c r="R14" s="1" t="s">
        <v>10</v>
      </c>
      <c r="S14" s="17">
        <f t="shared" ref="S14:AF14" si="6">SUM(C26:C29)</f>
        <v>210</v>
      </c>
      <c r="T14" s="17">
        <f t="shared" si="6"/>
        <v>106</v>
      </c>
      <c r="U14" s="17">
        <f t="shared" si="6"/>
        <v>25</v>
      </c>
      <c r="V14" s="17">
        <f t="shared" si="6"/>
        <v>224</v>
      </c>
      <c r="W14" s="17">
        <f t="shared" si="6"/>
        <v>0</v>
      </c>
      <c r="X14" s="17">
        <f t="shared" si="6"/>
        <v>2</v>
      </c>
      <c r="Y14" s="17">
        <f t="shared" si="6"/>
        <v>31</v>
      </c>
      <c r="Z14" s="17">
        <f t="shared" si="6"/>
        <v>6</v>
      </c>
      <c r="AA14" s="17">
        <f t="shared" si="6"/>
        <v>4</v>
      </c>
      <c r="AB14" s="17">
        <f t="shared" si="6"/>
        <v>3</v>
      </c>
      <c r="AC14" s="17">
        <f t="shared" si="6"/>
        <v>462</v>
      </c>
      <c r="AD14" s="17">
        <f t="shared" si="6"/>
        <v>0</v>
      </c>
      <c r="AE14" s="31">
        <f t="shared" si="6"/>
        <v>611</v>
      </c>
      <c r="AF14" s="31">
        <f t="shared" si="6"/>
        <v>1073</v>
      </c>
    </row>
    <row r="15" spans="2:32" ht="23.1" customHeight="1" x14ac:dyDescent="0.25">
      <c r="B15" s="23" t="s">
        <v>42</v>
      </c>
      <c r="C15" s="50">
        <v>79</v>
      </c>
      <c r="D15" s="50">
        <v>30</v>
      </c>
      <c r="E15" s="50">
        <v>14</v>
      </c>
      <c r="F15" s="50">
        <v>58</v>
      </c>
      <c r="G15" s="50">
        <v>1</v>
      </c>
      <c r="H15" s="50">
        <v>0</v>
      </c>
      <c r="I15" s="50">
        <v>11</v>
      </c>
      <c r="J15" s="50">
        <v>1</v>
      </c>
      <c r="K15" s="50">
        <v>2</v>
      </c>
      <c r="L15" s="50">
        <v>0</v>
      </c>
      <c r="M15" s="50">
        <v>195</v>
      </c>
      <c r="N15" s="50">
        <v>0</v>
      </c>
      <c r="O15" s="15">
        <f t="shared" si="0"/>
        <v>196</v>
      </c>
      <c r="P15" s="15">
        <f t="shared" si="1"/>
        <v>391</v>
      </c>
      <c r="R15" s="1" t="s">
        <v>11</v>
      </c>
      <c r="S15" s="17">
        <f t="shared" ref="S15:AF15" si="7">SUM(C30:C33)</f>
        <v>149</v>
      </c>
      <c r="T15" s="17">
        <f t="shared" si="7"/>
        <v>58</v>
      </c>
      <c r="U15" s="17">
        <f t="shared" si="7"/>
        <v>19</v>
      </c>
      <c r="V15" s="17">
        <f t="shared" si="7"/>
        <v>203</v>
      </c>
      <c r="W15" s="17">
        <f t="shared" si="7"/>
        <v>2</v>
      </c>
      <c r="X15" s="17">
        <f t="shared" si="7"/>
        <v>0</v>
      </c>
      <c r="Y15" s="17">
        <f t="shared" si="7"/>
        <v>38</v>
      </c>
      <c r="Z15" s="17">
        <f t="shared" si="7"/>
        <v>5</v>
      </c>
      <c r="AA15" s="17">
        <f t="shared" si="7"/>
        <v>3</v>
      </c>
      <c r="AB15" s="17">
        <f t="shared" si="7"/>
        <v>7</v>
      </c>
      <c r="AC15" s="17">
        <f t="shared" si="7"/>
        <v>347</v>
      </c>
      <c r="AD15" s="17">
        <f t="shared" si="7"/>
        <v>0</v>
      </c>
      <c r="AE15" s="31">
        <f t="shared" si="7"/>
        <v>484</v>
      </c>
      <c r="AF15" s="31">
        <f t="shared" si="7"/>
        <v>831</v>
      </c>
    </row>
    <row r="16" spans="2:32" ht="23.1" customHeight="1" x14ac:dyDescent="0.25">
      <c r="B16" s="23" t="s">
        <v>43</v>
      </c>
      <c r="C16" s="50">
        <v>75</v>
      </c>
      <c r="D16" s="50">
        <v>33</v>
      </c>
      <c r="E16" s="50">
        <v>14</v>
      </c>
      <c r="F16" s="50">
        <v>90</v>
      </c>
      <c r="G16" s="50">
        <v>0</v>
      </c>
      <c r="H16" s="50">
        <v>0</v>
      </c>
      <c r="I16" s="50">
        <v>12</v>
      </c>
      <c r="J16" s="50">
        <v>0</v>
      </c>
      <c r="K16" s="50">
        <v>0</v>
      </c>
      <c r="L16" s="50">
        <v>0</v>
      </c>
      <c r="M16" s="50">
        <v>175</v>
      </c>
      <c r="N16" s="50">
        <v>0</v>
      </c>
      <c r="O16" s="15">
        <f t="shared" si="0"/>
        <v>224</v>
      </c>
      <c r="P16" s="15">
        <f t="shared" si="1"/>
        <v>399</v>
      </c>
      <c r="R16" s="1" t="s">
        <v>12</v>
      </c>
      <c r="S16" s="17">
        <f t="shared" ref="S16:AF16" si="8">SUM(C34:C37)</f>
        <v>166</v>
      </c>
      <c r="T16" s="17">
        <f t="shared" si="8"/>
        <v>51</v>
      </c>
      <c r="U16" s="17">
        <f t="shared" si="8"/>
        <v>30</v>
      </c>
      <c r="V16" s="17">
        <f t="shared" si="8"/>
        <v>209</v>
      </c>
      <c r="W16" s="17">
        <f t="shared" si="8"/>
        <v>0</v>
      </c>
      <c r="X16" s="17">
        <f t="shared" si="8"/>
        <v>16</v>
      </c>
      <c r="Y16" s="17">
        <f t="shared" si="8"/>
        <v>30</v>
      </c>
      <c r="Z16" s="17">
        <f t="shared" si="8"/>
        <v>5</v>
      </c>
      <c r="AA16" s="17">
        <f t="shared" si="8"/>
        <v>4</v>
      </c>
      <c r="AB16" s="17">
        <f t="shared" si="8"/>
        <v>5</v>
      </c>
      <c r="AC16" s="17">
        <f t="shared" si="8"/>
        <v>306</v>
      </c>
      <c r="AD16" s="17">
        <f t="shared" si="8"/>
        <v>0</v>
      </c>
      <c r="AE16" s="31">
        <f t="shared" si="8"/>
        <v>516</v>
      </c>
      <c r="AF16" s="31">
        <f t="shared" si="8"/>
        <v>822</v>
      </c>
    </row>
    <row r="17" spans="2:32" ht="23.1" customHeight="1" x14ac:dyDescent="0.25">
      <c r="B17" s="23" t="s">
        <v>44</v>
      </c>
      <c r="C17" s="50">
        <v>71</v>
      </c>
      <c r="D17" s="50">
        <v>36</v>
      </c>
      <c r="E17" s="50">
        <v>10</v>
      </c>
      <c r="F17" s="50">
        <v>62</v>
      </c>
      <c r="G17" s="50">
        <v>2</v>
      </c>
      <c r="H17" s="50">
        <v>0</v>
      </c>
      <c r="I17" s="50">
        <v>12</v>
      </c>
      <c r="J17" s="50">
        <v>4</v>
      </c>
      <c r="K17" s="50">
        <v>0</v>
      </c>
      <c r="L17" s="50">
        <v>1</v>
      </c>
      <c r="M17" s="50">
        <v>147</v>
      </c>
      <c r="N17" s="50">
        <v>0</v>
      </c>
      <c r="O17" s="15">
        <f t="shared" si="0"/>
        <v>198</v>
      </c>
      <c r="P17" s="15">
        <f t="shared" si="1"/>
        <v>345</v>
      </c>
      <c r="R17" s="1" t="s">
        <v>13</v>
      </c>
      <c r="S17" s="17">
        <f t="shared" ref="S17:AF17" si="9">SUM(C38:C41)</f>
        <v>184</v>
      </c>
      <c r="T17" s="17">
        <f t="shared" si="9"/>
        <v>61</v>
      </c>
      <c r="U17" s="17">
        <f t="shared" si="9"/>
        <v>42</v>
      </c>
      <c r="V17" s="17">
        <f t="shared" si="9"/>
        <v>247</v>
      </c>
      <c r="W17" s="17">
        <f t="shared" si="9"/>
        <v>2</v>
      </c>
      <c r="X17" s="17">
        <f t="shared" si="9"/>
        <v>0</v>
      </c>
      <c r="Y17" s="17">
        <f t="shared" si="9"/>
        <v>45</v>
      </c>
      <c r="Z17" s="17">
        <f t="shared" si="9"/>
        <v>5</v>
      </c>
      <c r="AA17" s="17">
        <f t="shared" si="9"/>
        <v>2</v>
      </c>
      <c r="AB17" s="17">
        <f t="shared" si="9"/>
        <v>2</v>
      </c>
      <c r="AC17" s="17">
        <f t="shared" si="9"/>
        <v>325</v>
      </c>
      <c r="AD17" s="17">
        <f t="shared" si="9"/>
        <v>0</v>
      </c>
      <c r="AE17" s="31">
        <f t="shared" si="9"/>
        <v>590</v>
      </c>
      <c r="AF17" s="31">
        <f t="shared" si="9"/>
        <v>915</v>
      </c>
    </row>
    <row r="18" spans="2:32" ht="23.1" customHeight="1" x14ac:dyDescent="0.25">
      <c r="B18" s="23" t="s">
        <v>45</v>
      </c>
      <c r="C18" s="50">
        <v>63</v>
      </c>
      <c r="D18" s="50">
        <v>22</v>
      </c>
      <c r="E18" s="50">
        <v>9</v>
      </c>
      <c r="F18" s="50">
        <v>67</v>
      </c>
      <c r="G18" s="50">
        <v>3</v>
      </c>
      <c r="H18" s="50">
        <v>1</v>
      </c>
      <c r="I18" s="50">
        <v>7</v>
      </c>
      <c r="J18" s="50">
        <v>1</v>
      </c>
      <c r="K18" s="50">
        <v>0</v>
      </c>
      <c r="L18" s="50">
        <v>0</v>
      </c>
      <c r="M18" s="50">
        <v>140</v>
      </c>
      <c r="N18" s="50">
        <v>0</v>
      </c>
      <c r="O18" s="15">
        <f t="shared" si="0"/>
        <v>173</v>
      </c>
      <c r="P18" s="15">
        <f t="shared" si="1"/>
        <v>313</v>
      </c>
      <c r="R18" s="1" t="s">
        <v>14</v>
      </c>
      <c r="S18" s="17">
        <f t="shared" ref="S18:AF18" si="10">SUM(C42:C45)</f>
        <v>230</v>
      </c>
      <c r="T18" s="17">
        <f t="shared" si="10"/>
        <v>38</v>
      </c>
      <c r="U18" s="17">
        <f t="shared" si="10"/>
        <v>29</v>
      </c>
      <c r="V18" s="17">
        <f t="shared" si="10"/>
        <v>276</v>
      </c>
      <c r="W18" s="17">
        <f t="shared" si="10"/>
        <v>7</v>
      </c>
      <c r="X18" s="17">
        <f t="shared" si="10"/>
        <v>1</v>
      </c>
      <c r="Y18" s="17">
        <f t="shared" si="10"/>
        <v>42</v>
      </c>
      <c r="Z18" s="17">
        <f t="shared" si="10"/>
        <v>10</v>
      </c>
      <c r="AA18" s="17">
        <f t="shared" si="10"/>
        <v>6</v>
      </c>
      <c r="AB18" s="17">
        <f t="shared" si="10"/>
        <v>3</v>
      </c>
      <c r="AC18" s="17">
        <f t="shared" si="10"/>
        <v>377</v>
      </c>
      <c r="AD18" s="17">
        <f t="shared" si="10"/>
        <v>1</v>
      </c>
      <c r="AE18" s="31">
        <f t="shared" si="10"/>
        <v>643</v>
      </c>
      <c r="AF18" s="31">
        <f t="shared" si="10"/>
        <v>1020</v>
      </c>
    </row>
    <row r="19" spans="2:32" ht="23.1" customHeight="1" x14ac:dyDescent="0.25">
      <c r="B19" s="23" t="s">
        <v>46</v>
      </c>
      <c r="C19" s="50">
        <v>70</v>
      </c>
      <c r="D19" s="50">
        <v>22</v>
      </c>
      <c r="E19" s="50">
        <v>9</v>
      </c>
      <c r="F19" s="50">
        <v>81</v>
      </c>
      <c r="G19" s="50">
        <v>3</v>
      </c>
      <c r="H19" s="50">
        <v>1</v>
      </c>
      <c r="I19" s="50">
        <v>13</v>
      </c>
      <c r="J19" s="50">
        <v>0</v>
      </c>
      <c r="K19" s="50">
        <v>0</v>
      </c>
      <c r="L19" s="50">
        <v>0</v>
      </c>
      <c r="M19" s="50">
        <v>155</v>
      </c>
      <c r="N19" s="50">
        <v>0</v>
      </c>
      <c r="O19" s="15">
        <f t="shared" si="0"/>
        <v>199</v>
      </c>
      <c r="P19" s="15">
        <f t="shared" si="1"/>
        <v>354</v>
      </c>
      <c r="R19" s="1" t="s">
        <v>15</v>
      </c>
      <c r="S19" s="17">
        <f t="shared" ref="S19:AF19" si="11">SUM(C46:C49)</f>
        <v>267</v>
      </c>
      <c r="T19" s="17">
        <f t="shared" si="11"/>
        <v>93</v>
      </c>
      <c r="U19" s="17">
        <f t="shared" si="11"/>
        <v>55</v>
      </c>
      <c r="V19" s="17">
        <f t="shared" si="11"/>
        <v>200</v>
      </c>
      <c r="W19" s="17">
        <f t="shared" si="11"/>
        <v>5</v>
      </c>
      <c r="X19" s="17">
        <f t="shared" si="11"/>
        <v>1</v>
      </c>
      <c r="Y19" s="17">
        <f t="shared" si="11"/>
        <v>42</v>
      </c>
      <c r="Z19" s="17">
        <f t="shared" si="11"/>
        <v>6</v>
      </c>
      <c r="AA19" s="17">
        <f t="shared" si="11"/>
        <v>1</v>
      </c>
      <c r="AB19" s="17">
        <f t="shared" si="11"/>
        <v>6</v>
      </c>
      <c r="AC19" s="17">
        <f t="shared" si="11"/>
        <v>320</v>
      </c>
      <c r="AD19" s="17">
        <f t="shared" si="11"/>
        <v>0</v>
      </c>
      <c r="AE19" s="31">
        <f t="shared" si="11"/>
        <v>676</v>
      </c>
      <c r="AF19" s="31">
        <f t="shared" si="11"/>
        <v>996</v>
      </c>
    </row>
    <row r="20" spans="2:32" ht="23.1" customHeight="1" x14ac:dyDescent="0.25">
      <c r="B20" s="23" t="s">
        <v>47</v>
      </c>
      <c r="C20" s="50">
        <v>75</v>
      </c>
      <c r="D20" s="50">
        <v>48</v>
      </c>
      <c r="E20" s="50">
        <v>15</v>
      </c>
      <c r="F20" s="50">
        <v>95</v>
      </c>
      <c r="G20" s="50">
        <v>3</v>
      </c>
      <c r="H20" s="50">
        <v>2</v>
      </c>
      <c r="I20" s="50">
        <v>11</v>
      </c>
      <c r="J20" s="50">
        <v>1</v>
      </c>
      <c r="K20" s="50">
        <v>0</v>
      </c>
      <c r="L20" s="50">
        <v>1</v>
      </c>
      <c r="M20" s="50">
        <v>135</v>
      </c>
      <c r="N20" s="50">
        <v>0</v>
      </c>
      <c r="O20" s="15">
        <f t="shared" si="0"/>
        <v>251</v>
      </c>
      <c r="P20" s="15">
        <f t="shared" si="1"/>
        <v>386</v>
      </c>
      <c r="R20" s="1" t="s">
        <v>16</v>
      </c>
      <c r="S20" s="17">
        <f t="shared" ref="S20:AF20" si="12">SUM(C50:C53)</f>
        <v>255</v>
      </c>
      <c r="T20" s="17">
        <f t="shared" si="12"/>
        <v>89</v>
      </c>
      <c r="U20" s="17">
        <f t="shared" si="12"/>
        <v>33</v>
      </c>
      <c r="V20" s="17">
        <f t="shared" si="12"/>
        <v>285</v>
      </c>
      <c r="W20" s="17">
        <f t="shared" si="12"/>
        <v>6</v>
      </c>
      <c r="X20" s="17">
        <f t="shared" si="12"/>
        <v>0</v>
      </c>
      <c r="Y20" s="17">
        <f t="shared" si="12"/>
        <v>54</v>
      </c>
      <c r="Z20" s="17">
        <f t="shared" si="12"/>
        <v>3</v>
      </c>
      <c r="AA20" s="17">
        <f t="shared" si="12"/>
        <v>4</v>
      </c>
      <c r="AB20" s="17">
        <f t="shared" si="12"/>
        <v>2</v>
      </c>
      <c r="AC20" s="17">
        <f t="shared" si="12"/>
        <v>450</v>
      </c>
      <c r="AD20" s="17">
        <f t="shared" si="12"/>
        <v>0</v>
      </c>
      <c r="AE20" s="31">
        <f t="shared" si="12"/>
        <v>731</v>
      </c>
      <c r="AF20" s="31">
        <f t="shared" si="12"/>
        <v>1181</v>
      </c>
    </row>
    <row r="21" spans="2:32" ht="23.1" customHeight="1" x14ac:dyDescent="0.25">
      <c r="B21" s="23" t="s">
        <v>48</v>
      </c>
      <c r="C21" s="50">
        <v>78</v>
      </c>
      <c r="D21" s="50">
        <v>20</v>
      </c>
      <c r="E21" s="50">
        <v>11</v>
      </c>
      <c r="F21" s="50">
        <v>72</v>
      </c>
      <c r="G21" s="50">
        <v>3</v>
      </c>
      <c r="H21" s="50">
        <v>1</v>
      </c>
      <c r="I21" s="50">
        <v>17</v>
      </c>
      <c r="J21" s="50">
        <v>6</v>
      </c>
      <c r="K21" s="50">
        <v>1</v>
      </c>
      <c r="L21" s="50">
        <v>0</v>
      </c>
      <c r="M21" s="50">
        <v>120</v>
      </c>
      <c r="N21" s="50">
        <v>0</v>
      </c>
      <c r="O21" s="15">
        <f t="shared" si="0"/>
        <v>209</v>
      </c>
      <c r="P21" s="15">
        <f t="shared" si="1"/>
        <v>329</v>
      </c>
      <c r="R21" s="36" t="s">
        <v>20</v>
      </c>
      <c r="S21" s="34">
        <f t="shared" ref="S21:AF21" si="13">SUM(C54:C57)</f>
        <v>239</v>
      </c>
      <c r="T21" s="17">
        <f t="shared" si="13"/>
        <v>61</v>
      </c>
      <c r="U21" s="17">
        <f t="shared" si="13"/>
        <v>47</v>
      </c>
      <c r="V21" s="17">
        <f t="shared" si="13"/>
        <v>303</v>
      </c>
      <c r="W21" s="17">
        <f t="shared" si="13"/>
        <v>8</v>
      </c>
      <c r="X21" s="17">
        <f t="shared" si="13"/>
        <v>1</v>
      </c>
      <c r="Y21" s="17">
        <f t="shared" si="13"/>
        <v>40</v>
      </c>
      <c r="Z21" s="17">
        <f t="shared" si="13"/>
        <v>7</v>
      </c>
      <c r="AA21" s="17">
        <f t="shared" si="13"/>
        <v>3</v>
      </c>
      <c r="AB21" s="17">
        <f t="shared" si="13"/>
        <v>3</v>
      </c>
      <c r="AC21" s="17">
        <f t="shared" si="13"/>
        <v>610</v>
      </c>
      <c r="AD21" s="17">
        <f t="shared" si="13"/>
        <v>0</v>
      </c>
      <c r="AE21" s="31">
        <f t="shared" si="13"/>
        <v>712</v>
      </c>
      <c r="AF21" s="31">
        <f t="shared" si="13"/>
        <v>1322</v>
      </c>
    </row>
    <row r="22" spans="2:32" ht="23.1" customHeight="1" x14ac:dyDescent="0.25">
      <c r="B22" s="23" t="s">
        <v>49</v>
      </c>
      <c r="C22" s="50">
        <v>75</v>
      </c>
      <c r="D22" s="50">
        <v>16</v>
      </c>
      <c r="E22" s="50">
        <v>11</v>
      </c>
      <c r="F22" s="50">
        <v>72</v>
      </c>
      <c r="G22" s="50">
        <v>1</v>
      </c>
      <c r="H22" s="50">
        <v>0</v>
      </c>
      <c r="I22" s="50">
        <v>11</v>
      </c>
      <c r="J22" s="50">
        <v>1</v>
      </c>
      <c r="K22" s="50">
        <v>1</v>
      </c>
      <c r="L22" s="50">
        <v>0</v>
      </c>
      <c r="M22" s="50">
        <v>137</v>
      </c>
      <c r="N22" s="50">
        <v>0</v>
      </c>
      <c r="O22" s="15">
        <f t="shared" si="0"/>
        <v>188</v>
      </c>
      <c r="P22" s="15">
        <f t="shared" si="1"/>
        <v>325</v>
      </c>
      <c r="R22" s="38" t="s">
        <v>90</v>
      </c>
      <c r="S22" s="39">
        <f>MAX(S10:S12)</f>
        <v>304</v>
      </c>
      <c r="T22" s="39">
        <f t="shared" ref="T22:AF22" si="14">MAX(T10:T12)</f>
        <v>121</v>
      </c>
      <c r="U22" s="39">
        <f t="shared" si="14"/>
        <v>53</v>
      </c>
      <c r="V22" s="39">
        <f t="shared" si="14"/>
        <v>333</v>
      </c>
      <c r="W22" s="39">
        <f t="shared" si="14"/>
        <v>12</v>
      </c>
      <c r="X22" s="39">
        <f t="shared" si="14"/>
        <v>5</v>
      </c>
      <c r="Y22" s="39">
        <f t="shared" si="14"/>
        <v>50</v>
      </c>
      <c r="Z22" s="39">
        <f t="shared" si="14"/>
        <v>8</v>
      </c>
      <c r="AA22" s="39">
        <f t="shared" si="14"/>
        <v>2</v>
      </c>
      <c r="AB22" s="39">
        <f t="shared" si="14"/>
        <v>1</v>
      </c>
      <c r="AC22" s="39">
        <f t="shared" si="14"/>
        <v>712</v>
      </c>
      <c r="AD22" s="39">
        <f t="shared" si="14"/>
        <v>0</v>
      </c>
      <c r="AE22" s="40">
        <f t="shared" si="14"/>
        <v>839</v>
      </c>
      <c r="AF22" s="40">
        <f t="shared" si="14"/>
        <v>1504</v>
      </c>
    </row>
    <row r="23" spans="2:32" ht="23.1" customHeight="1" x14ac:dyDescent="0.25">
      <c r="B23" s="23" t="s">
        <v>50</v>
      </c>
      <c r="C23" s="50">
        <v>66</v>
      </c>
      <c r="D23" s="50">
        <v>21</v>
      </c>
      <c r="E23" s="50">
        <v>16</v>
      </c>
      <c r="F23" s="50">
        <v>77</v>
      </c>
      <c r="G23" s="50">
        <v>0</v>
      </c>
      <c r="H23" s="50">
        <v>0</v>
      </c>
      <c r="I23" s="50">
        <v>5</v>
      </c>
      <c r="J23" s="50">
        <v>1</v>
      </c>
      <c r="K23" s="50">
        <v>1</v>
      </c>
      <c r="L23" s="50">
        <v>0</v>
      </c>
      <c r="M23" s="50">
        <v>130</v>
      </c>
      <c r="N23" s="50">
        <v>0</v>
      </c>
      <c r="O23" s="15">
        <f t="shared" si="0"/>
        <v>187</v>
      </c>
      <c r="P23" s="15">
        <f t="shared" si="1"/>
        <v>317</v>
      </c>
      <c r="R23" s="38" t="s">
        <v>91</v>
      </c>
      <c r="S23" s="39">
        <f>MAX(S13:S18)</f>
        <v>259</v>
      </c>
      <c r="T23" s="39">
        <f t="shared" ref="T23:AF23" si="15">MAX(T13:T18)</f>
        <v>106</v>
      </c>
      <c r="U23" s="39">
        <f t="shared" si="15"/>
        <v>45</v>
      </c>
      <c r="V23" s="39">
        <f t="shared" si="15"/>
        <v>284</v>
      </c>
      <c r="W23" s="39">
        <f t="shared" si="15"/>
        <v>7</v>
      </c>
      <c r="X23" s="39">
        <f t="shared" si="15"/>
        <v>16</v>
      </c>
      <c r="Y23" s="39">
        <f t="shared" si="15"/>
        <v>45</v>
      </c>
      <c r="Z23" s="39">
        <f t="shared" si="15"/>
        <v>10</v>
      </c>
      <c r="AA23" s="39">
        <f t="shared" si="15"/>
        <v>6</v>
      </c>
      <c r="AB23" s="39">
        <f t="shared" si="15"/>
        <v>7</v>
      </c>
      <c r="AC23" s="39">
        <f t="shared" si="15"/>
        <v>592</v>
      </c>
      <c r="AD23" s="39">
        <f t="shared" si="15"/>
        <v>1</v>
      </c>
      <c r="AE23" s="40">
        <f t="shared" si="15"/>
        <v>717</v>
      </c>
      <c r="AF23" s="40">
        <f t="shared" si="15"/>
        <v>1309</v>
      </c>
    </row>
    <row r="24" spans="2:32" ht="23.1" customHeight="1" x14ac:dyDescent="0.25">
      <c r="B24" s="23" t="s">
        <v>51</v>
      </c>
      <c r="C24" s="50">
        <v>75</v>
      </c>
      <c r="D24" s="50">
        <v>31</v>
      </c>
      <c r="E24" s="50">
        <v>10</v>
      </c>
      <c r="F24" s="50">
        <v>75</v>
      </c>
      <c r="G24" s="50">
        <v>2</v>
      </c>
      <c r="H24" s="50">
        <v>0</v>
      </c>
      <c r="I24" s="50">
        <v>12</v>
      </c>
      <c r="J24" s="50">
        <v>1</v>
      </c>
      <c r="K24" s="50">
        <v>1</v>
      </c>
      <c r="L24" s="50">
        <v>1</v>
      </c>
      <c r="M24" s="50">
        <v>190</v>
      </c>
      <c r="N24" s="50">
        <v>0</v>
      </c>
      <c r="O24" s="15">
        <f t="shared" si="0"/>
        <v>208</v>
      </c>
      <c r="P24" s="15">
        <f t="shared" si="1"/>
        <v>398</v>
      </c>
      <c r="R24" s="38" t="s">
        <v>92</v>
      </c>
      <c r="S24" s="39">
        <f>MAX(S19:S21)</f>
        <v>267</v>
      </c>
      <c r="T24" s="39">
        <f t="shared" ref="T24:AF24" si="16">MAX(T19:T21)</f>
        <v>93</v>
      </c>
      <c r="U24" s="39">
        <f t="shared" si="16"/>
        <v>55</v>
      </c>
      <c r="V24" s="39">
        <f t="shared" si="16"/>
        <v>303</v>
      </c>
      <c r="W24" s="39">
        <f t="shared" si="16"/>
        <v>8</v>
      </c>
      <c r="X24" s="39">
        <f t="shared" si="16"/>
        <v>1</v>
      </c>
      <c r="Y24" s="39">
        <f t="shared" si="16"/>
        <v>54</v>
      </c>
      <c r="Z24" s="39">
        <f t="shared" si="16"/>
        <v>7</v>
      </c>
      <c r="AA24" s="39">
        <f t="shared" si="16"/>
        <v>4</v>
      </c>
      <c r="AB24" s="39">
        <f t="shared" si="16"/>
        <v>6</v>
      </c>
      <c r="AC24" s="39">
        <f t="shared" si="16"/>
        <v>610</v>
      </c>
      <c r="AD24" s="39">
        <f t="shared" si="16"/>
        <v>0</v>
      </c>
      <c r="AE24" s="40">
        <f t="shared" si="16"/>
        <v>731</v>
      </c>
      <c r="AF24" s="40">
        <f t="shared" si="16"/>
        <v>1322</v>
      </c>
    </row>
    <row r="25" spans="2:32" ht="23.1" customHeight="1" x14ac:dyDescent="0.25">
      <c r="B25" s="23" t="s">
        <v>52</v>
      </c>
      <c r="C25" s="50">
        <v>43</v>
      </c>
      <c r="D25" s="50">
        <v>13</v>
      </c>
      <c r="E25" s="50">
        <v>8</v>
      </c>
      <c r="F25" s="50">
        <v>60</v>
      </c>
      <c r="G25" s="50">
        <v>0</v>
      </c>
      <c r="H25" s="50">
        <v>0</v>
      </c>
      <c r="I25" s="50">
        <v>10</v>
      </c>
      <c r="J25" s="50">
        <v>0</v>
      </c>
      <c r="K25" s="50">
        <v>0</v>
      </c>
      <c r="L25" s="50">
        <v>0</v>
      </c>
      <c r="M25" s="50">
        <v>135</v>
      </c>
      <c r="N25" s="50">
        <v>0</v>
      </c>
      <c r="O25" s="15">
        <f t="shared" si="0"/>
        <v>134</v>
      </c>
      <c r="P25" s="15">
        <f t="shared" si="1"/>
        <v>269</v>
      </c>
      <c r="R25" s="37" t="s">
        <v>85</v>
      </c>
      <c r="S25" s="35">
        <f t="shared" ref="S25:AF25" si="17">SUM(S10:S12)</f>
        <v>876</v>
      </c>
      <c r="T25" s="16">
        <f t="shared" si="17"/>
        <v>333</v>
      </c>
      <c r="U25" s="16">
        <f t="shared" si="17"/>
        <v>147</v>
      </c>
      <c r="V25" s="16">
        <f t="shared" si="17"/>
        <v>920</v>
      </c>
      <c r="W25" s="16">
        <f t="shared" si="17"/>
        <v>24</v>
      </c>
      <c r="X25" s="16">
        <f t="shared" si="17"/>
        <v>8</v>
      </c>
      <c r="Y25" s="16">
        <f t="shared" si="17"/>
        <v>135</v>
      </c>
      <c r="Z25" s="16">
        <f t="shared" si="17"/>
        <v>15</v>
      </c>
      <c r="AA25" s="16">
        <f t="shared" si="17"/>
        <v>3</v>
      </c>
      <c r="AB25" s="16">
        <f t="shared" si="17"/>
        <v>2</v>
      </c>
      <c r="AC25" s="16">
        <f t="shared" si="17"/>
        <v>1892</v>
      </c>
      <c r="AD25" s="16">
        <f t="shared" si="17"/>
        <v>0</v>
      </c>
      <c r="AE25" s="32">
        <f t="shared" si="17"/>
        <v>2463</v>
      </c>
      <c r="AF25" s="32">
        <f t="shared" si="17"/>
        <v>4355</v>
      </c>
    </row>
    <row r="26" spans="2:32" ht="23.1" customHeight="1" x14ac:dyDescent="0.25">
      <c r="B26" s="23" t="s">
        <v>53</v>
      </c>
      <c r="C26" s="50">
        <v>55</v>
      </c>
      <c r="D26" s="50">
        <v>25</v>
      </c>
      <c r="E26" s="50">
        <v>6</v>
      </c>
      <c r="F26" s="50">
        <v>65</v>
      </c>
      <c r="G26" s="50">
        <v>0</v>
      </c>
      <c r="H26" s="50">
        <v>1</v>
      </c>
      <c r="I26" s="50">
        <v>4</v>
      </c>
      <c r="J26" s="50">
        <v>3</v>
      </c>
      <c r="K26" s="50">
        <v>1</v>
      </c>
      <c r="L26" s="50">
        <v>1</v>
      </c>
      <c r="M26" s="50">
        <v>127</v>
      </c>
      <c r="N26" s="50">
        <v>0</v>
      </c>
      <c r="O26" s="15">
        <f t="shared" si="0"/>
        <v>161</v>
      </c>
      <c r="P26" s="15">
        <f t="shared" si="1"/>
        <v>288</v>
      </c>
      <c r="R26" s="28" t="s">
        <v>86</v>
      </c>
      <c r="S26" s="16">
        <f t="shared" ref="S26:AF26" si="18">SUM(S13:S18)</f>
        <v>1198</v>
      </c>
      <c r="T26" s="16">
        <f t="shared" si="18"/>
        <v>395</v>
      </c>
      <c r="U26" s="16">
        <f t="shared" si="18"/>
        <v>190</v>
      </c>
      <c r="V26" s="16">
        <f t="shared" si="18"/>
        <v>1443</v>
      </c>
      <c r="W26" s="16">
        <f t="shared" si="18"/>
        <v>14</v>
      </c>
      <c r="X26" s="16">
        <f t="shared" si="18"/>
        <v>19</v>
      </c>
      <c r="Y26" s="16">
        <f t="shared" si="18"/>
        <v>224</v>
      </c>
      <c r="Z26" s="16">
        <f t="shared" si="18"/>
        <v>34</v>
      </c>
      <c r="AA26" s="16">
        <f t="shared" si="18"/>
        <v>22</v>
      </c>
      <c r="AB26" s="16">
        <f t="shared" si="18"/>
        <v>21</v>
      </c>
      <c r="AC26" s="16">
        <f t="shared" si="18"/>
        <v>2409</v>
      </c>
      <c r="AD26" s="16">
        <f t="shared" si="18"/>
        <v>1</v>
      </c>
      <c r="AE26" s="32">
        <f t="shared" si="18"/>
        <v>3561</v>
      </c>
      <c r="AF26" s="32">
        <f t="shared" si="18"/>
        <v>5970</v>
      </c>
    </row>
    <row r="27" spans="2:32" ht="23.1" customHeight="1" x14ac:dyDescent="0.25">
      <c r="B27" s="23" t="s">
        <v>54</v>
      </c>
      <c r="C27" s="50">
        <v>55</v>
      </c>
      <c r="D27" s="50">
        <v>23</v>
      </c>
      <c r="E27" s="50">
        <v>9</v>
      </c>
      <c r="F27" s="50">
        <v>68</v>
      </c>
      <c r="G27" s="50">
        <v>0</v>
      </c>
      <c r="H27" s="50">
        <v>0</v>
      </c>
      <c r="I27" s="50">
        <v>10</v>
      </c>
      <c r="J27" s="50">
        <v>0</v>
      </c>
      <c r="K27" s="50">
        <v>1</v>
      </c>
      <c r="L27" s="50">
        <v>1</v>
      </c>
      <c r="M27" s="50">
        <v>115</v>
      </c>
      <c r="N27" s="50">
        <v>0</v>
      </c>
      <c r="O27" s="15">
        <f t="shared" si="0"/>
        <v>167</v>
      </c>
      <c r="P27" s="15">
        <f t="shared" si="1"/>
        <v>282</v>
      </c>
      <c r="R27" s="29" t="s">
        <v>87</v>
      </c>
      <c r="S27" s="16">
        <f t="shared" ref="S27:AF27" si="19">SUM(S19:S21)</f>
        <v>761</v>
      </c>
      <c r="T27" s="16">
        <f t="shared" si="19"/>
        <v>243</v>
      </c>
      <c r="U27" s="16">
        <f t="shared" si="19"/>
        <v>135</v>
      </c>
      <c r="V27" s="16">
        <f t="shared" si="19"/>
        <v>788</v>
      </c>
      <c r="W27" s="16">
        <f t="shared" si="19"/>
        <v>19</v>
      </c>
      <c r="X27" s="16">
        <f t="shared" si="19"/>
        <v>2</v>
      </c>
      <c r="Y27" s="16">
        <f t="shared" si="19"/>
        <v>136</v>
      </c>
      <c r="Z27" s="16">
        <f t="shared" si="19"/>
        <v>16</v>
      </c>
      <c r="AA27" s="16">
        <f t="shared" si="19"/>
        <v>8</v>
      </c>
      <c r="AB27" s="16">
        <f t="shared" si="19"/>
        <v>11</v>
      </c>
      <c r="AC27" s="16">
        <f t="shared" si="19"/>
        <v>1380</v>
      </c>
      <c r="AD27" s="16">
        <f t="shared" si="19"/>
        <v>0</v>
      </c>
      <c r="AE27" s="32">
        <f t="shared" si="19"/>
        <v>2119</v>
      </c>
      <c r="AF27" s="32">
        <f t="shared" si="19"/>
        <v>3499</v>
      </c>
    </row>
    <row r="28" spans="2:32" ht="23.1" customHeight="1" x14ac:dyDescent="0.25">
      <c r="B28" s="23" t="s">
        <v>55</v>
      </c>
      <c r="C28" s="50">
        <v>55</v>
      </c>
      <c r="D28" s="50">
        <v>32</v>
      </c>
      <c r="E28" s="50">
        <v>7</v>
      </c>
      <c r="F28" s="50">
        <v>46</v>
      </c>
      <c r="G28" s="50">
        <v>0</v>
      </c>
      <c r="H28" s="50">
        <v>1</v>
      </c>
      <c r="I28" s="50">
        <v>12</v>
      </c>
      <c r="J28" s="50">
        <v>3</v>
      </c>
      <c r="K28" s="50">
        <v>1</v>
      </c>
      <c r="L28" s="50">
        <v>1</v>
      </c>
      <c r="M28" s="50">
        <v>115</v>
      </c>
      <c r="N28" s="50">
        <v>0</v>
      </c>
      <c r="O28" s="15">
        <f t="shared" si="0"/>
        <v>158</v>
      </c>
      <c r="P28" s="15">
        <f t="shared" si="1"/>
        <v>273</v>
      </c>
      <c r="R28" s="5" t="s">
        <v>17</v>
      </c>
      <c r="S28" s="16">
        <f t="shared" ref="S28:AF28" si="20">SUM(S10:S21)</f>
        <v>2835</v>
      </c>
      <c r="T28" s="16">
        <f t="shared" si="20"/>
        <v>971</v>
      </c>
      <c r="U28" s="16">
        <f t="shared" si="20"/>
        <v>472</v>
      </c>
      <c r="V28" s="16">
        <f t="shared" si="20"/>
        <v>3151</v>
      </c>
      <c r="W28" s="16">
        <f t="shared" si="20"/>
        <v>57</v>
      </c>
      <c r="X28" s="16">
        <f t="shared" si="20"/>
        <v>29</v>
      </c>
      <c r="Y28" s="16">
        <f t="shared" si="20"/>
        <v>495</v>
      </c>
      <c r="Z28" s="16">
        <f t="shared" si="20"/>
        <v>65</v>
      </c>
      <c r="AA28" s="16">
        <f t="shared" si="20"/>
        <v>33</v>
      </c>
      <c r="AB28" s="16">
        <f t="shared" si="20"/>
        <v>34</v>
      </c>
      <c r="AC28" s="16">
        <f t="shared" si="20"/>
        <v>5681</v>
      </c>
      <c r="AD28" s="16">
        <f t="shared" si="20"/>
        <v>1</v>
      </c>
      <c r="AE28" s="32">
        <f t="shared" si="20"/>
        <v>8143</v>
      </c>
      <c r="AF28" s="32">
        <f t="shared" si="20"/>
        <v>13824</v>
      </c>
    </row>
    <row r="29" spans="2:32" ht="23.1" customHeight="1" x14ac:dyDescent="0.25">
      <c r="B29" s="23" t="s">
        <v>56</v>
      </c>
      <c r="C29" s="50">
        <v>45</v>
      </c>
      <c r="D29" s="50">
        <v>26</v>
      </c>
      <c r="E29" s="50">
        <v>3</v>
      </c>
      <c r="F29" s="50">
        <v>45</v>
      </c>
      <c r="G29" s="50">
        <v>0</v>
      </c>
      <c r="H29" s="50">
        <v>0</v>
      </c>
      <c r="I29" s="50">
        <v>5</v>
      </c>
      <c r="J29" s="50">
        <v>0</v>
      </c>
      <c r="K29" s="50">
        <v>1</v>
      </c>
      <c r="L29" s="50">
        <v>0</v>
      </c>
      <c r="M29" s="50">
        <v>105</v>
      </c>
      <c r="N29" s="50">
        <v>0</v>
      </c>
      <c r="O29" s="15">
        <f t="shared" si="0"/>
        <v>125</v>
      </c>
      <c r="P29" s="15">
        <f t="shared" si="1"/>
        <v>230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8</v>
      </c>
      <c r="E30" s="50">
        <v>4</v>
      </c>
      <c r="F30" s="50">
        <v>34</v>
      </c>
      <c r="G30" s="50">
        <v>0</v>
      </c>
      <c r="H30" s="50">
        <v>0</v>
      </c>
      <c r="I30" s="50">
        <v>11</v>
      </c>
      <c r="J30" s="50">
        <v>1</v>
      </c>
      <c r="K30" s="50">
        <v>0</v>
      </c>
      <c r="L30" s="50">
        <v>1</v>
      </c>
      <c r="M30" s="50">
        <v>77</v>
      </c>
      <c r="N30" s="50">
        <v>0</v>
      </c>
      <c r="O30" s="15">
        <f t="shared" si="0"/>
        <v>94</v>
      </c>
      <c r="P30" s="15">
        <f t="shared" si="1"/>
        <v>171</v>
      </c>
    </row>
    <row r="31" spans="2:32" ht="23.1" customHeight="1" x14ac:dyDescent="0.25">
      <c r="B31" s="24" t="s">
        <v>58</v>
      </c>
      <c r="C31" s="50">
        <v>29</v>
      </c>
      <c r="D31" s="50">
        <v>22</v>
      </c>
      <c r="E31" s="50">
        <v>6</v>
      </c>
      <c r="F31" s="50">
        <v>51</v>
      </c>
      <c r="G31" s="50">
        <v>1</v>
      </c>
      <c r="H31" s="50">
        <v>0</v>
      </c>
      <c r="I31" s="50">
        <v>6</v>
      </c>
      <c r="J31" s="50">
        <v>2</v>
      </c>
      <c r="K31" s="50">
        <v>0</v>
      </c>
      <c r="L31" s="50">
        <v>6</v>
      </c>
      <c r="M31" s="50">
        <v>50</v>
      </c>
      <c r="N31" s="50">
        <v>0</v>
      </c>
      <c r="O31" s="15">
        <f t="shared" si="0"/>
        <v>123</v>
      </c>
      <c r="P31" s="15">
        <f t="shared" si="1"/>
        <v>173</v>
      </c>
    </row>
    <row r="32" spans="2:32" ht="23.1" customHeight="1" x14ac:dyDescent="0.25">
      <c r="B32" s="24" t="s">
        <v>59</v>
      </c>
      <c r="C32" s="50">
        <v>35</v>
      </c>
      <c r="D32" s="50">
        <v>14</v>
      </c>
      <c r="E32" s="50">
        <v>6</v>
      </c>
      <c r="F32" s="50">
        <v>68</v>
      </c>
      <c r="G32" s="50">
        <v>0</v>
      </c>
      <c r="H32" s="50">
        <v>0</v>
      </c>
      <c r="I32" s="50">
        <v>1</v>
      </c>
      <c r="J32" s="50">
        <v>1</v>
      </c>
      <c r="K32" s="50">
        <v>3</v>
      </c>
      <c r="L32" s="50">
        <v>0</v>
      </c>
      <c r="M32" s="50">
        <v>155</v>
      </c>
      <c r="N32" s="50">
        <v>0</v>
      </c>
      <c r="O32" s="15">
        <f t="shared" si="0"/>
        <v>128</v>
      </c>
      <c r="P32" s="15">
        <f t="shared" si="1"/>
        <v>283</v>
      </c>
    </row>
    <row r="33" spans="2:20" ht="23.1" customHeight="1" x14ac:dyDescent="0.25">
      <c r="B33" s="23" t="s">
        <v>60</v>
      </c>
      <c r="C33" s="50">
        <v>50</v>
      </c>
      <c r="D33" s="50">
        <v>14</v>
      </c>
      <c r="E33" s="50">
        <v>3</v>
      </c>
      <c r="F33" s="50">
        <v>50</v>
      </c>
      <c r="G33" s="50">
        <v>1</v>
      </c>
      <c r="H33" s="50">
        <v>0</v>
      </c>
      <c r="I33" s="50">
        <v>20</v>
      </c>
      <c r="J33" s="50">
        <v>1</v>
      </c>
      <c r="K33" s="50">
        <v>0</v>
      </c>
      <c r="L33" s="50">
        <v>0</v>
      </c>
      <c r="M33" s="50">
        <v>65</v>
      </c>
      <c r="N33" s="50">
        <v>0</v>
      </c>
      <c r="O33" s="15">
        <f t="shared" si="0"/>
        <v>139</v>
      </c>
      <c r="P33" s="15">
        <f t="shared" si="1"/>
        <v>204</v>
      </c>
    </row>
    <row r="34" spans="2:20" ht="23.1" customHeight="1" x14ac:dyDescent="0.25">
      <c r="B34" s="24" t="s">
        <v>61</v>
      </c>
      <c r="C34" s="50">
        <v>56</v>
      </c>
      <c r="D34" s="50">
        <v>17</v>
      </c>
      <c r="E34" s="50">
        <v>8</v>
      </c>
      <c r="F34" s="50">
        <v>57</v>
      </c>
      <c r="G34" s="50">
        <v>0</v>
      </c>
      <c r="H34" s="50">
        <v>7</v>
      </c>
      <c r="I34" s="50">
        <v>2</v>
      </c>
      <c r="J34" s="50">
        <v>0</v>
      </c>
      <c r="K34" s="50">
        <v>2</v>
      </c>
      <c r="L34" s="50">
        <v>1</v>
      </c>
      <c r="M34" s="50">
        <v>95</v>
      </c>
      <c r="N34" s="50">
        <v>0</v>
      </c>
      <c r="O34" s="15">
        <f t="shared" si="0"/>
        <v>150</v>
      </c>
      <c r="P34" s="15">
        <f t="shared" si="1"/>
        <v>245</v>
      </c>
    </row>
    <row r="35" spans="2:20" ht="23.1" customHeight="1" x14ac:dyDescent="0.25">
      <c r="B35" s="24" t="s">
        <v>62</v>
      </c>
      <c r="C35" s="50">
        <v>40</v>
      </c>
      <c r="D35" s="50">
        <v>17</v>
      </c>
      <c r="E35" s="50">
        <v>6</v>
      </c>
      <c r="F35" s="50">
        <v>57</v>
      </c>
      <c r="G35" s="50">
        <v>0</v>
      </c>
      <c r="H35" s="50">
        <v>9</v>
      </c>
      <c r="I35" s="50">
        <v>17</v>
      </c>
      <c r="J35" s="50">
        <v>1</v>
      </c>
      <c r="K35" s="50">
        <v>0</v>
      </c>
      <c r="L35" s="50">
        <v>0</v>
      </c>
      <c r="M35" s="50">
        <v>69</v>
      </c>
      <c r="N35" s="50">
        <v>0</v>
      </c>
      <c r="O35" s="15">
        <f t="shared" si="0"/>
        <v>147</v>
      </c>
      <c r="P35" s="15">
        <f t="shared" si="1"/>
        <v>216</v>
      </c>
    </row>
    <row r="36" spans="2:20" ht="23.1" customHeight="1" x14ac:dyDescent="0.25">
      <c r="B36" s="24" t="s">
        <v>63</v>
      </c>
      <c r="C36" s="50">
        <v>40</v>
      </c>
      <c r="D36" s="50">
        <v>13</v>
      </c>
      <c r="E36" s="50">
        <v>14</v>
      </c>
      <c r="F36" s="50">
        <v>60</v>
      </c>
      <c r="G36" s="50">
        <v>0</v>
      </c>
      <c r="H36" s="50">
        <v>0</v>
      </c>
      <c r="I36" s="50">
        <v>3</v>
      </c>
      <c r="J36" s="50">
        <v>4</v>
      </c>
      <c r="K36" s="50">
        <v>2</v>
      </c>
      <c r="L36" s="50">
        <v>3</v>
      </c>
      <c r="M36" s="50">
        <v>65</v>
      </c>
      <c r="N36" s="50">
        <v>0</v>
      </c>
      <c r="O36" s="15">
        <f t="shared" si="0"/>
        <v>139</v>
      </c>
      <c r="P36" s="15">
        <f t="shared" si="1"/>
        <v>204</v>
      </c>
    </row>
    <row r="37" spans="2:20" ht="23.1" customHeight="1" x14ac:dyDescent="0.25">
      <c r="B37" s="23" t="s">
        <v>64</v>
      </c>
      <c r="C37" s="50">
        <v>30</v>
      </c>
      <c r="D37" s="50">
        <v>4</v>
      </c>
      <c r="E37" s="50">
        <v>2</v>
      </c>
      <c r="F37" s="50">
        <v>35</v>
      </c>
      <c r="G37" s="50">
        <v>0</v>
      </c>
      <c r="H37" s="50">
        <v>0</v>
      </c>
      <c r="I37" s="50">
        <v>8</v>
      </c>
      <c r="J37" s="50">
        <v>0</v>
      </c>
      <c r="K37" s="50">
        <v>0</v>
      </c>
      <c r="L37" s="50">
        <v>1</v>
      </c>
      <c r="M37" s="50">
        <v>77</v>
      </c>
      <c r="N37" s="50">
        <v>0</v>
      </c>
      <c r="O37" s="15">
        <f t="shared" si="0"/>
        <v>80</v>
      </c>
      <c r="P37" s="15">
        <f t="shared" si="1"/>
        <v>157</v>
      </c>
    </row>
    <row r="38" spans="2:20" ht="23.1" customHeight="1" x14ac:dyDescent="0.25">
      <c r="B38" s="24" t="s">
        <v>65</v>
      </c>
      <c r="C38" s="50">
        <v>55</v>
      </c>
      <c r="D38" s="50">
        <v>23</v>
      </c>
      <c r="E38" s="50">
        <v>10</v>
      </c>
      <c r="F38" s="50">
        <v>60</v>
      </c>
      <c r="G38" s="50">
        <v>1</v>
      </c>
      <c r="H38" s="50">
        <v>0</v>
      </c>
      <c r="I38" s="50">
        <v>18</v>
      </c>
      <c r="J38" s="50">
        <v>1</v>
      </c>
      <c r="K38" s="50">
        <v>1</v>
      </c>
      <c r="L38" s="50">
        <v>1</v>
      </c>
      <c r="M38" s="50">
        <v>80</v>
      </c>
      <c r="N38" s="50">
        <v>0</v>
      </c>
      <c r="O38" s="15">
        <f t="shared" si="0"/>
        <v>170</v>
      </c>
      <c r="P38" s="15">
        <f t="shared" si="1"/>
        <v>250</v>
      </c>
    </row>
    <row r="39" spans="2:20" ht="23.1" customHeight="1" x14ac:dyDescent="0.25">
      <c r="B39" s="24" t="s">
        <v>66</v>
      </c>
      <c r="C39" s="50">
        <v>32</v>
      </c>
      <c r="D39" s="50">
        <v>14</v>
      </c>
      <c r="E39" s="50">
        <v>5</v>
      </c>
      <c r="F39" s="50">
        <v>56</v>
      </c>
      <c r="G39" s="50">
        <v>0</v>
      </c>
      <c r="H39" s="50">
        <v>0</v>
      </c>
      <c r="I39" s="50">
        <v>10</v>
      </c>
      <c r="J39" s="50">
        <v>0</v>
      </c>
      <c r="K39" s="50">
        <v>0</v>
      </c>
      <c r="L39" s="50">
        <v>0</v>
      </c>
      <c r="M39" s="50">
        <v>80</v>
      </c>
      <c r="N39" s="50">
        <v>0</v>
      </c>
      <c r="O39" s="15">
        <f t="shared" si="0"/>
        <v>117</v>
      </c>
      <c r="P39" s="15">
        <f t="shared" si="1"/>
        <v>197</v>
      </c>
    </row>
    <row r="40" spans="2:20" ht="23.1" customHeight="1" x14ac:dyDescent="0.25">
      <c r="B40" s="24" t="s">
        <v>67</v>
      </c>
      <c r="C40" s="50">
        <v>46</v>
      </c>
      <c r="D40" s="50">
        <v>10</v>
      </c>
      <c r="E40" s="50">
        <v>7</v>
      </c>
      <c r="F40" s="50">
        <v>65</v>
      </c>
      <c r="G40" s="50">
        <v>0</v>
      </c>
      <c r="H40" s="50">
        <v>0</v>
      </c>
      <c r="I40" s="50">
        <v>9</v>
      </c>
      <c r="J40" s="50">
        <v>2</v>
      </c>
      <c r="K40" s="50">
        <v>1</v>
      </c>
      <c r="L40" s="50">
        <v>1</v>
      </c>
      <c r="M40" s="50">
        <v>75</v>
      </c>
      <c r="N40" s="50">
        <v>0</v>
      </c>
      <c r="O40" s="15">
        <f t="shared" si="0"/>
        <v>141</v>
      </c>
      <c r="P40" s="15">
        <f t="shared" si="1"/>
        <v>216</v>
      </c>
    </row>
    <row r="41" spans="2:20" ht="23.1" customHeight="1" x14ac:dyDescent="0.25">
      <c r="B41" s="23" t="s">
        <v>68</v>
      </c>
      <c r="C41" s="50">
        <v>51</v>
      </c>
      <c r="D41" s="50">
        <v>14</v>
      </c>
      <c r="E41" s="50">
        <v>20</v>
      </c>
      <c r="F41" s="50">
        <v>66</v>
      </c>
      <c r="G41" s="50">
        <v>1</v>
      </c>
      <c r="H41" s="50">
        <v>0</v>
      </c>
      <c r="I41" s="50">
        <v>8</v>
      </c>
      <c r="J41" s="50">
        <v>2</v>
      </c>
      <c r="K41" s="50">
        <v>0</v>
      </c>
      <c r="L41" s="50">
        <v>0</v>
      </c>
      <c r="M41" s="50">
        <v>90</v>
      </c>
      <c r="N41" s="50">
        <v>0</v>
      </c>
      <c r="O41" s="15">
        <f t="shared" si="0"/>
        <v>162</v>
      </c>
      <c r="P41" s="15">
        <f t="shared" si="1"/>
        <v>252</v>
      </c>
    </row>
    <row r="42" spans="2:20" ht="23.1" customHeight="1" x14ac:dyDescent="0.25">
      <c r="B42" s="24" t="s">
        <v>69</v>
      </c>
      <c r="C42" s="50">
        <v>50</v>
      </c>
      <c r="D42" s="50">
        <v>13</v>
      </c>
      <c r="E42" s="50">
        <v>5</v>
      </c>
      <c r="F42" s="50">
        <v>70</v>
      </c>
      <c r="G42" s="50">
        <v>0</v>
      </c>
      <c r="H42" s="50">
        <v>1</v>
      </c>
      <c r="I42" s="50">
        <v>12</v>
      </c>
      <c r="J42" s="50">
        <v>1</v>
      </c>
      <c r="K42" s="50">
        <v>2</v>
      </c>
      <c r="L42" s="50">
        <v>3</v>
      </c>
      <c r="M42" s="50">
        <v>65</v>
      </c>
      <c r="N42" s="50">
        <v>0</v>
      </c>
      <c r="O42" s="15">
        <f t="shared" si="0"/>
        <v>157</v>
      </c>
      <c r="P42" s="15">
        <f t="shared" si="1"/>
        <v>222</v>
      </c>
    </row>
    <row r="43" spans="2:20" ht="23.1" customHeight="1" x14ac:dyDescent="0.25">
      <c r="B43" s="23" t="s">
        <v>70</v>
      </c>
      <c r="C43" s="50">
        <v>60</v>
      </c>
      <c r="D43" s="50">
        <v>4</v>
      </c>
      <c r="E43" s="50">
        <v>11</v>
      </c>
      <c r="F43" s="50">
        <v>75</v>
      </c>
      <c r="G43" s="50">
        <v>2</v>
      </c>
      <c r="H43" s="50">
        <v>0</v>
      </c>
      <c r="I43" s="50">
        <v>9</v>
      </c>
      <c r="J43" s="50">
        <v>2</v>
      </c>
      <c r="K43" s="50">
        <v>1</v>
      </c>
      <c r="L43" s="50">
        <v>0</v>
      </c>
      <c r="M43" s="50">
        <v>105</v>
      </c>
      <c r="N43" s="50">
        <v>0</v>
      </c>
      <c r="O43" s="15">
        <f t="shared" si="0"/>
        <v>164</v>
      </c>
      <c r="P43" s="15">
        <f t="shared" si="1"/>
        <v>269</v>
      </c>
    </row>
    <row r="44" spans="2:20" ht="23.1" customHeight="1" x14ac:dyDescent="0.25">
      <c r="B44" s="25" t="s">
        <v>71</v>
      </c>
      <c r="C44" s="50">
        <v>45</v>
      </c>
      <c r="D44" s="50">
        <v>8</v>
      </c>
      <c r="E44" s="50">
        <v>4</v>
      </c>
      <c r="F44" s="50">
        <v>60</v>
      </c>
      <c r="G44" s="50">
        <v>5</v>
      </c>
      <c r="H44" s="50">
        <v>0</v>
      </c>
      <c r="I44" s="50">
        <v>8</v>
      </c>
      <c r="J44" s="50">
        <v>1</v>
      </c>
      <c r="K44" s="50">
        <v>0</v>
      </c>
      <c r="L44" s="50">
        <v>0</v>
      </c>
      <c r="M44" s="50">
        <v>90</v>
      </c>
      <c r="N44" s="50">
        <v>0</v>
      </c>
      <c r="O44" s="15">
        <f t="shared" si="0"/>
        <v>131</v>
      </c>
      <c r="P44" s="15">
        <f t="shared" si="1"/>
        <v>221</v>
      </c>
    </row>
    <row r="45" spans="2:20" ht="23.1" customHeight="1" x14ac:dyDescent="0.25">
      <c r="B45" s="23" t="s">
        <v>72</v>
      </c>
      <c r="C45" s="50">
        <v>75</v>
      </c>
      <c r="D45" s="50">
        <v>13</v>
      </c>
      <c r="E45" s="50">
        <v>9</v>
      </c>
      <c r="F45" s="50">
        <v>71</v>
      </c>
      <c r="G45" s="50">
        <v>0</v>
      </c>
      <c r="H45" s="50">
        <v>0</v>
      </c>
      <c r="I45" s="50">
        <v>13</v>
      </c>
      <c r="J45" s="50">
        <v>6</v>
      </c>
      <c r="K45" s="50">
        <v>3</v>
      </c>
      <c r="L45" s="50">
        <v>0</v>
      </c>
      <c r="M45" s="50">
        <v>117</v>
      </c>
      <c r="N45" s="50">
        <v>1</v>
      </c>
      <c r="O45" s="15">
        <f t="shared" si="0"/>
        <v>191</v>
      </c>
      <c r="P45" s="15">
        <f t="shared" si="1"/>
        <v>308</v>
      </c>
    </row>
    <row r="46" spans="2:20" ht="23.1" customHeight="1" x14ac:dyDescent="0.25">
      <c r="B46" s="24" t="s">
        <v>73</v>
      </c>
      <c r="C46" s="50">
        <v>75</v>
      </c>
      <c r="D46" s="50">
        <v>31</v>
      </c>
      <c r="E46" s="50">
        <v>15</v>
      </c>
      <c r="F46" s="50">
        <v>57</v>
      </c>
      <c r="G46" s="50">
        <v>2</v>
      </c>
      <c r="H46" s="50">
        <v>0</v>
      </c>
      <c r="I46" s="50">
        <v>11</v>
      </c>
      <c r="J46" s="50">
        <v>2</v>
      </c>
      <c r="K46" s="50">
        <v>0</v>
      </c>
      <c r="L46" s="50">
        <v>3</v>
      </c>
      <c r="M46" s="50">
        <v>60</v>
      </c>
      <c r="N46" s="50">
        <v>0</v>
      </c>
      <c r="O46" s="15">
        <f t="shared" si="0"/>
        <v>196</v>
      </c>
      <c r="P46" s="15">
        <f t="shared" si="1"/>
        <v>256</v>
      </c>
      <c r="R46" s="8"/>
      <c r="T46"/>
    </row>
    <row r="47" spans="2:20" ht="23.1" customHeight="1" x14ac:dyDescent="0.25">
      <c r="B47" s="24" t="s">
        <v>74</v>
      </c>
      <c r="C47" s="50">
        <v>56</v>
      </c>
      <c r="D47" s="50">
        <v>19</v>
      </c>
      <c r="E47" s="50">
        <v>12</v>
      </c>
      <c r="F47" s="50">
        <v>45</v>
      </c>
      <c r="G47" s="50">
        <v>1</v>
      </c>
      <c r="H47" s="50">
        <v>0</v>
      </c>
      <c r="I47" s="50">
        <v>9</v>
      </c>
      <c r="J47" s="50">
        <v>0</v>
      </c>
      <c r="K47" s="50">
        <v>1</v>
      </c>
      <c r="L47" s="50">
        <v>0</v>
      </c>
      <c r="M47" s="50">
        <v>100</v>
      </c>
      <c r="N47" s="50">
        <v>0</v>
      </c>
      <c r="O47" s="15">
        <f t="shared" si="0"/>
        <v>143</v>
      </c>
      <c r="P47" s="15">
        <f t="shared" si="1"/>
        <v>243</v>
      </c>
      <c r="R47" s="8"/>
      <c r="T47"/>
    </row>
    <row r="48" spans="2:20" ht="23.1" customHeight="1" x14ac:dyDescent="0.25">
      <c r="B48" s="24" t="s">
        <v>75</v>
      </c>
      <c r="C48" s="50">
        <v>71</v>
      </c>
      <c r="D48" s="50">
        <v>31</v>
      </c>
      <c r="E48" s="50">
        <v>15</v>
      </c>
      <c r="F48" s="50">
        <v>57</v>
      </c>
      <c r="G48" s="50">
        <v>2</v>
      </c>
      <c r="H48" s="50">
        <v>0</v>
      </c>
      <c r="I48" s="50">
        <v>11</v>
      </c>
      <c r="J48" s="50">
        <v>2</v>
      </c>
      <c r="K48" s="50">
        <v>0</v>
      </c>
      <c r="L48" s="50">
        <v>3</v>
      </c>
      <c r="M48" s="50">
        <v>60</v>
      </c>
      <c r="N48" s="50">
        <v>0</v>
      </c>
      <c r="O48" s="15">
        <f t="shared" si="0"/>
        <v>192</v>
      </c>
      <c r="P48" s="15">
        <f t="shared" si="1"/>
        <v>252</v>
      </c>
      <c r="R48" s="8"/>
      <c r="T48"/>
    </row>
    <row r="49" spans="2:20" ht="23.1" customHeight="1" x14ac:dyDescent="0.25">
      <c r="B49" s="23" t="s">
        <v>76</v>
      </c>
      <c r="C49" s="50">
        <v>65</v>
      </c>
      <c r="D49" s="50">
        <v>12</v>
      </c>
      <c r="E49" s="50">
        <v>13</v>
      </c>
      <c r="F49" s="50">
        <v>41</v>
      </c>
      <c r="G49" s="50">
        <v>0</v>
      </c>
      <c r="H49" s="50">
        <v>1</v>
      </c>
      <c r="I49" s="50">
        <v>11</v>
      </c>
      <c r="J49" s="50">
        <v>2</v>
      </c>
      <c r="K49" s="50">
        <v>0</v>
      </c>
      <c r="L49" s="50">
        <v>0</v>
      </c>
      <c r="M49" s="50">
        <v>100</v>
      </c>
      <c r="N49" s="50">
        <v>0</v>
      </c>
      <c r="O49" s="15">
        <f t="shared" si="0"/>
        <v>145</v>
      </c>
      <c r="P49" s="15">
        <f t="shared" si="1"/>
        <v>245</v>
      </c>
      <c r="R49" s="8"/>
      <c r="T49"/>
    </row>
    <row r="50" spans="2:20" ht="23.1" customHeight="1" x14ac:dyDescent="0.25">
      <c r="B50" s="24" t="s">
        <v>77</v>
      </c>
      <c r="C50" s="50">
        <v>70</v>
      </c>
      <c r="D50" s="50">
        <v>30</v>
      </c>
      <c r="E50" s="50">
        <v>6</v>
      </c>
      <c r="F50" s="50">
        <v>70</v>
      </c>
      <c r="G50" s="50">
        <v>0</v>
      </c>
      <c r="H50" s="50">
        <v>0</v>
      </c>
      <c r="I50" s="50">
        <v>13</v>
      </c>
      <c r="J50" s="50">
        <v>1</v>
      </c>
      <c r="K50" s="50">
        <v>2</v>
      </c>
      <c r="L50" s="50">
        <v>1</v>
      </c>
      <c r="M50" s="50">
        <v>100</v>
      </c>
      <c r="N50" s="50">
        <v>0</v>
      </c>
      <c r="O50" s="15">
        <f t="shared" si="0"/>
        <v>193</v>
      </c>
      <c r="P50" s="15">
        <f t="shared" si="1"/>
        <v>293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17</v>
      </c>
      <c r="E51" s="50">
        <v>4</v>
      </c>
      <c r="F51" s="50">
        <v>65</v>
      </c>
      <c r="G51" s="50">
        <v>3</v>
      </c>
      <c r="H51" s="50">
        <v>0</v>
      </c>
      <c r="I51" s="50">
        <v>18</v>
      </c>
      <c r="J51" s="50">
        <v>0</v>
      </c>
      <c r="K51" s="50">
        <v>0</v>
      </c>
      <c r="L51" s="50">
        <v>1</v>
      </c>
      <c r="M51" s="50">
        <v>90</v>
      </c>
      <c r="N51" s="50">
        <v>0</v>
      </c>
      <c r="O51" s="15">
        <f t="shared" si="0"/>
        <v>183</v>
      </c>
      <c r="P51" s="15">
        <f t="shared" si="1"/>
        <v>273</v>
      </c>
      <c r="R51" s="8"/>
      <c r="T51"/>
    </row>
    <row r="52" spans="2:20" ht="23.1" customHeight="1" x14ac:dyDescent="0.25">
      <c r="B52" s="24" t="s">
        <v>79</v>
      </c>
      <c r="C52" s="50">
        <v>60</v>
      </c>
      <c r="D52" s="50">
        <v>24</v>
      </c>
      <c r="E52" s="50">
        <v>13</v>
      </c>
      <c r="F52" s="50">
        <v>70</v>
      </c>
      <c r="G52" s="50">
        <v>2</v>
      </c>
      <c r="H52" s="50">
        <v>0</v>
      </c>
      <c r="I52" s="50">
        <v>14</v>
      </c>
      <c r="J52" s="50">
        <v>1</v>
      </c>
      <c r="K52" s="50">
        <v>1</v>
      </c>
      <c r="L52" s="50">
        <v>0</v>
      </c>
      <c r="M52" s="50">
        <v>100</v>
      </c>
      <c r="N52" s="50">
        <v>0</v>
      </c>
      <c r="O52" s="15">
        <f t="shared" si="0"/>
        <v>185</v>
      </c>
      <c r="P52" s="15">
        <f t="shared" si="1"/>
        <v>285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18</v>
      </c>
      <c r="E53" s="50">
        <v>10</v>
      </c>
      <c r="F53" s="50">
        <v>80</v>
      </c>
      <c r="G53" s="50">
        <v>1</v>
      </c>
      <c r="H53" s="50">
        <v>0</v>
      </c>
      <c r="I53" s="50">
        <v>9</v>
      </c>
      <c r="J53" s="50">
        <v>1</v>
      </c>
      <c r="K53" s="50">
        <v>1</v>
      </c>
      <c r="L53" s="50">
        <v>0</v>
      </c>
      <c r="M53" s="50">
        <v>160</v>
      </c>
      <c r="N53" s="50">
        <v>0</v>
      </c>
      <c r="O53" s="15">
        <f t="shared" si="0"/>
        <v>170</v>
      </c>
      <c r="P53" s="15">
        <f t="shared" si="1"/>
        <v>330</v>
      </c>
      <c r="R53" s="8"/>
      <c r="T53"/>
    </row>
    <row r="54" spans="2:20" ht="23.1" customHeight="1" x14ac:dyDescent="0.25">
      <c r="B54" s="23" t="s">
        <v>81</v>
      </c>
      <c r="C54" s="50">
        <v>49</v>
      </c>
      <c r="D54" s="50">
        <v>14</v>
      </c>
      <c r="E54" s="50">
        <v>15</v>
      </c>
      <c r="F54" s="50">
        <v>75</v>
      </c>
      <c r="G54" s="50">
        <v>1</v>
      </c>
      <c r="H54" s="50">
        <v>0</v>
      </c>
      <c r="I54" s="50">
        <v>8</v>
      </c>
      <c r="J54" s="50">
        <v>1</v>
      </c>
      <c r="K54" s="50">
        <v>0</v>
      </c>
      <c r="L54" s="50">
        <v>0</v>
      </c>
      <c r="M54" s="50">
        <v>115</v>
      </c>
      <c r="N54" s="50">
        <v>0</v>
      </c>
      <c r="O54" s="15">
        <f t="shared" si="0"/>
        <v>163</v>
      </c>
      <c r="P54" s="15">
        <f t="shared" si="1"/>
        <v>278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13</v>
      </c>
      <c r="E55" s="50">
        <v>7</v>
      </c>
      <c r="F55" s="50">
        <v>70</v>
      </c>
      <c r="G55" s="50">
        <v>2</v>
      </c>
      <c r="H55" s="50">
        <v>0</v>
      </c>
      <c r="I55" s="50">
        <v>9</v>
      </c>
      <c r="J55" s="50">
        <v>3</v>
      </c>
      <c r="K55" s="50">
        <v>2</v>
      </c>
      <c r="L55" s="50">
        <v>1</v>
      </c>
      <c r="M55" s="50">
        <v>150</v>
      </c>
      <c r="N55" s="50">
        <v>0</v>
      </c>
      <c r="O55" s="15">
        <f t="shared" si="0"/>
        <v>187</v>
      </c>
      <c r="P55" s="15">
        <f t="shared" si="1"/>
        <v>337</v>
      </c>
      <c r="R55" s="8"/>
      <c r="T55"/>
    </row>
    <row r="56" spans="2:20" ht="23.1" customHeight="1" x14ac:dyDescent="0.25">
      <c r="B56" s="23" t="s">
        <v>83</v>
      </c>
      <c r="C56" s="50">
        <v>55</v>
      </c>
      <c r="D56" s="50">
        <v>18</v>
      </c>
      <c r="E56" s="50">
        <v>3</v>
      </c>
      <c r="F56" s="50">
        <v>85</v>
      </c>
      <c r="G56" s="50">
        <v>3</v>
      </c>
      <c r="H56" s="50">
        <v>1</v>
      </c>
      <c r="I56" s="50">
        <v>5</v>
      </c>
      <c r="J56" s="50">
        <v>2</v>
      </c>
      <c r="K56" s="50">
        <v>0</v>
      </c>
      <c r="L56" s="50">
        <v>0</v>
      </c>
      <c r="M56" s="50">
        <v>185</v>
      </c>
      <c r="N56" s="50">
        <v>0</v>
      </c>
      <c r="O56" s="15">
        <f t="shared" si="0"/>
        <v>172</v>
      </c>
      <c r="P56" s="15">
        <f t="shared" si="1"/>
        <v>357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16</v>
      </c>
      <c r="E57" s="50">
        <v>22</v>
      </c>
      <c r="F57" s="50">
        <v>73</v>
      </c>
      <c r="G57" s="50">
        <v>2</v>
      </c>
      <c r="H57" s="50">
        <v>0</v>
      </c>
      <c r="I57" s="50">
        <v>18</v>
      </c>
      <c r="J57" s="50">
        <v>1</v>
      </c>
      <c r="K57" s="50">
        <v>1</v>
      </c>
      <c r="L57" s="50">
        <v>2</v>
      </c>
      <c r="M57" s="50">
        <v>160</v>
      </c>
      <c r="N57" s="50">
        <v>0</v>
      </c>
      <c r="O57" s="15">
        <f t="shared" si="0"/>
        <v>190</v>
      </c>
      <c r="P57" s="15">
        <f t="shared" si="1"/>
        <v>350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2835</v>
      </c>
      <c r="D58" s="16">
        <f t="shared" si="21"/>
        <v>971</v>
      </c>
      <c r="E58" s="16">
        <f t="shared" si="21"/>
        <v>472</v>
      </c>
      <c r="F58" s="16">
        <f t="shared" si="21"/>
        <v>3151</v>
      </c>
      <c r="G58" s="16">
        <f t="shared" si="21"/>
        <v>57</v>
      </c>
      <c r="H58" s="16">
        <f t="shared" si="21"/>
        <v>29</v>
      </c>
      <c r="I58" s="16">
        <f t="shared" si="21"/>
        <v>495</v>
      </c>
      <c r="J58" s="16">
        <f t="shared" si="21"/>
        <v>65</v>
      </c>
      <c r="K58" s="16">
        <f t="shared" si="21"/>
        <v>33</v>
      </c>
      <c r="L58" s="16">
        <f t="shared" si="21"/>
        <v>34</v>
      </c>
      <c r="M58" s="16">
        <f t="shared" si="21"/>
        <v>5681</v>
      </c>
      <c r="N58" s="16">
        <f t="shared" si="21"/>
        <v>1</v>
      </c>
      <c r="O58" s="16">
        <f t="shared" si="21"/>
        <v>8143</v>
      </c>
      <c r="P58" s="16">
        <f t="shared" si="21"/>
        <v>13824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0.205078125</v>
      </c>
      <c r="D59" s="43">
        <f t="shared" si="22"/>
        <v>7.0240162037037035E-2</v>
      </c>
      <c r="E59" s="43">
        <f t="shared" si="22"/>
        <v>3.4143518518518517E-2</v>
      </c>
      <c r="F59" s="43">
        <f t="shared" si="22"/>
        <v>0.22793692129629631</v>
      </c>
      <c r="G59" s="43">
        <f t="shared" si="22"/>
        <v>4.123263888888889E-3</v>
      </c>
      <c r="H59" s="43">
        <f t="shared" si="22"/>
        <v>2.0978009259259261E-3</v>
      </c>
      <c r="I59" s="43">
        <f t="shared" si="22"/>
        <v>3.5807291666666664E-2</v>
      </c>
      <c r="J59" s="43">
        <f t="shared" si="22"/>
        <v>4.7019675925925927E-3</v>
      </c>
      <c r="K59" s="43">
        <f t="shared" si="22"/>
        <v>2.387152777777778E-3</v>
      </c>
      <c r="L59" s="43">
        <f t="shared" si="22"/>
        <v>2.4594907407407408E-3</v>
      </c>
      <c r="M59" s="43">
        <f t="shared" si="22"/>
        <v>0.41095196759259262</v>
      </c>
      <c r="N59" s="43">
        <f t="shared" si="22"/>
        <v>7.2337962962962959E-5</v>
      </c>
      <c r="R59" s="8"/>
      <c r="T59"/>
    </row>
    <row r="60" spans="2:20" ht="23.1" customHeight="1" x14ac:dyDescent="0.25">
      <c r="B60" s="42" t="s">
        <v>94</v>
      </c>
      <c r="C60" s="44">
        <f>C58/$O$58</f>
        <v>0.3481517868107577</v>
      </c>
      <c r="D60" s="44">
        <f t="shared" ref="D60:N60" si="23">D58/$O$58</f>
        <v>0.11924352204347292</v>
      </c>
      <c r="E60" s="44">
        <f t="shared" si="23"/>
        <v>5.796389537025666E-2</v>
      </c>
      <c r="F60" s="44">
        <f t="shared" si="23"/>
        <v>0.38695812354169223</v>
      </c>
      <c r="G60" s="44">
        <f t="shared" si="23"/>
        <v>6.9998771951369273E-3</v>
      </c>
      <c r="H60" s="44">
        <f t="shared" si="23"/>
        <v>3.5613410291047524E-3</v>
      </c>
      <c r="I60" s="44">
        <f t="shared" si="23"/>
        <v>6.0788407220925947E-2</v>
      </c>
      <c r="J60" s="44">
        <f t="shared" si="23"/>
        <v>7.9823160997175482E-3</v>
      </c>
      <c r="K60" s="44">
        <f t="shared" si="23"/>
        <v>4.0525604813950629E-3</v>
      </c>
      <c r="L60" s="44">
        <f t="shared" si="23"/>
        <v>4.1753653444676405E-3</v>
      </c>
      <c r="M60" s="44"/>
      <c r="N60" s="44">
        <f t="shared" si="23"/>
        <v>1.2280486307257767E-4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35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6" t="str">
        <f>'22.07 Kampala-Wakiso'!G5:H5</f>
        <v>AFTER STABEX NANSANA</v>
      </c>
      <c r="H5" s="67"/>
      <c r="I5" s="14"/>
      <c r="J5" s="2" t="s">
        <v>5</v>
      </c>
      <c r="K5" s="66" t="str">
        <f>'22.07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Kampala-Wakiso'!D6:E6</f>
        <v>KAMPALA</v>
      </c>
      <c r="E6" s="67"/>
      <c r="F6" s="2" t="s">
        <v>2</v>
      </c>
      <c r="G6" s="66" t="str">
        <f>'22.07 Kampala-Wakiso'!G6:H6</f>
        <v>WAKISO</v>
      </c>
      <c r="H6" s="67"/>
      <c r="J6" s="2" t="s">
        <v>21</v>
      </c>
      <c r="K6" s="66" t="str">
        <f>'22.07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30</v>
      </c>
      <c r="E10" s="50">
        <v>4</v>
      </c>
      <c r="F10" s="50">
        <v>65</v>
      </c>
      <c r="G10" s="50">
        <v>2</v>
      </c>
      <c r="H10" s="50">
        <v>0</v>
      </c>
      <c r="I10" s="50">
        <v>16</v>
      </c>
      <c r="J10" s="50">
        <v>0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57" si="0">SUM(C10:L10,N10)</f>
        <v>157</v>
      </c>
      <c r="P10" s="15">
        <f t="shared" ref="P10:P57" si="1">SUM(C10:N10)</f>
        <v>202</v>
      </c>
      <c r="R10" s="1" t="s">
        <v>6</v>
      </c>
      <c r="S10" s="17">
        <f t="shared" ref="S10:AF10" si="2">SUM(C10:C13)</f>
        <v>143</v>
      </c>
      <c r="T10" s="17">
        <f t="shared" si="2"/>
        <v>138</v>
      </c>
      <c r="U10" s="17">
        <f t="shared" si="2"/>
        <v>9</v>
      </c>
      <c r="V10" s="17">
        <f t="shared" si="2"/>
        <v>849</v>
      </c>
      <c r="W10" s="17">
        <f t="shared" si="2"/>
        <v>9</v>
      </c>
      <c r="X10" s="17">
        <f t="shared" si="2"/>
        <v>0</v>
      </c>
      <c r="Y10" s="17">
        <f t="shared" si="2"/>
        <v>37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345</v>
      </c>
      <c r="AD10" s="17">
        <f t="shared" si="2"/>
        <v>0</v>
      </c>
      <c r="AE10" s="31">
        <f t="shared" si="2"/>
        <v>1187</v>
      </c>
      <c r="AF10" s="31">
        <f t="shared" si="2"/>
        <v>1532</v>
      </c>
    </row>
    <row r="11" spans="2:32" s="6" customFormat="1" ht="23.1" customHeight="1" x14ac:dyDescent="0.25">
      <c r="B11" s="23" t="s">
        <v>38</v>
      </c>
      <c r="C11" s="50">
        <v>33</v>
      </c>
      <c r="D11" s="50">
        <v>35</v>
      </c>
      <c r="E11" s="50">
        <v>0</v>
      </c>
      <c r="F11" s="50">
        <v>35</v>
      </c>
      <c r="G11" s="50">
        <v>1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130</v>
      </c>
      <c r="N11" s="50">
        <v>0</v>
      </c>
      <c r="O11" s="15">
        <f t="shared" si="0"/>
        <v>107</v>
      </c>
      <c r="P11" s="15">
        <f t="shared" si="1"/>
        <v>237</v>
      </c>
      <c r="R11" s="1" t="s">
        <v>7</v>
      </c>
      <c r="S11" s="17">
        <f t="shared" ref="S11:AF11" si="3">SUM(C14:C17)</f>
        <v>163</v>
      </c>
      <c r="T11" s="17">
        <f t="shared" si="3"/>
        <v>164</v>
      </c>
      <c r="U11" s="17">
        <f t="shared" si="3"/>
        <v>30</v>
      </c>
      <c r="V11" s="17">
        <f t="shared" si="3"/>
        <v>250</v>
      </c>
      <c r="W11" s="17">
        <f t="shared" si="3"/>
        <v>6</v>
      </c>
      <c r="X11" s="17">
        <f t="shared" si="3"/>
        <v>1</v>
      </c>
      <c r="Y11" s="17">
        <f t="shared" si="3"/>
        <v>24</v>
      </c>
      <c r="Z11" s="17">
        <f t="shared" si="3"/>
        <v>6</v>
      </c>
      <c r="AA11" s="17">
        <f t="shared" si="3"/>
        <v>1</v>
      </c>
      <c r="AB11" s="17">
        <f t="shared" si="3"/>
        <v>1</v>
      </c>
      <c r="AC11" s="17">
        <f t="shared" si="3"/>
        <v>420</v>
      </c>
      <c r="AD11" s="17">
        <f t="shared" si="3"/>
        <v>1</v>
      </c>
      <c r="AE11" s="31">
        <f t="shared" si="3"/>
        <v>647</v>
      </c>
      <c r="AF11" s="31">
        <f t="shared" si="3"/>
        <v>1067</v>
      </c>
    </row>
    <row r="12" spans="2:32" ht="23.1" customHeight="1" x14ac:dyDescent="0.25">
      <c r="B12" s="23" t="s">
        <v>39</v>
      </c>
      <c r="C12" s="50">
        <v>35</v>
      </c>
      <c r="D12" s="50">
        <v>43</v>
      </c>
      <c r="E12" s="50">
        <v>4</v>
      </c>
      <c r="F12" s="50">
        <v>48</v>
      </c>
      <c r="G12" s="50">
        <v>2</v>
      </c>
      <c r="H12" s="50">
        <v>0</v>
      </c>
      <c r="I12" s="50">
        <v>10</v>
      </c>
      <c r="J12" s="50">
        <v>0</v>
      </c>
      <c r="K12" s="50">
        <v>0</v>
      </c>
      <c r="L12" s="50">
        <v>0</v>
      </c>
      <c r="M12" s="50">
        <v>90</v>
      </c>
      <c r="N12" s="50">
        <v>0</v>
      </c>
      <c r="O12" s="15">
        <f t="shared" si="0"/>
        <v>142</v>
      </c>
      <c r="P12" s="15">
        <f t="shared" si="1"/>
        <v>232</v>
      </c>
      <c r="R12" s="1" t="s">
        <v>8</v>
      </c>
      <c r="S12" s="17">
        <f t="shared" ref="S12:AF12" si="4">SUM(C18:C21)</f>
        <v>222</v>
      </c>
      <c r="T12" s="17">
        <f t="shared" si="4"/>
        <v>228</v>
      </c>
      <c r="U12" s="17">
        <f t="shared" si="4"/>
        <v>24</v>
      </c>
      <c r="V12" s="17">
        <f t="shared" si="4"/>
        <v>280</v>
      </c>
      <c r="W12" s="17">
        <f t="shared" si="4"/>
        <v>3</v>
      </c>
      <c r="X12" s="17">
        <f t="shared" si="4"/>
        <v>0</v>
      </c>
      <c r="Y12" s="17">
        <f t="shared" si="4"/>
        <v>55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405</v>
      </c>
      <c r="AD12" s="17">
        <f t="shared" si="4"/>
        <v>0</v>
      </c>
      <c r="AE12" s="31">
        <f t="shared" si="4"/>
        <v>815</v>
      </c>
      <c r="AF12" s="31">
        <f t="shared" si="4"/>
        <v>1220</v>
      </c>
    </row>
    <row r="13" spans="2:32" ht="23.1" customHeight="1" x14ac:dyDescent="0.25">
      <c r="B13" s="23" t="s">
        <v>40</v>
      </c>
      <c r="C13" s="50">
        <v>35</v>
      </c>
      <c r="D13" s="50">
        <v>30</v>
      </c>
      <c r="E13" s="50">
        <v>1</v>
      </c>
      <c r="F13" s="50">
        <v>701</v>
      </c>
      <c r="G13" s="50">
        <v>4</v>
      </c>
      <c r="H13" s="50">
        <v>0</v>
      </c>
      <c r="I13" s="50">
        <v>8</v>
      </c>
      <c r="J13" s="50">
        <v>1</v>
      </c>
      <c r="K13" s="50">
        <v>0</v>
      </c>
      <c r="L13" s="50">
        <v>1</v>
      </c>
      <c r="M13" s="50">
        <v>80</v>
      </c>
      <c r="N13" s="50">
        <v>0</v>
      </c>
      <c r="O13" s="15">
        <f t="shared" si="0"/>
        <v>781</v>
      </c>
      <c r="P13" s="15">
        <f t="shared" si="1"/>
        <v>861</v>
      </c>
      <c r="R13" s="1" t="s">
        <v>9</v>
      </c>
      <c r="S13" s="17">
        <f t="shared" ref="S13:AF13" si="5">SUM(C22:C25)</f>
        <v>187</v>
      </c>
      <c r="T13" s="17">
        <f t="shared" si="5"/>
        <v>185</v>
      </c>
      <c r="U13" s="17">
        <f t="shared" si="5"/>
        <v>22</v>
      </c>
      <c r="V13" s="17">
        <f t="shared" si="5"/>
        <v>198</v>
      </c>
      <c r="W13" s="17">
        <f t="shared" si="5"/>
        <v>1</v>
      </c>
      <c r="X13" s="17">
        <f t="shared" si="5"/>
        <v>2</v>
      </c>
      <c r="Y13" s="17">
        <f t="shared" si="5"/>
        <v>69</v>
      </c>
      <c r="Z13" s="17">
        <f t="shared" si="5"/>
        <v>2</v>
      </c>
      <c r="AA13" s="17">
        <f t="shared" si="5"/>
        <v>2</v>
      </c>
      <c r="AB13" s="17">
        <f t="shared" si="5"/>
        <v>0</v>
      </c>
      <c r="AC13" s="17">
        <f t="shared" si="5"/>
        <v>345</v>
      </c>
      <c r="AD13" s="17">
        <f t="shared" si="5"/>
        <v>0</v>
      </c>
      <c r="AE13" s="31">
        <f t="shared" si="5"/>
        <v>668</v>
      </c>
      <c r="AF13" s="31">
        <f t="shared" si="5"/>
        <v>1013</v>
      </c>
    </row>
    <row r="14" spans="2:32" ht="23.1" customHeight="1" x14ac:dyDescent="0.25">
      <c r="B14" s="23" t="s">
        <v>41</v>
      </c>
      <c r="C14" s="50">
        <v>33</v>
      </c>
      <c r="D14" s="50">
        <v>28</v>
      </c>
      <c r="E14" s="50">
        <v>7</v>
      </c>
      <c r="F14" s="50">
        <v>45</v>
      </c>
      <c r="G14" s="50">
        <v>2</v>
      </c>
      <c r="H14" s="50">
        <v>0</v>
      </c>
      <c r="I14" s="50">
        <v>3</v>
      </c>
      <c r="J14" s="50">
        <v>2</v>
      </c>
      <c r="K14" s="50">
        <v>0</v>
      </c>
      <c r="L14" s="50">
        <v>0</v>
      </c>
      <c r="M14" s="50">
        <v>110</v>
      </c>
      <c r="N14" s="50">
        <v>0</v>
      </c>
      <c r="O14" s="15">
        <f t="shared" si="0"/>
        <v>120</v>
      </c>
      <c r="P14" s="15">
        <f t="shared" si="1"/>
        <v>230</v>
      </c>
      <c r="R14" s="1" t="s">
        <v>10</v>
      </c>
      <c r="S14" s="17">
        <f t="shared" ref="S14:AF14" si="6">SUM(C26:C29)</f>
        <v>217</v>
      </c>
      <c r="T14" s="17">
        <f t="shared" si="6"/>
        <v>141</v>
      </c>
      <c r="U14" s="17">
        <f t="shared" si="6"/>
        <v>29</v>
      </c>
      <c r="V14" s="17">
        <f t="shared" si="6"/>
        <v>257</v>
      </c>
      <c r="W14" s="17">
        <f t="shared" si="6"/>
        <v>0</v>
      </c>
      <c r="X14" s="17">
        <f t="shared" si="6"/>
        <v>0</v>
      </c>
      <c r="Y14" s="17">
        <f t="shared" si="6"/>
        <v>50</v>
      </c>
      <c r="Z14" s="17">
        <f t="shared" si="6"/>
        <v>21</v>
      </c>
      <c r="AA14" s="17">
        <f t="shared" si="6"/>
        <v>3</v>
      </c>
      <c r="AB14" s="17">
        <f t="shared" si="6"/>
        <v>1</v>
      </c>
      <c r="AC14" s="17">
        <f t="shared" si="6"/>
        <v>470</v>
      </c>
      <c r="AD14" s="17">
        <f t="shared" si="6"/>
        <v>0</v>
      </c>
      <c r="AE14" s="31">
        <f t="shared" si="6"/>
        <v>719</v>
      </c>
      <c r="AF14" s="31">
        <f t="shared" si="6"/>
        <v>1189</v>
      </c>
    </row>
    <row r="15" spans="2:32" ht="23.1" customHeight="1" x14ac:dyDescent="0.25">
      <c r="B15" s="23" t="s">
        <v>42</v>
      </c>
      <c r="C15" s="50">
        <v>35</v>
      </c>
      <c r="D15" s="50">
        <v>22</v>
      </c>
      <c r="E15" s="50">
        <v>11</v>
      </c>
      <c r="F15" s="50">
        <v>50</v>
      </c>
      <c r="G15" s="50">
        <v>1</v>
      </c>
      <c r="H15" s="50">
        <v>0</v>
      </c>
      <c r="I15" s="50">
        <v>10</v>
      </c>
      <c r="J15" s="50">
        <v>3</v>
      </c>
      <c r="K15" s="50">
        <v>0</v>
      </c>
      <c r="L15" s="50">
        <v>1</v>
      </c>
      <c r="M15" s="50">
        <v>100</v>
      </c>
      <c r="N15" s="50">
        <v>1</v>
      </c>
      <c r="O15" s="15">
        <f t="shared" si="0"/>
        <v>134</v>
      </c>
      <c r="P15" s="15">
        <f t="shared" si="1"/>
        <v>234</v>
      </c>
      <c r="R15" s="1" t="s">
        <v>11</v>
      </c>
      <c r="S15" s="17">
        <f t="shared" ref="S15:AF15" si="7">SUM(C30:C33)</f>
        <v>145</v>
      </c>
      <c r="T15" s="17">
        <f t="shared" si="7"/>
        <v>190</v>
      </c>
      <c r="U15" s="17">
        <f t="shared" si="7"/>
        <v>23</v>
      </c>
      <c r="V15" s="17">
        <f t="shared" si="7"/>
        <v>191</v>
      </c>
      <c r="W15" s="17">
        <f t="shared" si="7"/>
        <v>2</v>
      </c>
      <c r="X15" s="17">
        <f t="shared" si="7"/>
        <v>1</v>
      </c>
      <c r="Y15" s="17">
        <f t="shared" si="7"/>
        <v>87</v>
      </c>
      <c r="Z15" s="17">
        <f t="shared" si="7"/>
        <v>3</v>
      </c>
      <c r="AA15" s="17">
        <f t="shared" si="7"/>
        <v>0</v>
      </c>
      <c r="AB15" s="17">
        <f t="shared" si="7"/>
        <v>5</v>
      </c>
      <c r="AC15" s="17">
        <f t="shared" si="7"/>
        <v>301</v>
      </c>
      <c r="AD15" s="17">
        <f t="shared" si="7"/>
        <v>0</v>
      </c>
      <c r="AE15" s="31">
        <f t="shared" si="7"/>
        <v>647</v>
      </c>
      <c r="AF15" s="31">
        <f t="shared" si="7"/>
        <v>948</v>
      </c>
    </row>
    <row r="16" spans="2:32" ht="23.1" customHeight="1" x14ac:dyDescent="0.25">
      <c r="B16" s="23" t="s">
        <v>43</v>
      </c>
      <c r="C16" s="50">
        <v>50</v>
      </c>
      <c r="D16" s="50">
        <v>59</v>
      </c>
      <c r="E16" s="50">
        <v>4</v>
      </c>
      <c r="F16" s="50">
        <v>85</v>
      </c>
      <c r="G16" s="50">
        <v>0</v>
      </c>
      <c r="H16" s="50">
        <v>1</v>
      </c>
      <c r="I16" s="50">
        <v>7</v>
      </c>
      <c r="J16" s="50">
        <v>1</v>
      </c>
      <c r="K16" s="50">
        <v>0</v>
      </c>
      <c r="L16" s="50">
        <v>0</v>
      </c>
      <c r="M16" s="50">
        <v>115</v>
      </c>
      <c r="N16" s="50">
        <v>0</v>
      </c>
      <c r="O16" s="15">
        <f t="shared" si="0"/>
        <v>207</v>
      </c>
      <c r="P16" s="15">
        <f t="shared" si="1"/>
        <v>322</v>
      </c>
      <c r="R16" s="1" t="s">
        <v>12</v>
      </c>
      <c r="S16" s="17">
        <f t="shared" ref="S16:AF16" si="8">SUM(C34:C37)</f>
        <v>152</v>
      </c>
      <c r="T16" s="17">
        <f t="shared" si="8"/>
        <v>115</v>
      </c>
      <c r="U16" s="17">
        <f t="shared" si="8"/>
        <v>15</v>
      </c>
      <c r="V16" s="17">
        <f t="shared" si="8"/>
        <v>157</v>
      </c>
      <c r="W16" s="17">
        <f t="shared" si="8"/>
        <v>13</v>
      </c>
      <c r="X16" s="17">
        <f t="shared" si="8"/>
        <v>20</v>
      </c>
      <c r="Y16" s="17">
        <f t="shared" si="8"/>
        <v>56</v>
      </c>
      <c r="Z16" s="17">
        <f t="shared" si="8"/>
        <v>0</v>
      </c>
      <c r="AA16" s="17">
        <f t="shared" si="8"/>
        <v>5</v>
      </c>
      <c r="AB16" s="17">
        <f t="shared" si="8"/>
        <v>38</v>
      </c>
      <c r="AC16" s="17">
        <f t="shared" si="8"/>
        <v>204</v>
      </c>
      <c r="AD16" s="17">
        <f t="shared" si="8"/>
        <v>0</v>
      </c>
      <c r="AE16" s="31">
        <f t="shared" si="8"/>
        <v>571</v>
      </c>
      <c r="AF16" s="31">
        <f t="shared" si="8"/>
        <v>775</v>
      </c>
    </row>
    <row r="17" spans="2:32" ht="23.1" customHeight="1" x14ac:dyDescent="0.25">
      <c r="B17" s="23" t="s">
        <v>44</v>
      </c>
      <c r="C17" s="50">
        <v>45</v>
      </c>
      <c r="D17" s="50">
        <v>55</v>
      </c>
      <c r="E17" s="50">
        <v>8</v>
      </c>
      <c r="F17" s="50">
        <v>70</v>
      </c>
      <c r="G17" s="50">
        <v>3</v>
      </c>
      <c r="H17" s="50">
        <v>0</v>
      </c>
      <c r="I17" s="50">
        <v>4</v>
      </c>
      <c r="J17" s="50">
        <v>0</v>
      </c>
      <c r="K17" s="50">
        <v>1</v>
      </c>
      <c r="L17" s="50">
        <v>0</v>
      </c>
      <c r="M17" s="50">
        <v>95</v>
      </c>
      <c r="N17" s="50">
        <v>0</v>
      </c>
      <c r="O17" s="15">
        <f t="shared" si="0"/>
        <v>186</v>
      </c>
      <c r="P17" s="15">
        <f t="shared" si="1"/>
        <v>281</v>
      </c>
      <c r="R17" s="1" t="s">
        <v>13</v>
      </c>
      <c r="S17" s="17">
        <f t="shared" ref="S17:AF17" si="9">SUM(C38:C41)</f>
        <v>147</v>
      </c>
      <c r="T17" s="17">
        <f t="shared" si="9"/>
        <v>161</v>
      </c>
      <c r="U17" s="17">
        <f t="shared" si="9"/>
        <v>32</v>
      </c>
      <c r="V17" s="17">
        <f t="shared" si="9"/>
        <v>145</v>
      </c>
      <c r="W17" s="17">
        <f t="shared" si="9"/>
        <v>6</v>
      </c>
      <c r="X17" s="17">
        <f t="shared" si="9"/>
        <v>1</v>
      </c>
      <c r="Y17" s="17">
        <f t="shared" si="9"/>
        <v>95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235</v>
      </c>
      <c r="AD17" s="17">
        <f t="shared" si="9"/>
        <v>0</v>
      </c>
      <c r="AE17" s="31">
        <f t="shared" si="9"/>
        <v>587</v>
      </c>
      <c r="AF17" s="31">
        <f t="shared" si="9"/>
        <v>822</v>
      </c>
    </row>
    <row r="18" spans="2:32" ht="23.1" customHeight="1" x14ac:dyDescent="0.25">
      <c r="B18" s="23" t="s">
        <v>45</v>
      </c>
      <c r="C18" s="50">
        <v>50</v>
      </c>
      <c r="D18" s="50">
        <v>45</v>
      </c>
      <c r="E18" s="50">
        <v>10</v>
      </c>
      <c r="F18" s="50">
        <v>75</v>
      </c>
      <c r="G18" s="50">
        <v>1</v>
      </c>
      <c r="H18" s="50">
        <v>0</v>
      </c>
      <c r="I18" s="50">
        <v>16</v>
      </c>
      <c r="J18" s="50">
        <v>0</v>
      </c>
      <c r="K18" s="50">
        <v>0</v>
      </c>
      <c r="L18" s="50">
        <v>0</v>
      </c>
      <c r="M18" s="50">
        <v>95</v>
      </c>
      <c r="N18" s="50">
        <v>0</v>
      </c>
      <c r="O18" s="15">
        <f t="shared" si="0"/>
        <v>197</v>
      </c>
      <c r="P18" s="15">
        <f t="shared" si="1"/>
        <v>292</v>
      </c>
      <c r="R18" s="1" t="s">
        <v>14</v>
      </c>
      <c r="S18" s="17">
        <f t="shared" ref="S18:AF18" si="10">SUM(C42:C45)</f>
        <v>243</v>
      </c>
      <c r="T18" s="17">
        <f t="shared" si="10"/>
        <v>225</v>
      </c>
      <c r="U18" s="17">
        <f t="shared" si="10"/>
        <v>16</v>
      </c>
      <c r="V18" s="17">
        <f t="shared" si="10"/>
        <v>207</v>
      </c>
      <c r="W18" s="17">
        <f t="shared" si="10"/>
        <v>0</v>
      </c>
      <c r="X18" s="17">
        <f t="shared" si="10"/>
        <v>0</v>
      </c>
      <c r="Y18" s="17">
        <f t="shared" si="10"/>
        <v>45</v>
      </c>
      <c r="Z18" s="17">
        <f t="shared" si="10"/>
        <v>2</v>
      </c>
      <c r="AA18" s="17">
        <f t="shared" si="10"/>
        <v>2</v>
      </c>
      <c r="AB18" s="17">
        <f t="shared" si="10"/>
        <v>3</v>
      </c>
      <c r="AC18" s="17">
        <f t="shared" si="10"/>
        <v>345</v>
      </c>
      <c r="AD18" s="17">
        <f t="shared" si="10"/>
        <v>0</v>
      </c>
      <c r="AE18" s="31">
        <f t="shared" si="10"/>
        <v>743</v>
      </c>
      <c r="AF18" s="31">
        <f t="shared" si="10"/>
        <v>1088</v>
      </c>
    </row>
    <row r="19" spans="2:32" ht="23.1" customHeight="1" x14ac:dyDescent="0.25">
      <c r="B19" s="23" t="s">
        <v>46</v>
      </c>
      <c r="C19" s="50">
        <v>65</v>
      </c>
      <c r="D19" s="50">
        <v>60</v>
      </c>
      <c r="E19" s="50">
        <v>5</v>
      </c>
      <c r="F19" s="50">
        <v>45</v>
      </c>
      <c r="G19" s="50">
        <v>1</v>
      </c>
      <c r="H19" s="50">
        <v>0</v>
      </c>
      <c r="I19" s="50">
        <v>11</v>
      </c>
      <c r="J19" s="50">
        <v>0</v>
      </c>
      <c r="K19" s="50">
        <v>0</v>
      </c>
      <c r="L19" s="50">
        <v>0</v>
      </c>
      <c r="M19" s="50">
        <v>110</v>
      </c>
      <c r="N19" s="50">
        <v>0</v>
      </c>
      <c r="O19" s="15">
        <f t="shared" si="0"/>
        <v>187</v>
      </c>
      <c r="P19" s="15">
        <f t="shared" si="1"/>
        <v>297</v>
      </c>
      <c r="R19" s="1" t="s">
        <v>15</v>
      </c>
      <c r="S19" s="17">
        <f t="shared" ref="S19:AF19" si="11">SUM(C46:C49)</f>
        <v>268</v>
      </c>
      <c r="T19" s="17">
        <f t="shared" si="11"/>
        <v>265</v>
      </c>
      <c r="U19" s="17">
        <f t="shared" si="11"/>
        <v>33</v>
      </c>
      <c r="V19" s="17">
        <f t="shared" si="11"/>
        <v>205</v>
      </c>
      <c r="W19" s="17">
        <f t="shared" si="11"/>
        <v>4</v>
      </c>
      <c r="X19" s="17">
        <f t="shared" si="11"/>
        <v>1</v>
      </c>
      <c r="Y19" s="17">
        <f t="shared" si="11"/>
        <v>70</v>
      </c>
      <c r="Z19" s="17">
        <f t="shared" si="11"/>
        <v>9</v>
      </c>
      <c r="AA19" s="17">
        <f t="shared" si="11"/>
        <v>0</v>
      </c>
      <c r="AB19" s="17">
        <f t="shared" si="11"/>
        <v>1</v>
      </c>
      <c r="AC19" s="17">
        <f t="shared" si="11"/>
        <v>340</v>
      </c>
      <c r="AD19" s="17">
        <f t="shared" si="11"/>
        <v>0</v>
      </c>
      <c r="AE19" s="31">
        <f t="shared" si="11"/>
        <v>856</v>
      </c>
      <c r="AF19" s="31">
        <f t="shared" si="11"/>
        <v>1196</v>
      </c>
    </row>
    <row r="20" spans="2:32" ht="23.1" customHeight="1" x14ac:dyDescent="0.25">
      <c r="B20" s="23" t="s">
        <v>47</v>
      </c>
      <c r="C20" s="50">
        <v>55</v>
      </c>
      <c r="D20" s="50">
        <v>62</v>
      </c>
      <c r="E20" s="50">
        <v>6</v>
      </c>
      <c r="F20" s="50">
        <v>100</v>
      </c>
      <c r="G20" s="50">
        <v>1</v>
      </c>
      <c r="H20" s="50">
        <v>0</v>
      </c>
      <c r="I20" s="50">
        <v>20</v>
      </c>
      <c r="J20" s="50">
        <v>1</v>
      </c>
      <c r="K20" s="50">
        <v>0</v>
      </c>
      <c r="L20" s="50">
        <v>2</v>
      </c>
      <c r="M20" s="50">
        <v>105</v>
      </c>
      <c r="N20" s="50">
        <v>0</v>
      </c>
      <c r="O20" s="15">
        <f t="shared" si="0"/>
        <v>247</v>
      </c>
      <c r="P20" s="15">
        <f t="shared" si="1"/>
        <v>352</v>
      </c>
      <c r="R20" s="1" t="s">
        <v>16</v>
      </c>
      <c r="S20" s="17">
        <f t="shared" ref="S20:AF20" si="12">SUM(C50:C53)</f>
        <v>355</v>
      </c>
      <c r="T20" s="17">
        <f t="shared" si="12"/>
        <v>326</v>
      </c>
      <c r="U20" s="17">
        <f t="shared" si="12"/>
        <v>18</v>
      </c>
      <c r="V20" s="17">
        <f t="shared" si="12"/>
        <v>320</v>
      </c>
      <c r="W20" s="17">
        <f t="shared" si="12"/>
        <v>3</v>
      </c>
      <c r="X20" s="17">
        <f t="shared" si="12"/>
        <v>1</v>
      </c>
      <c r="Y20" s="17">
        <f t="shared" si="12"/>
        <v>47</v>
      </c>
      <c r="Z20" s="17">
        <f t="shared" si="12"/>
        <v>1</v>
      </c>
      <c r="AA20" s="17">
        <f t="shared" si="12"/>
        <v>0</v>
      </c>
      <c r="AB20" s="17">
        <f t="shared" si="12"/>
        <v>2</v>
      </c>
      <c r="AC20" s="17">
        <f t="shared" si="12"/>
        <v>375</v>
      </c>
      <c r="AD20" s="17">
        <f t="shared" si="12"/>
        <v>0</v>
      </c>
      <c r="AE20" s="31">
        <f t="shared" si="12"/>
        <v>1073</v>
      </c>
      <c r="AF20" s="31">
        <f t="shared" si="12"/>
        <v>1448</v>
      </c>
    </row>
    <row r="21" spans="2:32" ht="23.1" customHeight="1" x14ac:dyDescent="0.25">
      <c r="B21" s="23" t="s">
        <v>48</v>
      </c>
      <c r="C21" s="50">
        <v>52</v>
      </c>
      <c r="D21" s="50">
        <v>61</v>
      </c>
      <c r="E21" s="50">
        <v>3</v>
      </c>
      <c r="F21" s="50">
        <v>60</v>
      </c>
      <c r="G21" s="50">
        <v>0</v>
      </c>
      <c r="H21" s="50">
        <v>0</v>
      </c>
      <c r="I21" s="50">
        <v>8</v>
      </c>
      <c r="J21" s="50">
        <v>0</v>
      </c>
      <c r="K21" s="50">
        <v>0</v>
      </c>
      <c r="L21" s="50">
        <v>0</v>
      </c>
      <c r="M21" s="50">
        <v>95</v>
      </c>
      <c r="N21" s="50">
        <v>0</v>
      </c>
      <c r="O21" s="15">
        <f t="shared" si="0"/>
        <v>184</v>
      </c>
      <c r="P21" s="15">
        <f t="shared" si="1"/>
        <v>279</v>
      </c>
      <c r="R21" s="36" t="s">
        <v>20</v>
      </c>
      <c r="S21" s="34">
        <f t="shared" ref="S21:AF21" si="13">SUM(C54:C57)</f>
        <v>295</v>
      </c>
      <c r="T21" s="17">
        <f t="shared" si="13"/>
        <v>295</v>
      </c>
      <c r="U21" s="17">
        <f t="shared" si="13"/>
        <v>61</v>
      </c>
      <c r="V21" s="17">
        <f t="shared" si="13"/>
        <v>240</v>
      </c>
      <c r="W21" s="17">
        <f t="shared" si="13"/>
        <v>5</v>
      </c>
      <c r="X21" s="17">
        <f t="shared" si="13"/>
        <v>1</v>
      </c>
      <c r="Y21" s="17">
        <f t="shared" si="13"/>
        <v>18</v>
      </c>
      <c r="Z21" s="17">
        <f t="shared" si="13"/>
        <v>5</v>
      </c>
      <c r="AA21" s="17">
        <f t="shared" si="13"/>
        <v>1</v>
      </c>
      <c r="AB21" s="17">
        <f t="shared" si="13"/>
        <v>2</v>
      </c>
      <c r="AC21" s="17">
        <f t="shared" si="13"/>
        <v>368</v>
      </c>
      <c r="AD21" s="17">
        <f t="shared" si="13"/>
        <v>1</v>
      </c>
      <c r="AE21" s="31">
        <f t="shared" si="13"/>
        <v>924</v>
      </c>
      <c r="AF21" s="31">
        <f t="shared" si="13"/>
        <v>1292</v>
      </c>
    </row>
    <row r="22" spans="2:32" ht="23.1" customHeight="1" x14ac:dyDescent="0.25">
      <c r="B22" s="23" t="s">
        <v>49</v>
      </c>
      <c r="C22" s="50">
        <v>55</v>
      </c>
      <c r="D22" s="50">
        <v>50</v>
      </c>
      <c r="E22" s="50">
        <v>5</v>
      </c>
      <c r="F22" s="50">
        <v>60</v>
      </c>
      <c r="G22" s="50">
        <v>0</v>
      </c>
      <c r="H22" s="50">
        <v>0</v>
      </c>
      <c r="I22" s="50">
        <v>17</v>
      </c>
      <c r="J22" s="50">
        <v>0</v>
      </c>
      <c r="K22" s="50">
        <v>2</v>
      </c>
      <c r="L22" s="50">
        <v>0</v>
      </c>
      <c r="M22" s="50">
        <v>100</v>
      </c>
      <c r="N22" s="50">
        <v>0</v>
      </c>
      <c r="O22" s="15">
        <f t="shared" si="0"/>
        <v>189</v>
      </c>
      <c r="P22" s="15">
        <f t="shared" si="1"/>
        <v>289</v>
      </c>
      <c r="R22" s="38" t="s">
        <v>90</v>
      </c>
      <c r="S22" s="39">
        <f>MAX(S10:S12)</f>
        <v>222</v>
      </c>
      <c r="T22" s="39">
        <f t="shared" ref="T22:AF22" si="14">MAX(T10:T12)</f>
        <v>228</v>
      </c>
      <c r="U22" s="39">
        <f t="shared" si="14"/>
        <v>30</v>
      </c>
      <c r="V22" s="39">
        <f t="shared" si="14"/>
        <v>849</v>
      </c>
      <c r="W22" s="39">
        <f t="shared" si="14"/>
        <v>9</v>
      </c>
      <c r="X22" s="39">
        <f t="shared" si="14"/>
        <v>1</v>
      </c>
      <c r="Y22" s="39">
        <f t="shared" si="14"/>
        <v>55</v>
      </c>
      <c r="Z22" s="39">
        <f t="shared" si="14"/>
        <v>6</v>
      </c>
      <c r="AA22" s="39">
        <f t="shared" si="14"/>
        <v>1</v>
      </c>
      <c r="AB22" s="39">
        <f t="shared" si="14"/>
        <v>2</v>
      </c>
      <c r="AC22" s="39">
        <f t="shared" si="14"/>
        <v>420</v>
      </c>
      <c r="AD22" s="39">
        <f t="shared" si="14"/>
        <v>1</v>
      </c>
      <c r="AE22" s="40">
        <f t="shared" si="14"/>
        <v>1187</v>
      </c>
      <c r="AF22" s="40">
        <f t="shared" si="14"/>
        <v>1532</v>
      </c>
    </row>
    <row r="23" spans="2:32" ht="23.1" customHeight="1" x14ac:dyDescent="0.25">
      <c r="B23" s="23" t="s">
        <v>50</v>
      </c>
      <c r="C23" s="50">
        <v>55</v>
      </c>
      <c r="D23" s="50">
        <v>40</v>
      </c>
      <c r="E23" s="50">
        <v>5</v>
      </c>
      <c r="F23" s="50">
        <v>53</v>
      </c>
      <c r="G23" s="50">
        <v>0</v>
      </c>
      <c r="H23" s="50">
        <v>0</v>
      </c>
      <c r="I23" s="50">
        <v>25</v>
      </c>
      <c r="J23" s="50">
        <v>1</v>
      </c>
      <c r="K23" s="50">
        <v>0</v>
      </c>
      <c r="L23" s="50">
        <v>0</v>
      </c>
      <c r="M23" s="50">
        <v>115</v>
      </c>
      <c r="N23" s="50">
        <v>0</v>
      </c>
      <c r="O23" s="15">
        <f t="shared" si="0"/>
        <v>179</v>
      </c>
      <c r="P23" s="15">
        <f t="shared" si="1"/>
        <v>294</v>
      </c>
      <c r="R23" s="38" t="s">
        <v>91</v>
      </c>
      <c r="S23" s="39">
        <f>MAX(S13:S18)</f>
        <v>243</v>
      </c>
      <c r="T23" s="39">
        <f t="shared" ref="T23:AF23" si="15">MAX(T13:T18)</f>
        <v>225</v>
      </c>
      <c r="U23" s="39">
        <f t="shared" si="15"/>
        <v>32</v>
      </c>
      <c r="V23" s="39">
        <f t="shared" si="15"/>
        <v>257</v>
      </c>
      <c r="W23" s="39">
        <f t="shared" si="15"/>
        <v>13</v>
      </c>
      <c r="X23" s="39">
        <f t="shared" si="15"/>
        <v>20</v>
      </c>
      <c r="Y23" s="39">
        <f t="shared" si="15"/>
        <v>95</v>
      </c>
      <c r="Z23" s="39">
        <f t="shared" si="15"/>
        <v>21</v>
      </c>
      <c r="AA23" s="39">
        <f t="shared" si="15"/>
        <v>5</v>
      </c>
      <c r="AB23" s="39">
        <f t="shared" si="15"/>
        <v>38</v>
      </c>
      <c r="AC23" s="39">
        <f t="shared" si="15"/>
        <v>470</v>
      </c>
      <c r="AD23" s="39">
        <f t="shared" si="15"/>
        <v>0</v>
      </c>
      <c r="AE23" s="40">
        <f t="shared" si="15"/>
        <v>743</v>
      </c>
      <c r="AF23" s="40">
        <f t="shared" si="15"/>
        <v>1189</v>
      </c>
    </row>
    <row r="24" spans="2:32" ht="23.1" customHeight="1" x14ac:dyDescent="0.25">
      <c r="B24" s="23" t="s">
        <v>51</v>
      </c>
      <c r="C24" s="50">
        <v>52</v>
      </c>
      <c r="D24" s="50">
        <v>50</v>
      </c>
      <c r="E24" s="50">
        <v>9</v>
      </c>
      <c r="F24" s="50">
        <v>50</v>
      </c>
      <c r="G24" s="50">
        <v>0</v>
      </c>
      <c r="H24" s="50">
        <v>1</v>
      </c>
      <c r="I24" s="50">
        <v>13</v>
      </c>
      <c r="J24" s="50">
        <v>1</v>
      </c>
      <c r="K24" s="50">
        <v>0</v>
      </c>
      <c r="L24" s="50">
        <v>0</v>
      </c>
      <c r="M24" s="50">
        <v>80</v>
      </c>
      <c r="N24" s="50">
        <v>0</v>
      </c>
      <c r="O24" s="15">
        <f t="shared" si="0"/>
        <v>176</v>
      </c>
      <c r="P24" s="15">
        <f t="shared" si="1"/>
        <v>256</v>
      </c>
      <c r="R24" s="38" t="s">
        <v>92</v>
      </c>
      <c r="S24" s="39">
        <f>MAX(S19:S21)</f>
        <v>355</v>
      </c>
      <c r="T24" s="39">
        <f t="shared" ref="T24:AF24" si="16">MAX(T19:T21)</f>
        <v>326</v>
      </c>
      <c r="U24" s="39">
        <f t="shared" si="16"/>
        <v>61</v>
      </c>
      <c r="V24" s="39">
        <f t="shared" si="16"/>
        <v>320</v>
      </c>
      <c r="W24" s="39">
        <f t="shared" si="16"/>
        <v>5</v>
      </c>
      <c r="X24" s="39">
        <f t="shared" si="16"/>
        <v>1</v>
      </c>
      <c r="Y24" s="39">
        <f t="shared" si="16"/>
        <v>70</v>
      </c>
      <c r="Z24" s="39">
        <f t="shared" si="16"/>
        <v>9</v>
      </c>
      <c r="AA24" s="39">
        <f t="shared" si="16"/>
        <v>1</v>
      </c>
      <c r="AB24" s="39">
        <f t="shared" si="16"/>
        <v>2</v>
      </c>
      <c r="AC24" s="39">
        <f t="shared" si="16"/>
        <v>375</v>
      </c>
      <c r="AD24" s="39">
        <f t="shared" si="16"/>
        <v>1</v>
      </c>
      <c r="AE24" s="40">
        <f t="shared" si="16"/>
        <v>1073</v>
      </c>
      <c r="AF24" s="40">
        <f t="shared" si="16"/>
        <v>1448</v>
      </c>
    </row>
    <row r="25" spans="2:32" ht="23.1" customHeight="1" x14ac:dyDescent="0.25">
      <c r="B25" s="23" t="s">
        <v>52</v>
      </c>
      <c r="C25" s="50">
        <v>25</v>
      </c>
      <c r="D25" s="50">
        <v>45</v>
      </c>
      <c r="E25" s="50">
        <v>3</v>
      </c>
      <c r="F25" s="50">
        <v>35</v>
      </c>
      <c r="G25" s="50">
        <v>1</v>
      </c>
      <c r="H25" s="50">
        <v>1</v>
      </c>
      <c r="I25" s="50">
        <v>14</v>
      </c>
      <c r="J25" s="50">
        <v>0</v>
      </c>
      <c r="K25" s="50">
        <v>0</v>
      </c>
      <c r="L25" s="50">
        <v>0</v>
      </c>
      <c r="M25" s="50">
        <v>50</v>
      </c>
      <c r="N25" s="50">
        <v>0</v>
      </c>
      <c r="O25" s="15">
        <f t="shared" si="0"/>
        <v>124</v>
      </c>
      <c r="P25" s="15">
        <f t="shared" si="1"/>
        <v>174</v>
      </c>
      <c r="R25" s="37" t="s">
        <v>85</v>
      </c>
      <c r="S25" s="35">
        <f t="shared" ref="S25:AF25" si="17">SUM(S10:S12)</f>
        <v>528</v>
      </c>
      <c r="T25" s="16">
        <f t="shared" si="17"/>
        <v>530</v>
      </c>
      <c r="U25" s="16">
        <f t="shared" si="17"/>
        <v>63</v>
      </c>
      <c r="V25" s="16">
        <f t="shared" si="17"/>
        <v>1379</v>
      </c>
      <c r="W25" s="16">
        <f t="shared" si="17"/>
        <v>18</v>
      </c>
      <c r="X25" s="16">
        <f t="shared" si="17"/>
        <v>1</v>
      </c>
      <c r="Y25" s="16">
        <f t="shared" si="17"/>
        <v>116</v>
      </c>
      <c r="Z25" s="16">
        <f t="shared" si="17"/>
        <v>8</v>
      </c>
      <c r="AA25" s="16">
        <f t="shared" si="17"/>
        <v>1</v>
      </c>
      <c r="AB25" s="16">
        <f t="shared" si="17"/>
        <v>4</v>
      </c>
      <c r="AC25" s="16">
        <f t="shared" si="17"/>
        <v>1170</v>
      </c>
      <c r="AD25" s="16">
        <f t="shared" si="17"/>
        <v>1</v>
      </c>
      <c r="AE25" s="32">
        <f t="shared" si="17"/>
        <v>2649</v>
      </c>
      <c r="AF25" s="32">
        <f t="shared" si="17"/>
        <v>3819</v>
      </c>
    </row>
    <row r="26" spans="2:32" ht="23.1" customHeight="1" x14ac:dyDescent="0.25">
      <c r="B26" s="23" t="s">
        <v>53</v>
      </c>
      <c r="C26" s="50">
        <v>85</v>
      </c>
      <c r="D26" s="50">
        <v>75</v>
      </c>
      <c r="E26" s="50">
        <v>5</v>
      </c>
      <c r="F26" s="50">
        <v>75</v>
      </c>
      <c r="G26" s="50">
        <v>0</v>
      </c>
      <c r="H26" s="50">
        <v>0</v>
      </c>
      <c r="I26" s="50">
        <v>12</v>
      </c>
      <c r="J26" s="50">
        <v>1</v>
      </c>
      <c r="K26" s="50">
        <v>0</v>
      </c>
      <c r="L26" s="50">
        <v>0</v>
      </c>
      <c r="M26" s="50">
        <v>90</v>
      </c>
      <c r="N26" s="50">
        <v>0</v>
      </c>
      <c r="O26" s="15">
        <f t="shared" si="0"/>
        <v>253</v>
      </c>
      <c r="P26" s="15">
        <f t="shared" si="1"/>
        <v>343</v>
      </c>
      <c r="R26" s="28" t="s">
        <v>86</v>
      </c>
      <c r="S26" s="16">
        <f t="shared" ref="S26:AF26" si="18">SUM(S13:S18)</f>
        <v>1091</v>
      </c>
      <c r="T26" s="16">
        <f t="shared" si="18"/>
        <v>1017</v>
      </c>
      <c r="U26" s="16">
        <f t="shared" si="18"/>
        <v>137</v>
      </c>
      <c r="V26" s="16">
        <f t="shared" si="18"/>
        <v>1155</v>
      </c>
      <c r="W26" s="16">
        <f t="shared" si="18"/>
        <v>22</v>
      </c>
      <c r="X26" s="16">
        <f t="shared" si="18"/>
        <v>24</v>
      </c>
      <c r="Y26" s="16">
        <f t="shared" si="18"/>
        <v>402</v>
      </c>
      <c r="Z26" s="16">
        <f t="shared" si="18"/>
        <v>28</v>
      </c>
      <c r="AA26" s="16">
        <f t="shared" si="18"/>
        <v>12</v>
      </c>
      <c r="AB26" s="16">
        <f t="shared" si="18"/>
        <v>47</v>
      </c>
      <c r="AC26" s="16">
        <f t="shared" si="18"/>
        <v>1900</v>
      </c>
      <c r="AD26" s="16">
        <f t="shared" si="18"/>
        <v>0</v>
      </c>
      <c r="AE26" s="32">
        <f t="shared" si="18"/>
        <v>3935</v>
      </c>
      <c r="AF26" s="32">
        <f t="shared" si="18"/>
        <v>5835</v>
      </c>
    </row>
    <row r="27" spans="2:32" ht="23.1" customHeight="1" x14ac:dyDescent="0.25">
      <c r="B27" s="23" t="s">
        <v>54</v>
      </c>
      <c r="C27" s="50">
        <v>50</v>
      </c>
      <c r="D27" s="50">
        <v>20</v>
      </c>
      <c r="E27" s="50">
        <v>10</v>
      </c>
      <c r="F27" s="50">
        <v>66</v>
      </c>
      <c r="G27" s="50">
        <v>0</v>
      </c>
      <c r="H27" s="50">
        <v>0</v>
      </c>
      <c r="I27" s="50">
        <v>17</v>
      </c>
      <c r="J27" s="50">
        <v>4</v>
      </c>
      <c r="K27" s="50">
        <v>0</v>
      </c>
      <c r="L27" s="50">
        <v>0</v>
      </c>
      <c r="M27" s="50">
        <v>120</v>
      </c>
      <c r="N27" s="50">
        <v>0</v>
      </c>
      <c r="O27" s="15">
        <f t="shared" si="0"/>
        <v>167</v>
      </c>
      <c r="P27" s="15">
        <f t="shared" si="1"/>
        <v>287</v>
      </c>
      <c r="R27" s="29" t="s">
        <v>87</v>
      </c>
      <c r="S27" s="16">
        <f t="shared" ref="S27:AF27" si="19">SUM(S19:S21)</f>
        <v>918</v>
      </c>
      <c r="T27" s="16">
        <f t="shared" si="19"/>
        <v>886</v>
      </c>
      <c r="U27" s="16">
        <f t="shared" si="19"/>
        <v>112</v>
      </c>
      <c r="V27" s="16">
        <f t="shared" si="19"/>
        <v>765</v>
      </c>
      <c r="W27" s="16">
        <f t="shared" si="19"/>
        <v>12</v>
      </c>
      <c r="X27" s="16">
        <f t="shared" si="19"/>
        <v>3</v>
      </c>
      <c r="Y27" s="16">
        <f t="shared" si="19"/>
        <v>135</v>
      </c>
      <c r="Z27" s="16">
        <f t="shared" si="19"/>
        <v>15</v>
      </c>
      <c r="AA27" s="16">
        <f t="shared" si="19"/>
        <v>1</v>
      </c>
      <c r="AB27" s="16">
        <f t="shared" si="19"/>
        <v>5</v>
      </c>
      <c r="AC27" s="16">
        <f t="shared" si="19"/>
        <v>1083</v>
      </c>
      <c r="AD27" s="16">
        <f t="shared" si="19"/>
        <v>1</v>
      </c>
      <c r="AE27" s="32">
        <f t="shared" si="19"/>
        <v>2853</v>
      </c>
      <c r="AF27" s="32">
        <f t="shared" si="19"/>
        <v>3936</v>
      </c>
    </row>
    <row r="28" spans="2:32" ht="23.1" customHeight="1" x14ac:dyDescent="0.25">
      <c r="B28" s="23" t="s">
        <v>55</v>
      </c>
      <c r="C28" s="50">
        <v>51</v>
      </c>
      <c r="D28" s="50">
        <v>31</v>
      </c>
      <c r="E28" s="50">
        <v>10</v>
      </c>
      <c r="F28" s="50">
        <v>63</v>
      </c>
      <c r="G28" s="50">
        <v>0</v>
      </c>
      <c r="H28" s="50">
        <v>0</v>
      </c>
      <c r="I28" s="50">
        <v>10</v>
      </c>
      <c r="J28" s="50">
        <v>10</v>
      </c>
      <c r="K28" s="50">
        <v>1</v>
      </c>
      <c r="L28" s="50">
        <v>1</v>
      </c>
      <c r="M28" s="50">
        <v>145</v>
      </c>
      <c r="N28" s="50">
        <v>0</v>
      </c>
      <c r="O28" s="15">
        <f t="shared" si="0"/>
        <v>177</v>
      </c>
      <c r="P28" s="15">
        <f t="shared" si="1"/>
        <v>322</v>
      </c>
      <c r="R28" s="5" t="s">
        <v>17</v>
      </c>
      <c r="S28" s="16">
        <f t="shared" ref="S28:AF28" si="20">SUM(S10:S21)</f>
        <v>2537</v>
      </c>
      <c r="T28" s="16">
        <f t="shared" si="20"/>
        <v>2433</v>
      </c>
      <c r="U28" s="16">
        <f t="shared" si="20"/>
        <v>312</v>
      </c>
      <c r="V28" s="16">
        <f t="shared" si="20"/>
        <v>3299</v>
      </c>
      <c r="W28" s="16">
        <f t="shared" si="20"/>
        <v>52</v>
      </c>
      <c r="X28" s="16">
        <f t="shared" si="20"/>
        <v>28</v>
      </c>
      <c r="Y28" s="16">
        <f t="shared" si="20"/>
        <v>653</v>
      </c>
      <c r="Z28" s="16">
        <f t="shared" si="20"/>
        <v>51</v>
      </c>
      <c r="AA28" s="16">
        <f t="shared" si="20"/>
        <v>14</v>
      </c>
      <c r="AB28" s="16">
        <f t="shared" si="20"/>
        <v>56</v>
      </c>
      <c r="AC28" s="16">
        <f t="shared" si="20"/>
        <v>4153</v>
      </c>
      <c r="AD28" s="16">
        <f t="shared" si="20"/>
        <v>2</v>
      </c>
      <c r="AE28" s="32">
        <f t="shared" si="20"/>
        <v>9437</v>
      </c>
      <c r="AF28" s="32">
        <f t="shared" si="20"/>
        <v>13590</v>
      </c>
    </row>
    <row r="29" spans="2:32" ht="23.1" customHeight="1" x14ac:dyDescent="0.25">
      <c r="B29" s="23" t="s">
        <v>56</v>
      </c>
      <c r="C29" s="50">
        <v>31</v>
      </c>
      <c r="D29" s="50">
        <v>15</v>
      </c>
      <c r="E29" s="50">
        <v>4</v>
      </c>
      <c r="F29" s="50">
        <v>53</v>
      </c>
      <c r="G29" s="50">
        <v>0</v>
      </c>
      <c r="H29" s="50">
        <v>0</v>
      </c>
      <c r="I29" s="50">
        <v>11</v>
      </c>
      <c r="J29" s="50">
        <v>6</v>
      </c>
      <c r="K29" s="50">
        <v>2</v>
      </c>
      <c r="L29" s="50">
        <v>0</v>
      </c>
      <c r="M29" s="50">
        <v>115</v>
      </c>
      <c r="N29" s="50">
        <v>0</v>
      </c>
      <c r="O29" s="15">
        <f t="shared" si="0"/>
        <v>122</v>
      </c>
      <c r="P29" s="15">
        <f t="shared" si="1"/>
        <v>237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35</v>
      </c>
      <c r="E30" s="50">
        <v>5</v>
      </c>
      <c r="F30" s="50">
        <v>32</v>
      </c>
      <c r="G30" s="50">
        <v>1</v>
      </c>
      <c r="H30" s="50">
        <v>1</v>
      </c>
      <c r="I30" s="50">
        <v>8</v>
      </c>
      <c r="J30" s="50">
        <v>0</v>
      </c>
      <c r="K30" s="50">
        <v>0</v>
      </c>
      <c r="L30" s="50">
        <v>2</v>
      </c>
      <c r="M30" s="50">
        <v>72</v>
      </c>
      <c r="N30" s="50">
        <v>0</v>
      </c>
      <c r="O30" s="15">
        <f t="shared" si="0"/>
        <v>111</v>
      </c>
      <c r="P30" s="15">
        <f t="shared" si="1"/>
        <v>183</v>
      </c>
    </row>
    <row r="31" spans="2:32" ht="23.1" customHeight="1" x14ac:dyDescent="0.25">
      <c r="B31" s="24" t="s">
        <v>58</v>
      </c>
      <c r="C31" s="50">
        <v>30</v>
      </c>
      <c r="D31" s="50">
        <v>35</v>
      </c>
      <c r="E31" s="50">
        <v>6</v>
      </c>
      <c r="F31" s="50">
        <v>45</v>
      </c>
      <c r="G31" s="50">
        <v>0</v>
      </c>
      <c r="H31" s="50">
        <v>0</v>
      </c>
      <c r="I31" s="50">
        <v>20</v>
      </c>
      <c r="J31" s="50">
        <v>1</v>
      </c>
      <c r="K31" s="50">
        <v>0</v>
      </c>
      <c r="L31" s="50">
        <v>2</v>
      </c>
      <c r="M31" s="50">
        <v>55</v>
      </c>
      <c r="N31" s="50">
        <v>0</v>
      </c>
      <c r="O31" s="15">
        <f t="shared" si="0"/>
        <v>139</v>
      </c>
      <c r="P31" s="15">
        <f t="shared" si="1"/>
        <v>194</v>
      </c>
    </row>
    <row r="32" spans="2:32" ht="23.1" customHeight="1" x14ac:dyDescent="0.25">
      <c r="B32" s="24" t="s">
        <v>59</v>
      </c>
      <c r="C32" s="50">
        <v>45</v>
      </c>
      <c r="D32" s="50">
        <v>75</v>
      </c>
      <c r="E32" s="50">
        <v>8</v>
      </c>
      <c r="F32" s="50">
        <v>60</v>
      </c>
      <c r="G32" s="50">
        <v>0</v>
      </c>
      <c r="H32" s="50">
        <v>0</v>
      </c>
      <c r="I32" s="50">
        <v>35</v>
      </c>
      <c r="J32" s="50">
        <v>0</v>
      </c>
      <c r="K32" s="50">
        <v>0</v>
      </c>
      <c r="L32" s="50">
        <v>1</v>
      </c>
      <c r="M32" s="50">
        <v>99</v>
      </c>
      <c r="N32" s="50">
        <v>0</v>
      </c>
      <c r="O32" s="15">
        <f t="shared" si="0"/>
        <v>224</v>
      </c>
      <c r="P32" s="15">
        <f t="shared" si="1"/>
        <v>323</v>
      </c>
    </row>
    <row r="33" spans="2:20" ht="23.1" customHeight="1" x14ac:dyDescent="0.25">
      <c r="B33" s="23" t="s">
        <v>60</v>
      </c>
      <c r="C33" s="50">
        <v>43</v>
      </c>
      <c r="D33" s="50">
        <v>45</v>
      </c>
      <c r="E33" s="50">
        <v>4</v>
      </c>
      <c r="F33" s="50">
        <v>54</v>
      </c>
      <c r="G33" s="50">
        <v>1</v>
      </c>
      <c r="H33" s="50">
        <v>0</v>
      </c>
      <c r="I33" s="50">
        <v>24</v>
      </c>
      <c r="J33" s="50">
        <v>2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173</v>
      </c>
      <c r="P33" s="15">
        <f t="shared" si="1"/>
        <v>248</v>
      </c>
    </row>
    <row r="34" spans="2:20" ht="23.1" customHeight="1" x14ac:dyDescent="0.25">
      <c r="B34" s="24" t="s">
        <v>61</v>
      </c>
      <c r="C34" s="50">
        <v>50</v>
      </c>
      <c r="D34" s="50">
        <v>20</v>
      </c>
      <c r="E34" s="50">
        <v>1</v>
      </c>
      <c r="F34" s="50">
        <v>60</v>
      </c>
      <c r="G34" s="50">
        <v>1</v>
      </c>
      <c r="H34" s="50">
        <v>0</v>
      </c>
      <c r="I34" s="50">
        <v>25</v>
      </c>
      <c r="J34" s="50">
        <v>0</v>
      </c>
      <c r="K34" s="50">
        <v>0</v>
      </c>
      <c r="L34" s="50">
        <v>0</v>
      </c>
      <c r="M34" s="50">
        <v>61</v>
      </c>
      <c r="N34" s="50">
        <v>0</v>
      </c>
      <c r="O34" s="15">
        <f t="shared" si="0"/>
        <v>157</v>
      </c>
      <c r="P34" s="15">
        <f t="shared" si="1"/>
        <v>218</v>
      </c>
    </row>
    <row r="35" spans="2:20" ht="23.1" customHeight="1" x14ac:dyDescent="0.25">
      <c r="B35" s="24" t="s">
        <v>62</v>
      </c>
      <c r="C35" s="50">
        <v>42</v>
      </c>
      <c r="D35" s="50">
        <v>22</v>
      </c>
      <c r="E35" s="50">
        <v>6</v>
      </c>
      <c r="F35" s="50">
        <v>47</v>
      </c>
      <c r="G35" s="50">
        <v>1</v>
      </c>
      <c r="H35" s="50">
        <v>0</v>
      </c>
      <c r="I35" s="50">
        <v>10</v>
      </c>
      <c r="J35" s="50">
        <v>0</v>
      </c>
      <c r="K35" s="50">
        <v>0</v>
      </c>
      <c r="L35" s="50">
        <v>0</v>
      </c>
      <c r="M35" s="50">
        <v>68</v>
      </c>
      <c r="N35" s="50">
        <v>0</v>
      </c>
      <c r="O35" s="15">
        <f t="shared" si="0"/>
        <v>128</v>
      </c>
      <c r="P35" s="15">
        <f t="shared" si="1"/>
        <v>196</v>
      </c>
    </row>
    <row r="36" spans="2:20" ht="23.1" customHeight="1" x14ac:dyDescent="0.25">
      <c r="B36" s="24" t="s">
        <v>63</v>
      </c>
      <c r="C36" s="50">
        <v>30</v>
      </c>
      <c r="D36" s="50">
        <v>38</v>
      </c>
      <c r="E36" s="50">
        <v>5</v>
      </c>
      <c r="F36" s="50">
        <v>50</v>
      </c>
      <c r="G36" s="50">
        <v>0</v>
      </c>
      <c r="H36" s="50">
        <v>0</v>
      </c>
      <c r="I36" s="50">
        <v>21</v>
      </c>
      <c r="J36" s="50">
        <v>0</v>
      </c>
      <c r="K36" s="50">
        <v>0</v>
      </c>
      <c r="L36" s="50">
        <v>0</v>
      </c>
      <c r="M36" s="50">
        <v>75</v>
      </c>
      <c r="N36" s="50">
        <v>0</v>
      </c>
      <c r="O36" s="15">
        <f t="shared" si="0"/>
        <v>144</v>
      </c>
      <c r="P36" s="15">
        <f t="shared" si="1"/>
        <v>219</v>
      </c>
    </row>
    <row r="37" spans="2:20" ht="23.1" customHeight="1" x14ac:dyDescent="0.25">
      <c r="B37" s="23" t="s">
        <v>64</v>
      </c>
      <c r="C37" s="50">
        <v>30</v>
      </c>
      <c r="D37" s="50">
        <v>35</v>
      </c>
      <c r="E37" s="50">
        <v>3</v>
      </c>
      <c r="F37" s="50">
        <v>0</v>
      </c>
      <c r="G37" s="50">
        <v>11</v>
      </c>
      <c r="H37" s="50">
        <v>20</v>
      </c>
      <c r="I37" s="50">
        <v>0</v>
      </c>
      <c r="J37" s="50">
        <v>0</v>
      </c>
      <c r="K37" s="50">
        <v>5</v>
      </c>
      <c r="L37" s="50">
        <v>38</v>
      </c>
      <c r="M37" s="50">
        <v>0</v>
      </c>
      <c r="N37" s="50">
        <v>0</v>
      </c>
      <c r="O37" s="15">
        <f t="shared" si="0"/>
        <v>142</v>
      </c>
      <c r="P37" s="15">
        <f t="shared" si="1"/>
        <v>142</v>
      </c>
    </row>
    <row r="38" spans="2:20" ht="23.1" customHeight="1" x14ac:dyDescent="0.25">
      <c r="B38" s="24" t="s">
        <v>65</v>
      </c>
      <c r="C38" s="50">
        <v>40</v>
      </c>
      <c r="D38" s="50">
        <v>30</v>
      </c>
      <c r="E38" s="50">
        <v>15</v>
      </c>
      <c r="F38" s="50">
        <v>30</v>
      </c>
      <c r="G38" s="50">
        <v>1</v>
      </c>
      <c r="H38" s="50">
        <v>1</v>
      </c>
      <c r="I38" s="50">
        <v>22</v>
      </c>
      <c r="J38" s="50">
        <v>0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139</v>
      </c>
      <c r="P38" s="15">
        <f t="shared" si="1"/>
        <v>194</v>
      </c>
    </row>
    <row r="39" spans="2:20" ht="23.1" customHeight="1" x14ac:dyDescent="0.25">
      <c r="B39" s="24" t="s">
        <v>66</v>
      </c>
      <c r="C39" s="50">
        <v>30</v>
      </c>
      <c r="D39" s="50">
        <v>40</v>
      </c>
      <c r="E39" s="50">
        <v>7</v>
      </c>
      <c r="F39" s="50">
        <v>50</v>
      </c>
      <c r="G39" s="50">
        <v>2</v>
      </c>
      <c r="H39" s="50">
        <v>0</v>
      </c>
      <c r="I39" s="50">
        <v>35</v>
      </c>
      <c r="J39" s="50">
        <v>0</v>
      </c>
      <c r="K39" s="50">
        <v>0</v>
      </c>
      <c r="L39" s="50">
        <v>0</v>
      </c>
      <c r="M39" s="50">
        <v>60</v>
      </c>
      <c r="N39" s="50">
        <v>0</v>
      </c>
      <c r="O39" s="15">
        <f t="shared" si="0"/>
        <v>164</v>
      </c>
      <c r="P39" s="15">
        <f t="shared" si="1"/>
        <v>224</v>
      </c>
    </row>
    <row r="40" spans="2:20" ht="23.1" customHeight="1" x14ac:dyDescent="0.25">
      <c r="B40" s="24" t="s">
        <v>67</v>
      </c>
      <c r="C40" s="50">
        <v>40</v>
      </c>
      <c r="D40" s="50">
        <v>45</v>
      </c>
      <c r="E40" s="50">
        <v>3</v>
      </c>
      <c r="F40" s="50">
        <v>35</v>
      </c>
      <c r="G40" s="50">
        <v>3</v>
      </c>
      <c r="H40" s="50">
        <v>0</v>
      </c>
      <c r="I40" s="50">
        <v>20</v>
      </c>
      <c r="J40" s="50">
        <v>0</v>
      </c>
      <c r="K40" s="50">
        <v>0</v>
      </c>
      <c r="L40" s="50">
        <v>0</v>
      </c>
      <c r="M40" s="50">
        <v>60</v>
      </c>
      <c r="N40" s="50">
        <v>0</v>
      </c>
      <c r="O40" s="15">
        <f t="shared" si="0"/>
        <v>146</v>
      </c>
      <c r="P40" s="15">
        <f t="shared" si="1"/>
        <v>206</v>
      </c>
    </row>
    <row r="41" spans="2:20" ht="23.1" customHeight="1" x14ac:dyDescent="0.25">
      <c r="B41" s="23" t="s">
        <v>68</v>
      </c>
      <c r="C41" s="50">
        <v>37</v>
      </c>
      <c r="D41" s="50">
        <v>46</v>
      </c>
      <c r="E41" s="50">
        <v>7</v>
      </c>
      <c r="F41" s="50">
        <v>30</v>
      </c>
      <c r="G41" s="50">
        <v>0</v>
      </c>
      <c r="H41" s="50">
        <v>0</v>
      </c>
      <c r="I41" s="50">
        <v>18</v>
      </c>
      <c r="J41" s="50">
        <v>0</v>
      </c>
      <c r="K41" s="50">
        <v>0</v>
      </c>
      <c r="L41" s="50">
        <v>0</v>
      </c>
      <c r="M41" s="50">
        <v>60</v>
      </c>
      <c r="N41" s="50">
        <v>0</v>
      </c>
      <c r="O41" s="15">
        <f t="shared" si="0"/>
        <v>138</v>
      </c>
      <c r="P41" s="15">
        <f t="shared" si="1"/>
        <v>198</v>
      </c>
    </row>
    <row r="42" spans="2:20" ht="23.1" customHeight="1" x14ac:dyDescent="0.25">
      <c r="B42" s="24" t="s">
        <v>69</v>
      </c>
      <c r="C42" s="50">
        <v>48</v>
      </c>
      <c r="D42" s="50">
        <v>45</v>
      </c>
      <c r="E42" s="50">
        <v>2</v>
      </c>
      <c r="F42" s="50">
        <v>42</v>
      </c>
      <c r="G42" s="50">
        <v>0</v>
      </c>
      <c r="H42" s="50">
        <v>0</v>
      </c>
      <c r="I42" s="50">
        <v>10</v>
      </c>
      <c r="J42" s="50">
        <v>1</v>
      </c>
      <c r="K42" s="50">
        <v>0</v>
      </c>
      <c r="L42" s="50">
        <v>1</v>
      </c>
      <c r="M42" s="50">
        <v>75</v>
      </c>
      <c r="N42" s="50">
        <v>0</v>
      </c>
      <c r="O42" s="15">
        <f t="shared" si="0"/>
        <v>149</v>
      </c>
      <c r="P42" s="15">
        <f t="shared" si="1"/>
        <v>224</v>
      </c>
    </row>
    <row r="43" spans="2:20" ht="23.1" customHeight="1" x14ac:dyDescent="0.25">
      <c r="B43" s="23" t="s">
        <v>70</v>
      </c>
      <c r="C43" s="50">
        <v>55</v>
      </c>
      <c r="D43" s="50">
        <v>40</v>
      </c>
      <c r="E43" s="50">
        <v>4</v>
      </c>
      <c r="F43" s="50">
        <v>55</v>
      </c>
      <c r="G43" s="50">
        <v>0</v>
      </c>
      <c r="H43" s="50">
        <v>0</v>
      </c>
      <c r="I43" s="50">
        <v>20</v>
      </c>
      <c r="J43" s="50">
        <v>1</v>
      </c>
      <c r="K43" s="50">
        <v>1</v>
      </c>
      <c r="L43" s="50">
        <v>0</v>
      </c>
      <c r="M43" s="50">
        <v>90</v>
      </c>
      <c r="N43" s="50">
        <v>0</v>
      </c>
      <c r="O43" s="15">
        <f t="shared" si="0"/>
        <v>176</v>
      </c>
      <c r="P43" s="15">
        <f t="shared" si="1"/>
        <v>266</v>
      </c>
    </row>
    <row r="44" spans="2:20" ht="23.1" customHeight="1" x14ac:dyDescent="0.25">
      <c r="B44" s="25" t="s">
        <v>71</v>
      </c>
      <c r="C44" s="50">
        <v>60</v>
      </c>
      <c r="D44" s="50">
        <v>70</v>
      </c>
      <c r="E44" s="50">
        <v>5</v>
      </c>
      <c r="F44" s="50">
        <v>60</v>
      </c>
      <c r="G44" s="50">
        <v>0</v>
      </c>
      <c r="H44" s="50">
        <v>0</v>
      </c>
      <c r="I44" s="50">
        <v>7</v>
      </c>
      <c r="J44" s="50">
        <v>0</v>
      </c>
      <c r="K44" s="50">
        <v>0</v>
      </c>
      <c r="L44" s="50">
        <v>0</v>
      </c>
      <c r="M44" s="50">
        <v>105</v>
      </c>
      <c r="N44" s="50">
        <v>0</v>
      </c>
      <c r="O44" s="15">
        <f t="shared" si="0"/>
        <v>202</v>
      </c>
      <c r="P44" s="15">
        <f t="shared" si="1"/>
        <v>307</v>
      </c>
    </row>
    <row r="45" spans="2:20" ht="23.1" customHeight="1" x14ac:dyDescent="0.25">
      <c r="B45" s="23" t="s">
        <v>72</v>
      </c>
      <c r="C45" s="50">
        <v>80</v>
      </c>
      <c r="D45" s="50">
        <v>70</v>
      </c>
      <c r="E45" s="50">
        <v>5</v>
      </c>
      <c r="F45" s="50">
        <v>50</v>
      </c>
      <c r="G45" s="50">
        <v>0</v>
      </c>
      <c r="H45" s="50">
        <v>0</v>
      </c>
      <c r="I45" s="50">
        <v>8</v>
      </c>
      <c r="J45" s="50">
        <v>0</v>
      </c>
      <c r="K45" s="50">
        <v>1</v>
      </c>
      <c r="L45" s="50">
        <v>2</v>
      </c>
      <c r="M45" s="50">
        <v>75</v>
      </c>
      <c r="N45" s="50">
        <v>0</v>
      </c>
      <c r="O45" s="15">
        <f t="shared" si="0"/>
        <v>216</v>
      </c>
      <c r="P45" s="15">
        <f t="shared" si="1"/>
        <v>291</v>
      </c>
    </row>
    <row r="46" spans="2:20" ht="23.1" customHeight="1" x14ac:dyDescent="0.25">
      <c r="B46" s="24" t="s">
        <v>73</v>
      </c>
      <c r="C46" s="50">
        <v>68</v>
      </c>
      <c r="D46" s="50">
        <v>65</v>
      </c>
      <c r="E46" s="50">
        <v>6</v>
      </c>
      <c r="F46" s="50">
        <v>75</v>
      </c>
      <c r="G46" s="50">
        <v>1</v>
      </c>
      <c r="H46" s="50">
        <v>0</v>
      </c>
      <c r="I46" s="50">
        <v>28</v>
      </c>
      <c r="J46" s="50">
        <v>1</v>
      </c>
      <c r="K46" s="50">
        <v>0</v>
      </c>
      <c r="L46" s="50">
        <v>1</v>
      </c>
      <c r="M46" s="50">
        <v>95</v>
      </c>
      <c r="N46" s="50">
        <v>0</v>
      </c>
      <c r="O46" s="15">
        <f t="shared" si="0"/>
        <v>245</v>
      </c>
      <c r="P46" s="15">
        <f t="shared" si="1"/>
        <v>340</v>
      </c>
      <c r="R46" s="8"/>
      <c r="T46"/>
    </row>
    <row r="47" spans="2:20" ht="23.1" customHeight="1" x14ac:dyDescent="0.25">
      <c r="B47" s="24" t="s">
        <v>74</v>
      </c>
      <c r="C47" s="50">
        <v>55</v>
      </c>
      <c r="D47" s="50">
        <v>60</v>
      </c>
      <c r="E47" s="50">
        <v>10</v>
      </c>
      <c r="F47" s="50">
        <v>45</v>
      </c>
      <c r="G47" s="50">
        <v>0</v>
      </c>
      <c r="H47" s="50">
        <v>0</v>
      </c>
      <c r="I47" s="50">
        <v>29</v>
      </c>
      <c r="J47" s="50">
        <v>0</v>
      </c>
      <c r="K47" s="50">
        <v>0</v>
      </c>
      <c r="L47" s="50">
        <v>0</v>
      </c>
      <c r="M47" s="50">
        <v>60</v>
      </c>
      <c r="N47" s="50">
        <v>0</v>
      </c>
      <c r="O47" s="15">
        <f t="shared" si="0"/>
        <v>199</v>
      </c>
      <c r="P47" s="15">
        <f t="shared" si="1"/>
        <v>259</v>
      </c>
      <c r="R47" s="8"/>
      <c r="T47"/>
    </row>
    <row r="48" spans="2:20" ht="23.1" customHeight="1" x14ac:dyDescent="0.25">
      <c r="B48" s="24" t="s">
        <v>75</v>
      </c>
      <c r="C48" s="50">
        <v>65</v>
      </c>
      <c r="D48" s="50">
        <v>60</v>
      </c>
      <c r="E48" s="50">
        <v>13</v>
      </c>
      <c r="F48" s="50">
        <v>50</v>
      </c>
      <c r="G48" s="50">
        <v>1</v>
      </c>
      <c r="H48" s="50">
        <v>1</v>
      </c>
      <c r="I48" s="50">
        <v>8</v>
      </c>
      <c r="J48" s="50">
        <v>6</v>
      </c>
      <c r="K48" s="50">
        <v>0</v>
      </c>
      <c r="L48" s="50">
        <v>0</v>
      </c>
      <c r="M48" s="50">
        <v>85</v>
      </c>
      <c r="N48" s="50">
        <v>0</v>
      </c>
      <c r="O48" s="15">
        <f t="shared" si="0"/>
        <v>204</v>
      </c>
      <c r="P48" s="15">
        <f t="shared" si="1"/>
        <v>289</v>
      </c>
      <c r="R48" s="8"/>
      <c r="T48"/>
    </row>
    <row r="49" spans="2:20" ht="23.1" customHeight="1" x14ac:dyDescent="0.25">
      <c r="B49" s="23" t="s">
        <v>76</v>
      </c>
      <c r="C49" s="50">
        <v>80</v>
      </c>
      <c r="D49" s="50">
        <v>80</v>
      </c>
      <c r="E49" s="50">
        <v>4</v>
      </c>
      <c r="F49" s="50">
        <v>35</v>
      </c>
      <c r="G49" s="50">
        <v>2</v>
      </c>
      <c r="H49" s="50">
        <v>0</v>
      </c>
      <c r="I49" s="50">
        <v>5</v>
      </c>
      <c r="J49" s="50">
        <v>2</v>
      </c>
      <c r="K49" s="50">
        <v>0</v>
      </c>
      <c r="L49" s="50">
        <v>0</v>
      </c>
      <c r="M49" s="50">
        <v>100</v>
      </c>
      <c r="N49" s="50">
        <v>0</v>
      </c>
      <c r="O49" s="15">
        <f t="shared" si="0"/>
        <v>208</v>
      </c>
      <c r="P49" s="15">
        <f t="shared" si="1"/>
        <v>308</v>
      </c>
      <c r="R49" s="8"/>
      <c r="T49"/>
    </row>
    <row r="50" spans="2:20" ht="23.1" customHeight="1" x14ac:dyDescent="0.25">
      <c r="B50" s="24" t="s">
        <v>77</v>
      </c>
      <c r="C50" s="50">
        <v>80</v>
      </c>
      <c r="D50" s="50">
        <v>85</v>
      </c>
      <c r="E50" s="50">
        <v>4</v>
      </c>
      <c r="F50" s="50">
        <v>80</v>
      </c>
      <c r="G50" s="50">
        <v>1</v>
      </c>
      <c r="H50" s="50">
        <v>1</v>
      </c>
      <c r="I50" s="50">
        <v>17</v>
      </c>
      <c r="J50" s="50">
        <v>1</v>
      </c>
      <c r="K50" s="50">
        <v>0</v>
      </c>
      <c r="L50" s="50">
        <v>1</v>
      </c>
      <c r="M50" s="50">
        <v>100</v>
      </c>
      <c r="N50" s="50">
        <v>0</v>
      </c>
      <c r="O50" s="15">
        <f t="shared" si="0"/>
        <v>270</v>
      </c>
      <c r="P50" s="15">
        <f t="shared" si="1"/>
        <v>370</v>
      </c>
      <c r="R50" s="8"/>
      <c r="T50"/>
    </row>
    <row r="51" spans="2:20" ht="23.1" customHeight="1" x14ac:dyDescent="0.25">
      <c r="B51" s="24" t="s">
        <v>78</v>
      </c>
      <c r="C51" s="50">
        <v>120</v>
      </c>
      <c r="D51" s="50">
        <v>85</v>
      </c>
      <c r="E51" s="50">
        <v>2</v>
      </c>
      <c r="F51" s="50">
        <v>100</v>
      </c>
      <c r="G51" s="50">
        <v>0</v>
      </c>
      <c r="H51" s="50">
        <v>0</v>
      </c>
      <c r="I51" s="50">
        <v>14</v>
      </c>
      <c r="J51" s="50">
        <v>0</v>
      </c>
      <c r="K51" s="50">
        <v>0</v>
      </c>
      <c r="L51" s="50">
        <v>1</v>
      </c>
      <c r="M51" s="50">
        <v>85</v>
      </c>
      <c r="N51" s="50">
        <v>0</v>
      </c>
      <c r="O51" s="15">
        <f t="shared" si="0"/>
        <v>322</v>
      </c>
      <c r="P51" s="15">
        <f t="shared" si="1"/>
        <v>407</v>
      </c>
      <c r="R51" s="8"/>
      <c r="T51"/>
    </row>
    <row r="52" spans="2:20" ht="23.1" customHeight="1" x14ac:dyDescent="0.25">
      <c r="B52" s="24" t="s">
        <v>79</v>
      </c>
      <c r="C52" s="50">
        <v>80</v>
      </c>
      <c r="D52" s="50">
        <v>96</v>
      </c>
      <c r="E52" s="50">
        <v>7</v>
      </c>
      <c r="F52" s="50">
        <v>75</v>
      </c>
      <c r="G52" s="50">
        <v>2</v>
      </c>
      <c r="H52" s="50">
        <v>0</v>
      </c>
      <c r="I52" s="50">
        <v>10</v>
      </c>
      <c r="J52" s="50">
        <v>0</v>
      </c>
      <c r="K52" s="50">
        <v>0</v>
      </c>
      <c r="L52" s="50">
        <v>0</v>
      </c>
      <c r="M52" s="50">
        <v>100</v>
      </c>
      <c r="N52" s="50">
        <v>0</v>
      </c>
      <c r="O52" s="15">
        <f t="shared" si="0"/>
        <v>270</v>
      </c>
      <c r="P52" s="15">
        <f t="shared" si="1"/>
        <v>370</v>
      </c>
      <c r="R52" s="8"/>
      <c r="T52"/>
    </row>
    <row r="53" spans="2:20" ht="23.1" customHeight="1" x14ac:dyDescent="0.25">
      <c r="B53" s="23" t="s">
        <v>80</v>
      </c>
      <c r="C53" s="50">
        <v>75</v>
      </c>
      <c r="D53" s="50">
        <v>60</v>
      </c>
      <c r="E53" s="50">
        <v>5</v>
      </c>
      <c r="F53" s="50">
        <v>65</v>
      </c>
      <c r="G53" s="50">
        <v>0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90</v>
      </c>
      <c r="N53" s="50">
        <v>0</v>
      </c>
      <c r="O53" s="15">
        <f t="shared" si="0"/>
        <v>211</v>
      </c>
      <c r="P53" s="15">
        <f t="shared" si="1"/>
        <v>301</v>
      </c>
      <c r="R53" s="8"/>
      <c r="T53"/>
    </row>
    <row r="54" spans="2:20" ht="23.1" customHeight="1" x14ac:dyDescent="0.25">
      <c r="B54" s="23" t="s">
        <v>81</v>
      </c>
      <c r="C54" s="50">
        <v>45</v>
      </c>
      <c r="D54" s="50">
        <v>90</v>
      </c>
      <c r="E54" s="50">
        <v>31</v>
      </c>
      <c r="F54" s="50">
        <v>70</v>
      </c>
      <c r="G54" s="50">
        <v>0</v>
      </c>
      <c r="H54" s="50">
        <v>0</v>
      </c>
      <c r="I54" s="50">
        <v>2</v>
      </c>
      <c r="J54" s="50">
        <v>2</v>
      </c>
      <c r="K54" s="50">
        <v>0</v>
      </c>
      <c r="L54" s="50">
        <v>1</v>
      </c>
      <c r="M54" s="50">
        <v>65</v>
      </c>
      <c r="N54" s="50">
        <v>0</v>
      </c>
      <c r="O54" s="15">
        <f t="shared" si="0"/>
        <v>241</v>
      </c>
      <c r="P54" s="15">
        <f t="shared" si="1"/>
        <v>306</v>
      </c>
      <c r="R54" s="8"/>
      <c r="T54"/>
    </row>
    <row r="55" spans="2:20" ht="23.1" customHeight="1" x14ac:dyDescent="0.25">
      <c r="B55" s="23" t="s">
        <v>82</v>
      </c>
      <c r="C55" s="50">
        <v>90</v>
      </c>
      <c r="D55" s="50">
        <v>80</v>
      </c>
      <c r="E55" s="50">
        <v>20</v>
      </c>
      <c r="F55" s="50">
        <v>60</v>
      </c>
      <c r="G55" s="50">
        <v>0</v>
      </c>
      <c r="H55" s="50">
        <v>0</v>
      </c>
      <c r="I55" s="50">
        <v>8</v>
      </c>
      <c r="J55" s="50">
        <v>1</v>
      </c>
      <c r="K55" s="50">
        <v>0</v>
      </c>
      <c r="L55" s="50">
        <v>0</v>
      </c>
      <c r="M55" s="50">
        <v>96</v>
      </c>
      <c r="N55" s="50">
        <v>0</v>
      </c>
      <c r="O55" s="15">
        <f t="shared" si="0"/>
        <v>259</v>
      </c>
      <c r="P55" s="15">
        <f t="shared" si="1"/>
        <v>355</v>
      </c>
      <c r="R55" s="8"/>
      <c r="T55"/>
    </row>
    <row r="56" spans="2:20" ht="23.1" customHeight="1" x14ac:dyDescent="0.25">
      <c r="B56" s="23" t="s">
        <v>83</v>
      </c>
      <c r="C56" s="50">
        <v>80</v>
      </c>
      <c r="D56" s="50">
        <v>70</v>
      </c>
      <c r="E56" s="50">
        <v>6</v>
      </c>
      <c r="F56" s="50">
        <v>50</v>
      </c>
      <c r="G56" s="50">
        <v>2</v>
      </c>
      <c r="H56" s="50">
        <v>1</v>
      </c>
      <c r="I56" s="50">
        <v>3</v>
      </c>
      <c r="J56" s="50">
        <v>2</v>
      </c>
      <c r="K56" s="50">
        <v>1</v>
      </c>
      <c r="L56" s="50">
        <v>0</v>
      </c>
      <c r="M56" s="50">
        <v>97</v>
      </c>
      <c r="N56" s="50">
        <v>1</v>
      </c>
      <c r="O56" s="15">
        <f t="shared" si="0"/>
        <v>216</v>
      </c>
      <c r="P56" s="15">
        <f t="shared" si="1"/>
        <v>313</v>
      </c>
      <c r="R56" s="8"/>
      <c r="T56"/>
    </row>
    <row r="57" spans="2:20" ht="23.1" customHeight="1" x14ac:dyDescent="0.25">
      <c r="B57" s="23" t="s">
        <v>84</v>
      </c>
      <c r="C57" s="50">
        <v>80</v>
      </c>
      <c r="D57" s="50">
        <v>55</v>
      </c>
      <c r="E57" s="50">
        <v>4</v>
      </c>
      <c r="F57" s="50">
        <v>60</v>
      </c>
      <c r="G57" s="50">
        <v>3</v>
      </c>
      <c r="H57" s="50">
        <v>0</v>
      </c>
      <c r="I57" s="50">
        <v>5</v>
      </c>
      <c r="J57" s="50">
        <v>0</v>
      </c>
      <c r="K57" s="50">
        <v>0</v>
      </c>
      <c r="L57" s="50">
        <v>1</v>
      </c>
      <c r="M57" s="50">
        <v>110</v>
      </c>
      <c r="N57" s="50">
        <v>0</v>
      </c>
      <c r="O57" s="15">
        <f t="shared" si="0"/>
        <v>208</v>
      </c>
      <c r="P57" s="15">
        <f t="shared" si="1"/>
        <v>318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2537</v>
      </c>
      <c r="D58" s="16">
        <f t="shared" si="21"/>
        <v>2433</v>
      </c>
      <c r="E58" s="16">
        <f t="shared" si="21"/>
        <v>312</v>
      </c>
      <c r="F58" s="16">
        <f t="shared" si="21"/>
        <v>3299</v>
      </c>
      <c r="G58" s="16">
        <f t="shared" si="21"/>
        <v>52</v>
      </c>
      <c r="H58" s="16">
        <f t="shared" si="21"/>
        <v>28</v>
      </c>
      <c r="I58" s="16">
        <f t="shared" si="21"/>
        <v>653</v>
      </c>
      <c r="J58" s="16">
        <f t="shared" si="21"/>
        <v>51</v>
      </c>
      <c r="K58" s="16">
        <f t="shared" si="21"/>
        <v>14</v>
      </c>
      <c r="L58" s="16">
        <f t="shared" si="21"/>
        <v>56</v>
      </c>
      <c r="M58" s="16">
        <f t="shared" si="21"/>
        <v>4153</v>
      </c>
      <c r="N58" s="16">
        <f t="shared" si="21"/>
        <v>2</v>
      </c>
      <c r="O58" s="16">
        <f t="shared" si="21"/>
        <v>9437</v>
      </c>
      <c r="P58" s="16">
        <f t="shared" si="21"/>
        <v>13590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0.1866813833701251</v>
      </c>
      <c r="D59" s="43">
        <f t="shared" si="22"/>
        <v>0.17902869757174392</v>
      </c>
      <c r="E59" s="43">
        <f t="shared" si="22"/>
        <v>2.2958057395143488E-2</v>
      </c>
      <c r="F59" s="43">
        <f t="shared" si="22"/>
        <v>0.24275202354672554</v>
      </c>
      <c r="G59" s="43">
        <f t="shared" si="22"/>
        <v>3.8263428991905813E-3</v>
      </c>
      <c r="H59" s="43">
        <f t="shared" si="22"/>
        <v>2.0603384841795438E-3</v>
      </c>
      <c r="I59" s="43">
        <f t="shared" si="22"/>
        <v>4.8050036791758649E-2</v>
      </c>
      <c r="J59" s="43">
        <f t="shared" si="22"/>
        <v>3.7527593818984547E-3</v>
      </c>
      <c r="K59" s="43">
        <f t="shared" si="22"/>
        <v>1.0301692420897719E-3</v>
      </c>
      <c r="L59" s="43">
        <f t="shared" si="22"/>
        <v>4.1206769683590876E-3</v>
      </c>
      <c r="M59" s="43">
        <f t="shared" si="22"/>
        <v>0.3055923473142016</v>
      </c>
      <c r="N59" s="43">
        <f t="shared" si="22"/>
        <v>1.4716703458425313E-4</v>
      </c>
      <c r="R59" s="8"/>
      <c r="T59"/>
    </row>
    <row r="60" spans="2:20" ht="23.1" customHeight="1" x14ac:dyDescent="0.25">
      <c r="B60" s="42" t="s">
        <v>94</v>
      </c>
      <c r="C60" s="44">
        <f>C58/$O$58</f>
        <v>0.26883543498993323</v>
      </c>
      <c r="D60" s="44">
        <f t="shared" ref="D60:N60" si="23">D58/$O$58</f>
        <v>0.25781498357528876</v>
      </c>
      <c r="E60" s="44">
        <f t="shared" si="23"/>
        <v>3.3061354243933451E-2</v>
      </c>
      <c r="F60" s="44">
        <f t="shared" si="23"/>
        <v>0.34958143477800147</v>
      </c>
      <c r="G60" s="44">
        <f t="shared" si="23"/>
        <v>5.5102257073222421E-3</v>
      </c>
      <c r="H60" s="44">
        <f t="shared" si="23"/>
        <v>2.9670446116350536E-3</v>
      </c>
      <c r="I60" s="44">
        <f t="shared" si="23"/>
        <v>6.9195718978488932E-2</v>
      </c>
      <c r="J60" s="44">
        <f t="shared" si="23"/>
        <v>5.404259828335276E-3</v>
      </c>
      <c r="K60" s="44">
        <f t="shared" si="23"/>
        <v>1.4835223058175268E-3</v>
      </c>
      <c r="L60" s="44">
        <f t="shared" si="23"/>
        <v>5.9340892232701073E-3</v>
      </c>
      <c r="M60" s="44"/>
      <c r="N60" s="44">
        <f t="shared" si="23"/>
        <v>2.119317579739324E-4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4" zoomScale="60" workbookViewId="0">
      <selection activeCell="K44" sqref="K4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Kampala-Wakiso'!D5</f>
        <v>24.07.19</v>
      </c>
      <c r="E5" s="3"/>
      <c r="F5" s="41" t="s">
        <v>1</v>
      </c>
      <c r="G5" s="66" t="str">
        <f>'22.07 Kampala-Wakiso'!G5:H5</f>
        <v>AFTER STABEX NANSANA</v>
      </c>
      <c r="H5" s="67"/>
      <c r="I5" s="14"/>
      <c r="J5" s="2" t="s">
        <v>5</v>
      </c>
      <c r="K5" s="66" t="str">
        <f>'22.07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Wakiso-Kampala'!D6:E6</f>
        <v>Wakiso</v>
      </c>
      <c r="E6" s="67"/>
      <c r="F6" s="2" t="s">
        <v>2</v>
      </c>
      <c r="G6" s="66" t="str">
        <f>'22.07 Wakiso-Kampala'!G6:H6</f>
        <v>Kampala</v>
      </c>
      <c r="H6" s="67"/>
      <c r="J6" s="2" t="s">
        <v>21</v>
      </c>
      <c r="K6" s="66" t="str">
        <f>'22.07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120</v>
      </c>
      <c r="D10" s="50">
        <v>30</v>
      </c>
      <c r="E10" s="50">
        <v>7</v>
      </c>
      <c r="F10" s="50">
        <v>130</v>
      </c>
      <c r="G10" s="50">
        <v>0</v>
      </c>
      <c r="H10" s="50">
        <v>0</v>
      </c>
      <c r="I10" s="50">
        <v>9</v>
      </c>
      <c r="J10" s="50">
        <v>1</v>
      </c>
      <c r="K10" s="50">
        <v>0</v>
      </c>
      <c r="L10" s="50">
        <v>0</v>
      </c>
      <c r="M10" s="50">
        <v>200</v>
      </c>
      <c r="N10" s="50">
        <v>0</v>
      </c>
      <c r="O10" s="15">
        <f t="shared" ref="O10:O57" si="0">SUM(C10:L10,N10)</f>
        <v>297</v>
      </c>
      <c r="P10" s="15">
        <f t="shared" ref="P10:P57" si="1">SUM(C10:N10)</f>
        <v>497</v>
      </c>
      <c r="R10" s="1" t="s">
        <v>6</v>
      </c>
      <c r="S10" s="17">
        <f t="shared" ref="S10:AF10" si="2">SUM(C10:C13)</f>
        <v>397</v>
      </c>
      <c r="T10" s="17">
        <f t="shared" si="2"/>
        <v>110</v>
      </c>
      <c r="U10" s="17">
        <f t="shared" si="2"/>
        <v>165</v>
      </c>
      <c r="V10" s="17">
        <f t="shared" si="2"/>
        <v>453</v>
      </c>
      <c r="W10" s="17">
        <f t="shared" si="2"/>
        <v>5</v>
      </c>
      <c r="X10" s="17">
        <f t="shared" si="2"/>
        <v>0</v>
      </c>
      <c r="Y10" s="17">
        <f t="shared" si="2"/>
        <v>45</v>
      </c>
      <c r="Z10" s="17">
        <f t="shared" si="2"/>
        <v>6</v>
      </c>
      <c r="AA10" s="17">
        <f t="shared" si="2"/>
        <v>4</v>
      </c>
      <c r="AB10" s="17">
        <f t="shared" si="2"/>
        <v>0</v>
      </c>
      <c r="AC10" s="17">
        <f t="shared" si="2"/>
        <v>990</v>
      </c>
      <c r="AD10" s="17">
        <f t="shared" si="2"/>
        <v>0</v>
      </c>
      <c r="AE10" s="31">
        <f t="shared" si="2"/>
        <v>1185</v>
      </c>
      <c r="AF10" s="31">
        <f t="shared" si="2"/>
        <v>2175</v>
      </c>
    </row>
    <row r="11" spans="2:32" s="6" customFormat="1" ht="23.1" customHeight="1" x14ac:dyDescent="0.25">
      <c r="B11" s="23" t="s">
        <v>38</v>
      </c>
      <c r="C11" s="50">
        <v>130</v>
      </c>
      <c r="D11" s="50">
        <v>26</v>
      </c>
      <c r="E11" s="50">
        <v>16</v>
      </c>
      <c r="F11" s="50">
        <v>132</v>
      </c>
      <c r="G11" s="50">
        <v>3</v>
      </c>
      <c r="H11" s="50">
        <v>0</v>
      </c>
      <c r="I11" s="50">
        <v>16</v>
      </c>
      <c r="J11" s="50">
        <v>0</v>
      </c>
      <c r="K11" s="50">
        <v>1</v>
      </c>
      <c r="L11" s="50">
        <v>0</v>
      </c>
      <c r="M11" s="50">
        <v>230</v>
      </c>
      <c r="N11" s="50">
        <v>0</v>
      </c>
      <c r="O11" s="15">
        <f t="shared" si="0"/>
        <v>324</v>
      </c>
      <c r="P11" s="15">
        <f t="shared" si="1"/>
        <v>554</v>
      </c>
      <c r="R11" s="1" t="s">
        <v>7</v>
      </c>
      <c r="S11" s="17">
        <f t="shared" ref="S11:AF11" si="3">SUM(C14:C17)</f>
        <v>282</v>
      </c>
      <c r="T11" s="17">
        <f t="shared" si="3"/>
        <v>106</v>
      </c>
      <c r="U11" s="17">
        <f t="shared" si="3"/>
        <v>55</v>
      </c>
      <c r="V11" s="17">
        <f t="shared" si="3"/>
        <v>335</v>
      </c>
      <c r="W11" s="17">
        <f t="shared" si="3"/>
        <v>5</v>
      </c>
      <c r="X11" s="17">
        <f t="shared" si="3"/>
        <v>0</v>
      </c>
      <c r="Y11" s="17">
        <f t="shared" si="3"/>
        <v>39</v>
      </c>
      <c r="Z11" s="17">
        <f t="shared" si="3"/>
        <v>2</v>
      </c>
      <c r="AA11" s="17">
        <f t="shared" si="3"/>
        <v>5</v>
      </c>
      <c r="AB11" s="17">
        <f t="shared" si="3"/>
        <v>0</v>
      </c>
      <c r="AC11" s="17">
        <f t="shared" si="3"/>
        <v>969</v>
      </c>
      <c r="AD11" s="17">
        <f t="shared" si="3"/>
        <v>0</v>
      </c>
      <c r="AE11" s="31">
        <f t="shared" si="3"/>
        <v>829</v>
      </c>
      <c r="AF11" s="31">
        <f t="shared" si="3"/>
        <v>1798</v>
      </c>
    </row>
    <row r="12" spans="2:32" ht="23.1" customHeight="1" x14ac:dyDescent="0.25">
      <c r="B12" s="23" t="s">
        <v>39</v>
      </c>
      <c r="C12" s="50">
        <v>82</v>
      </c>
      <c r="D12" s="50">
        <v>26</v>
      </c>
      <c r="E12" s="50">
        <v>6</v>
      </c>
      <c r="F12" s="50">
        <v>95</v>
      </c>
      <c r="G12" s="50">
        <v>1</v>
      </c>
      <c r="H12" s="50">
        <v>0</v>
      </c>
      <c r="I12" s="50">
        <v>9</v>
      </c>
      <c r="J12" s="50">
        <v>4</v>
      </c>
      <c r="K12" s="50">
        <v>1</v>
      </c>
      <c r="L12" s="50">
        <v>0</v>
      </c>
      <c r="M12" s="50">
        <v>285</v>
      </c>
      <c r="N12" s="50">
        <v>0</v>
      </c>
      <c r="O12" s="15">
        <f t="shared" si="0"/>
        <v>224</v>
      </c>
      <c r="P12" s="15">
        <f t="shared" si="1"/>
        <v>509</v>
      </c>
      <c r="R12" s="1" t="s">
        <v>8</v>
      </c>
      <c r="S12" s="17">
        <f t="shared" ref="S12:AF12" si="4">SUM(C18:C21)</f>
        <v>391</v>
      </c>
      <c r="T12" s="17">
        <f t="shared" si="4"/>
        <v>120</v>
      </c>
      <c r="U12" s="17">
        <f t="shared" si="4"/>
        <v>48</v>
      </c>
      <c r="V12" s="17">
        <f t="shared" si="4"/>
        <v>378</v>
      </c>
      <c r="W12" s="17">
        <f t="shared" si="4"/>
        <v>7</v>
      </c>
      <c r="X12" s="17">
        <f t="shared" si="4"/>
        <v>3</v>
      </c>
      <c r="Y12" s="17">
        <f t="shared" si="4"/>
        <v>40</v>
      </c>
      <c r="Z12" s="17">
        <f t="shared" si="4"/>
        <v>5</v>
      </c>
      <c r="AA12" s="17">
        <f t="shared" si="4"/>
        <v>1</v>
      </c>
      <c r="AB12" s="17">
        <f t="shared" si="4"/>
        <v>1</v>
      </c>
      <c r="AC12" s="17">
        <f t="shared" si="4"/>
        <v>940</v>
      </c>
      <c r="AD12" s="17">
        <f t="shared" si="4"/>
        <v>0</v>
      </c>
      <c r="AE12" s="31">
        <f t="shared" si="4"/>
        <v>994</v>
      </c>
      <c r="AF12" s="31">
        <f t="shared" si="4"/>
        <v>1934</v>
      </c>
    </row>
    <row r="13" spans="2:32" ht="23.1" customHeight="1" x14ac:dyDescent="0.25">
      <c r="B13" s="23" t="s">
        <v>40</v>
      </c>
      <c r="C13" s="50">
        <v>65</v>
      </c>
      <c r="D13" s="50">
        <v>28</v>
      </c>
      <c r="E13" s="50">
        <v>136</v>
      </c>
      <c r="F13" s="50">
        <v>96</v>
      </c>
      <c r="G13" s="50">
        <v>1</v>
      </c>
      <c r="H13" s="50">
        <v>0</v>
      </c>
      <c r="I13" s="50">
        <v>11</v>
      </c>
      <c r="J13" s="50">
        <v>1</v>
      </c>
      <c r="K13" s="50">
        <v>2</v>
      </c>
      <c r="L13" s="50">
        <v>0</v>
      </c>
      <c r="M13" s="50">
        <v>275</v>
      </c>
      <c r="N13" s="50">
        <v>0</v>
      </c>
      <c r="O13" s="15">
        <f t="shared" si="0"/>
        <v>340</v>
      </c>
      <c r="P13" s="15">
        <f t="shared" si="1"/>
        <v>615</v>
      </c>
      <c r="R13" s="1" t="s">
        <v>9</v>
      </c>
      <c r="S13" s="17">
        <f t="shared" ref="S13:AF13" si="5">SUM(C22:C25)</f>
        <v>293</v>
      </c>
      <c r="T13" s="17">
        <f t="shared" si="5"/>
        <v>109</v>
      </c>
      <c r="U13" s="17">
        <f t="shared" si="5"/>
        <v>39</v>
      </c>
      <c r="V13" s="17">
        <f t="shared" si="5"/>
        <v>331</v>
      </c>
      <c r="W13" s="17">
        <f t="shared" si="5"/>
        <v>7</v>
      </c>
      <c r="X13" s="17">
        <f t="shared" si="5"/>
        <v>2</v>
      </c>
      <c r="Y13" s="17">
        <f t="shared" si="5"/>
        <v>54</v>
      </c>
      <c r="Z13" s="17">
        <f t="shared" si="5"/>
        <v>4</v>
      </c>
      <c r="AA13" s="17">
        <f t="shared" si="5"/>
        <v>2</v>
      </c>
      <c r="AB13" s="17">
        <f t="shared" si="5"/>
        <v>2</v>
      </c>
      <c r="AC13" s="17">
        <f t="shared" si="5"/>
        <v>616</v>
      </c>
      <c r="AD13" s="17">
        <f t="shared" si="5"/>
        <v>0</v>
      </c>
      <c r="AE13" s="31">
        <f t="shared" si="5"/>
        <v>843</v>
      </c>
      <c r="AF13" s="31">
        <f t="shared" si="5"/>
        <v>1459</v>
      </c>
    </row>
    <row r="14" spans="2:32" ht="23.1" customHeight="1" x14ac:dyDescent="0.25">
      <c r="B14" s="23" t="s">
        <v>41</v>
      </c>
      <c r="C14" s="50">
        <v>80</v>
      </c>
      <c r="D14" s="50">
        <v>26</v>
      </c>
      <c r="E14" s="50">
        <v>14</v>
      </c>
      <c r="F14" s="50">
        <v>75</v>
      </c>
      <c r="G14" s="50">
        <v>1</v>
      </c>
      <c r="H14" s="50">
        <v>0</v>
      </c>
      <c r="I14" s="50">
        <v>7</v>
      </c>
      <c r="J14" s="50">
        <v>0</v>
      </c>
      <c r="K14" s="50">
        <v>0</v>
      </c>
      <c r="L14" s="50">
        <v>0</v>
      </c>
      <c r="M14" s="50">
        <v>303</v>
      </c>
      <c r="N14" s="50">
        <v>0</v>
      </c>
      <c r="O14" s="15">
        <f t="shared" si="0"/>
        <v>203</v>
      </c>
      <c r="P14" s="15">
        <f t="shared" si="1"/>
        <v>506</v>
      </c>
      <c r="R14" s="1" t="s">
        <v>10</v>
      </c>
      <c r="S14" s="17">
        <f t="shared" ref="S14:AF14" si="6">SUM(C26:C29)</f>
        <v>202</v>
      </c>
      <c r="T14" s="17">
        <f t="shared" si="6"/>
        <v>93</v>
      </c>
      <c r="U14" s="17">
        <f t="shared" si="6"/>
        <v>28</v>
      </c>
      <c r="V14" s="17">
        <f t="shared" si="6"/>
        <v>219</v>
      </c>
      <c r="W14" s="17">
        <f t="shared" si="6"/>
        <v>1</v>
      </c>
      <c r="X14" s="17">
        <f t="shared" si="6"/>
        <v>0</v>
      </c>
      <c r="Y14" s="17">
        <f t="shared" si="6"/>
        <v>43</v>
      </c>
      <c r="Z14" s="17">
        <f t="shared" si="6"/>
        <v>1</v>
      </c>
      <c r="AA14" s="17">
        <f t="shared" si="6"/>
        <v>2</v>
      </c>
      <c r="AB14" s="17">
        <f t="shared" si="6"/>
        <v>3</v>
      </c>
      <c r="AC14" s="17">
        <f t="shared" si="6"/>
        <v>605</v>
      </c>
      <c r="AD14" s="17">
        <f t="shared" si="6"/>
        <v>0</v>
      </c>
      <c r="AE14" s="31">
        <f t="shared" si="6"/>
        <v>592</v>
      </c>
      <c r="AF14" s="31">
        <f t="shared" si="6"/>
        <v>1197</v>
      </c>
    </row>
    <row r="15" spans="2:32" ht="23.1" customHeight="1" x14ac:dyDescent="0.25">
      <c r="B15" s="23" t="s">
        <v>42</v>
      </c>
      <c r="C15" s="50">
        <v>70</v>
      </c>
      <c r="D15" s="50">
        <v>31</v>
      </c>
      <c r="E15" s="50">
        <v>9</v>
      </c>
      <c r="F15" s="50">
        <v>70</v>
      </c>
      <c r="G15" s="50">
        <v>0</v>
      </c>
      <c r="H15" s="50">
        <v>0</v>
      </c>
      <c r="I15" s="50">
        <v>11</v>
      </c>
      <c r="J15" s="50">
        <v>1</v>
      </c>
      <c r="K15" s="50">
        <v>1</v>
      </c>
      <c r="L15" s="50">
        <v>0</v>
      </c>
      <c r="M15" s="50">
        <v>216</v>
      </c>
      <c r="N15" s="50">
        <v>0</v>
      </c>
      <c r="O15" s="15">
        <f t="shared" si="0"/>
        <v>193</v>
      </c>
      <c r="P15" s="15">
        <f t="shared" si="1"/>
        <v>409</v>
      </c>
      <c r="R15" s="1" t="s">
        <v>11</v>
      </c>
      <c r="S15" s="17">
        <f t="shared" ref="S15:AF15" si="7">SUM(C30:C33)</f>
        <v>202</v>
      </c>
      <c r="T15" s="17">
        <f t="shared" si="7"/>
        <v>70</v>
      </c>
      <c r="U15" s="17">
        <f t="shared" si="7"/>
        <v>32</v>
      </c>
      <c r="V15" s="17">
        <f t="shared" si="7"/>
        <v>238</v>
      </c>
      <c r="W15" s="17">
        <f t="shared" si="7"/>
        <v>2</v>
      </c>
      <c r="X15" s="17">
        <f t="shared" si="7"/>
        <v>1</v>
      </c>
      <c r="Y15" s="17">
        <f t="shared" si="7"/>
        <v>30</v>
      </c>
      <c r="Z15" s="17">
        <f t="shared" si="7"/>
        <v>3</v>
      </c>
      <c r="AA15" s="17">
        <f t="shared" si="7"/>
        <v>1</v>
      </c>
      <c r="AB15" s="17">
        <f t="shared" si="7"/>
        <v>6</v>
      </c>
      <c r="AC15" s="17">
        <f t="shared" si="7"/>
        <v>469</v>
      </c>
      <c r="AD15" s="17">
        <f t="shared" si="7"/>
        <v>0</v>
      </c>
      <c r="AE15" s="31">
        <f t="shared" si="7"/>
        <v>585</v>
      </c>
      <c r="AF15" s="31">
        <f t="shared" si="7"/>
        <v>1054</v>
      </c>
    </row>
    <row r="16" spans="2:32" ht="23.1" customHeight="1" x14ac:dyDescent="0.25">
      <c r="B16" s="23" t="s">
        <v>43</v>
      </c>
      <c r="C16" s="50">
        <v>75</v>
      </c>
      <c r="D16" s="50">
        <v>27</v>
      </c>
      <c r="E16" s="50">
        <v>18</v>
      </c>
      <c r="F16" s="50">
        <v>100</v>
      </c>
      <c r="G16" s="50">
        <v>1</v>
      </c>
      <c r="H16" s="50">
        <v>0</v>
      </c>
      <c r="I16" s="50">
        <v>10</v>
      </c>
      <c r="J16" s="50">
        <v>1</v>
      </c>
      <c r="K16" s="50">
        <v>3</v>
      </c>
      <c r="L16" s="50">
        <v>0</v>
      </c>
      <c r="M16" s="50">
        <v>230</v>
      </c>
      <c r="N16" s="50">
        <v>0</v>
      </c>
      <c r="O16" s="15">
        <f t="shared" si="0"/>
        <v>235</v>
      </c>
      <c r="P16" s="15">
        <f t="shared" si="1"/>
        <v>465</v>
      </c>
      <c r="R16" s="1" t="s">
        <v>12</v>
      </c>
      <c r="S16" s="17">
        <f t="shared" ref="S16:AF16" si="8">SUM(C34:C37)</f>
        <v>219</v>
      </c>
      <c r="T16" s="17">
        <f t="shared" si="8"/>
        <v>75</v>
      </c>
      <c r="U16" s="17">
        <f t="shared" si="8"/>
        <v>43</v>
      </c>
      <c r="V16" s="17">
        <f t="shared" si="8"/>
        <v>192</v>
      </c>
      <c r="W16" s="17">
        <f t="shared" si="8"/>
        <v>4</v>
      </c>
      <c r="X16" s="17">
        <f t="shared" si="8"/>
        <v>2</v>
      </c>
      <c r="Y16" s="17">
        <f t="shared" si="8"/>
        <v>36</v>
      </c>
      <c r="Z16" s="17">
        <f t="shared" si="8"/>
        <v>4</v>
      </c>
      <c r="AA16" s="17">
        <f t="shared" si="8"/>
        <v>1</v>
      </c>
      <c r="AB16" s="17">
        <f t="shared" si="8"/>
        <v>2</v>
      </c>
      <c r="AC16" s="17">
        <f t="shared" si="8"/>
        <v>373</v>
      </c>
      <c r="AD16" s="17">
        <f t="shared" si="8"/>
        <v>0</v>
      </c>
      <c r="AE16" s="31">
        <f t="shared" si="8"/>
        <v>578</v>
      </c>
      <c r="AF16" s="31">
        <f t="shared" si="8"/>
        <v>951</v>
      </c>
    </row>
    <row r="17" spans="2:32" ht="23.1" customHeight="1" x14ac:dyDescent="0.25">
      <c r="B17" s="23" t="s">
        <v>44</v>
      </c>
      <c r="C17" s="50">
        <v>57</v>
      </c>
      <c r="D17" s="50">
        <v>22</v>
      </c>
      <c r="E17" s="50">
        <v>14</v>
      </c>
      <c r="F17" s="50">
        <v>90</v>
      </c>
      <c r="G17" s="50">
        <v>3</v>
      </c>
      <c r="H17" s="50">
        <v>0</v>
      </c>
      <c r="I17" s="50">
        <v>11</v>
      </c>
      <c r="J17" s="50">
        <v>0</v>
      </c>
      <c r="K17" s="50">
        <v>1</v>
      </c>
      <c r="L17" s="50">
        <v>0</v>
      </c>
      <c r="M17" s="50">
        <v>220</v>
      </c>
      <c r="N17" s="50">
        <v>0</v>
      </c>
      <c r="O17" s="15">
        <f t="shared" si="0"/>
        <v>198</v>
      </c>
      <c r="P17" s="15">
        <f t="shared" si="1"/>
        <v>418</v>
      </c>
      <c r="R17" s="1" t="s">
        <v>13</v>
      </c>
      <c r="S17" s="17">
        <f t="shared" ref="S17:AF17" si="9">SUM(C38:C41)</f>
        <v>176</v>
      </c>
      <c r="T17" s="17">
        <f t="shared" si="9"/>
        <v>81</v>
      </c>
      <c r="U17" s="17">
        <f t="shared" si="9"/>
        <v>30</v>
      </c>
      <c r="V17" s="17">
        <f t="shared" si="9"/>
        <v>186</v>
      </c>
      <c r="W17" s="17">
        <f t="shared" si="9"/>
        <v>0</v>
      </c>
      <c r="X17" s="17">
        <f t="shared" si="9"/>
        <v>1</v>
      </c>
      <c r="Y17" s="17">
        <f t="shared" si="9"/>
        <v>69</v>
      </c>
      <c r="Z17" s="17">
        <f t="shared" si="9"/>
        <v>8</v>
      </c>
      <c r="AA17" s="17">
        <f t="shared" si="9"/>
        <v>2</v>
      </c>
      <c r="AB17" s="17">
        <f t="shared" si="9"/>
        <v>1</v>
      </c>
      <c r="AC17" s="17">
        <f t="shared" si="9"/>
        <v>365</v>
      </c>
      <c r="AD17" s="17">
        <f t="shared" si="9"/>
        <v>0</v>
      </c>
      <c r="AE17" s="31">
        <f t="shared" si="9"/>
        <v>554</v>
      </c>
      <c r="AF17" s="31">
        <f t="shared" si="9"/>
        <v>919</v>
      </c>
    </row>
    <row r="18" spans="2:32" ht="23.1" customHeight="1" x14ac:dyDescent="0.25">
      <c r="B18" s="23" t="s">
        <v>45</v>
      </c>
      <c r="C18" s="50">
        <v>125</v>
      </c>
      <c r="D18" s="50">
        <v>36</v>
      </c>
      <c r="E18" s="50">
        <v>10</v>
      </c>
      <c r="F18" s="50">
        <v>120</v>
      </c>
      <c r="G18" s="50">
        <v>4</v>
      </c>
      <c r="H18" s="50">
        <v>1</v>
      </c>
      <c r="I18" s="50">
        <v>9</v>
      </c>
      <c r="J18" s="50">
        <v>0</v>
      </c>
      <c r="K18" s="50">
        <v>0</v>
      </c>
      <c r="L18" s="50">
        <v>0</v>
      </c>
      <c r="M18" s="50">
        <v>300</v>
      </c>
      <c r="N18" s="50">
        <v>0</v>
      </c>
      <c r="O18" s="15">
        <f t="shared" si="0"/>
        <v>305</v>
      </c>
      <c r="P18" s="15">
        <f t="shared" si="1"/>
        <v>605</v>
      </c>
      <c r="R18" s="1" t="s">
        <v>14</v>
      </c>
      <c r="S18" s="17">
        <f t="shared" ref="S18:AF18" si="10">SUM(C42:C45)</f>
        <v>150</v>
      </c>
      <c r="T18" s="17">
        <f t="shared" si="10"/>
        <v>103</v>
      </c>
      <c r="U18" s="17">
        <f t="shared" si="10"/>
        <v>37</v>
      </c>
      <c r="V18" s="17">
        <f t="shared" si="10"/>
        <v>174</v>
      </c>
      <c r="W18" s="17">
        <f t="shared" si="10"/>
        <v>3</v>
      </c>
      <c r="X18" s="17">
        <f t="shared" si="10"/>
        <v>2</v>
      </c>
      <c r="Y18" s="17">
        <f t="shared" si="10"/>
        <v>59</v>
      </c>
      <c r="Z18" s="17">
        <f t="shared" si="10"/>
        <v>7</v>
      </c>
      <c r="AA18" s="17">
        <f t="shared" si="10"/>
        <v>3</v>
      </c>
      <c r="AB18" s="17">
        <f t="shared" si="10"/>
        <v>3</v>
      </c>
      <c r="AC18" s="17">
        <f t="shared" si="10"/>
        <v>325</v>
      </c>
      <c r="AD18" s="17">
        <f t="shared" si="10"/>
        <v>0</v>
      </c>
      <c r="AE18" s="31">
        <f t="shared" si="10"/>
        <v>541</v>
      </c>
      <c r="AF18" s="31">
        <f t="shared" si="10"/>
        <v>866</v>
      </c>
    </row>
    <row r="19" spans="2:32" ht="23.1" customHeight="1" x14ac:dyDescent="0.25">
      <c r="B19" s="23" t="s">
        <v>46</v>
      </c>
      <c r="C19" s="50">
        <v>75</v>
      </c>
      <c r="D19" s="50">
        <v>25</v>
      </c>
      <c r="E19" s="50">
        <v>12</v>
      </c>
      <c r="F19" s="50">
        <v>80</v>
      </c>
      <c r="G19" s="50">
        <v>1</v>
      </c>
      <c r="H19" s="50">
        <v>0</v>
      </c>
      <c r="I19" s="50">
        <v>7</v>
      </c>
      <c r="J19" s="50">
        <v>3</v>
      </c>
      <c r="K19" s="50">
        <v>1</v>
      </c>
      <c r="L19" s="50">
        <v>0</v>
      </c>
      <c r="M19" s="50">
        <v>250</v>
      </c>
      <c r="N19" s="50">
        <v>0</v>
      </c>
      <c r="O19" s="15">
        <f t="shared" si="0"/>
        <v>204</v>
      </c>
      <c r="P19" s="15">
        <f t="shared" si="1"/>
        <v>454</v>
      </c>
      <c r="R19" s="1" t="s">
        <v>15</v>
      </c>
      <c r="S19" s="17">
        <f t="shared" ref="S19:AF19" si="11">SUM(C46:C49)</f>
        <v>130</v>
      </c>
      <c r="T19" s="17">
        <f t="shared" si="11"/>
        <v>80</v>
      </c>
      <c r="U19" s="17">
        <f t="shared" si="11"/>
        <v>48</v>
      </c>
      <c r="V19" s="17">
        <f t="shared" si="11"/>
        <v>183</v>
      </c>
      <c r="W19" s="17">
        <f t="shared" si="11"/>
        <v>2</v>
      </c>
      <c r="X19" s="17">
        <f t="shared" si="11"/>
        <v>1</v>
      </c>
      <c r="Y19" s="17">
        <f t="shared" si="11"/>
        <v>38</v>
      </c>
      <c r="Z19" s="17">
        <f t="shared" si="11"/>
        <v>1</v>
      </c>
      <c r="AA19" s="17">
        <f t="shared" si="11"/>
        <v>4</v>
      </c>
      <c r="AB19" s="17">
        <f t="shared" si="11"/>
        <v>3</v>
      </c>
      <c r="AC19" s="17">
        <f t="shared" si="11"/>
        <v>370</v>
      </c>
      <c r="AD19" s="17">
        <f t="shared" si="11"/>
        <v>0</v>
      </c>
      <c r="AE19" s="31">
        <f t="shared" si="11"/>
        <v>490</v>
      </c>
      <c r="AF19" s="31">
        <f t="shared" si="11"/>
        <v>860</v>
      </c>
    </row>
    <row r="20" spans="2:32" ht="23.1" customHeight="1" x14ac:dyDescent="0.25">
      <c r="B20" s="23" t="s">
        <v>47</v>
      </c>
      <c r="C20" s="50">
        <v>86</v>
      </c>
      <c r="D20" s="50">
        <v>30</v>
      </c>
      <c r="E20" s="50">
        <v>11</v>
      </c>
      <c r="F20" s="50">
        <v>80</v>
      </c>
      <c r="G20" s="50">
        <v>2</v>
      </c>
      <c r="H20" s="50">
        <v>2</v>
      </c>
      <c r="I20" s="50">
        <v>14</v>
      </c>
      <c r="J20" s="50">
        <v>0</v>
      </c>
      <c r="K20" s="50">
        <v>0</v>
      </c>
      <c r="L20" s="50">
        <v>0</v>
      </c>
      <c r="M20" s="50">
        <v>180</v>
      </c>
      <c r="N20" s="50">
        <v>0</v>
      </c>
      <c r="O20" s="15">
        <f t="shared" si="0"/>
        <v>225</v>
      </c>
      <c r="P20" s="15">
        <f t="shared" si="1"/>
        <v>405</v>
      </c>
      <c r="R20" s="1" t="s">
        <v>16</v>
      </c>
      <c r="S20" s="17">
        <f t="shared" ref="S20:AF20" si="12">SUM(C50:C53)</f>
        <v>183</v>
      </c>
      <c r="T20" s="17">
        <f t="shared" si="12"/>
        <v>71</v>
      </c>
      <c r="U20" s="17">
        <f t="shared" si="12"/>
        <v>37</v>
      </c>
      <c r="V20" s="17">
        <f t="shared" si="12"/>
        <v>196</v>
      </c>
      <c r="W20" s="17">
        <f t="shared" si="12"/>
        <v>4</v>
      </c>
      <c r="X20" s="17">
        <f t="shared" si="12"/>
        <v>1</v>
      </c>
      <c r="Y20" s="17">
        <f t="shared" si="12"/>
        <v>33</v>
      </c>
      <c r="Z20" s="17">
        <f t="shared" si="12"/>
        <v>5</v>
      </c>
      <c r="AA20" s="17">
        <f t="shared" si="12"/>
        <v>3</v>
      </c>
      <c r="AB20" s="17">
        <f t="shared" si="12"/>
        <v>7</v>
      </c>
      <c r="AC20" s="17">
        <f t="shared" si="12"/>
        <v>452</v>
      </c>
      <c r="AD20" s="17">
        <f t="shared" si="12"/>
        <v>0</v>
      </c>
      <c r="AE20" s="31">
        <f t="shared" si="12"/>
        <v>540</v>
      </c>
      <c r="AF20" s="31">
        <f t="shared" si="12"/>
        <v>992</v>
      </c>
    </row>
    <row r="21" spans="2:32" ht="23.1" customHeight="1" x14ac:dyDescent="0.25">
      <c r="B21" s="23" t="s">
        <v>48</v>
      </c>
      <c r="C21" s="50">
        <v>105</v>
      </c>
      <c r="D21" s="50">
        <v>29</v>
      </c>
      <c r="E21" s="50">
        <v>15</v>
      </c>
      <c r="F21" s="50">
        <v>98</v>
      </c>
      <c r="G21" s="50">
        <v>0</v>
      </c>
      <c r="H21" s="50">
        <v>0</v>
      </c>
      <c r="I21" s="50">
        <v>10</v>
      </c>
      <c r="J21" s="50">
        <v>2</v>
      </c>
      <c r="K21" s="50">
        <v>0</v>
      </c>
      <c r="L21" s="50">
        <v>1</v>
      </c>
      <c r="M21" s="50">
        <v>210</v>
      </c>
      <c r="N21" s="50">
        <v>0</v>
      </c>
      <c r="O21" s="15">
        <f t="shared" si="0"/>
        <v>260</v>
      </c>
      <c r="P21" s="15">
        <f t="shared" si="1"/>
        <v>470</v>
      </c>
      <c r="R21" s="36" t="s">
        <v>20</v>
      </c>
      <c r="S21" s="34">
        <f t="shared" ref="S21:AF21" si="13">SUM(C54:C57)</f>
        <v>157</v>
      </c>
      <c r="T21" s="17">
        <f t="shared" si="13"/>
        <v>60</v>
      </c>
      <c r="U21" s="17">
        <f t="shared" si="13"/>
        <v>23</v>
      </c>
      <c r="V21" s="17">
        <f t="shared" si="13"/>
        <v>187</v>
      </c>
      <c r="W21" s="17">
        <f t="shared" si="13"/>
        <v>2</v>
      </c>
      <c r="X21" s="17">
        <f t="shared" si="13"/>
        <v>0</v>
      </c>
      <c r="Y21" s="17">
        <f t="shared" si="13"/>
        <v>31</v>
      </c>
      <c r="Z21" s="17">
        <f t="shared" si="13"/>
        <v>5</v>
      </c>
      <c r="AA21" s="17">
        <f t="shared" si="13"/>
        <v>1</v>
      </c>
      <c r="AB21" s="17">
        <f t="shared" si="13"/>
        <v>2</v>
      </c>
      <c r="AC21" s="17">
        <f t="shared" si="13"/>
        <v>585</v>
      </c>
      <c r="AD21" s="17">
        <f t="shared" si="13"/>
        <v>0</v>
      </c>
      <c r="AE21" s="31">
        <f t="shared" si="13"/>
        <v>468</v>
      </c>
      <c r="AF21" s="31">
        <f t="shared" si="13"/>
        <v>1053</v>
      </c>
    </row>
    <row r="22" spans="2:32" ht="23.1" customHeight="1" x14ac:dyDescent="0.25">
      <c r="B22" s="23" t="s">
        <v>49</v>
      </c>
      <c r="C22" s="50">
        <v>80</v>
      </c>
      <c r="D22" s="50">
        <v>29</v>
      </c>
      <c r="E22" s="50">
        <v>12</v>
      </c>
      <c r="F22" s="50">
        <v>122</v>
      </c>
      <c r="G22" s="50">
        <v>4</v>
      </c>
      <c r="H22" s="50">
        <v>1</v>
      </c>
      <c r="I22" s="50">
        <v>16</v>
      </c>
      <c r="J22" s="50">
        <v>1</v>
      </c>
      <c r="K22" s="50">
        <v>0</v>
      </c>
      <c r="L22" s="50">
        <v>1</v>
      </c>
      <c r="M22" s="50">
        <v>185</v>
      </c>
      <c r="N22" s="50">
        <v>0</v>
      </c>
      <c r="O22" s="15">
        <f t="shared" si="0"/>
        <v>266</v>
      </c>
      <c r="P22" s="15">
        <f t="shared" si="1"/>
        <v>451</v>
      </c>
      <c r="R22" s="38" t="s">
        <v>90</v>
      </c>
      <c r="S22" s="39">
        <f>MAX(S10:S12)</f>
        <v>397</v>
      </c>
      <c r="T22" s="39">
        <f t="shared" ref="T22:AF22" si="14">MAX(T10:T12)</f>
        <v>120</v>
      </c>
      <c r="U22" s="39">
        <f t="shared" si="14"/>
        <v>165</v>
      </c>
      <c r="V22" s="39">
        <f t="shared" si="14"/>
        <v>453</v>
      </c>
      <c r="W22" s="39">
        <f t="shared" si="14"/>
        <v>7</v>
      </c>
      <c r="X22" s="39">
        <f t="shared" si="14"/>
        <v>3</v>
      </c>
      <c r="Y22" s="39">
        <f t="shared" si="14"/>
        <v>45</v>
      </c>
      <c r="Z22" s="39">
        <f t="shared" si="14"/>
        <v>6</v>
      </c>
      <c r="AA22" s="39">
        <f t="shared" si="14"/>
        <v>5</v>
      </c>
      <c r="AB22" s="39">
        <f t="shared" si="14"/>
        <v>1</v>
      </c>
      <c r="AC22" s="39">
        <f t="shared" si="14"/>
        <v>990</v>
      </c>
      <c r="AD22" s="39">
        <f t="shared" si="14"/>
        <v>0</v>
      </c>
      <c r="AE22" s="40">
        <f t="shared" si="14"/>
        <v>1185</v>
      </c>
      <c r="AF22" s="40">
        <f t="shared" si="14"/>
        <v>2175</v>
      </c>
    </row>
    <row r="23" spans="2:32" ht="23.1" customHeight="1" x14ac:dyDescent="0.25">
      <c r="B23" s="23" t="s">
        <v>50</v>
      </c>
      <c r="C23" s="50">
        <v>80</v>
      </c>
      <c r="D23" s="50">
        <v>23</v>
      </c>
      <c r="E23" s="50">
        <v>7</v>
      </c>
      <c r="F23" s="50">
        <v>75</v>
      </c>
      <c r="G23" s="50">
        <v>3</v>
      </c>
      <c r="H23" s="50">
        <v>0</v>
      </c>
      <c r="I23" s="50">
        <v>20</v>
      </c>
      <c r="J23" s="50">
        <v>0</v>
      </c>
      <c r="K23" s="50">
        <v>1</v>
      </c>
      <c r="L23" s="50">
        <v>0</v>
      </c>
      <c r="M23" s="50">
        <v>128</v>
      </c>
      <c r="N23" s="50">
        <v>0</v>
      </c>
      <c r="O23" s="15">
        <f t="shared" si="0"/>
        <v>209</v>
      </c>
      <c r="P23" s="15">
        <f t="shared" si="1"/>
        <v>337</v>
      </c>
      <c r="R23" s="38" t="s">
        <v>91</v>
      </c>
      <c r="S23" s="39">
        <f>MAX(S13:S18)</f>
        <v>293</v>
      </c>
      <c r="T23" s="39">
        <f t="shared" ref="T23:AF23" si="15">MAX(T13:T18)</f>
        <v>109</v>
      </c>
      <c r="U23" s="39">
        <f t="shared" si="15"/>
        <v>43</v>
      </c>
      <c r="V23" s="39">
        <f t="shared" si="15"/>
        <v>331</v>
      </c>
      <c r="W23" s="39">
        <f t="shared" si="15"/>
        <v>7</v>
      </c>
      <c r="X23" s="39">
        <f t="shared" si="15"/>
        <v>2</v>
      </c>
      <c r="Y23" s="39">
        <f t="shared" si="15"/>
        <v>69</v>
      </c>
      <c r="Z23" s="39">
        <f t="shared" si="15"/>
        <v>8</v>
      </c>
      <c r="AA23" s="39">
        <f t="shared" si="15"/>
        <v>3</v>
      </c>
      <c r="AB23" s="39">
        <f t="shared" si="15"/>
        <v>6</v>
      </c>
      <c r="AC23" s="39">
        <f t="shared" si="15"/>
        <v>616</v>
      </c>
      <c r="AD23" s="39">
        <f t="shared" si="15"/>
        <v>0</v>
      </c>
      <c r="AE23" s="40">
        <f t="shared" si="15"/>
        <v>843</v>
      </c>
      <c r="AF23" s="40">
        <f t="shared" si="15"/>
        <v>1459</v>
      </c>
    </row>
    <row r="24" spans="2:32" ht="23.1" customHeight="1" x14ac:dyDescent="0.25">
      <c r="B24" s="23" t="s">
        <v>51</v>
      </c>
      <c r="C24" s="50">
        <v>78</v>
      </c>
      <c r="D24" s="50">
        <v>35</v>
      </c>
      <c r="E24" s="50">
        <v>13</v>
      </c>
      <c r="F24" s="50">
        <v>71</v>
      </c>
      <c r="G24" s="50">
        <v>0</v>
      </c>
      <c r="H24" s="50">
        <v>0</v>
      </c>
      <c r="I24" s="50">
        <v>8</v>
      </c>
      <c r="J24" s="50">
        <v>2</v>
      </c>
      <c r="K24" s="50">
        <v>1</v>
      </c>
      <c r="L24" s="50">
        <v>1</v>
      </c>
      <c r="M24" s="50">
        <v>160</v>
      </c>
      <c r="N24" s="50">
        <v>0</v>
      </c>
      <c r="O24" s="15">
        <f t="shared" si="0"/>
        <v>209</v>
      </c>
      <c r="P24" s="15">
        <f t="shared" si="1"/>
        <v>369</v>
      </c>
      <c r="R24" s="38" t="s">
        <v>92</v>
      </c>
      <c r="S24" s="39">
        <f>MAX(S19:S21)</f>
        <v>183</v>
      </c>
      <c r="T24" s="39">
        <f t="shared" ref="T24:AF24" si="16">MAX(T19:T21)</f>
        <v>80</v>
      </c>
      <c r="U24" s="39">
        <f t="shared" si="16"/>
        <v>48</v>
      </c>
      <c r="V24" s="39">
        <f t="shared" si="16"/>
        <v>196</v>
      </c>
      <c r="W24" s="39">
        <f t="shared" si="16"/>
        <v>4</v>
      </c>
      <c r="X24" s="39">
        <f t="shared" si="16"/>
        <v>1</v>
      </c>
      <c r="Y24" s="39">
        <f t="shared" si="16"/>
        <v>38</v>
      </c>
      <c r="Z24" s="39">
        <f t="shared" si="16"/>
        <v>5</v>
      </c>
      <c r="AA24" s="39">
        <f t="shared" si="16"/>
        <v>4</v>
      </c>
      <c r="AB24" s="39">
        <f t="shared" si="16"/>
        <v>7</v>
      </c>
      <c r="AC24" s="39">
        <f t="shared" si="16"/>
        <v>585</v>
      </c>
      <c r="AD24" s="39">
        <f t="shared" si="16"/>
        <v>0</v>
      </c>
      <c r="AE24" s="40">
        <f t="shared" si="16"/>
        <v>540</v>
      </c>
      <c r="AF24" s="40">
        <f t="shared" si="16"/>
        <v>1053</v>
      </c>
    </row>
    <row r="25" spans="2:32" ht="23.1" customHeight="1" x14ac:dyDescent="0.25">
      <c r="B25" s="23" t="s">
        <v>52</v>
      </c>
      <c r="C25" s="50">
        <v>55</v>
      </c>
      <c r="D25" s="50">
        <v>22</v>
      </c>
      <c r="E25" s="50">
        <v>7</v>
      </c>
      <c r="F25" s="50">
        <v>63</v>
      </c>
      <c r="G25" s="50">
        <v>0</v>
      </c>
      <c r="H25" s="50">
        <v>1</v>
      </c>
      <c r="I25" s="50">
        <v>10</v>
      </c>
      <c r="J25" s="50">
        <v>1</v>
      </c>
      <c r="K25" s="50">
        <v>0</v>
      </c>
      <c r="L25" s="50">
        <v>0</v>
      </c>
      <c r="M25" s="50">
        <v>143</v>
      </c>
      <c r="N25" s="50">
        <v>0</v>
      </c>
      <c r="O25" s="15">
        <f t="shared" si="0"/>
        <v>159</v>
      </c>
      <c r="P25" s="15">
        <f t="shared" si="1"/>
        <v>302</v>
      </c>
      <c r="R25" s="37" t="s">
        <v>85</v>
      </c>
      <c r="S25" s="35">
        <f t="shared" ref="S25:AF25" si="17">SUM(S10:S12)</f>
        <v>1070</v>
      </c>
      <c r="T25" s="16">
        <f t="shared" si="17"/>
        <v>336</v>
      </c>
      <c r="U25" s="16">
        <f t="shared" si="17"/>
        <v>268</v>
      </c>
      <c r="V25" s="16">
        <f t="shared" si="17"/>
        <v>1166</v>
      </c>
      <c r="W25" s="16">
        <f t="shared" si="17"/>
        <v>17</v>
      </c>
      <c r="X25" s="16">
        <f t="shared" si="17"/>
        <v>3</v>
      </c>
      <c r="Y25" s="16">
        <f t="shared" si="17"/>
        <v>124</v>
      </c>
      <c r="Z25" s="16">
        <f t="shared" si="17"/>
        <v>13</v>
      </c>
      <c r="AA25" s="16">
        <f t="shared" si="17"/>
        <v>10</v>
      </c>
      <c r="AB25" s="16">
        <f t="shared" si="17"/>
        <v>1</v>
      </c>
      <c r="AC25" s="16">
        <f t="shared" si="17"/>
        <v>2899</v>
      </c>
      <c r="AD25" s="16">
        <f t="shared" si="17"/>
        <v>0</v>
      </c>
      <c r="AE25" s="32">
        <f t="shared" si="17"/>
        <v>3008</v>
      </c>
      <c r="AF25" s="32">
        <f t="shared" si="17"/>
        <v>5907</v>
      </c>
    </row>
    <row r="26" spans="2:32" ht="23.1" customHeight="1" x14ac:dyDescent="0.25">
      <c r="B26" s="23" t="s">
        <v>53</v>
      </c>
      <c r="C26" s="50">
        <v>40</v>
      </c>
      <c r="D26" s="50">
        <v>29</v>
      </c>
      <c r="E26" s="50">
        <v>6</v>
      </c>
      <c r="F26" s="50">
        <v>46</v>
      </c>
      <c r="G26" s="50">
        <v>0</v>
      </c>
      <c r="H26" s="50">
        <v>0</v>
      </c>
      <c r="I26" s="50">
        <v>11</v>
      </c>
      <c r="J26" s="50">
        <v>0</v>
      </c>
      <c r="K26" s="50">
        <v>1</v>
      </c>
      <c r="L26" s="50">
        <v>0</v>
      </c>
      <c r="M26" s="50">
        <v>215</v>
      </c>
      <c r="N26" s="50">
        <v>0</v>
      </c>
      <c r="O26" s="15">
        <f t="shared" si="0"/>
        <v>133</v>
      </c>
      <c r="P26" s="15">
        <f t="shared" si="1"/>
        <v>348</v>
      </c>
      <c r="R26" s="28" t="s">
        <v>86</v>
      </c>
      <c r="S26" s="16">
        <f t="shared" ref="S26:AF26" si="18">SUM(S13:S18)</f>
        <v>1242</v>
      </c>
      <c r="T26" s="16">
        <f t="shared" si="18"/>
        <v>531</v>
      </c>
      <c r="U26" s="16">
        <f t="shared" si="18"/>
        <v>209</v>
      </c>
      <c r="V26" s="16">
        <f t="shared" si="18"/>
        <v>1340</v>
      </c>
      <c r="W26" s="16">
        <f t="shared" si="18"/>
        <v>17</v>
      </c>
      <c r="X26" s="16">
        <f t="shared" si="18"/>
        <v>8</v>
      </c>
      <c r="Y26" s="16">
        <f t="shared" si="18"/>
        <v>291</v>
      </c>
      <c r="Z26" s="16">
        <f t="shared" si="18"/>
        <v>27</v>
      </c>
      <c r="AA26" s="16">
        <f t="shared" si="18"/>
        <v>11</v>
      </c>
      <c r="AB26" s="16">
        <f t="shared" si="18"/>
        <v>17</v>
      </c>
      <c r="AC26" s="16">
        <f t="shared" si="18"/>
        <v>2753</v>
      </c>
      <c r="AD26" s="16">
        <f t="shared" si="18"/>
        <v>0</v>
      </c>
      <c r="AE26" s="32">
        <f t="shared" si="18"/>
        <v>3693</v>
      </c>
      <c r="AF26" s="32">
        <f t="shared" si="18"/>
        <v>6446</v>
      </c>
    </row>
    <row r="27" spans="2:32" ht="23.1" customHeight="1" x14ac:dyDescent="0.25">
      <c r="B27" s="23" t="s">
        <v>54</v>
      </c>
      <c r="C27" s="50">
        <v>62</v>
      </c>
      <c r="D27" s="50">
        <v>25</v>
      </c>
      <c r="E27" s="50">
        <v>7</v>
      </c>
      <c r="F27" s="50">
        <v>60</v>
      </c>
      <c r="G27" s="50">
        <v>0</v>
      </c>
      <c r="H27" s="50">
        <v>0</v>
      </c>
      <c r="I27" s="50">
        <v>12</v>
      </c>
      <c r="J27" s="50">
        <v>0</v>
      </c>
      <c r="K27" s="50">
        <v>0</v>
      </c>
      <c r="L27" s="50">
        <v>3</v>
      </c>
      <c r="M27" s="50">
        <v>170</v>
      </c>
      <c r="N27" s="50">
        <v>0</v>
      </c>
      <c r="O27" s="15">
        <f t="shared" si="0"/>
        <v>169</v>
      </c>
      <c r="P27" s="15">
        <f t="shared" si="1"/>
        <v>339</v>
      </c>
      <c r="R27" s="29" t="s">
        <v>87</v>
      </c>
      <c r="S27" s="16">
        <f t="shared" ref="S27:AF27" si="19">SUM(S19:S21)</f>
        <v>470</v>
      </c>
      <c r="T27" s="16">
        <f t="shared" si="19"/>
        <v>211</v>
      </c>
      <c r="U27" s="16">
        <f t="shared" si="19"/>
        <v>108</v>
      </c>
      <c r="V27" s="16">
        <f t="shared" si="19"/>
        <v>566</v>
      </c>
      <c r="W27" s="16">
        <f t="shared" si="19"/>
        <v>8</v>
      </c>
      <c r="X27" s="16">
        <f t="shared" si="19"/>
        <v>2</v>
      </c>
      <c r="Y27" s="16">
        <f t="shared" si="19"/>
        <v>102</v>
      </c>
      <c r="Z27" s="16">
        <f t="shared" si="19"/>
        <v>11</v>
      </c>
      <c r="AA27" s="16">
        <f t="shared" si="19"/>
        <v>8</v>
      </c>
      <c r="AB27" s="16">
        <f t="shared" si="19"/>
        <v>12</v>
      </c>
      <c r="AC27" s="16">
        <f t="shared" si="19"/>
        <v>1407</v>
      </c>
      <c r="AD27" s="16">
        <f t="shared" si="19"/>
        <v>0</v>
      </c>
      <c r="AE27" s="32">
        <f t="shared" si="19"/>
        <v>1498</v>
      </c>
      <c r="AF27" s="32">
        <f t="shared" si="19"/>
        <v>2905</v>
      </c>
    </row>
    <row r="28" spans="2:32" ht="23.1" customHeight="1" x14ac:dyDescent="0.25">
      <c r="B28" s="23" t="s">
        <v>55</v>
      </c>
      <c r="C28" s="50">
        <v>55</v>
      </c>
      <c r="D28" s="50">
        <v>21</v>
      </c>
      <c r="E28" s="50">
        <v>8</v>
      </c>
      <c r="F28" s="50">
        <v>60</v>
      </c>
      <c r="G28" s="50">
        <v>1</v>
      </c>
      <c r="H28" s="50">
        <v>0</v>
      </c>
      <c r="I28" s="50">
        <v>13</v>
      </c>
      <c r="J28" s="50">
        <v>0</v>
      </c>
      <c r="K28" s="50">
        <v>0</v>
      </c>
      <c r="L28" s="50">
        <v>0</v>
      </c>
      <c r="M28" s="50">
        <v>105</v>
      </c>
      <c r="N28" s="50">
        <v>0</v>
      </c>
      <c r="O28" s="15">
        <f t="shared" si="0"/>
        <v>158</v>
      </c>
      <c r="P28" s="15">
        <f t="shared" si="1"/>
        <v>263</v>
      </c>
      <c r="R28" s="5" t="s">
        <v>17</v>
      </c>
      <c r="S28" s="16">
        <f t="shared" ref="S28:AF28" si="20">SUM(S10:S21)</f>
        <v>2782</v>
      </c>
      <c r="T28" s="16">
        <f t="shared" si="20"/>
        <v>1078</v>
      </c>
      <c r="U28" s="16">
        <f t="shared" si="20"/>
        <v>585</v>
      </c>
      <c r="V28" s="16">
        <f t="shared" si="20"/>
        <v>3072</v>
      </c>
      <c r="W28" s="16">
        <f t="shared" si="20"/>
        <v>42</v>
      </c>
      <c r="X28" s="16">
        <f t="shared" si="20"/>
        <v>13</v>
      </c>
      <c r="Y28" s="16">
        <f t="shared" si="20"/>
        <v>517</v>
      </c>
      <c r="Z28" s="16">
        <f t="shared" si="20"/>
        <v>51</v>
      </c>
      <c r="AA28" s="16">
        <f t="shared" si="20"/>
        <v>29</v>
      </c>
      <c r="AB28" s="16">
        <f t="shared" si="20"/>
        <v>30</v>
      </c>
      <c r="AC28" s="16">
        <f t="shared" si="20"/>
        <v>7059</v>
      </c>
      <c r="AD28" s="16">
        <f t="shared" si="20"/>
        <v>0</v>
      </c>
      <c r="AE28" s="32">
        <f t="shared" si="20"/>
        <v>8199</v>
      </c>
      <c r="AF28" s="32">
        <f t="shared" si="20"/>
        <v>15258</v>
      </c>
    </row>
    <row r="29" spans="2:32" ht="23.1" customHeight="1" x14ac:dyDescent="0.25">
      <c r="B29" s="23" t="s">
        <v>56</v>
      </c>
      <c r="C29" s="50">
        <v>45</v>
      </c>
      <c r="D29" s="50">
        <v>18</v>
      </c>
      <c r="E29" s="50">
        <v>7</v>
      </c>
      <c r="F29" s="50">
        <v>53</v>
      </c>
      <c r="G29" s="50">
        <v>0</v>
      </c>
      <c r="H29" s="50">
        <v>0</v>
      </c>
      <c r="I29" s="50">
        <v>7</v>
      </c>
      <c r="J29" s="50">
        <v>1</v>
      </c>
      <c r="K29" s="50">
        <v>1</v>
      </c>
      <c r="L29" s="50">
        <v>0</v>
      </c>
      <c r="M29" s="50">
        <v>115</v>
      </c>
      <c r="N29" s="50">
        <v>0</v>
      </c>
      <c r="O29" s="15">
        <f t="shared" si="0"/>
        <v>132</v>
      </c>
      <c r="P29" s="15">
        <f t="shared" si="1"/>
        <v>247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13</v>
      </c>
      <c r="E30" s="50">
        <v>11</v>
      </c>
      <c r="F30" s="50">
        <v>50</v>
      </c>
      <c r="G30" s="50">
        <v>1</v>
      </c>
      <c r="H30" s="50">
        <v>1</v>
      </c>
      <c r="I30" s="50">
        <v>6</v>
      </c>
      <c r="J30" s="50">
        <v>0</v>
      </c>
      <c r="K30" s="50">
        <v>0</v>
      </c>
      <c r="L30" s="50">
        <v>3</v>
      </c>
      <c r="M30" s="50">
        <v>165</v>
      </c>
      <c r="N30" s="50">
        <v>0</v>
      </c>
      <c r="O30" s="15">
        <f t="shared" si="0"/>
        <v>115</v>
      </c>
      <c r="P30" s="15">
        <f t="shared" si="1"/>
        <v>280</v>
      </c>
    </row>
    <row r="31" spans="2:32" ht="23.1" customHeight="1" x14ac:dyDescent="0.25">
      <c r="B31" s="24" t="s">
        <v>58</v>
      </c>
      <c r="C31" s="50">
        <v>55</v>
      </c>
      <c r="D31" s="50">
        <v>18</v>
      </c>
      <c r="E31" s="50">
        <v>11</v>
      </c>
      <c r="F31" s="50">
        <v>45</v>
      </c>
      <c r="G31" s="50">
        <v>0</v>
      </c>
      <c r="H31" s="50">
        <v>0</v>
      </c>
      <c r="I31" s="50">
        <v>10</v>
      </c>
      <c r="J31" s="50">
        <v>1</v>
      </c>
      <c r="K31" s="50">
        <v>1</v>
      </c>
      <c r="L31" s="50">
        <v>1</v>
      </c>
      <c r="M31" s="50">
        <v>120</v>
      </c>
      <c r="N31" s="50">
        <v>0</v>
      </c>
      <c r="O31" s="15">
        <f t="shared" si="0"/>
        <v>142</v>
      </c>
      <c r="P31" s="15">
        <f t="shared" si="1"/>
        <v>262</v>
      </c>
    </row>
    <row r="32" spans="2:32" ht="23.1" customHeight="1" x14ac:dyDescent="0.25">
      <c r="B32" s="24" t="s">
        <v>59</v>
      </c>
      <c r="C32" s="50">
        <v>65</v>
      </c>
      <c r="D32" s="50">
        <v>23</v>
      </c>
      <c r="E32" s="50">
        <v>7</v>
      </c>
      <c r="F32" s="50">
        <v>55</v>
      </c>
      <c r="G32" s="50">
        <v>0</v>
      </c>
      <c r="H32" s="50">
        <v>0</v>
      </c>
      <c r="I32" s="50">
        <v>6</v>
      </c>
      <c r="J32" s="50">
        <v>1</v>
      </c>
      <c r="K32" s="50">
        <v>0</v>
      </c>
      <c r="L32" s="50">
        <v>1</v>
      </c>
      <c r="M32" s="50">
        <v>105</v>
      </c>
      <c r="N32" s="50">
        <v>0</v>
      </c>
      <c r="O32" s="15">
        <f t="shared" si="0"/>
        <v>158</v>
      </c>
      <c r="P32" s="15">
        <f t="shared" si="1"/>
        <v>263</v>
      </c>
    </row>
    <row r="33" spans="2:20" ht="23.1" customHeight="1" x14ac:dyDescent="0.25">
      <c r="B33" s="23" t="s">
        <v>60</v>
      </c>
      <c r="C33" s="50">
        <v>52</v>
      </c>
      <c r="D33" s="50">
        <v>16</v>
      </c>
      <c r="E33" s="50">
        <v>3</v>
      </c>
      <c r="F33" s="50">
        <v>88</v>
      </c>
      <c r="G33" s="50">
        <v>1</v>
      </c>
      <c r="H33" s="50">
        <v>0</v>
      </c>
      <c r="I33" s="50">
        <v>8</v>
      </c>
      <c r="J33" s="50">
        <v>1</v>
      </c>
      <c r="K33" s="50">
        <v>0</v>
      </c>
      <c r="L33" s="50">
        <v>1</v>
      </c>
      <c r="M33" s="50">
        <v>79</v>
      </c>
      <c r="N33" s="50">
        <v>0</v>
      </c>
      <c r="O33" s="15">
        <f t="shared" si="0"/>
        <v>170</v>
      </c>
      <c r="P33" s="15">
        <f t="shared" si="1"/>
        <v>249</v>
      </c>
    </row>
    <row r="34" spans="2:20" ht="23.1" customHeight="1" x14ac:dyDescent="0.25">
      <c r="B34" s="24" t="s">
        <v>61</v>
      </c>
      <c r="C34" s="50">
        <v>80</v>
      </c>
      <c r="D34" s="50">
        <v>12</v>
      </c>
      <c r="E34" s="50">
        <v>18</v>
      </c>
      <c r="F34" s="50">
        <v>53</v>
      </c>
      <c r="G34" s="50">
        <v>3</v>
      </c>
      <c r="H34" s="50">
        <v>1</v>
      </c>
      <c r="I34" s="50">
        <v>12</v>
      </c>
      <c r="J34" s="50">
        <v>0</v>
      </c>
      <c r="K34" s="50">
        <v>1</v>
      </c>
      <c r="L34" s="50">
        <v>0</v>
      </c>
      <c r="M34" s="50">
        <v>77</v>
      </c>
      <c r="N34" s="50">
        <v>0</v>
      </c>
      <c r="O34" s="15">
        <f t="shared" si="0"/>
        <v>180</v>
      </c>
      <c r="P34" s="15">
        <f t="shared" si="1"/>
        <v>257</v>
      </c>
    </row>
    <row r="35" spans="2:20" ht="23.1" customHeight="1" x14ac:dyDescent="0.25">
      <c r="B35" s="24" t="s">
        <v>62</v>
      </c>
      <c r="C35" s="50">
        <v>48</v>
      </c>
      <c r="D35" s="50">
        <v>18</v>
      </c>
      <c r="E35" s="50">
        <v>8</v>
      </c>
      <c r="F35" s="50">
        <v>49</v>
      </c>
      <c r="G35" s="50">
        <v>1</v>
      </c>
      <c r="H35" s="50">
        <v>0</v>
      </c>
      <c r="I35" s="50">
        <v>5</v>
      </c>
      <c r="J35" s="50">
        <v>1</v>
      </c>
      <c r="K35" s="50">
        <v>0</v>
      </c>
      <c r="L35" s="50">
        <v>1</v>
      </c>
      <c r="M35" s="50">
        <v>106</v>
      </c>
      <c r="N35" s="50">
        <v>0</v>
      </c>
      <c r="O35" s="15">
        <f t="shared" si="0"/>
        <v>131</v>
      </c>
      <c r="P35" s="15">
        <f t="shared" si="1"/>
        <v>237</v>
      </c>
    </row>
    <row r="36" spans="2:20" ht="23.1" customHeight="1" x14ac:dyDescent="0.25">
      <c r="B36" s="24" t="s">
        <v>63</v>
      </c>
      <c r="C36" s="50">
        <v>45</v>
      </c>
      <c r="D36" s="50">
        <v>28</v>
      </c>
      <c r="E36" s="50">
        <v>8</v>
      </c>
      <c r="F36" s="50">
        <v>55</v>
      </c>
      <c r="G36" s="50">
        <v>0</v>
      </c>
      <c r="H36" s="50">
        <v>1</v>
      </c>
      <c r="I36" s="50">
        <v>9</v>
      </c>
      <c r="J36" s="50">
        <v>2</v>
      </c>
      <c r="K36" s="50">
        <v>0</v>
      </c>
      <c r="L36" s="50">
        <v>1</v>
      </c>
      <c r="M36" s="50">
        <v>120</v>
      </c>
      <c r="N36" s="50">
        <v>0</v>
      </c>
      <c r="O36" s="15">
        <f t="shared" si="0"/>
        <v>149</v>
      </c>
      <c r="P36" s="15">
        <f t="shared" si="1"/>
        <v>269</v>
      </c>
    </row>
    <row r="37" spans="2:20" ht="23.1" customHeight="1" x14ac:dyDescent="0.25">
      <c r="B37" s="23" t="s">
        <v>64</v>
      </c>
      <c r="C37" s="50">
        <v>46</v>
      </c>
      <c r="D37" s="50">
        <v>17</v>
      </c>
      <c r="E37" s="50">
        <v>9</v>
      </c>
      <c r="F37" s="50">
        <v>35</v>
      </c>
      <c r="G37" s="50">
        <v>0</v>
      </c>
      <c r="H37" s="50">
        <v>0</v>
      </c>
      <c r="I37" s="50">
        <v>10</v>
      </c>
      <c r="J37" s="50">
        <v>1</v>
      </c>
      <c r="K37" s="50">
        <v>0</v>
      </c>
      <c r="L37" s="50">
        <v>0</v>
      </c>
      <c r="M37" s="50">
        <v>70</v>
      </c>
      <c r="N37" s="50">
        <v>0</v>
      </c>
      <c r="O37" s="15">
        <f t="shared" si="0"/>
        <v>118</v>
      </c>
      <c r="P37" s="15">
        <f t="shared" si="1"/>
        <v>188</v>
      </c>
    </row>
    <row r="38" spans="2:20" ht="23.1" customHeight="1" x14ac:dyDescent="0.25">
      <c r="B38" s="24" t="s">
        <v>65</v>
      </c>
      <c r="C38" s="50">
        <v>23</v>
      </c>
      <c r="D38" s="50">
        <v>20</v>
      </c>
      <c r="E38" s="50">
        <v>5</v>
      </c>
      <c r="F38" s="50">
        <v>45</v>
      </c>
      <c r="G38" s="50">
        <v>0</v>
      </c>
      <c r="H38" s="50">
        <v>1</v>
      </c>
      <c r="I38" s="50">
        <v>15</v>
      </c>
      <c r="J38" s="50">
        <v>0</v>
      </c>
      <c r="K38" s="50">
        <v>1</v>
      </c>
      <c r="L38" s="50">
        <v>0</v>
      </c>
      <c r="M38" s="50">
        <v>100</v>
      </c>
      <c r="N38" s="50">
        <v>0</v>
      </c>
      <c r="O38" s="15">
        <f t="shared" si="0"/>
        <v>110</v>
      </c>
      <c r="P38" s="15">
        <f t="shared" si="1"/>
        <v>210</v>
      </c>
    </row>
    <row r="39" spans="2:20" ht="23.1" customHeight="1" x14ac:dyDescent="0.25">
      <c r="B39" s="24" t="s">
        <v>66</v>
      </c>
      <c r="C39" s="50">
        <v>45</v>
      </c>
      <c r="D39" s="50">
        <v>30</v>
      </c>
      <c r="E39" s="50">
        <v>9</v>
      </c>
      <c r="F39" s="50">
        <v>48</v>
      </c>
      <c r="G39" s="50">
        <v>0</v>
      </c>
      <c r="H39" s="50">
        <v>0</v>
      </c>
      <c r="I39" s="50">
        <v>15</v>
      </c>
      <c r="J39" s="50">
        <v>3</v>
      </c>
      <c r="K39" s="50">
        <v>1</v>
      </c>
      <c r="L39" s="50">
        <v>1</v>
      </c>
      <c r="M39" s="50">
        <v>90</v>
      </c>
      <c r="N39" s="50">
        <v>0</v>
      </c>
      <c r="O39" s="15">
        <f t="shared" si="0"/>
        <v>152</v>
      </c>
      <c r="P39" s="15">
        <f t="shared" si="1"/>
        <v>242</v>
      </c>
    </row>
    <row r="40" spans="2:20" ht="23.1" customHeight="1" x14ac:dyDescent="0.25">
      <c r="B40" s="24" t="s">
        <v>67</v>
      </c>
      <c r="C40" s="50">
        <v>48</v>
      </c>
      <c r="D40" s="50">
        <v>16</v>
      </c>
      <c r="E40" s="50">
        <v>8</v>
      </c>
      <c r="F40" s="50">
        <v>55</v>
      </c>
      <c r="G40" s="50">
        <v>0</v>
      </c>
      <c r="H40" s="50">
        <v>0</v>
      </c>
      <c r="I40" s="50">
        <v>21</v>
      </c>
      <c r="J40" s="50">
        <v>2</v>
      </c>
      <c r="K40" s="50">
        <v>0</v>
      </c>
      <c r="L40" s="50">
        <v>0</v>
      </c>
      <c r="M40" s="50">
        <v>90</v>
      </c>
      <c r="N40" s="50">
        <v>0</v>
      </c>
      <c r="O40" s="15">
        <f t="shared" si="0"/>
        <v>150</v>
      </c>
      <c r="P40" s="15">
        <f t="shared" si="1"/>
        <v>240</v>
      </c>
    </row>
    <row r="41" spans="2:20" ht="23.1" customHeight="1" x14ac:dyDescent="0.25">
      <c r="B41" s="23" t="s">
        <v>68</v>
      </c>
      <c r="C41" s="50">
        <v>60</v>
      </c>
      <c r="D41" s="50">
        <v>15</v>
      </c>
      <c r="E41" s="50">
        <v>8</v>
      </c>
      <c r="F41" s="50">
        <v>38</v>
      </c>
      <c r="G41" s="50">
        <v>0</v>
      </c>
      <c r="H41" s="50">
        <v>0</v>
      </c>
      <c r="I41" s="50">
        <v>18</v>
      </c>
      <c r="J41" s="50">
        <v>3</v>
      </c>
      <c r="K41" s="50">
        <v>0</v>
      </c>
      <c r="L41" s="50">
        <v>0</v>
      </c>
      <c r="M41" s="50">
        <v>85</v>
      </c>
      <c r="N41" s="50">
        <v>0</v>
      </c>
      <c r="O41" s="15">
        <f t="shared" si="0"/>
        <v>142</v>
      </c>
      <c r="P41" s="15">
        <f t="shared" si="1"/>
        <v>227</v>
      </c>
    </row>
    <row r="42" spans="2:20" ht="23.1" customHeight="1" x14ac:dyDescent="0.25">
      <c r="B42" s="24" t="s">
        <v>69</v>
      </c>
      <c r="C42" s="50">
        <v>38</v>
      </c>
      <c r="D42" s="50">
        <v>30</v>
      </c>
      <c r="E42" s="50">
        <v>12</v>
      </c>
      <c r="F42" s="50">
        <v>45</v>
      </c>
      <c r="G42" s="50">
        <v>0</v>
      </c>
      <c r="H42" s="50">
        <v>0</v>
      </c>
      <c r="I42" s="50">
        <v>15</v>
      </c>
      <c r="J42" s="50">
        <v>0</v>
      </c>
      <c r="K42" s="50">
        <v>0</v>
      </c>
      <c r="L42" s="50">
        <v>2</v>
      </c>
      <c r="M42" s="50">
        <v>95</v>
      </c>
      <c r="N42" s="50">
        <v>0</v>
      </c>
      <c r="O42" s="15">
        <f t="shared" si="0"/>
        <v>142</v>
      </c>
      <c r="P42" s="15">
        <f t="shared" si="1"/>
        <v>237</v>
      </c>
    </row>
    <row r="43" spans="2:20" ht="23.1" customHeight="1" x14ac:dyDescent="0.25">
      <c r="B43" s="23" t="s">
        <v>70</v>
      </c>
      <c r="C43" s="50">
        <v>45</v>
      </c>
      <c r="D43" s="50">
        <v>19</v>
      </c>
      <c r="E43" s="50">
        <v>8</v>
      </c>
      <c r="F43" s="50">
        <v>46</v>
      </c>
      <c r="G43" s="50">
        <v>1</v>
      </c>
      <c r="H43" s="50">
        <v>1</v>
      </c>
      <c r="I43" s="50">
        <v>16</v>
      </c>
      <c r="J43" s="50">
        <v>2</v>
      </c>
      <c r="K43" s="50">
        <v>0</v>
      </c>
      <c r="L43" s="50">
        <v>0</v>
      </c>
      <c r="M43" s="50">
        <v>90</v>
      </c>
      <c r="N43" s="50">
        <v>0</v>
      </c>
      <c r="O43" s="15">
        <f t="shared" si="0"/>
        <v>138</v>
      </c>
      <c r="P43" s="15">
        <f t="shared" si="1"/>
        <v>228</v>
      </c>
    </row>
    <row r="44" spans="2:20" ht="23.1" customHeight="1" x14ac:dyDescent="0.25">
      <c r="B44" s="25" t="s">
        <v>71</v>
      </c>
      <c r="C44" s="50">
        <v>32</v>
      </c>
      <c r="D44" s="50">
        <v>30</v>
      </c>
      <c r="E44" s="50">
        <v>7</v>
      </c>
      <c r="F44" s="50">
        <v>38</v>
      </c>
      <c r="G44" s="50">
        <v>2</v>
      </c>
      <c r="H44" s="50">
        <v>0</v>
      </c>
      <c r="I44" s="50">
        <v>10</v>
      </c>
      <c r="J44" s="50">
        <v>4</v>
      </c>
      <c r="K44" s="50">
        <v>2</v>
      </c>
      <c r="L44" s="50">
        <v>0</v>
      </c>
      <c r="M44" s="50">
        <v>85</v>
      </c>
      <c r="N44" s="50">
        <v>0</v>
      </c>
      <c r="O44" s="15">
        <f t="shared" si="0"/>
        <v>125</v>
      </c>
      <c r="P44" s="15">
        <f t="shared" si="1"/>
        <v>210</v>
      </c>
    </row>
    <row r="45" spans="2:20" ht="23.1" customHeight="1" x14ac:dyDescent="0.25">
      <c r="B45" s="23" t="s">
        <v>72</v>
      </c>
      <c r="C45" s="50">
        <v>35</v>
      </c>
      <c r="D45" s="50">
        <v>24</v>
      </c>
      <c r="E45" s="50">
        <v>10</v>
      </c>
      <c r="F45" s="50">
        <v>45</v>
      </c>
      <c r="G45" s="50">
        <v>0</v>
      </c>
      <c r="H45" s="50">
        <v>1</v>
      </c>
      <c r="I45" s="50">
        <v>18</v>
      </c>
      <c r="J45" s="50">
        <v>1</v>
      </c>
      <c r="K45" s="50">
        <v>1</v>
      </c>
      <c r="L45" s="50">
        <v>1</v>
      </c>
      <c r="M45" s="50">
        <v>55</v>
      </c>
      <c r="N45" s="50">
        <v>0</v>
      </c>
      <c r="O45" s="15">
        <f t="shared" si="0"/>
        <v>136</v>
      </c>
      <c r="P45" s="15">
        <f t="shared" si="1"/>
        <v>191</v>
      </c>
    </row>
    <row r="46" spans="2:20" ht="23.1" customHeight="1" x14ac:dyDescent="0.25">
      <c r="B46" s="24" t="s">
        <v>73</v>
      </c>
      <c r="C46" s="50">
        <v>30</v>
      </c>
      <c r="D46" s="50">
        <v>31</v>
      </c>
      <c r="E46" s="50">
        <v>16</v>
      </c>
      <c r="F46" s="50">
        <v>61</v>
      </c>
      <c r="G46" s="50">
        <v>0</v>
      </c>
      <c r="H46" s="50">
        <v>1</v>
      </c>
      <c r="I46" s="50">
        <v>6</v>
      </c>
      <c r="J46" s="50">
        <v>0</v>
      </c>
      <c r="K46" s="50">
        <v>2</v>
      </c>
      <c r="L46" s="50">
        <v>1</v>
      </c>
      <c r="M46" s="50">
        <v>155</v>
      </c>
      <c r="N46" s="50">
        <v>0</v>
      </c>
      <c r="O46" s="15">
        <f t="shared" si="0"/>
        <v>148</v>
      </c>
      <c r="P46" s="15">
        <f t="shared" si="1"/>
        <v>303</v>
      </c>
      <c r="R46" s="8"/>
      <c r="T46"/>
    </row>
    <row r="47" spans="2:20" ht="23.1" customHeight="1" x14ac:dyDescent="0.25">
      <c r="B47" s="24" t="s">
        <v>74</v>
      </c>
      <c r="C47" s="50">
        <v>34</v>
      </c>
      <c r="D47" s="50">
        <v>15</v>
      </c>
      <c r="E47" s="50">
        <v>11</v>
      </c>
      <c r="F47" s="50">
        <v>46</v>
      </c>
      <c r="G47" s="50">
        <v>1</v>
      </c>
      <c r="H47" s="50">
        <v>0</v>
      </c>
      <c r="I47" s="50">
        <v>6</v>
      </c>
      <c r="J47" s="50">
        <v>1</v>
      </c>
      <c r="K47" s="50">
        <v>0</v>
      </c>
      <c r="L47" s="50">
        <v>0</v>
      </c>
      <c r="M47" s="50">
        <v>95</v>
      </c>
      <c r="N47" s="50">
        <v>0</v>
      </c>
      <c r="O47" s="15">
        <f t="shared" si="0"/>
        <v>114</v>
      </c>
      <c r="P47" s="15">
        <f t="shared" si="1"/>
        <v>209</v>
      </c>
      <c r="R47" s="8"/>
      <c r="T47"/>
    </row>
    <row r="48" spans="2:20" ht="23.1" customHeight="1" x14ac:dyDescent="0.25">
      <c r="B48" s="24" t="s">
        <v>75</v>
      </c>
      <c r="C48" s="50">
        <v>45</v>
      </c>
      <c r="D48" s="50">
        <v>17</v>
      </c>
      <c r="E48" s="50">
        <v>16</v>
      </c>
      <c r="F48" s="50">
        <v>48</v>
      </c>
      <c r="G48" s="50">
        <v>1</v>
      </c>
      <c r="H48" s="50">
        <v>0</v>
      </c>
      <c r="I48" s="50">
        <v>11</v>
      </c>
      <c r="J48" s="50">
        <v>0</v>
      </c>
      <c r="K48" s="50">
        <v>1</v>
      </c>
      <c r="L48" s="50">
        <v>1</v>
      </c>
      <c r="M48" s="50">
        <v>60</v>
      </c>
      <c r="N48" s="50">
        <v>0</v>
      </c>
      <c r="O48" s="15">
        <f t="shared" si="0"/>
        <v>140</v>
      </c>
      <c r="P48" s="15">
        <f t="shared" si="1"/>
        <v>200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17</v>
      </c>
      <c r="E49" s="50">
        <v>5</v>
      </c>
      <c r="F49" s="50">
        <v>28</v>
      </c>
      <c r="G49" s="50">
        <v>0</v>
      </c>
      <c r="H49" s="50">
        <v>0</v>
      </c>
      <c r="I49" s="50">
        <v>15</v>
      </c>
      <c r="J49" s="50">
        <v>0</v>
      </c>
      <c r="K49" s="50">
        <v>1</v>
      </c>
      <c r="L49" s="50">
        <v>1</v>
      </c>
      <c r="M49" s="50">
        <v>60</v>
      </c>
      <c r="N49" s="50">
        <v>0</v>
      </c>
      <c r="O49" s="15">
        <f t="shared" si="0"/>
        <v>88</v>
      </c>
      <c r="P49" s="15">
        <f t="shared" si="1"/>
        <v>148</v>
      </c>
      <c r="R49" s="8"/>
      <c r="T49"/>
    </row>
    <row r="50" spans="2:20" ht="23.1" customHeight="1" x14ac:dyDescent="0.25">
      <c r="B50" s="24" t="s">
        <v>77</v>
      </c>
      <c r="C50" s="50">
        <v>50</v>
      </c>
      <c r="D50" s="50">
        <v>30</v>
      </c>
      <c r="E50" s="50">
        <v>17</v>
      </c>
      <c r="F50" s="50">
        <v>50</v>
      </c>
      <c r="G50" s="50">
        <v>0</v>
      </c>
      <c r="H50" s="50">
        <v>0</v>
      </c>
      <c r="I50" s="50">
        <v>11</v>
      </c>
      <c r="J50" s="50">
        <v>1</v>
      </c>
      <c r="K50" s="50">
        <v>1</v>
      </c>
      <c r="L50" s="50">
        <v>1</v>
      </c>
      <c r="M50" s="50">
        <v>100</v>
      </c>
      <c r="N50" s="50">
        <v>0</v>
      </c>
      <c r="O50" s="15">
        <f t="shared" si="0"/>
        <v>161</v>
      </c>
      <c r="P50" s="15">
        <f t="shared" si="1"/>
        <v>261</v>
      </c>
      <c r="R50" s="8"/>
      <c r="T50"/>
    </row>
    <row r="51" spans="2:20" ht="23.1" customHeight="1" x14ac:dyDescent="0.25">
      <c r="B51" s="24" t="s">
        <v>78</v>
      </c>
      <c r="C51" s="50">
        <v>51</v>
      </c>
      <c r="D51" s="50">
        <v>11</v>
      </c>
      <c r="E51" s="50">
        <v>8</v>
      </c>
      <c r="F51" s="50">
        <v>65</v>
      </c>
      <c r="G51" s="50">
        <v>2</v>
      </c>
      <c r="H51" s="50">
        <v>0</v>
      </c>
      <c r="I51" s="50">
        <v>7</v>
      </c>
      <c r="J51" s="50">
        <v>0</v>
      </c>
      <c r="K51" s="50">
        <v>0</v>
      </c>
      <c r="L51" s="50">
        <v>2</v>
      </c>
      <c r="M51" s="50">
        <v>105</v>
      </c>
      <c r="N51" s="50">
        <v>0</v>
      </c>
      <c r="O51" s="15">
        <f t="shared" si="0"/>
        <v>146</v>
      </c>
      <c r="P51" s="15">
        <f t="shared" si="1"/>
        <v>251</v>
      </c>
      <c r="R51" s="8"/>
      <c r="T51"/>
    </row>
    <row r="52" spans="2:20" ht="23.1" customHeight="1" x14ac:dyDescent="0.25">
      <c r="B52" s="24" t="s">
        <v>79</v>
      </c>
      <c r="C52" s="50">
        <v>40</v>
      </c>
      <c r="D52" s="50">
        <v>15</v>
      </c>
      <c r="E52" s="50">
        <v>8</v>
      </c>
      <c r="F52" s="50">
        <v>31</v>
      </c>
      <c r="G52" s="50">
        <v>1</v>
      </c>
      <c r="H52" s="50">
        <v>1</v>
      </c>
      <c r="I52" s="50">
        <v>7</v>
      </c>
      <c r="J52" s="50">
        <v>0</v>
      </c>
      <c r="K52" s="50">
        <v>0</v>
      </c>
      <c r="L52" s="50">
        <v>2</v>
      </c>
      <c r="M52" s="50">
        <v>102</v>
      </c>
      <c r="N52" s="50">
        <v>0</v>
      </c>
      <c r="O52" s="15">
        <f t="shared" si="0"/>
        <v>105</v>
      </c>
      <c r="P52" s="15">
        <f t="shared" si="1"/>
        <v>207</v>
      </c>
      <c r="R52" s="8"/>
      <c r="T52"/>
    </row>
    <row r="53" spans="2:20" ht="23.1" customHeight="1" x14ac:dyDescent="0.25">
      <c r="B53" s="23" t="s">
        <v>80</v>
      </c>
      <c r="C53" s="50">
        <v>42</v>
      </c>
      <c r="D53" s="50">
        <v>15</v>
      </c>
      <c r="E53" s="50">
        <v>4</v>
      </c>
      <c r="F53" s="50">
        <v>50</v>
      </c>
      <c r="G53" s="50">
        <v>1</v>
      </c>
      <c r="H53" s="50">
        <v>0</v>
      </c>
      <c r="I53" s="50">
        <v>8</v>
      </c>
      <c r="J53" s="50">
        <v>4</v>
      </c>
      <c r="K53" s="50">
        <v>2</v>
      </c>
      <c r="L53" s="50">
        <v>2</v>
      </c>
      <c r="M53" s="50">
        <v>145</v>
      </c>
      <c r="N53" s="50">
        <v>0</v>
      </c>
      <c r="O53" s="15">
        <f t="shared" si="0"/>
        <v>128</v>
      </c>
      <c r="P53" s="15">
        <f t="shared" si="1"/>
        <v>273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20</v>
      </c>
      <c r="E54" s="50">
        <v>8</v>
      </c>
      <c r="F54" s="50">
        <v>41</v>
      </c>
      <c r="G54" s="50">
        <v>1</v>
      </c>
      <c r="H54" s="50">
        <v>0</v>
      </c>
      <c r="I54" s="50">
        <v>8</v>
      </c>
      <c r="J54" s="50">
        <v>1</v>
      </c>
      <c r="K54" s="50">
        <v>0</v>
      </c>
      <c r="L54" s="50">
        <v>2</v>
      </c>
      <c r="M54" s="50">
        <v>145</v>
      </c>
      <c r="N54" s="50">
        <v>0</v>
      </c>
      <c r="O54" s="15">
        <f t="shared" si="0"/>
        <v>151</v>
      </c>
      <c r="P54" s="15">
        <f t="shared" si="1"/>
        <v>296</v>
      </c>
      <c r="R54" s="8"/>
      <c r="T54"/>
    </row>
    <row r="55" spans="2:20" ht="23.1" customHeight="1" x14ac:dyDescent="0.25">
      <c r="B55" s="23" t="s">
        <v>82</v>
      </c>
      <c r="C55" s="50">
        <v>45</v>
      </c>
      <c r="D55" s="50">
        <v>14</v>
      </c>
      <c r="E55" s="50">
        <v>7</v>
      </c>
      <c r="F55" s="50">
        <v>70</v>
      </c>
      <c r="G55" s="50">
        <v>1</v>
      </c>
      <c r="H55" s="50">
        <v>0</v>
      </c>
      <c r="I55" s="50">
        <v>4</v>
      </c>
      <c r="J55" s="50">
        <v>3</v>
      </c>
      <c r="K55" s="50">
        <v>1</v>
      </c>
      <c r="L55" s="50">
        <v>0</v>
      </c>
      <c r="M55" s="50">
        <v>165</v>
      </c>
      <c r="N55" s="50">
        <v>0</v>
      </c>
      <c r="O55" s="15">
        <f t="shared" si="0"/>
        <v>145</v>
      </c>
      <c r="P55" s="15">
        <f t="shared" si="1"/>
        <v>310</v>
      </c>
      <c r="R55" s="8"/>
      <c r="T55"/>
    </row>
    <row r="56" spans="2:20" ht="23.1" customHeight="1" x14ac:dyDescent="0.25">
      <c r="B56" s="23" t="s">
        <v>83</v>
      </c>
      <c r="C56" s="50">
        <v>25</v>
      </c>
      <c r="D56" s="50">
        <v>22</v>
      </c>
      <c r="E56" s="50">
        <v>6</v>
      </c>
      <c r="F56" s="50">
        <v>32</v>
      </c>
      <c r="G56" s="50">
        <v>0</v>
      </c>
      <c r="H56" s="50">
        <v>0</v>
      </c>
      <c r="I56" s="50">
        <v>14</v>
      </c>
      <c r="J56" s="50">
        <v>1</v>
      </c>
      <c r="K56" s="50">
        <v>0</v>
      </c>
      <c r="L56" s="50">
        <v>0</v>
      </c>
      <c r="M56" s="50">
        <v>155</v>
      </c>
      <c r="N56" s="50">
        <v>0</v>
      </c>
      <c r="O56" s="15">
        <f t="shared" si="0"/>
        <v>100</v>
      </c>
      <c r="P56" s="15">
        <f t="shared" si="1"/>
        <v>255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4</v>
      </c>
      <c r="E57" s="50">
        <v>2</v>
      </c>
      <c r="F57" s="50">
        <v>44</v>
      </c>
      <c r="G57" s="50">
        <v>0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120</v>
      </c>
      <c r="N57" s="50">
        <v>0</v>
      </c>
      <c r="O57" s="15">
        <f t="shared" si="0"/>
        <v>72</v>
      </c>
      <c r="P57" s="15">
        <f t="shared" si="1"/>
        <v>192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2782</v>
      </c>
      <c r="D58" s="16">
        <f t="shared" si="21"/>
        <v>1078</v>
      </c>
      <c r="E58" s="16">
        <f t="shared" si="21"/>
        <v>585</v>
      </c>
      <c r="F58" s="16">
        <f t="shared" si="21"/>
        <v>3072</v>
      </c>
      <c r="G58" s="16">
        <f t="shared" si="21"/>
        <v>42</v>
      </c>
      <c r="H58" s="16">
        <f t="shared" si="21"/>
        <v>13</v>
      </c>
      <c r="I58" s="16">
        <f t="shared" si="21"/>
        <v>517</v>
      </c>
      <c r="J58" s="16">
        <f t="shared" si="21"/>
        <v>51</v>
      </c>
      <c r="K58" s="16">
        <f t="shared" si="21"/>
        <v>29</v>
      </c>
      <c r="L58" s="16">
        <f t="shared" si="21"/>
        <v>30</v>
      </c>
      <c r="M58" s="16">
        <f t="shared" si="21"/>
        <v>7059</v>
      </c>
      <c r="N58" s="16">
        <f t="shared" si="21"/>
        <v>0</v>
      </c>
      <c r="O58" s="16">
        <f t="shared" si="21"/>
        <v>8199</v>
      </c>
      <c r="P58" s="16">
        <f t="shared" si="21"/>
        <v>15258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0.18233058067898808</v>
      </c>
      <c r="D59" s="43">
        <f t="shared" si="22"/>
        <v>7.0651461528378562E-2</v>
      </c>
      <c r="E59" s="43">
        <f t="shared" si="22"/>
        <v>3.8340542666142355E-2</v>
      </c>
      <c r="F59" s="43">
        <f t="shared" si="22"/>
        <v>0.20133700353912701</v>
      </c>
      <c r="G59" s="43">
        <f t="shared" si="22"/>
        <v>2.7526543452615023E-3</v>
      </c>
      <c r="H59" s="43">
        <f t="shared" si="22"/>
        <v>8.5201205924760777E-4</v>
      </c>
      <c r="I59" s="43">
        <f t="shared" si="22"/>
        <v>3.3883864202385636E-2</v>
      </c>
      <c r="J59" s="43">
        <f t="shared" si="22"/>
        <v>3.3425088478175385E-3</v>
      </c>
      <c r="K59" s="43">
        <f t="shared" si="22"/>
        <v>1.9006422860138943E-3</v>
      </c>
      <c r="L59" s="43">
        <f t="shared" si="22"/>
        <v>1.9661816751867871E-3</v>
      </c>
      <c r="M59" s="43">
        <f t="shared" si="22"/>
        <v>0.46264254817145106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0.3393096719112087</v>
      </c>
      <c r="D60" s="44">
        <f t="shared" ref="D60:N60" si="23">D58/$O$58</f>
        <v>0.1314794487132577</v>
      </c>
      <c r="E60" s="44">
        <f t="shared" si="23"/>
        <v>7.1350164654226125E-2</v>
      </c>
      <c r="F60" s="44">
        <f t="shared" si="23"/>
        <v>0.37467983900475665</v>
      </c>
      <c r="G60" s="44">
        <f t="shared" si="23"/>
        <v>5.122575923893158E-3</v>
      </c>
      <c r="H60" s="44">
        <f t="shared" si="23"/>
        <v>1.5855592145383583E-3</v>
      </c>
      <c r="I60" s="44">
        <f t="shared" si="23"/>
        <v>6.3056470301256246E-2</v>
      </c>
      <c r="J60" s="44">
        <f t="shared" si="23"/>
        <v>6.2202707647274055E-3</v>
      </c>
      <c r="K60" s="44">
        <f t="shared" si="23"/>
        <v>3.5370167093547993E-3</v>
      </c>
      <c r="L60" s="44">
        <f t="shared" si="23"/>
        <v>3.6589828027808269E-3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6" zoomScale="6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1" t="str">
        <f>'22.07 Kampala-Wakiso'!C3:G3</f>
        <v>MCC - C1 - STN018 - HOIMA ROAD</v>
      </c>
      <c r="D3" s="61"/>
      <c r="E3" s="61"/>
      <c r="F3" s="61"/>
      <c r="G3" s="6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57" t="str">
        <f>'24.07 Wakiso-Kampala'!G5:H5</f>
        <v>AFTER STABEX NANSANA</v>
      </c>
      <c r="H5" s="58"/>
      <c r="I5" s="14"/>
      <c r="J5" s="2" t="s">
        <v>5</v>
      </c>
      <c r="K5" s="57" t="str">
        <f>'24.07 Wakiso-Kampala'!K5:L5</f>
        <v>FARIDA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'22.07 Kampala-Wakiso'!D6:E6</f>
        <v>KAMPALA</v>
      </c>
      <c r="E6" s="58"/>
      <c r="F6" s="2" t="s">
        <v>2</v>
      </c>
      <c r="G6" s="57" t="str">
        <f>'22.07 Kampala-Wakiso'!G6:H6</f>
        <v>WAKISO</v>
      </c>
      <c r="H6" s="58"/>
      <c r="J6" s="2" t="s">
        <v>21</v>
      </c>
      <c r="K6" s="57" t="str">
        <f>'24.07 Wakiso-Kampala'!K6:L6</f>
        <v>NUSULAH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20</v>
      </c>
      <c r="E10" s="50">
        <v>3</v>
      </c>
      <c r="F10" s="50">
        <v>57</v>
      </c>
      <c r="G10" s="50">
        <v>1</v>
      </c>
      <c r="H10" s="50">
        <v>0</v>
      </c>
      <c r="I10" s="50">
        <v>2</v>
      </c>
      <c r="J10" s="50">
        <v>6</v>
      </c>
      <c r="K10" s="50">
        <v>1</v>
      </c>
      <c r="L10" s="50">
        <v>0</v>
      </c>
      <c r="M10" s="50">
        <v>83</v>
      </c>
      <c r="N10" s="50">
        <v>0</v>
      </c>
      <c r="O10" s="15">
        <f t="shared" ref="O10:O57" si="0">SUM(C10:L10,N10)</f>
        <v>105</v>
      </c>
      <c r="P10" s="15">
        <f t="shared" ref="P10:P57" si="1">SUM(C10:N10)</f>
        <v>188</v>
      </c>
      <c r="R10" s="1" t="s">
        <v>6</v>
      </c>
      <c r="S10" s="17">
        <f t="shared" ref="S10:AF10" si="2">SUM(C10:C13)</f>
        <v>75</v>
      </c>
      <c r="T10" s="17">
        <f t="shared" si="2"/>
        <v>82</v>
      </c>
      <c r="U10" s="17">
        <f t="shared" si="2"/>
        <v>28</v>
      </c>
      <c r="V10" s="17">
        <f t="shared" si="2"/>
        <v>212</v>
      </c>
      <c r="W10" s="17">
        <f t="shared" si="2"/>
        <v>4</v>
      </c>
      <c r="X10" s="17">
        <f t="shared" si="2"/>
        <v>0</v>
      </c>
      <c r="Y10" s="17">
        <f t="shared" si="2"/>
        <v>20</v>
      </c>
      <c r="Z10" s="17">
        <f t="shared" si="2"/>
        <v>16</v>
      </c>
      <c r="AA10" s="17">
        <f t="shared" si="2"/>
        <v>1</v>
      </c>
      <c r="AB10" s="17">
        <f t="shared" si="2"/>
        <v>1</v>
      </c>
      <c r="AC10" s="17">
        <f t="shared" si="2"/>
        <v>295</v>
      </c>
      <c r="AD10" s="17">
        <f t="shared" si="2"/>
        <v>0</v>
      </c>
      <c r="AE10" s="31">
        <f t="shared" si="2"/>
        <v>439</v>
      </c>
      <c r="AF10" s="31">
        <f t="shared" si="2"/>
        <v>734</v>
      </c>
    </row>
    <row r="11" spans="2:32" s="6" customFormat="1" ht="23.1" customHeight="1" x14ac:dyDescent="0.25">
      <c r="B11" s="23" t="s">
        <v>38</v>
      </c>
      <c r="C11" s="50">
        <v>17</v>
      </c>
      <c r="D11" s="50">
        <v>15</v>
      </c>
      <c r="E11" s="50">
        <v>9</v>
      </c>
      <c r="F11" s="50">
        <v>59</v>
      </c>
      <c r="G11" s="50">
        <v>2</v>
      </c>
      <c r="H11" s="50">
        <v>0</v>
      </c>
      <c r="I11" s="50">
        <v>10</v>
      </c>
      <c r="J11" s="50">
        <v>2</v>
      </c>
      <c r="K11" s="50">
        <v>0</v>
      </c>
      <c r="L11" s="50">
        <v>0</v>
      </c>
      <c r="M11" s="50">
        <v>72</v>
      </c>
      <c r="N11" s="50">
        <v>0</v>
      </c>
      <c r="O11" s="15">
        <f t="shared" si="0"/>
        <v>114</v>
      </c>
      <c r="P11" s="15">
        <f t="shared" si="1"/>
        <v>186</v>
      </c>
      <c r="R11" s="1" t="s">
        <v>7</v>
      </c>
      <c r="S11" s="17">
        <f t="shared" ref="S11:AF11" si="3">SUM(C14:C17)</f>
        <v>117</v>
      </c>
      <c r="T11" s="17">
        <f t="shared" si="3"/>
        <v>114</v>
      </c>
      <c r="U11" s="17">
        <f t="shared" si="3"/>
        <v>29</v>
      </c>
      <c r="V11" s="17">
        <f t="shared" si="3"/>
        <v>132</v>
      </c>
      <c r="W11" s="17">
        <f t="shared" si="3"/>
        <v>2</v>
      </c>
      <c r="X11" s="17">
        <f t="shared" si="3"/>
        <v>1</v>
      </c>
      <c r="Y11" s="17">
        <f t="shared" si="3"/>
        <v>28</v>
      </c>
      <c r="Z11" s="17">
        <f t="shared" si="3"/>
        <v>14</v>
      </c>
      <c r="AA11" s="17">
        <f t="shared" si="3"/>
        <v>0</v>
      </c>
      <c r="AB11" s="17">
        <f t="shared" si="3"/>
        <v>0</v>
      </c>
      <c r="AC11" s="17">
        <f t="shared" si="3"/>
        <v>212</v>
      </c>
      <c r="AD11" s="17">
        <f t="shared" si="3"/>
        <v>1</v>
      </c>
      <c r="AE11" s="31">
        <f t="shared" si="3"/>
        <v>438</v>
      </c>
      <c r="AF11" s="31">
        <f t="shared" si="3"/>
        <v>650</v>
      </c>
    </row>
    <row r="12" spans="2:32" ht="23.1" customHeight="1" x14ac:dyDescent="0.25">
      <c r="B12" s="23" t="s">
        <v>39</v>
      </c>
      <c r="C12" s="50">
        <v>28</v>
      </c>
      <c r="D12" s="50">
        <v>30</v>
      </c>
      <c r="E12" s="50">
        <v>6</v>
      </c>
      <c r="F12" s="50">
        <v>48</v>
      </c>
      <c r="G12" s="50">
        <v>1</v>
      </c>
      <c r="H12" s="50">
        <v>0</v>
      </c>
      <c r="I12" s="50">
        <v>5</v>
      </c>
      <c r="J12" s="50">
        <v>3</v>
      </c>
      <c r="K12" s="50">
        <v>0</v>
      </c>
      <c r="L12" s="50">
        <v>1</v>
      </c>
      <c r="M12" s="50">
        <v>55</v>
      </c>
      <c r="N12" s="50">
        <v>0</v>
      </c>
      <c r="O12" s="15">
        <f t="shared" si="0"/>
        <v>122</v>
      </c>
      <c r="P12" s="15">
        <f t="shared" si="1"/>
        <v>177</v>
      </c>
      <c r="R12" s="1" t="s">
        <v>8</v>
      </c>
      <c r="S12" s="17">
        <f t="shared" ref="S12:AF12" si="4">SUM(C18:C21)</f>
        <v>148</v>
      </c>
      <c r="T12" s="17">
        <f t="shared" si="4"/>
        <v>150</v>
      </c>
      <c r="U12" s="17">
        <f t="shared" si="4"/>
        <v>19</v>
      </c>
      <c r="V12" s="17">
        <f t="shared" si="4"/>
        <v>150</v>
      </c>
      <c r="W12" s="17">
        <f t="shared" si="4"/>
        <v>3</v>
      </c>
      <c r="X12" s="17">
        <f t="shared" si="4"/>
        <v>0</v>
      </c>
      <c r="Y12" s="17">
        <f t="shared" si="4"/>
        <v>41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255</v>
      </c>
      <c r="AD12" s="17">
        <f t="shared" si="4"/>
        <v>0</v>
      </c>
      <c r="AE12" s="31">
        <f t="shared" si="4"/>
        <v>515</v>
      </c>
      <c r="AF12" s="31">
        <f t="shared" si="4"/>
        <v>770</v>
      </c>
    </row>
    <row r="13" spans="2:32" ht="23.1" customHeight="1" x14ac:dyDescent="0.25">
      <c r="B13" s="23" t="s">
        <v>40</v>
      </c>
      <c r="C13" s="50">
        <v>15</v>
      </c>
      <c r="D13" s="50">
        <v>17</v>
      </c>
      <c r="E13" s="50">
        <v>10</v>
      </c>
      <c r="F13" s="50">
        <v>48</v>
      </c>
      <c r="G13" s="50">
        <v>0</v>
      </c>
      <c r="H13" s="50">
        <v>0</v>
      </c>
      <c r="I13" s="50">
        <v>3</v>
      </c>
      <c r="J13" s="50">
        <v>5</v>
      </c>
      <c r="K13" s="50">
        <v>0</v>
      </c>
      <c r="L13" s="50">
        <v>0</v>
      </c>
      <c r="M13" s="50">
        <v>85</v>
      </c>
      <c r="N13" s="50">
        <v>0</v>
      </c>
      <c r="O13" s="15">
        <f t="shared" si="0"/>
        <v>98</v>
      </c>
      <c r="P13" s="15">
        <f t="shared" si="1"/>
        <v>183</v>
      </c>
      <c r="R13" s="1" t="s">
        <v>9</v>
      </c>
      <c r="S13" s="17">
        <f t="shared" ref="S13:AF13" si="5">SUM(C22:C25)</f>
        <v>175</v>
      </c>
      <c r="T13" s="17">
        <f t="shared" si="5"/>
        <v>173</v>
      </c>
      <c r="U13" s="17">
        <f t="shared" si="5"/>
        <v>25</v>
      </c>
      <c r="V13" s="17">
        <f t="shared" si="5"/>
        <v>195</v>
      </c>
      <c r="W13" s="17">
        <f t="shared" si="5"/>
        <v>3</v>
      </c>
      <c r="X13" s="17">
        <f t="shared" si="5"/>
        <v>1</v>
      </c>
      <c r="Y13" s="17">
        <f t="shared" si="5"/>
        <v>31</v>
      </c>
      <c r="Z13" s="17">
        <f t="shared" si="5"/>
        <v>1</v>
      </c>
      <c r="AA13" s="17">
        <f t="shared" si="5"/>
        <v>6</v>
      </c>
      <c r="AB13" s="17">
        <f t="shared" si="5"/>
        <v>5</v>
      </c>
      <c r="AC13" s="17">
        <f t="shared" si="5"/>
        <v>270</v>
      </c>
      <c r="AD13" s="17">
        <f t="shared" si="5"/>
        <v>0</v>
      </c>
      <c r="AE13" s="31">
        <f t="shared" si="5"/>
        <v>615</v>
      </c>
      <c r="AF13" s="31">
        <f t="shared" si="5"/>
        <v>885</v>
      </c>
    </row>
    <row r="14" spans="2:32" ht="23.1" customHeight="1" x14ac:dyDescent="0.25">
      <c r="B14" s="23" t="s">
        <v>41</v>
      </c>
      <c r="C14" s="50">
        <v>15</v>
      </c>
      <c r="D14" s="50">
        <v>15</v>
      </c>
      <c r="E14" s="50">
        <v>9</v>
      </c>
      <c r="F14" s="50">
        <v>30</v>
      </c>
      <c r="G14" s="50">
        <v>1</v>
      </c>
      <c r="H14" s="50">
        <v>0</v>
      </c>
      <c r="I14" s="50">
        <v>10</v>
      </c>
      <c r="J14" s="50">
        <v>9</v>
      </c>
      <c r="K14" s="50">
        <v>0</v>
      </c>
      <c r="L14" s="50">
        <v>0</v>
      </c>
      <c r="M14" s="50">
        <v>80</v>
      </c>
      <c r="N14" s="50">
        <v>1</v>
      </c>
      <c r="O14" s="15">
        <f t="shared" si="0"/>
        <v>90</v>
      </c>
      <c r="P14" s="15">
        <f t="shared" si="1"/>
        <v>170</v>
      </c>
      <c r="R14" s="1" t="s">
        <v>10</v>
      </c>
      <c r="S14" s="17">
        <f t="shared" ref="S14:AF14" si="6">SUM(C26:C29)</f>
        <v>199</v>
      </c>
      <c r="T14" s="17">
        <f t="shared" si="6"/>
        <v>134</v>
      </c>
      <c r="U14" s="17">
        <f t="shared" si="6"/>
        <v>36</v>
      </c>
      <c r="V14" s="17">
        <f t="shared" si="6"/>
        <v>201</v>
      </c>
      <c r="W14" s="17">
        <f t="shared" si="6"/>
        <v>5</v>
      </c>
      <c r="X14" s="17">
        <f t="shared" si="6"/>
        <v>1</v>
      </c>
      <c r="Y14" s="17">
        <f t="shared" si="6"/>
        <v>56</v>
      </c>
      <c r="Z14" s="17">
        <f t="shared" si="6"/>
        <v>22</v>
      </c>
      <c r="AA14" s="17">
        <f t="shared" si="6"/>
        <v>14</v>
      </c>
      <c r="AB14" s="17">
        <f t="shared" si="6"/>
        <v>5</v>
      </c>
      <c r="AC14" s="17">
        <f t="shared" si="6"/>
        <v>292</v>
      </c>
      <c r="AD14" s="17">
        <f t="shared" si="6"/>
        <v>0</v>
      </c>
      <c r="AE14" s="31">
        <f t="shared" si="6"/>
        <v>673</v>
      </c>
      <c r="AF14" s="31">
        <f t="shared" si="6"/>
        <v>965</v>
      </c>
    </row>
    <row r="15" spans="2:32" ht="23.1" customHeight="1" x14ac:dyDescent="0.25">
      <c r="B15" s="23" t="s">
        <v>42</v>
      </c>
      <c r="C15" s="50">
        <v>35</v>
      </c>
      <c r="D15" s="50">
        <v>45</v>
      </c>
      <c r="E15" s="50">
        <v>4</v>
      </c>
      <c r="F15" s="50">
        <v>30</v>
      </c>
      <c r="G15" s="50">
        <v>1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60</v>
      </c>
      <c r="N15" s="50">
        <v>0</v>
      </c>
      <c r="O15" s="15">
        <f t="shared" si="0"/>
        <v>118</v>
      </c>
      <c r="P15" s="15">
        <f t="shared" si="1"/>
        <v>178</v>
      </c>
      <c r="R15" s="1" t="s">
        <v>11</v>
      </c>
      <c r="S15" s="17">
        <f t="shared" ref="S15:AF15" si="7">SUM(C30:C33)</f>
        <v>137</v>
      </c>
      <c r="T15" s="17">
        <f t="shared" si="7"/>
        <v>126</v>
      </c>
      <c r="U15" s="17">
        <f t="shared" si="7"/>
        <v>21</v>
      </c>
      <c r="V15" s="17">
        <f t="shared" si="7"/>
        <v>183</v>
      </c>
      <c r="W15" s="17">
        <f t="shared" si="7"/>
        <v>0</v>
      </c>
      <c r="X15" s="17">
        <f t="shared" si="7"/>
        <v>0</v>
      </c>
      <c r="Y15" s="17">
        <f t="shared" si="7"/>
        <v>47</v>
      </c>
      <c r="Z15" s="17">
        <f t="shared" si="7"/>
        <v>14</v>
      </c>
      <c r="AA15" s="17">
        <f t="shared" si="7"/>
        <v>3</v>
      </c>
      <c r="AB15" s="17">
        <f t="shared" si="7"/>
        <v>5</v>
      </c>
      <c r="AC15" s="17">
        <f t="shared" si="7"/>
        <v>245</v>
      </c>
      <c r="AD15" s="17">
        <f t="shared" si="7"/>
        <v>0</v>
      </c>
      <c r="AE15" s="31">
        <f t="shared" si="7"/>
        <v>536</v>
      </c>
      <c r="AF15" s="31">
        <f t="shared" si="7"/>
        <v>781</v>
      </c>
    </row>
    <row r="16" spans="2:32" ht="23.1" customHeight="1" x14ac:dyDescent="0.25">
      <c r="B16" s="23" t="s">
        <v>43</v>
      </c>
      <c r="C16" s="50">
        <v>35</v>
      </c>
      <c r="D16" s="50">
        <v>32</v>
      </c>
      <c r="E16" s="50">
        <v>6</v>
      </c>
      <c r="F16" s="50">
        <v>37</v>
      </c>
      <c r="G16" s="50">
        <v>0</v>
      </c>
      <c r="H16" s="50">
        <v>0</v>
      </c>
      <c r="I16" s="50">
        <v>8</v>
      </c>
      <c r="J16" s="50">
        <v>3</v>
      </c>
      <c r="K16" s="50">
        <v>0</v>
      </c>
      <c r="L16" s="50">
        <v>0</v>
      </c>
      <c r="M16" s="50">
        <v>72</v>
      </c>
      <c r="N16" s="50">
        <v>0</v>
      </c>
      <c r="O16" s="15">
        <f t="shared" si="0"/>
        <v>121</v>
      </c>
      <c r="P16" s="15">
        <f t="shared" si="1"/>
        <v>193</v>
      </c>
      <c r="R16" s="1" t="s">
        <v>12</v>
      </c>
      <c r="S16" s="17">
        <f t="shared" ref="S16:AF16" si="8">SUM(C34:C37)</f>
        <v>131</v>
      </c>
      <c r="T16" s="17">
        <f t="shared" si="8"/>
        <v>86</v>
      </c>
      <c r="U16" s="17">
        <f t="shared" si="8"/>
        <v>17</v>
      </c>
      <c r="V16" s="17">
        <f t="shared" si="8"/>
        <v>212</v>
      </c>
      <c r="W16" s="17">
        <f t="shared" si="8"/>
        <v>4</v>
      </c>
      <c r="X16" s="17">
        <f t="shared" si="8"/>
        <v>1</v>
      </c>
      <c r="Y16" s="17">
        <f t="shared" si="8"/>
        <v>56</v>
      </c>
      <c r="Z16" s="17">
        <f t="shared" si="8"/>
        <v>9</v>
      </c>
      <c r="AA16" s="17">
        <f t="shared" si="8"/>
        <v>10</v>
      </c>
      <c r="AB16" s="17">
        <f t="shared" si="8"/>
        <v>6</v>
      </c>
      <c r="AC16" s="17">
        <f t="shared" si="8"/>
        <v>310</v>
      </c>
      <c r="AD16" s="17">
        <f t="shared" si="8"/>
        <v>0</v>
      </c>
      <c r="AE16" s="31">
        <f t="shared" si="8"/>
        <v>532</v>
      </c>
      <c r="AF16" s="31">
        <f t="shared" si="8"/>
        <v>842</v>
      </c>
    </row>
    <row r="17" spans="2:32" ht="23.1" customHeight="1" x14ac:dyDescent="0.25">
      <c r="B17" s="23" t="s">
        <v>44</v>
      </c>
      <c r="C17" s="50">
        <v>32</v>
      </c>
      <c r="D17" s="50">
        <v>22</v>
      </c>
      <c r="E17" s="50">
        <v>10</v>
      </c>
      <c r="F17" s="50">
        <v>35</v>
      </c>
      <c r="G17" s="50">
        <v>0</v>
      </c>
      <c r="H17" s="50">
        <v>1</v>
      </c>
      <c r="I17" s="50">
        <v>7</v>
      </c>
      <c r="J17" s="50">
        <v>2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109</v>
      </c>
      <c r="P17" s="15">
        <f t="shared" si="1"/>
        <v>109</v>
      </c>
      <c r="R17" s="1" t="s">
        <v>13</v>
      </c>
      <c r="S17" s="17">
        <f t="shared" ref="S17:AF17" si="9">SUM(C38:C41)</f>
        <v>145</v>
      </c>
      <c r="T17" s="17">
        <f t="shared" si="9"/>
        <v>158</v>
      </c>
      <c r="U17" s="17">
        <f t="shared" si="9"/>
        <v>20</v>
      </c>
      <c r="V17" s="17">
        <f t="shared" si="9"/>
        <v>133</v>
      </c>
      <c r="W17" s="17">
        <f t="shared" si="9"/>
        <v>3</v>
      </c>
      <c r="X17" s="17">
        <f t="shared" si="9"/>
        <v>6</v>
      </c>
      <c r="Y17" s="17">
        <f t="shared" si="9"/>
        <v>26</v>
      </c>
      <c r="Z17" s="17">
        <f t="shared" si="9"/>
        <v>4</v>
      </c>
      <c r="AA17" s="17">
        <f t="shared" si="9"/>
        <v>0</v>
      </c>
      <c r="AB17" s="17">
        <f t="shared" si="9"/>
        <v>1</v>
      </c>
      <c r="AC17" s="17">
        <f t="shared" si="9"/>
        <v>235</v>
      </c>
      <c r="AD17" s="17">
        <f t="shared" si="9"/>
        <v>0</v>
      </c>
      <c r="AE17" s="31">
        <f t="shared" si="9"/>
        <v>496</v>
      </c>
      <c r="AF17" s="31">
        <f t="shared" si="9"/>
        <v>731</v>
      </c>
    </row>
    <row r="18" spans="2:32" ht="23.1" customHeight="1" x14ac:dyDescent="0.25">
      <c r="B18" s="23" t="s">
        <v>45</v>
      </c>
      <c r="C18" s="50">
        <v>48</v>
      </c>
      <c r="D18" s="50">
        <v>40</v>
      </c>
      <c r="E18" s="50">
        <v>6</v>
      </c>
      <c r="F18" s="50">
        <v>45</v>
      </c>
      <c r="G18" s="50">
        <v>1</v>
      </c>
      <c r="H18" s="50">
        <v>0</v>
      </c>
      <c r="I18" s="50">
        <v>23</v>
      </c>
      <c r="J18" s="50">
        <v>1</v>
      </c>
      <c r="K18" s="50">
        <v>0</v>
      </c>
      <c r="L18" s="50">
        <v>0</v>
      </c>
      <c r="M18" s="50">
        <v>70</v>
      </c>
      <c r="N18" s="50">
        <v>0</v>
      </c>
      <c r="O18" s="15">
        <f t="shared" si="0"/>
        <v>164</v>
      </c>
      <c r="P18" s="15">
        <f t="shared" si="1"/>
        <v>234</v>
      </c>
      <c r="R18" s="1" t="s">
        <v>14</v>
      </c>
      <c r="S18" s="17">
        <f t="shared" ref="S18:AF18" si="10">SUM(C42:C45)</f>
        <v>711</v>
      </c>
      <c r="T18" s="17">
        <f t="shared" si="10"/>
        <v>210</v>
      </c>
      <c r="U18" s="17">
        <f t="shared" si="10"/>
        <v>19</v>
      </c>
      <c r="V18" s="17">
        <f t="shared" si="10"/>
        <v>145</v>
      </c>
      <c r="W18" s="17">
        <f t="shared" si="10"/>
        <v>0</v>
      </c>
      <c r="X18" s="17">
        <f t="shared" si="10"/>
        <v>0</v>
      </c>
      <c r="Y18" s="17">
        <f t="shared" si="10"/>
        <v>26</v>
      </c>
      <c r="Z18" s="17">
        <f t="shared" si="10"/>
        <v>5</v>
      </c>
      <c r="AA18" s="17">
        <f t="shared" si="10"/>
        <v>2</v>
      </c>
      <c r="AB18" s="17">
        <f t="shared" si="10"/>
        <v>8</v>
      </c>
      <c r="AC18" s="17">
        <f t="shared" si="10"/>
        <v>200</v>
      </c>
      <c r="AD18" s="17">
        <f t="shared" si="10"/>
        <v>0</v>
      </c>
      <c r="AE18" s="31">
        <f t="shared" si="10"/>
        <v>1126</v>
      </c>
      <c r="AF18" s="31">
        <f t="shared" si="10"/>
        <v>1326</v>
      </c>
    </row>
    <row r="19" spans="2:32" ht="23.1" customHeight="1" x14ac:dyDescent="0.25">
      <c r="B19" s="23" t="s">
        <v>46</v>
      </c>
      <c r="C19" s="50">
        <v>40</v>
      </c>
      <c r="D19" s="50">
        <v>45</v>
      </c>
      <c r="E19" s="50">
        <v>4</v>
      </c>
      <c r="F19" s="50">
        <v>35</v>
      </c>
      <c r="G19" s="50">
        <v>1</v>
      </c>
      <c r="H19" s="50">
        <v>0</v>
      </c>
      <c r="I19" s="50">
        <v>8</v>
      </c>
      <c r="J19" s="50">
        <v>3</v>
      </c>
      <c r="K19" s="50">
        <v>0</v>
      </c>
      <c r="L19" s="50">
        <v>0</v>
      </c>
      <c r="M19" s="50">
        <v>65</v>
      </c>
      <c r="N19" s="50">
        <v>0</v>
      </c>
      <c r="O19" s="15">
        <f t="shared" si="0"/>
        <v>136</v>
      </c>
      <c r="P19" s="15">
        <f t="shared" si="1"/>
        <v>201</v>
      </c>
      <c r="R19" s="1" t="s">
        <v>15</v>
      </c>
      <c r="S19" s="17">
        <f t="shared" ref="S19:AF19" si="11">SUM(C46:C49)</f>
        <v>250</v>
      </c>
      <c r="T19" s="17">
        <f t="shared" si="11"/>
        <v>242</v>
      </c>
      <c r="U19" s="17">
        <f t="shared" si="11"/>
        <v>20</v>
      </c>
      <c r="V19" s="17">
        <f t="shared" si="11"/>
        <v>170</v>
      </c>
      <c r="W19" s="17">
        <f t="shared" si="11"/>
        <v>3</v>
      </c>
      <c r="X19" s="17">
        <f t="shared" si="11"/>
        <v>1</v>
      </c>
      <c r="Y19" s="17">
        <f t="shared" si="11"/>
        <v>18</v>
      </c>
      <c r="Z19" s="17">
        <f t="shared" si="11"/>
        <v>4</v>
      </c>
      <c r="AA19" s="17">
        <f t="shared" si="11"/>
        <v>2</v>
      </c>
      <c r="AB19" s="17">
        <f t="shared" si="11"/>
        <v>6</v>
      </c>
      <c r="AC19" s="17">
        <f t="shared" si="11"/>
        <v>316</v>
      </c>
      <c r="AD19" s="17">
        <f t="shared" si="11"/>
        <v>0</v>
      </c>
      <c r="AE19" s="31">
        <f t="shared" si="11"/>
        <v>716</v>
      </c>
      <c r="AF19" s="31">
        <f t="shared" si="11"/>
        <v>1032</v>
      </c>
    </row>
    <row r="20" spans="2:32" ht="23.1" customHeight="1" x14ac:dyDescent="0.25">
      <c r="B20" s="23" t="s">
        <v>47</v>
      </c>
      <c r="C20" s="50">
        <v>25</v>
      </c>
      <c r="D20" s="50">
        <v>20</v>
      </c>
      <c r="E20" s="50">
        <v>2</v>
      </c>
      <c r="F20" s="50">
        <v>20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70</v>
      </c>
      <c r="N20" s="50">
        <v>0</v>
      </c>
      <c r="O20" s="15">
        <f t="shared" si="0"/>
        <v>71</v>
      </c>
      <c r="P20" s="15">
        <f t="shared" si="1"/>
        <v>141</v>
      </c>
      <c r="R20" s="1" t="s">
        <v>16</v>
      </c>
      <c r="S20" s="17">
        <f t="shared" ref="S20:AF20" si="12">SUM(C50:C53)</f>
        <v>240</v>
      </c>
      <c r="T20" s="17">
        <f t="shared" si="12"/>
        <v>230</v>
      </c>
      <c r="U20" s="17">
        <f t="shared" si="12"/>
        <v>29</v>
      </c>
      <c r="V20" s="17">
        <f t="shared" si="12"/>
        <v>281</v>
      </c>
      <c r="W20" s="17">
        <f t="shared" si="12"/>
        <v>5</v>
      </c>
      <c r="X20" s="17">
        <f t="shared" si="12"/>
        <v>0</v>
      </c>
      <c r="Y20" s="17">
        <f t="shared" si="12"/>
        <v>38</v>
      </c>
      <c r="Z20" s="17">
        <f t="shared" si="12"/>
        <v>1</v>
      </c>
      <c r="AA20" s="17">
        <f t="shared" si="12"/>
        <v>3</v>
      </c>
      <c r="AB20" s="17">
        <f t="shared" si="12"/>
        <v>2</v>
      </c>
      <c r="AC20" s="17">
        <f t="shared" si="12"/>
        <v>302</v>
      </c>
      <c r="AD20" s="17">
        <f t="shared" si="12"/>
        <v>0</v>
      </c>
      <c r="AE20" s="31">
        <f t="shared" si="12"/>
        <v>829</v>
      </c>
      <c r="AF20" s="31">
        <f t="shared" si="12"/>
        <v>1131</v>
      </c>
    </row>
    <row r="21" spans="2:32" ht="23.1" customHeight="1" x14ac:dyDescent="0.25">
      <c r="B21" s="23" t="s">
        <v>48</v>
      </c>
      <c r="C21" s="50">
        <v>35</v>
      </c>
      <c r="D21" s="50">
        <v>45</v>
      </c>
      <c r="E21" s="50">
        <v>7</v>
      </c>
      <c r="F21" s="50">
        <v>50</v>
      </c>
      <c r="G21" s="50">
        <v>1</v>
      </c>
      <c r="H21" s="50"/>
      <c r="I21" s="50">
        <v>6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144</v>
      </c>
      <c r="P21" s="15">
        <f t="shared" si="1"/>
        <v>194</v>
      </c>
      <c r="R21" s="36" t="s">
        <v>20</v>
      </c>
      <c r="S21" s="34">
        <f t="shared" ref="S21:AF21" si="13">SUM(C54:C57)</f>
        <v>270</v>
      </c>
      <c r="T21" s="17">
        <f t="shared" si="13"/>
        <v>310</v>
      </c>
      <c r="U21" s="17">
        <f t="shared" si="13"/>
        <v>25</v>
      </c>
      <c r="V21" s="17">
        <f t="shared" si="13"/>
        <v>235</v>
      </c>
      <c r="W21" s="17">
        <f t="shared" si="13"/>
        <v>6</v>
      </c>
      <c r="X21" s="17">
        <f t="shared" si="13"/>
        <v>3</v>
      </c>
      <c r="Y21" s="17">
        <f t="shared" si="13"/>
        <v>22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295</v>
      </c>
      <c r="AD21" s="17">
        <f t="shared" si="13"/>
        <v>0</v>
      </c>
      <c r="AE21" s="31">
        <f t="shared" si="13"/>
        <v>872</v>
      </c>
      <c r="AF21" s="31">
        <f t="shared" si="13"/>
        <v>1167</v>
      </c>
    </row>
    <row r="22" spans="2:32" ht="23.1" customHeight="1" x14ac:dyDescent="0.25">
      <c r="B22" s="23" t="s">
        <v>49</v>
      </c>
      <c r="C22" s="50">
        <v>60</v>
      </c>
      <c r="D22" s="50">
        <v>50</v>
      </c>
      <c r="E22" s="50">
        <v>4</v>
      </c>
      <c r="F22" s="50">
        <v>60</v>
      </c>
      <c r="G22" s="50">
        <v>0</v>
      </c>
      <c r="H22" s="50">
        <v>1</v>
      </c>
      <c r="I22" s="50">
        <v>10</v>
      </c>
      <c r="J22" s="50">
        <v>0</v>
      </c>
      <c r="K22" s="50">
        <v>5</v>
      </c>
      <c r="L22" s="50">
        <v>1</v>
      </c>
      <c r="M22" s="50">
        <v>60</v>
      </c>
      <c r="N22" s="50">
        <v>0</v>
      </c>
      <c r="O22" s="15">
        <f t="shared" si="0"/>
        <v>191</v>
      </c>
      <c r="P22" s="15">
        <f t="shared" si="1"/>
        <v>251</v>
      </c>
      <c r="R22" s="38" t="s">
        <v>90</v>
      </c>
      <c r="S22" s="39">
        <f>MAX(S10:S12)</f>
        <v>148</v>
      </c>
      <c r="T22" s="39">
        <f t="shared" ref="T22:AF22" si="14">MAX(T10:T12)</f>
        <v>150</v>
      </c>
      <c r="U22" s="39">
        <f t="shared" si="14"/>
        <v>29</v>
      </c>
      <c r="V22" s="39">
        <f t="shared" si="14"/>
        <v>212</v>
      </c>
      <c r="W22" s="39">
        <f t="shared" si="14"/>
        <v>4</v>
      </c>
      <c r="X22" s="39">
        <f t="shared" si="14"/>
        <v>1</v>
      </c>
      <c r="Y22" s="39">
        <f t="shared" si="14"/>
        <v>41</v>
      </c>
      <c r="Z22" s="39">
        <f t="shared" si="14"/>
        <v>16</v>
      </c>
      <c r="AA22" s="39">
        <f t="shared" si="14"/>
        <v>1</v>
      </c>
      <c r="AB22" s="39">
        <f t="shared" si="14"/>
        <v>1</v>
      </c>
      <c r="AC22" s="39">
        <f t="shared" si="14"/>
        <v>295</v>
      </c>
      <c r="AD22" s="39">
        <f t="shared" si="14"/>
        <v>1</v>
      </c>
      <c r="AE22" s="40">
        <f t="shared" si="14"/>
        <v>515</v>
      </c>
      <c r="AF22" s="40">
        <f t="shared" si="14"/>
        <v>770</v>
      </c>
    </row>
    <row r="23" spans="2:32" ht="23.1" customHeight="1" x14ac:dyDescent="0.25">
      <c r="B23" s="23" t="s">
        <v>50</v>
      </c>
      <c r="C23" s="50">
        <v>50</v>
      </c>
      <c r="D23" s="50">
        <v>55</v>
      </c>
      <c r="E23" s="50">
        <v>7</v>
      </c>
      <c r="F23" s="50">
        <v>55</v>
      </c>
      <c r="G23" s="50">
        <v>1</v>
      </c>
      <c r="H23" s="50">
        <v>0</v>
      </c>
      <c r="I23" s="50">
        <v>7</v>
      </c>
      <c r="J23" s="50">
        <v>0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175</v>
      </c>
      <c r="P23" s="15">
        <f t="shared" si="1"/>
        <v>235</v>
      </c>
      <c r="R23" s="38" t="s">
        <v>91</v>
      </c>
      <c r="S23" s="39">
        <f>MAX(S13:S18)</f>
        <v>711</v>
      </c>
      <c r="T23" s="39">
        <f t="shared" ref="T23:AF23" si="15">MAX(T13:T18)</f>
        <v>210</v>
      </c>
      <c r="U23" s="39">
        <f t="shared" si="15"/>
        <v>36</v>
      </c>
      <c r="V23" s="39">
        <f t="shared" si="15"/>
        <v>212</v>
      </c>
      <c r="W23" s="39">
        <f t="shared" si="15"/>
        <v>5</v>
      </c>
      <c r="X23" s="39">
        <f t="shared" si="15"/>
        <v>6</v>
      </c>
      <c r="Y23" s="39">
        <f t="shared" si="15"/>
        <v>56</v>
      </c>
      <c r="Z23" s="39">
        <f t="shared" si="15"/>
        <v>22</v>
      </c>
      <c r="AA23" s="39">
        <f t="shared" si="15"/>
        <v>14</v>
      </c>
      <c r="AB23" s="39">
        <f t="shared" si="15"/>
        <v>8</v>
      </c>
      <c r="AC23" s="39">
        <f t="shared" si="15"/>
        <v>310</v>
      </c>
      <c r="AD23" s="39">
        <f t="shared" si="15"/>
        <v>0</v>
      </c>
      <c r="AE23" s="40">
        <f t="shared" si="15"/>
        <v>1126</v>
      </c>
      <c r="AF23" s="40">
        <f t="shared" si="15"/>
        <v>1326</v>
      </c>
    </row>
    <row r="24" spans="2:32" ht="23.1" customHeight="1" x14ac:dyDescent="0.25">
      <c r="B24" s="23" t="s">
        <v>51</v>
      </c>
      <c r="C24" s="50">
        <v>15</v>
      </c>
      <c r="D24" s="50">
        <v>18</v>
      </c>
      <c r="E24" s="50">
        <v>6</v>
      </c>
      <c r="F24" s="50">
        <v>10</v>
      </c>
      <c r="G24" s="50">
        <v>0</v>
      </c>
      <c r="H24" s="50">
        <v>0</v>
      </c>
      <c r="I24" s="50">
        <v>6</v>
      </c>
      <c r="J24" s="50">
        <v>1</v>
      </c>
      <c r="K24" s="50">
        <v>0</v>
      </c>
      <c r="L24" s="50">
        <v>3</v>
      </c>
      <c r="M24" s="50">
        <v>90</v>
      </c>
      <c r="N24" s="50">
        <v>0</v>
      </c>
      <c r="O24" s="15">
        <f t="shared" si="0"/>
        <v>59</v>
      </c>
      <c r="P24" s="15">
        <f t="shared" si="1"/>
        <v>149</v>
      </c>
      <c r="R24" s="38" t="s">
        <v>92</v>
      </c>
      <c r="S24" s="39">
        <f>MAX(S19:S21)</f>
        <v>270</v>
      </c>
      <c r="T24" s="39">
        <f t="shared" ref="T24:AF24" si="16">MAX(T19:T21)</f>
        <v>310</v>
      </c>
      <c r="U24" s="39">
        <f t="shared" si="16"/>
        <v>29</v>
      </c>
      <c r="V24" s="39">
        <f t="shared" si="16"/>
        <v>281</v>
      </c>
      <c r="W24" s="39">
        <f t="shared" si="16"/>
        <v>6</v>
      </c>
      <c r="X24" s="39">
        <f t="shared" si="16"/>
        <v>3</v>
      </c>
      <c r="Y24" s="39">
        <f t="shared" si="16"/>
        <v>38</v>
      </c>
      <c r="Z24" s="39">
        <f t="shared" si="16"/>
        <v>4</v>
      </c>
      <c r="AA24" s="39">
        <f t="shared" si="16"/>
        <v>3</v>
      </c>
      <c r="AB24" s="39">
        <f t="shared" si="16"/>
        <v>6</v>
      </c>
      <c r="AC24" s="39">
        <f t="shared" si="16"/>
        <v>316</v>
      </c>
      <c r="AD24" s="39">
        <f t="shared" si="16"/>
        <v>0</v>
      </c>
      <c r="AE24" s="40">
        <f t="shared" si="16"/>
        <v>872</v>
      </c>
      <c r="AF24" s="40">
        <f t="shared" si="16"/>
        <v>1167</v>
      </c>
    </row>
    <row r="25" spans="2:32" ht="23.1" customHeight="1" x14ac:dyDescent="0.25">
      <c r="B25" s="23" t="s">
        <v>52</v>
      </c>
      <c r="C25" s="50">
        <v>50</v>
      </c>
      <c r="D25" s="50">
        <v>50</v>
      </c>
      <c r="E25" s="50">
        <v>8</v>
      </c>
      <c r="F25" s="50">
        <v>70</v>
      </c>
      <c r="G25" s="50">
        <v>2</v>
      </c>
      <c r="H25" s="50">
        <v>0</v>
      </c>
      <c r="I25" s="50">
        <v>8</v>
      </c>
      <c r="J25" s="50">
        <v>0</v>
      </c>
      <c r="K25" s="50">
        <v>1</v>
      </c>
      <c r="L25" s="50">
        <v>1</v>
      </c>
      <c r="M25" s="50">
        <v>60</v>
      </c>
      <c r="N25" s="50">
        <v>0</v>
      </c>
      <c r="O25" s="15">
        <f t="shared" si="0"/>
        <v>190</v>
      </c>
      <c r="P25" s="15">
        <f t="shared" si="1"/>
        <v>250</v>
      </c>
      <c r="R25" s="37" t="s">
        <v>85</v>
      </c>
      <c r="S25" s="35">
        <f t="shared" ref="S25:AF25" si="17">SUM(S10:S12)</f>
        <v>340</v>
      </c>
      <c r="T25" s="16">
        <f t="shared" si="17"/>
        <v>346</v>
      </c>
      <c r="U25" s="16">
        <f t="shared" si="17"/>
        <v>76</v>
      </c>
      <c r="V25" s="16">
        <f t="shared" si="17"/>
        <v>494</v>
      </c>
      <c r="W25" s="16">
        <f t="shared" si="17"/>
        <v>9</v>
      </c>
      <c r="X25" s="16">
        <f t="shared" si="17"/>
        <v>1</v>
      </c>
      <c r="Y25" s="16">
        <f t="shared" si="17"/>
        <v>89</v>
      </c>
      <c r="Z25" s="16">
        <f t="shared" si="17"/>
        <v>34</v>
      </c>
      <c r="AA25" s="16">
        <f t="shared" si="17"/>
        <v>1</v>
      </c>
      <c r="AB25" s="16">
        <f t="shared" si="17"/>
        <v>1</v>
      </c>
      <c r="AC25" s="16">
        <f t="shared" si="17"/>
        <v>762</v>
      </c>
      <c r="AD25" s="16">
        <f t="shared" si="17"/>
        <v>1</v>
      </c>
      <c r="AE25" s="32">
        <f t="shared" si="17"/>
        <v>1392</v>
      </c>
      <c r="AF25" s="32">
        <f t="shared" si="17"/>
        <v>2154</v>
      </c>
    </row>
    <row r="26" spans="2:32" ht="23.1" customHeight="1" x14ac:dyDescent="0.25">
      <c r="B26" s="23" t="s">
        <v>53</v>
      </c>
      <c r="C26" s="50">
        <v>60</v>
      </c>
      <c r="D26" s="50">
        <v>60</v>
      </c>
      <c r="E26" s="50">
        <v>3</v>
      </c>
      <c r="F26" s="50">
        <v>35</v>
      </c>
      <c r="G26" s="50">
        <v>3</v>
      </c>
      <c r="H26" s="50">
        <v>1</v>
      </c>
      <c r="I26" s="50">
        <v>10</v>
      </c>
      <c r="J26" s="50">
        <v>7</v>
      </c>
      <c r="K26" s="50">
        <v>1</v>
      </c>
      <c r="L26" s="50">
        <v>1</v>
      </c>
      <c r="M26" s="50">
        <v>60</v>
      </c>
      <c r="N26" s="50">
        <v>0</v>
      </c>
      <c r="O26" s="15">
        <f t="shared" si="0"/>
        <v>181</v>
      </c>
      <c r="P26" s="15">
        <f t="shared" si="1"/>
        <v>241</v>
      </c>
      <c r="R26" s="28" t="s">
        <v>86</v>
      </c>
      <c r="S26" s="16">
        <f t="shared" ref="S26:AF26" si="18">SUM(S13:S18)</f>
        <v>1498</v>
      </c>
      <c r="T26" s="16">
        <f t="shared" si="18"/>
        <v>887</v>
      </c>
      <c r="U26" s="16">
        <f t="shared" si="18"/>
        <v>138</v>
      </c>
      <c r="V26" s="16">
        <f t="shared" si="18"/>
        <v>1069</v>
      </c>
      <c r="W26" s="16">
        <f t="shared" si="18"/>
        <v>15</v>
      </c>
      <c r="X26" s="16">
        <f t="shared" si="18"/>
        <v>9</v>
      </c>
      <c r="Y26" s="16">
        <f t="shared" si="18"/>
        <v>242</v>
      </c>
      <c r="Z26" s="16">
        <f t="shared" si="18"/>
        <v>55</v>
      </c>
      <c r="AA26" s="16">
        <f t="shared" si="18"/>
        <v>35</v>
      </c>
      <c r="AB26" s="16">
        <f t="shared" si="18"/>
        <v>30</v>
      </c>
      <c r="AC26" s="16">
        <f t="shared" si="18"/>
        <v>1552</v>
      </c>
      <c r="AD26" s="16">
        <f t="shared" si="18"/>
        <v>0</v>
      </c>
      <c r="AE26" s="32">
        <f t="shared" si="18"/>
        <v>3978</v>
      </c>
      <c r="AF26" s="32">
        <f t="shared" si="18"/>
        <v>5530</v>
      </c>
    </row>
    <row r="27" spans="2:32" ht="23.1" customHeight="1" x14ac:dyDescent="0.25">
      <c r="B27" s="23" t="s">
        <v>54</v>
      </c>
      <c r="C27" s="50">
        <v>42</v>
      </c>
      <c r="D27" s="50">
        <v>30</v>
      </c>
      <c r="E27" s="50">
        <v>11</v>
      </c>
      <c r="F27" s="50">
        <v>58</v>
      </c>
      <c r="G27" s="50">
        <v>0</v>
      </c>
      <c r="H27" s="50">
        <v>0</v>
      </c>
      <c r="I27" s="50">
        <v>18</v>
      </c>
      <c r="J27" s="50">
        <v>6</v>
      </c>
      <c r="K27" s="50">
        <v>1</v>
      </c>
      <c r="L27" s="50">
        <v>1</v>
      </c>
      <c r="M27" s="50">
        <v>100</v>
      </c>
      <c r="N27" s="50">
        <v>0</v>
      </c>
      <c r="O27" s="15">
        <f t="shared" si="0"/>
        <v>167</v>
      </c>
      <c r="P27" s="15">
        <f t="shared" si="1"/>
        <v>267</v>
      </c>
      <c r="R27" s="29" t="s">
        <v>87</v>
      </c>
      <c r="S27" s="16">
        <f t="shared" ref="S27:AF27" si="19">SUM(S19:S21)</f>
        <v>760</v>
      </c>
      <c r="T27" s="16">
        <f t="shared" si="19"/>
        <v>782</v>
      </c>
      <c r="U27" s="16">
        <f t="shared" si="19"/>
        <v>74</v>
      </c>
      <c r="V27" s="16">
        <f t="shared" si="19"/>
        <v>686</v>
      </c>
      <c r="W27" s="16">
        <f t="shared" si="19"/>
        <v>14</v>
      </c>
      <c r="X27" s="16">
        <f t="shared" si="19"/>
        <v>4</v>
      </c>
      <c r="Y27" s="16">
        <f t="shared" si="19"/>
        <v>78</v>
      </c>
      <c r="Z27" s="16">
        <f t="shared" si="19"/>
        <v>5</v>
      </c>
      <c r="AA27" s="16">
        <f t="shared" si="19"/>
        <v>5</v>
      </c>
      <c r="AB27" s="16">
        <f t="shared" si="19"/>
        <v>9</v>
      </c>
      <c r="AC27" s="16">
        <f t="shared" si="19"/>
        <v>913</v>
      </c>
      <c r="AD27" s="16">
        <f t="shared" si="19"/>
        <v>0</v>
      </c>
      <c r="AE27" s="32">
        <f t="shared" si="19"/>
        <v>2417</v>
      </c>
      <c r="AF27" s="32">
        <f t="shared" si="19"/>
        <v>3330</v>
      </c>
    </row>
    <row r="28" spans="2:32" ht="23.1" customHeight="1" x14ac:dyDescent="0.25">
      <c r="B28" s="23" t="s">
        <v>55</v>
      </c>
      <c r="C28" s="50">
        <v>65</v>
      </c>
      <c r="D28" s="50">
        <v>33</v>
      </c>
      <c r="E28" s="50">
        <v>12</v>
      </c>
      <c r="F28" s="50">
        <v>60</v>
      </c>
      <c r="G28" s="50">
        <v>0</v>
      </c>
      <c r="H28" s="50">
        <v>0</v>
      </c>
      <c r="I28" s="50">
        <v>12</v>
      </c>
      <c r="J28" s="50">
        <v>5</v>
      </c>
      <c r="K28" s="50">
        <v>10</v>
      </c>
      <c r="L28" s="50">
        <v>0</v>
      </c>
      <c r="M28" s="50">
        <v>55</v>
      </c>
      <c r="N28" s="50">
        <v>0</v>
      </c>
      <c r="O28" s="15">
        <f t="shared" si="0"/>
        <v>197</v>
      </c>
      <c r="P28" s="15">
        <f t="shared" si="1"/>
        <v>252</v>
      </c>
      <c r="R28" s="5" t="s">
        <v>17</v>
      </c>
      <c r="S28" s="16">
        <f t="shared" ref="S28:AF28" si="20">SUM(S10:S21)</f>
        <v>2598</v>
      </c>
      <c r="T28" s="16">
        <f t="shared" si="20"/>
        <v>2015</v>
      </c>
      <c r="U28" s="16">
        <f t="shared" si="20"/>
        <v>288</v>
      </c>
      <c r="V28" s="16">
        <f t="shared" si="20"/>
        <v>2249</v>
      </c>
      <c r="W28" s="16">
        <f t="shared" si="20"/>
        <v>38</v>
      </c>
      <c r="X28" s="16">
        <f t="shared" si="20"/>
        <v>14</v>
      </c>
      <c r="Y28" s="16">
        <f t="shared" si="20"/>
        <v>409</v>
      </c>
      <c r="Z28" s="16">
        <f t="shared" si="20"/>
        <v>94</v>
      </c>
      <c r="AA28" s="16">
        <f t="shared" si="20"/>
        <v>41</v>
      </c>
      <c r="AB28" s="16">
        <f t="shared" si="20"/>
        <v>40</v>
      </c>
      <c r="AC28" s="16">
        <f t="shared" si="20"/>
        <v>3227</v>
      </c>
      <c r="AD28" s="16">
        <f t="shared" si="20"/>
        <v>1</v>
      </c>
      <c r="AE28" s="32">
        <f t="shared" si="20"/>
        <v>7787</v>
      </c>
      <c r="AF28" s="32">
        <f t="shared" si="20"/>
        <v>11014</v>
      </c>
    </row>
    <row r="29" spans="2:32" ht="23.1" customHeight="1" x14ac:dyDescent="0.25">
      <c r="B29" s="23" t="s">
        <v>56</v>
      </c>
      <c r="C29" s="50">
        <v>32</v>
      </c>
      <c r="D29" s="50">
        <v>11</v>
      </c>
      <c r="E29" s="50">
        <v>10</v>
      </c>
      <c r="F29" s="50">
        <v>48</v>
      </c>
      <c r="G29" s="50">
        <v>2</v>
      </c>
      <c r="H29" s="50">
        <v>0</v>
      </c>
      <c r="I29" s="50">
        <v>16</v>
      </c>
      <c r="J29" s="50">
        <v>4</v>
      </c>
      <c r="K29" s="50">
        <v>2</v>
      </c>
      <c r="L29" s="50">
        <v>3</v>
      </c>
      <c r="M29" s="50">
        <v>77</v>
      </c>
      <c r="N29" s="50">
        <v>0</v>
      </c>
      <c r="O29" s="15">
        <f t="shared" si="0"/>
        <v>128</v>
      </c>
      <c r="P29" s="15">
        <f t="shared" si="1"/>
        <v>205</v>
      </c>
      <c r="R29"/>
      <c r="S29" s="20"/>
      <c r="T29" s="19"/>
    </row>
    <row r="30" spans="2:32" ht="23.1" customHeight="1" x14ac:dyDescent="0.25">
      <c r="B30" s="23" t="s">
        <v>57</v>
      </c>
      <c r="C30" s="50">
        <v>32</v>
      </c>
      <c r="D30" s="50">
        <v>26</v>
      </c>
      <c r="E30" s="50">
        <v>7</v>
      </c>
      <c r="F30" s="50">
        <v>100</v>
      </c>
      <c r="G30" s="50">
        <v>0</v>
      </c>
      <c r="H30" s="50">
        <v>0</v>
      </c>
      <c r="I30" s="50">
        <v>12</v>
      </c>
      <c r="J30" s="50">
        <v>8</v>
      </c>
      <c r="K30" s="50">
        <v>2</v>
      </c>
      <c r="L30" s="50">
        <v>0</v>
      </c>
      <c r="M30" s="50">
        <v>98</v>
      </c>
      <c r="N30" s="50">
        <v>0</v>
      </c>
      <c r="O30" s="15">
        <f t="shared" si="0"/>
        <v>187</v>
      </c>
      <c r="P30" s="15">
        <f t="shared" si="1"/>
        <v>285</v>
      </c>
    </row>
    <row r="31" spans="2:32" ht="23.1" customHeight="1" x14ac:dyDescent="0.25">
      <c r="B31" s="24" t="s">
        <v>58</v>
      </c>
      <c r="C31" s="50">
        <v>33</v>
      </c>
      <c r="D31" s="50">
        <v>35</v>
      </c>
      <c r="E31" s="50">
        <v>7</v>
      </c>
      <c r="F31" s="50">
        <v>30</v>
      </c>
      <c r="G31" s="50">
        <v>0</v>
      </c>
      <c r="H31" s="50">
        <v>0</v>
      </c>
      <c r="I31" s="50">
        <v>13</v>
      </c>
      <c r="J31" s="50">
        <v>5</v>
      </c>
      <c r="K31" s="50">
        <v>0</v>
      </c>
      <c r="L31" s="50">
        <v>0</v>
      </c>
      <c r="M31" s="50">
        <v>70</v>
      </c>
      <c r="N31" s="50">
        <v>0</v>
      </c>
      <c r="O31" s="15">
        <f t="shared" si="0"/>
        <v>123</v>
      </c>
      <c r="P31" s="15">
        <f t="shared" si="1"/>
        <v>193</v>
      </c>
    </row>
    <row r="32" spans="2:32" ht="23.1" customHeight="1" x14ac:dyDescent="0.25">
      <c r="B32" s="24" t="s">
        <v>59</v>
      </c>
      <c r="C32" s="50">
        <v>50</v>
      </c>
      <c r="D32" s="50">
        <v>50</v>
      </c>
      <c r="E32" s="50">
        <v>1</v>
      </c>
      <c r="F32" s="50">
        <v>32</v>
      </c>
      <c r="G32" s="50">
        <v>0</v>
      </c>
      <c r="H32" s="50">
        <v>0</v>
      </c>
      <c r="I32" s="50">
        <v>11</v>
      </c>
      <c r="J32" s="50">
        <v>0</v>
      </c>
      <c r="K32" s="50">
        <v>0</v>
      </c>
      <c r="L32" s="50">
        <v>2</v>
      </c>
      <c r="M32" s="50">
        <v>30</v>
      </c>
      <c r="N32" s="50">
        <v>0</v>
      </c>
      <c r="O32" s="15">
        <f t="shared" si="0"/>
        <v>146</v>
      </c>
      <c r="P32" s="15">
        <f t="shared" si="1"/>
        <v>176</v>
      </c>
    </row>
    <row r="33" spans="2:20" ht="23.1" customHeight="1" x14ac:dyDescent="0.25">
      <c r="B33" s="23" t="s">
        <v>60</v>
      </c>
      <c r="C33" s="50">
        <v>22</v>
      </c>
      <c r="D33" s="50">
        <v>15</v>
      </c>
      <c r="E33" s="50">
        <v>6</v>
      </c>
      <c r="F33" s="50">
        <v>21</v>
      </c>
      <c r="G33" s="50">
        <v>0</v>
      </c>
      <c r="H33" s="50">
        <v>0</v>
      </c>
      <c r="I33" s="50">
        <v>11</v>
      </c>
      <c r="J33" s="50">
        <v>1</v>
      </c>
      <c r="K33" s="50">
        <v>1</v>
      </c>
      <c r="L33" s="50">
        <v>3</v>
      </c>
      <c r="M33" s="50">
        <v>47</v>
      </c>
      <c r="N33" s="50">
        <v>0</v>
      </c>
      <c r="O33" s="15">
        <f t="shared" si="0"/>
        <v>80</v>
      </c>
      <c r="P33" s="15">
        <f t="shared" si="1"/>
        <v>127</v>
      </c>
    </row>
    <row r="34" spans="2:20" ht="23.1" customHeight="1" x14ac:dyDescent="0.25">
      <c r="B34" s="24" t="s">
        <v>61</v>
      </c>
      <c r="C34" s="50">
        <v>25</v>
      </c>
      <c r="D34" s="50">
        <v>21</v>
      </c>
      <c r="E34" s="50">
        <v>4</v>
      </c>
      <c r="F34" s="50">
        <v>73</v>
      </c>
      <c r="G34" s="50">
        <v>1</v>
      </c>
      <c r="H34" s="50">
        <v>0</v>
      </c>
      <c r="I34" s="50">
        <v>15</v>
      </c>
      <c r="J34" s="50">
        <v>3</v>
      </c>
      <c r="K34" s="50">
        <v>4</v>
      </c>
      <c r="L34" s="50">
        <v>1</v>
      </c>
      <c r="M34" s="50">
        <v>110</v>
      </c>
      <c r="N34" s="50">
        <v>0</v>
      </c>
      <c r="O34" s="15">
        <f t="shared" si="0"/>
        <v>147</v>
      </c>
      <c r="P34" s="15">
        <f t="shared" si="1"/>
        <v>257</v>
      </c>
    </row>
    <row r="35" spans="2:20" ht="23.1" customHeight="1" x14ac:dyDescent="0.25">
      <c r="B35" s="24" t="s">
        <v>62</v>
      </c>
      <c r="C35" s="50">
        <v>46</v>
      </c>
      <c r="D35" s="50">
        <v>18</v>
      </c>
      <c r="E35" s="50">
        <v>4</v>
      </c>
      <c r="F35" s="50">
        <v>63</v>
      </c>
      <c r="G35" s="50">
        <v>1</v>
      </c>
      <c r="H35" s="50">
        <v>1</v>
      </c>
      <c r="I35" s="50">
        <v>8</v>
      </c>
      <c r="J35" s="50">
        <v>5</v>
      </c>
      <c r="K35" s="50">
        <v>1</v>
      </c>
      <c r="L35" s="50">
        <v>0</v>
      </c>
      <c r="M35" s="50">
        <v>85</v>
      </c>
      <c r="N35" s="50">
        <v>0</v>
      </c>
      <c r="O35" s="15">
        <f t="shared" si="0"/>
        <v>147</v>
      </c>
      <c r="P35" s="15">
        <f t="shared" si="1"/>
        <v>232</v>
      </c>
    </row>
    <row r="36" spans="2:20" ht="23.1" customHeight="1" x14ac:dyDescent="0.25">
      <c r="B36" s="24" t="s">
        <v>63</v>
      </c>
      <c r="C36" s="50">
        <v>35</v>
      </c>
      <c r="D36" s="50">
        <v>25</v>
      </c>
      <c r="E36" s="50">
        <v>7</v>
      </c>
      <c r="F36" s="50">
        <v>36</v>
      </c>
      <c r="G36" s="50">
        <v>2</v>
      </c>
      <c r="H36" s="50">
        <v>0</v>
      </c>
      <c r="I36" s="50">
        <v>22</v>
      </c>
      <c r="J36" s="50">
        <v>0</v>
      </c>
      <c r="K36" s="50">
        <v>3</v>
      </c>
      <c r="L36" s="50">
        <v>2</v>
      </c>
      <c r="M36" s="50">
        <v>70</v>
      </c>
      <c r="N36" s="50">
        <v>0</v>
      </c>
      <c r="O36" s="15">
        <f t="shared" si="0"/>
        <v>132</v>
      </c>
      <c r="P36" s="15">
        <f t="shared" si="1"/>
        <v>202</v>
      </c>
    </row>
    <row r="37" spans="2:20" ht="23.1" customHeight="1" x14ac:dyDescent="0.25">
      <c r="B37" s="23" t="s">
        <v>64</v>
      </c>
      <c r="C37" s="50">
        <v>25</v>
      </c>
      <c r="D37" s="50">
        <v>22</v>
      </c>
      <c r="E37" s="50">
        <v>2</v>
      </c>
      <c r="F37" s="50">
        <v>40</v>
      </c>
      <c r="G37" s="50">
        <v>0</v>
      </c>
      <c r="H37" s="50">
        <v>0</v>
      </c>
      <c r="I37" s="50">
        <v>11</v>
      </c>
      <c r="J37" s="50">
        <v>1</v>
      </c>
      <c r="K37" s="50">
        <v>2</v>
      </c>
      <c r="L37" s="50">
        <v>3</v>
      </c>
      <c r="M37" s="50">
        <v>45</v>
      </c>
      <c r="N37" s="50">
        <v>0</v>
      </c>
      <c r="O37" s="15">
        <f t="shared" si="0"/>
        <v>106</v>
      </c>
      <c r="P37" s="15">
        <f t="shared" si="1"/>
        <v>151</v>
      </c>
    </row>
    <row r="38" spans="2:20" ht="23.1" customHeight="1" x14ac:dyDescent="0.25">
      <c r="B38" s="24" t="s">
        <v>65</v>
      </c>
      <c r="C38" s="50">
        <v>45</v>
      </c>
      <c r="D38" s="50">
        <v>40</v>
      </c>
      <c r="E38" s="50">
        <v>7</v>
      </c>
      <c r="F38" s="50">
        <v>30</v>
      </c>
      <c r="G38" s="50">
        <v>1</v>
      </c>
      <c r="H38" s="50">
        <v>0</v>
      </c>
      <c r="I38" s="50">
        <v>15</v>
      </c>
      <c r="J38" s="50">
        <v>1</v>
      </c>
      <c r="K38" s="50">
        <v>0</v>
      </c>
      <c r="L38" s="50">
        <v>1</v>
      </c>
      <c r="M38" s="50">
        <v>40</v>
      </c>
      <c r="N38" s="50">
        <v>0</v>
      </c>
      <c r="O38" s="15">
        <f t="shared" si="0"/>
        <v>140</v>
      </c>
      <c r="P38" s="15">
        <f t="shared" si="1"/>
        <v>180</v>
      </c>
    </row>
    <row r="39" spans="2:20" ht="23.1" customHeight="1" x14ac:dyDescent="0.25">
      <c r="B39" s="24" t="s">
        <v>66</v>
      </c>
      <c r="C39" s="50">
        <v>25</v>
      </c>
      <c r="D39" s="50">
        <v>40</v>
      </c>
      <c r="E39" s="50">
        <v>2</v>
      </c>
      <c r="F39" s="50">
        <v>31</v>
      </c>
      <c r="G39" s="50">
        <v>2</v>
      </c>
      <c r="H39" s="50">
        <v>5</v>
      </c>
      <c r="I39" s="50">
        <v>8</v>
      </c>
      <c r="J39" s="50">
        <v>0</v>
      </c>
      <c r="K39" s="50">
        <v>0</v>
      </c>
      <c r="L39" s="50">
        <v>0</v>
      </c>
      <c r="M39" s="50">
        <v>60</v>
      </c>
      <c r="N39" s="50">
        <v>0</v>
      </c>
      <c r="O39" s="15">
        <f t="shared" si="0"/>
        <v>113</v>
      </c>
      <c r="P39" s="15">
        <f t="shared" si="1"/>
        <v>173</v>
      </c>
    </row>
    <row r="40" spans="2:20" ht="23.1" customHeight="1" x14ac:dyDescent="0.25">
      <c r="B40" s="24" t="s">
        <v>67</v>
      </c>
      <c r="C40" s="50">
        <v>40</v>
      </c>
      <c r="D40" s="50">
        <v>33</v>
      </c>
      <c r="E40" s="50">
        <v>7</v>
      </c>
      <c r="F40" s="50">
        <v>33</v>
      </c>
      <c r="G40" s="50">
        <v>0</v>
      </c>
      <c r="H40" s="50">
        <v>1</v>
      </c>
      <c r="I40" s="50">
        <v>0</v>
      </c>
      <c r="J40" s="50">
        <v>3</v>
      </c>
      <c r="K40" s="50">
        <v>0</v>
      </c>
      <c r="L40" s="50">
        <v>0</v>
      </c>
      <c r="M40" s="50">
        <v>65</v>
      </c>
      <c r="N40" s="50">
        <v>0</v>
      </c>
      <c r="O40" s="15">
        <f t="shared" si="0"/>
        <v>117</v>
      </c>
      <c r="P40" s="15">
        <f t="shared" si="1"/>
        <v>182</v>
      </c>
    </row>
    <row r="41" spans="2:20" ht="23.1" customHeight="1" x14ac:dyDescent="0.25">
      <c r="B41" s="23" t="s">
        <v>68</v>
      </c>
      <c r="C41" s="50">
        <v>35</v>
      </c>
      <c r="D41" s="50">
        <v>45</v>
      </c>
      <c r="E41" s="50">
        <v>4</v>
      </c>
      <c r="F41" s="50">
        <v>39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70</v>
      </c>
      <c r="N41" s="50">
        <v>0</v>
      </c>
      <c r="O41" s="15">
        <f t="shared" si="0"/>
        <v>126</v>
      </c>
      <c r="P41" s="15">
        <f t="shared" si="1"/>
        <v>196</v>
      </c>
    </row>
    <row r="42" spans="2:20" ht="23.1" customHeight="1" x14ac:dyDescent="0.25">
      <c r="B42" s="24" t="s">
        <v>69</v>
      </c>
      <c r="C42" s="50">
        <v>45</v>
      </c>
      <c r="D42" s="50">
        <v>40</v>
      </c>
      <c r="E42" s="50">
        <v>3</v>
      </c>
      <c r="F42" s="50">
        <v>55</v>
      </c>
      <c r="G42" s="50">
        <v>0</v>
      </c>
      <c r="H42" s="50">
        <v>0</v>
      </c>
      <c r="I42" s="50">
        <v>11</v>
      </c>
      <c r="J42" s="50">
        <v>0</v>
      </c>
      <c r="K42" s="50">
        <v>1</v>
      </c>
      <c r="L42" s="50">
        <v>3</v>
      </c>
      <c r="M42" s="50">
        <v>35</v>
      </c>
      <c r="N42" s="50">
        <v>0</v>
      </c>
      <c r="O42" s="15">
        <f t="shared" si="0"/>
        <v>158</v>
      </c>
      <c r="P42" s="15">
        <f t="shared" si="1"/>
        <v>193</v>
      </c>
    </row>
    <row r="43" spans="2:20" ht="23.1" customHeight="1" x14ac:dyDescent="0.25">
      <c r="B43" s="23" t="s">
        <v>70</v>
      </c>
      <c r="C43" s="50">
        <v>55</v>
      </c>
      <c r="D43" s="50">
        <v>50</v>
      </c>
      <c r="E43" s="50">
        <v>2</v>
      </c>
      <c r="F43" s="50">
        <v>35</v>
      </c>
      <c r="G43" s="50">
        <v>0</v>
      </c>
      <c r="H43" s="50">
        <v>0</v>
      </c>
      <c r="I43" s="50">
        <v>12</v>
      </c>
      <c r="J43" s="50">
        <v>0</v>
      </c>
      <c r="K43" s="50">
        <v>1</v>
      </c>
      <c r="L43" s="50">
        <v>1</v>
      </c>
      <c r="M43" s="50">
        <v>65</v>
      </c>
      <c r="N43" s="50">
        <v>0</v>
      </c>
      <c r="O43" s="15">
        <f t="shared" si="0"/>
        <v>156</v>
      </c>
      <c r="P43" s="15">
        <f t="shared" si="1"/>
        <v>221</v>
      </c>
    </row>
    <row r="44" spans="2:20" ht="23.1" customHeight="1" x14ac:dyDescent="0.25">
      <c r="B44" s="25" t="s">
        <v>71</v>
      </c>
      <c r="C44" s="50">
        <v>556</v>
      </c>
      <c r="D44" s="50">
        <v>60</v>
      </c>
      <c r="E44" s="50">
        <v>8</v>
      </c>
      <c r="F44" s="50">
        <v>25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4</v>
      </c>
      <c r="M44" s="50">
        <v>100</v>
      </c>
      <c r="N44" s="50">
        <v>0</v>
      </c>
      <c r="O44" s="15">
        <f t="shared" si="0"/>
        <v>657</v>
      </c>
      <c r="P44" s="15">
        <f t="shared" si="1"/>
        <v>757</v>
      </c>
    </row>
    <row r="45" spans="2:20" ht="23.1" customHeight="1" x14ac:dyDescent="0.25">
      <c r="B45" s="23" t="s">
        <v>72</v>
      </c>
      <c r="C45" s="50">
        <v>55</v>
      </c>
      <c r="D45" s="50">
        <v>60</v>
      </c>
      <c r="E45" s="50">
        <v>6</v>
      </c>
      <c r="F45" s="50">
        <v>30</v>
      </c>
      <c r="G45" s="50">
        <v>0</v>
      </c>
      <c r="H45" s="50">
        <v>0</v>
      </c>
      <c r="I45" s="50">
        <v>0</v>
      </c>
      <c r="J45" s="50">
        <v>4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155</v>
      </c>
      <c r="P45" s="15">
        <f t="shared" si="1"/>
        <v>155</v>
      </c>
    </row>
    <row r="46" spans="2:20" ht="23.1" customHeight="1" x14ac:dyDescent="0.25">
      <c r="B46" s="24" t="s">
        <v>73</v>
      </c>
      <c r="C46" s="50">
        <v>65</v>
      </c>
      <c r="D46" s="50">
        <v>45</v>
      </c>
      <c r="E46" s="50">
        <v>10</v>
      </c>
      <c r="F46" s="50">
        <v>5</v>
      </c>
      <c r="G46" s="50">
        <v>1</v>
      </c>
      <c r="H46" s="50">
        <v>0</v>
      </c>
      <c r="I46" s="50">
        <v>4</v>
      </c>
      <c r="J46" s="50">
        <v>1</v>
      </c>
      <c r="K46" s="50">
        <v>2</v>
      </c>
      <c r="L46" s="50">
        <v>0</v>
      </c>
      <c r="M46" s="50">
        <v>80</v>
      </c>
      <c r="N46" s="50">
        <v>0</v>
      </c>
      <c r="O46" s="15">
        <f t="shared" si="0"/>
        <v>133</v>
      </c>
      <c r="P46" s="15">
        <f t="shared" si="1"/>
        <v>213</v>
      </c>
      <c r="R46" s="8"/>
      <c r="T46"/>
    </row>
    <row r="47" spans="2:20" ht="23.1" customHeight="1" x14ac:dyDescent="0.25">
      <c r="B47" s="24" t="s">
        <v>74</v>
      </c>
      <c r="C47" s="50">
        <v>45</v>
      </c>
      <c r="D47" s="50">
        <v>60</v>
      </c>
      <c r="E47" s="50">
        <v>3</v>
      </c>
      <c r="F47" s="50">
        <v>80</v>
      </c>
      <c r="G47" s="50">
        <v>1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71</v>
      </c>
      <c r="N47" s="50">
        <v>0</v>
      </c>
      <c r="O47" s="15">
        <f t="shared" si="0"/>
        <v>194</v>
      </c>
      <c r="P47" s="15">
        <f t="shared" si="1"/>
        <v>265</v>
      </c>
      <c r="R47" s="8"/>
      <c r="T47"/>
    </row>
    <row r="48" spans="2:20" ht="23.1" customHeight="1" x14ac:dyDescent="0.25">
      <c r="B48" s="24" t="s">
        <v>75</v>
      </c>
      <c r="C48" s="50">
        <v>80</v>
      </c>
      <c r="D48" s="50">
        <v>75</v>
      </c>
      <c r="E48" s="50">
        <v>2</v>
      </c>
      <c r="F48" s="50">
        <v>40</v>
      </c>
      <c r="G48" s="50">
        <v>1</v>
      </c>
      <c r="H48" s="50">
        <v>1</v>
      </c>
      <c r="I48" s="50">
        <v>4</v>
      </c>
      <c r="J48" s="50">
        <v>2</v>
      </c>
      <c r="K48" s="50">
        <v>0</v>
      </c>
      <c r="L48" s="50">
        <v>3</v>
      </c>
      <c r="M48" s="50">
        <v>95</v>
      </c>
      <c r="N48" s="50">
        <v>0</v>
      </c>
      <c r="O48" s="15">
        <f t="shared" si="0"/>
        <v>208</v>
      </c>
      <c r="P48" s="15">
        <f t="shared" si="1"/>
        <v>303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62</v>
      </c>
      <c r="E49" s="50">
        <v>5</v>
      </c>
      <c r="F49" s="50">
        <v>45</v>
      </c>
      <c r="G49" s="50">
        <v>0</v>
      </c>
      <c r="H49" s="50">
        <v>0</v>
      </c>
      <c r="I49" s="50">
        <v>6</v>
      </c>
      <c r="J49" s="50">
        <v>0</v>
      </c>
      <c r="K49" s="50">
        <v>0</v>
      </c>
      <c r="L49" s="50">
        <v>3</v>
      </c>
      <c r="M49" s="50">
        <v>70</v>
      </c>
      <c r="N49" s="50">
        <v>0</v>
      </c>
      <c r="O49" s="15">
        <f t="shared" si="0"/>
        <v>181</v>
      </c>
      <c r="P49" s="15">
        <f t="shared" si="1"/>
        <v>251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50</v>
      </c>
      <c r="E50" s="50">
        <v>10</v>
      </c>
      <c r="F50" s="50">
        <v>46</v>
      </c>
      <c r="G50" s="50">
        <v>3</v>
      </c>
      <c r="H50" s="50">
        <v>0</v>
      </c>
      <c r="I50" s="50">
        <v>13</v>
      </c>
      <c r="J50" s="50">
        <v>1</v>
      </c>
      <c r="K50" s="50">
        <v>2</v>
      </c>
      <c r="L50" s="50">
        <v>2</v>
      </c>
      <c r="M50" s="50">
        <v>90</v>
      </c>
      <c r="N50" s="50">
        <v>0</v>
      </c>
      <c r="O50" s="15">
        <f t="shared" si="0"/>
        <v>187</v>
      </c>
      <c r="P50" s="15">
        <f t="shared" si="1"/>
        <v>277</v>
      </c>
      <c r="R50" s="8"/>
      <c r="T50"/>
    </row>
    <row r="51" spans="2:20" ht="23.1" customHeight="1" x14ac:dyDescent="0.25">
      <c r="B51" s="24" t="s">
        <v>78</v>
      </c>
      <c r="C51" s="50">
        <v>45</v>
      </c>
      <c r="D51" s="50">
        <v>60</v>
      </c>
      <c r="E51" s="50">
        <v>4</v>
      </c>
      <c r="F51" s="50">
        <v>60</v>
      </c>
      <c r="G51" s="50">
        <v>1</v>
      </c>
      <c r="H51" s="50">
        <v>0</v>
      </c>
      <c r="I51" s="50">
        <v>16</v>
      </c>
      <c r="J51" s="50">
        <v>0</v>
      </c>
      <c r="K51" s="50">
        <v>1</v>
      </c>
      <c r="L51" s="50">
        <v>0</v>
      </c>
      <c r="M51" s="50">
        <v>67</v>
      </c>
      <c r="N51" s="50">
        <v>0</v>
      </c>
      <c r="O51" s="15">
        <f t="shared" si="0"/>
        <v>187</v>
      </c>
      <c r="P51" s="15">
        <f t="shared" si="1"/>
        <v>254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75</v>
      </c>
      <c r="E52" s="50">
        <v>8</v>
      </c>
      <c r="F52" s="50">
        <v>90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80</v>
      </c>
      <c r="N52" s="50">
        <v>0</v>
      </c>
      <c r="O52" s="15">
        <f t="shared" si="0"/>
        <v>251</v>
      </c>
      <c r="P52" s="15">
        <f t="shared" si="1"/>
        <v>331</v>
      </c>
      <c r="R52" s="8"/>
      <c r="T52"/>
    </row>
    <row r="53" spans="2:20" ht="23.1" customHeight="1" x14ac:dyDescent="0.25">
      <c r="B53" s="23" t="s">
        <v>80</v>
      </c>
      <c r="C53" s="50">
        <v>60</v>
      </c>
      <c r="D53" s="50">
        <v>45</v>
      </c>
      <c r="E53" s="50">
        <v>7</v>
      </c>
      <c r="F53" s="50">
        <v>85</v>
      </c>
      <c r="G53" s="50">
        <v>0</v>
      </c>
      <c r="H53" s="50">
        <v>0</v>
      </c>
      <c r="I53" s="50">
        <v>7</v>
      </c>
      <c r="J53" s="50">
        <v>0</v>
      </c>
      <c r="K53" s="50">
        <v>0</v>
      </c>
      <c r="L53" s="50">
        <v>0</v>
      </c>
      <c r="M53" s="50">
        <v>65</v>
      </c>
      <c r="N53" s="50">
        <v>0</v>
      </c>
      <c r="O53" s="15">
        <f t="shared" si="0"/>
        <v>204</v>
      </c>
      <c r="P53" s="15">
        <f t="shared" si="1"/>
        <v>269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75</v>
      </c>
      <c r="E54" s="50">
        <v>6</v>
      </c>
      <c r="F54" s="50">
        <v>50</v>
      </c>
      <c r="G54" s="50">
        <v>2</v>
      </c>
      <c r="H54" s="50">
        <v>1</v>
      </c>
      <c r="I54" s="50">
        <v>4</v>
      </c>
      <c r="J54" s="50">
        <v>0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198</v>
      </c>
      <c r="P54" s="15">
        <f t="shared" si="1"/>
        <v>248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75</v>
      </c>
      <c r="E55" s="50">
        <v>6</v>
      </c>
      <c r="F55" s="50">
        <v>45</v>
      </c>
      <c r="G55" s="50">
        <v>2</v>
      </c>
      <c r="H55" s="50">
        <v>1</v>
      </c>
      <c r="I55" s="50">
        <v>11</v>
      </c>
      <c r="J55" s="50">
        <v>0</v>
      </c>
      <c r="K55" s="50">
        <v>0</v>
      </c>
      <c r="L55" s="50">
        <v>1</v>
      </c>
      <c r="M55" s="50">
        <v>80</v>
      </c>
      <c r="N55" s="50">
        <v>0</v>
      </c>
      <c r="O55" s="15">
        <f t="shared" si="0"/>
        <v>211</v>
      </c>
      <c r="P55" s="15">
        <f t="shared" si="1"/>
        <v>291</v>
      </c>
      <c r="R55" s="8"/>
      <c r="T55"/>
    </row>
    <row r="56" spans="2:20" ht="23.1" customHeight="1" x14ac:dyDescent="0.25">
      <c r="B56" s="23" t="s">
        <v>83</v>
      </c>
      <c r="C56" s="50">
        <v>65</v>
      </c>
      <c r="D56" s="50">
        <v>70</v>
      </c>
      <c r="E56" s="50">
        <v>5</v>
      </c>
      <c r="F56" s="50">
        <v>60</v>
      </c>
      <c r="G56" s="50">
        <v>2</v>
      </c>
      <c r="H56" s="50">
        <v>1</v>
      </c>
      <c r="I56" s="50">
        <v>7</v>
      </c>
      <c r="J56" s="50">
        <v>0</v>
      </c>
      <c r="K56" s="50">
        <v>0</v>
      </c>
      <c r="L56" s="50">
        <v>0</v>
      </c>
      <c r="M56" s="50">
        <v>90</v>
      </c>
      <c r="N56" s="50">
        <v>0</v>
      </c>
      <c r="O56" s="15">
        <f t="shared" si="0"/>
        <v>210</v>
      </c>
      <c r="P56" s="15">
        <f t="shared" si="1"/>
        <v>300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90</v>
      </c>
      <c r="E57" s="50">
        <v>8</v>
      </c>
      <c r="F57" s="50">
        <v>80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75</v>
      </c>
      <c r="N57" s="50">
        <v>0</v>
      </c>
      <c r="O57" s="15">
        <f t="shared" si="0"/>
        <v>253</v>
      </c>
      <c r="P57" s="15">
        <f t="shared" si="1"/>
        <v>328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2598</v>
      </c>
      <c r="D58" s="16">
        <f t="shared" si="21"/>
        <v>2015</v>
      </c>
      <c r="E58" s="16">
        <f t="shared" si="21"/>
        <v>288</v>
      </c>
      <c r="F58" s="16">
        <f t="shared" si="21"/>
        <v>2249</v>
      </c>
      <c r="G58" s="16">
        <f t="shared" si="21"/>
        <v>38</v>
      </c>
      <c r="H58" s="16">
        <f t="shared" si="21"/>
        <v>14</v>
      </c>
      <c r="I58" s="16">
        <f t="shared" si="21"/>
        <v>409</v>
      </c>
      <c r="J58" s="16">
        <f t="shared" si="21"/>
        <v>94</v>
      </c>
      <c r="K58" s="16">
        <f t="shared" si="21"/>
        <v>41</v>
      </c>
      <c r="L58" s="16">
        <f t="shared" si="21"/>
        <v>40</v>
      </c>
      <c r="M58" s="16">
        <f t="shared" si="21"/>
        <v>3227</v>
      </c>
      <c r="N58" s="16">
        <f t="shared" si="21"/>
        <v>1</v>
      </c>
      <c r="O58" s="16">
        <f t="shared" si="21"/>
        <v>7787</v>
      </c>
      <c r="P58" s="16">
        <f t="shared" si="21"/>
        <v>11014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0.23588160522970764</v>
      </c>
      <c r="D59" s="43">
        <f t="shared" si="22"/>
        <v>0.18294897403304886</v>
      </c>
      <c r="E59" s="43">
        <f t="shared" si="22"/>
        <v>2.6148538224078446E-2</v>
      </c>
      <c r="F59" s="43">
        <f t="shared" si="22"/>
        <v>0.20419466134011258</v>
      </c>
      <c r="G59" s="43">
        <f t="shared" si="22"/>
        <v>3.4501543490103505E-3</v>
      </c>
      <c r="H59" s="43">
        <f t="shared" si="22"/>
        <v>1.2711094970038134E-3</v>
      </c>
      <c r="I59" s="43">
        <f t="shared" si="22"/>
        <v>3.7134556019611402E-2</v>
      </c>
      <c r="J59" s="43">
        <f t="shared" si="22"/>
        <v>8.5345923370256042E-3</v>
      </c>
      <c r="K59" s="43">
        <f t="shared" si="22"/>
        <v>3.7225349555111676E-3</v>
      </c>
      <c r="L59" s="43">
        <f t="shared" si="22"/>
        <v>3.6317414200108954E-3</v>
      </c>
      <c r="M59" s="43">
        <f t="shared" si="22"/>
        <v>0.29299073905937895</v>
      </c>
      <c r="N59" s="43">
        <f t="shared" si="22"/>
        <v>9.0793535500272376E-5</v>
      </c>
      <c r="R59" s="8"/>
      <c r="T59"/>
    </row>
    <row r="60" spans="2:20" ht="23.1" customHeight="1" x14ac:dyDescent="0.25">
      <c r="B60" s="42" t="s">
        <v>94</v>
      </c>
      <c r="C60" s="44">
        <f>C58/$O$58</f>
        <v>0.3336329780403236</v>
      </c>
      <c r="D60" s="44">
        <f t="shared" ref="D60:N60" si="23">D58/$O$58</f>
        <v>0.2587646076794658</v>
      </c>
      <c r="E60" s="44">
        <f t="shared" si="23"/>
        <v>3.6984718119943492E-2</v>
      </c>
      <c r="F60" s="44">
        <f t="shared" si="23"/>
        <v>0.28881469115191988</v>
      </c>
      <c r="G60" s="44">
        <f t="shared" si="23"/>
        <v>4.8799280852703224E-3</v>
      </c>
      <c r="H60" s="44">
        <f t="shared" si="23"/>
        <v>1.7978682419416978E-3</v>
      </c>
      <c r="I60" s="44">
        <f t="shared" si="23"/>
        <v>5.2523436496725313E-2</v>
      </c>
      <c r="J60" s="44">
        <f t="shared" si="23"/>
        <v>1.2071401053037114E-2</v>
      </c>
      <c r="K60" s="44">
        <f t="shared" si="23"/>
        <v>5.2651855656864E-3</v>
      </c>
      <c r="L60" s="44">
        <f t="shared" si="23"/>
        <v>5.1367664055477075E-3</v>
      </c>
      <c r="M60" s="44"/>
      <c r="N60" s="44">
        <f t="shared" si="23"/>
        <v>1.284191601386927E-4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6" zoomScale="60" workbookViewId="0">
      <selection activeCell="J58" sqref="J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Kampala-Wakiso'!D5</f>
        <v>25.07.19</v>
      </c>
      <c r="E5" s="3"/>
      <c r="F5" s="41" t="s">
        <v>1</v>
      </c>
      <c r="G5" s="66" t="str">
        <f>'25.07 Kampala-Wakiso'!G5:H5</f>
        <v>AFTER STABEX NANSANA</v>
      </c>
      <c r="H5" s="67"/>
      <c r="I5" s="14"/>
      <c r="J5" s="2" t="s">
        <v>5</v>
      </c>
      <c r="K5" s="66" t="str">
        <f>'25.07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Wakiso-Kampala'!D6:E6</f>
        <v>Wakiso</v>
      </c>
      <c r="E6" s="67"/>
      <c r="F6" s="2" t="s">
        <v>2</v>
      </c>
      <c r="G6" s="66" t="str">
        <f>'22.07 Wakiso-Kampala'!G6:H6</f>
        <v>Kampala</v>
      </c>
      <c r="H6" s="67"/>
      <c r="J6" s="2" t="s">
        <v>21</v>
      </c>
      <c r="K6" s="66" t="str">
        <f>'25.07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65</v>
      </c>
      <c r="D10" s="50">
        <v>38</v>
      </c>
      <c r="E10" s="50">
        <v>15</v>
      </c>
      <c r="F10" s="50">
        <v>60</v>
      </c>
      <c r="G10" s="50">
        <v>0</v>
      </c>
      <c r="H10" s="50">
        <v>0</v>
      </c>
      <c r="I10" s="50">
        <v>10</v>
      </c>
      <c r="J10" s="50">
        <v>1</v>
      </c>
      <c r="K10" s="50">
        <v>0</v>
      </c>
      <c r="L10" s="50">
        <v>0</v>
      </c>
      <c r="M10" s="50">
        <v>175</v>
      </c>
      <c r="N10" s="50">
        <v>0</v>
      </c>
      <c r="O10" s="15">
        <f t="shared" ref="O10:O57" si="0">SUM(C10:L10,N10)</f>
        <v>189</v>
      </c>
      <c r="P10" s="15">
        <f t="shared" ref="P10:P57" si="1">SUM(C10:N10)</f>
        <v>364</v>
      </c>
      <c r="R10" s="1" t="s">
        <v>6</v>
      </c>
      <c r="S10" s="17">
        <f t="shared" ref="S10:AF10" si="2">SUM(C10:C13)</f>
        <v>330</v>
      </c>
      <c r="T10" s="17">
        <f t="shared" si="2"/>
        <v>126</v>
      </c>
      <c r="U10" s="17">
        <f t="shared" si="2"/>
        <v>48</v>
      </c>
      <c r="V10" s="17">
        <f t="shared" si="2"/>
        <v>383</v>
      </c>
      <c r="W10" s="17">
        <f t="shared" si="2"/>
        <v>3</v>
      </c>
      <c r="X10" s="17">
        <f t="shared" si="2"/>
        <v>0</v>
      </c>
      <c r="Y10" s="17">
        <f t="shared" si="2"/>
        <v>36</v>
      </c>
      <c r="Z10" s="17">
        <f t="shared" si="2"/>
        <v>2</v>
      </c>
      <c r="AA10" s="17">
        <f t="shared" si="2"/>
        <v>1</v>
      </c>
      <c r="AB10" s="17">
        <f t="shared" si="2"/>
        <v>2</v>
      </c>
      <c r="AC10" s="17">
        <f t="shared" si="2"/>
        <v>668</v>
      </c>
      <c r="AD10" s="17">
        <f t="shared" si="2"/>
        <v>0</v>
      </c>
      <c r="AE10" s="31">
        <f t="shared" si="2"/>
        <v>931</v>
      </c>
      <c r="AF10" s="31">
        <f t="shared" si="2"/>
        <v>1599</v>
      </c>
    </row>
    <row r="11" spans="2:32" s="6" customFormat="1" ht="23.1" customHeight="1" x14ac:dyDescent="0.25">
      <c r="B11" s="23" t="s">
        <v>38</v>
      </c>
      <c r="C11" s="50">
        <v>85</v>
      </c>
      <c r="D11" s="50">
        <v>23</v>
      </c>
      <c r="E11" s="50">
        <v>7</v>
      </c>
      <c r="F11" s="50">
        <v>100</v>
      </c>
      <c r="G11" s="50">
        <v>2</v>
      </c>
      <c r="H11" s="50">
        <v>0</v>
      </c>
      <c r="I11" s="50">
        <v>8</v>
      </c>
      <c r="J11" s="50">
        <v>1</v>
      </c>
      <c r="K11" s="50">
        <v>0</v>
      </c>
      <c r="L11" s="50">
        <v>0</v>
      </c>
      <c r="M11" s="50">
        <v>153</v>
      </c>
      <c r="N11" s="50">
        <v>0</v>
      </c>
      <c r="O11" s="15">
        <f t="shared" si="0"/>
        <v>226</v>
      </c>
      <c r="P11" s="15">
        <f t="shared" si="1"/>
        <v>379</v>
      </c>
      <c r="R11" s="1" t="s">
        <v>7</v>
      </c>
      <c r="S11" s="17">
        <f t="shared" ref="S11:AF11" si="3">SUM(C14:C17)</f>
        <v>328</v>
      </c>
      <c r="T11" s="17">
        <f t="shared" si="3"/>
        <v>121</v>
      </c>
      <c r="U11" s="17">
        <f t="shared" si="3"/>
        <v>38</v>
      </c>
      <c r="V11" s="17">
        <f t="shared" si="3"/>
        <v>344</v>
      </c>
      <c r="W11" s="17">
        <f t="shared" si="3"/>
        <v>3</v>
      </c>
      <c r="X11" s="17">
        <f t="shared" si="3"/>
        <v>2</v>
      </c>
      <c r="Y11" s="17">
        <f t="shared" si="3"/>
        <v>34</v>
      </c>
      <c r="Z11" s="17">
        <f t="shared" si="3"/>
        <v>2</v>
      </c>
      <c r="AA11" s="17">
        <f t="shared" si="3"/>
        <v>2</v>
      </c>
      <c r="AB11" s="17">
        <f t="shared" si="3"/>
        <v>1</v>
      </c>
      <c r="AC11" s="17">
        <f t="shared" si="3"/>
        <v>773</v>
      </c>
      <c r="AD11" s="17">
        <f t="shared" si="3"/>
        <v>0</v>
      </c>
      <c r="AE11" s="31">
        <f t="shared" si="3"/>
        <v>875</v>
      </c>
      <c r="AF11" s="31">
        <f t="shared" si="3"/>
        <v>1648</v>
      </c>
    </row>
    <row r="12" spans="2:32" ht="23.1" customHeight="1" x14ac:dyDescent="0.25">
      <c r="B12" s="23" t="s">
        <v>39</v>
      </c>
      <c r="C12" s="50">
        <v>95</v>
      </c>
      <c r="D12" s="50">
        <v>37</v>
      </c>
      <c r="E12" s="50">
        <v>14</v>
      </c>
      <c r="F12" s="50">
        <v>125</v>
      </c>
      <c r="G12" s="50">
        <v>1</v>
      </c>
      <c r="H12" s="50">
        <v>0</v>
      </c>
      <c r="I12" s="50">
        <v>9</v>
      </c>
      <c r="J12" s="50">
        <v>0</v>
      </c>
      <c r="K12" s="50">
        <v>1</v>
      </c>
      <c r="L12" s="50">
        <v>0</v>
      </c>
      <c r="M12" s="50">
        <v>160</v>
      </c>
      <c r="N12" s="50">
        <v>0</v>
      </c>
      <c r="O12" s="15">
        <f t="shared" si="0"/>
        <v>282</v>
      </c>
      <c r="P12" s="15">
        <f t="shared" si="1"/>
        <v>442</v>
      </c>
      <c r="R12" s="1" t="s">
        <v>8</v>
      </c>
      <c r="S12" s="17">
        <f t="shared" ref="S12:AF12" si="4">SUM(C18:C21)</f>
        <v>280</v>
      </c>
      <c r="T12" s="17">
        <f t="shared" si="4"/>
        <v>114</v>
      </c>
      <c r="U12" s="17">
        <f t="shared" si="4"/>
        <v>45</v>
      </c>
      <c r="V12" s="17">
        <f t="shared" si="4"/>
        <v>316</v>
      </c>
      <c r="W12" s="17">
        <f t="shared" si="4"/>
        <v>8</v>
      </c>
      <c r="X12" s="17">
        <f t="shared" si="4"/>
        <v>4</v>
      </c>
      <c r="Y12" s="17">
        <f t="shared" si="4"/>
        <v>34</v>
      </c>
      <c r="Z12" s="17">
        <f t="shared" si="4"/>
        <v>3</v>
      </c>
      <c r="AA12" s="17">
        <f t="shared" si="4"/>
        <v>0</v>
      </c>
      <c r="AB12" s="17">
        <f t="shared" si="4"/>
        <v>5</v>
      </c>
      <c r="AC12" s="17">
        <f t="shared" si="4"/>
        <v>603</v>
      </c>
      <c r="AD12" s="17">
        <f t="shared" si="4"/>
        <v>0</v>
      </c>
      <c r="AE12" s="31">
        <f t="shared" si="4"/>
        <v>809</v>
      </c>
      <c r="AF12" s="31">
        <f t="shared" si="4"/>
        <v>1412</v>
      </c>
    </row>
    <row r="13" spans="2:32" ht="23.1" customHeight="1" x14ac:dyDescent="0.25">
      <c r="B13" s="23" t="s">
        <v>40</v>
      </c>
      <c r="C13" s="50">
        <v>85</v>
      </c>
      <c r="D13" s="50">
        <v>28</v>
      </c>
      <c r="E13" s="50">
        <v>12</v>
      </c>
      <c r="F13" s="50">
        <v>98</v>
      </c>
      <c r="G13" s="50">
        <v>0</v>
      </c>
      <c r="H13" s="50">
        <v>0</v>
      </c>
      <c r="I13" s="50">
        <v>9</v>
      </c>
      <c r="J13" s="50">
        <v>0</v>
      </c>
      <c r="K13" s="50">
        <v>0</v>
      </c>
      <c r="L13" s="50">
        <v>2</v>
      </c>
      <c r="M13" s="50">
        <v>180</v>
      </c>
      <c r="N13" s="50">
        <v>0</v>
      </c>
      <c r="O13" s="15">
        <f t="shared" si="0"/>
        <v>234</v>
      </c>
      <c r="P13" s="15">
        <f t="shared" si="1"/>
        <v>414</v>
      </c>
      <c r="R13" s="1" t="s">
        <v>9</v>
      </c>
      <c r="S13" s="17">
        <f t="shared" ref="S13:AF13" si="5">SUM(C22:C25)</f>
        <v>188</v>
      </c>
      <c r="T13" s="17">
        <f t="shared" si="5"/>
        <v>82</v>
      </c>
      <c r="U13" s="17">
        <f t="shared" si="5"/>
        <v>32</v>
      </c>
      <c r="V13" s="17">
        <f t="shared" si="5"/>
        <v>178</v>
      </c>
      <c r="W13" s="17">
        <f t="shared" si="5"/>
        <v>7</v>
      </c>
      <c r="X13" s="17">
        <f t="shared" si="5"/>
        <v>1</v>
      </c>
      <c r="Y13" s="17">
        <f t="shared" si="5"/>
        <v>34</v>
      </c>
      <c r="Z13" s="17">
        <f t="shared" si="5"/>
        <v>5</v>
      </c>
      <c r="AA13" s="17">
        <f t="shared" si="5"/>
        <v>1</v>
      </c>
      <c r="AB13" s="17">
        <f t="shared" si="5"/>
        <v>1</v>
      </c>
      <c r="AC13" s="17">
        <f t="shared" si="5"/>
        <v>395</v>
      </c>
      <c r="AD13" s="17">
        <f t="shared" si="5"/>
        <v>0</v>
      </c>
      <c r="AE13" s="31">
        <f t="shared" si="5"/>
        <v>529</v>
      </c>
      <c r="AF13" s="31">
        <f t="shared" si="5"/>
        <v>924</v>
      </c>
    </row>
    <row r="14" spans="2:32" ht="23.1" customHeight="1" x14ac:dyDescent="0.25">
      <c r="B14" s="23" t="s">
        <v>41</v>
      </c>
      <c r="C14" s="50">
        <v>70</v>
      </c>
      <c r="D14" s="50">
        <v>29</v>
      </c>
      <c r="E14" s="50">
        <v>11</v>
      </c>
      <c r="F14" s="50">
        <v>70</v>
      </c>
      <c r="G14" s="50">
        <v>1</v>
      </c>
      <c r="H14" s="50">
        <v>0</v>
      </c>
      <c r="I14" s="50">
        <v>7</v>
      </c>
      <c r="J14" s="50">
        <v>2</v>
      </c>
      <c r="K14" s="50">
        <v>0</v>
      </c>
      <c r="L14" s="50">
        <v>0</v>
      </c>
      <c r="M14" s="50">
        <v>188</v>
      </c>
      <c r="N14" s="50">
        <v>0</v>
      </c>
      <c r="O14" s="15">
        <f t="shared" si="0"/>
        <v>190</v>
      </c>
      <c r="P14" s="15">
        <f t="shared" si="1"/>
        <v>378</v>
      </c>
      <c r="R14" s="1" t="s">
        <v>10</v>
      </c>
      <c r="S14" s="17">
        <f t="shared" ref="S14:AF14" si="6">SUM(C26:C29)</f>
        <v>181</v>
      </c>
      <c r="T14" s="17">
        <f t="shared" si="6"/>
        <v>55</v>
      </c>
      <c r="U14" s="17">
        <f t="shared" si="6"/>
        <v>28</v>
      </c>
      <c r="V14" s="17">
        <f t="shared" si="6"/>
        <v>248</v>
      </c>
      <c r="W14" s="17">
        <f t="shared" si="6"/>
        <v>3</v>
      </c>
      <c r="X14" s="17">
        <f t="shared" si="6"/>
        <v>1</v>
      </c>
      <c r="Y14" s="17">
        <f t="shared" si="6"/>
        <v>38</v>
      </c>
      <c r="Z14" s="17">
        <f t="shared" si="6"/>
        <v>17</v>
      </c>
      <c r="AA14" s="17">
        <f t="shared" si="6"/>
        <v>1</v>
      </c>
      <c r="AB14" s="17">
        <f t="shared" si="6"/>
        <v>2</v>
      </c>
      <c r="AC14" s="17">
        <f t="shared" si="6"/>
        <v>492</v>
      </c>
      <c r="AD14" s="17">
        <f t="shared" si="6"/>
        <v>0</v>
      </c>
      <c r="AE14" s="31">
        <f t="shared" si="6"/>
        <v>574</v>
      </c>
      <c r="AF14" s="31">
        <f t="shared" si="6"/>
        <v>1066</v>
      </c>
    </row>
    <row r="15" spans="2:32" ht="23.1" customHeight="1" x14ac:dyDescent="0.25">
      <c r="B15" s="23" t="s">
        <v>42</v>
      </c>
      <c r="C15" s="50">
        <v>83</v>
      </c>
      <c r="D15" s="50">
        <v>28</v>
      </c>
      <c r="E15" s="50">
        <v>11</v>
      </c>
      <c r="F15" s="50">
        <v>92</v>
      </c>
      <c r="G15" s="50">
        <v>1</v>
      </c>
      <c r="H15" s="50">
        <v>0</v>
      </c>
      <c r="I15" s="50">
        <v>12</v>
      </c>
      <c r="J15" s="50">
        <v>0</v>
      </c>
      <c r="K15" s="50">
        <v>0</v>
      </c>
      <c r="L15" s="50">
        <v>1</v>
      </c>
      <c r="M15" s="50">
        <v>200</v>
      </c>
      <c r="N15" s="50">
        <v>0</v>
      </c>
      <c r="O15" s="15">
        <f t="shared" si="0"/>
        <v>228</v>
      </c>
      <c r="P15" s="15">
        <f t="shared" si="1"/>
        <v>428</v>
      </c>
      <c r="R15" s="1" t="s">
        <v>11</v>
      </c>
      <c r="S15" s="17">
        <f t="shared" ref="S15:AF15" si="7">SUM(C30:C33)</f>
        <v>205</v>
      </c>
      <c r="T15" s="17">
        <f t="shared" si="7"/>
        <v>49</v>
      </c>
      <c r="U15" s="17">
        <f t="shared" si="7"/>
        <v>40</v>
      </c>
      <c r="V15" s="17">
        <f t="shared" si="7"/>
        <v>204</v>
      </c>
      <c r="W15" s="17">
        <f t="shared" si="7"/>
        <v>1</v>
      </c>
      <c r="X15" s="17">
        <f t="shared" si="7"/>
        <v>0</v>
      </c>
      <c r="Y15" s="17">
        <f t="shared" si="7"/>
        <v>32</v>
      </c>
      <c r="Z15" s="17">
        <f t="shared" si="7"/>
        <v>7</v>
      </c>
      <c r="AA15" s="17">
        <f t="shared" si="7"/>
        <v>1</v>
      </c>
      <c r="AB15" s="17">
        <f t="shared" si="7"/>
        <v>4</v>
      </c>
      <c r="AC15" s="17">
        <f t="shared" si="7"/>
        <v>410</v>
      </c>
      <c r="AD15" s="17">
        <f t="shared" si="7"/>
        <v>0</v>
      </c>
      <c r="AE15" s="31">
        <f t="shared" si="7"/>
        <v>543</v>
      </c>
      <c r="AF15" s="31">
        <f t="shared" si="7"/>
        <v>953</v>
      </c>
    </row>
    <row r="16" spans="2:32" ht="23.1" customHeight="1" x14ac:dyDescent="0.25">
      <c r="B16" s="23" t="s">
        <v>43</v>
      </c>
      <c r="C16" s="50">
        <v>82</v>
      </c>
      <c r="D16" s="50">
        <v>25</v>
      </c>
      <c r="E16" s="50">
        <v>6</v>
      </c>
      <c r="F16" s="50">
        <v>95</v>
      </c>
      <c r="G16" s="50">
        <v>1</v>
      </c>
      <c r="H16" s="50">
        <v>0</v>
      </c>
      <c r="I16" s="50">
        <v>9</v>
      </c>
      <c r="J16" s="50">
        <v>0</v>
      </c>
      <c r="K16" s="50">
        <v>0</v>
      </c>
      <c r="L16" s="50">
        <v>0</v>
      </c>
      <c r="M16" s="50">
        <v>205</v>
      </c>
      <c r="N16" s="50">
        <v>0</v>
      </c>
      <c r="O16" s="15">
        <f t="shared" si="0"/>
        <v>218</v>
      </c>
      <c r="P16" s="15">
        <f t="shared" si="1"/>
        <v>423</v>
      </c>
      <c r="R16" s="1" t="s">
        <v>12</v>
      </c>
      <c r="S16" s="17">
        <f t="shared" ref="S16:AF16" si="8">SUM(C34:C37)</f>
        <v>141</v>
      </c>
      <c r="T16" s="17">
        <f t="shared" si="8"/>
        <v>74</v>
      </c>
      <c r="U16" s="17">
        <f t="shared" si="8"/>
        <v>25</v>
      </c>
      <c r="V16" s="17">
        <f t="shared" si="8"/>
        <v>275</v>
      </c>
      <c r="W16" s="17">
        <f t="shared" si="8"/>
        <v>1</v>
      </c>
      <c r="X16" s="17">
        <f t="shared" si="8"/>
        <v>2</v>
      </c>
      <c r="Y16" s="17">
        <f t="shared" si="8"/>
        <v>41</v>
      </c>
      <c r="Z16" s="17">
        <f t="shared" si="8"/>
        <v>2</v>
      </c>
      <c r="AA16" s="17">
        <f t="shared" si="8"/>
        <v>2</v>
      </c>
      <c r="AB16" s="17">
        <f t="shared" si="8"/>
        <v>2</v>
      </c>
      <c r="AC16" s="17">
        <f t="shared" si="8"/>
        <v>375</v>
      </c>
      <c r="AD16" s="17">
        <f t="shared" si="8"/>
        <v>0</v>
      </c>
      <c r="AE16" s="31">
        <f t="shared" si="8"/>
        <v>565</v>
      </c>
      <c r="AF16" s="31">
        <f t="shared" si="8"/>
        <v>940</v>
      </c>
    </row>
    <row r="17" spans="2:32" ht="23.1" customHeight="1" x14ac:dyDescent="0.25">
      <c r="B17" s="23" t="s">
        <v>44</v>
      </c>
      <c r="C17" s="50">
        <v>93</v>
      </c>
      <c r="D17" s="50">
        <v>39</v>
      </c>
      <c r="E17" s="50">
        <v>10</v>
      </c>
      <c r="F17" s="50">
        <v>87</v>
      </c>
      <c r="G17" s="50">
        <v>0</v>
      </c>
      <c r="H17" s="50">
        <v>2</v>
      </c>
      <c r="I17" s="50">
        <v>6</v>
      </c>
      <c r="J17" s="50">
        <v>0</v>
      </c>
      <c r="K17" s="50">
        <v>2</v>
      </c>
      <c r="L17" s="50">
        <v>0</v>
      </c>
      <c r="M17" s="50">
        <v>180</v>
      </c>
      <c r="N17" s="50">
        <v>0</v>
      </c>
      <c r="O17" s="15">
        <f t="shared" si="0"/>
        <v>239</v>
      </c>
      <c r="P17" s="15">
        <f t="shared" si="1"/>
        <v>419</v>
      </c>
      <c r="R17" s="1" t="s">
        <v>13</v>
      </c>
      <c r="S17" s="17">
        <f t="shared" ref="S17:AF17" si="9">SUM(C38:C41)</f>
        <v>106</v>
      </c>
      <c r="T17" s="17">
        <f t="shared" si="9"/>
        <v>52</v>
      </c>
      <c r="U17" s="17">
        <f t="shared" si="9"/>
        <v>18</v>
      </c>
      <c r="V17" s="17">
        <f t="shared" si="9"/>
        <v>184</v>
      </c>
      <c r="W17" s="17">
        <f t="shared" si="9"/>
        <v>1</v>
      </c>
      <c r="X17" s="17">
        <f t="shared" si="9"/>
        <v>1</v>
      </c>
      <c r="Y17" s="17">
        <f t="shared" si="9"/>
        <v>31</v>
      </c>
      <c r="Z17" s="17">
        <f t="shared" si="9"/>
        <v>8</v>
      </c>
      <c r="AA17" s="17">
        <f t="shared" si="9"/>
        <v>0</v>
      </c>
      <c r="AB17" s="17">
        <f t="shared" si="9"/>
        <v>5</v>
      </c>
      <c r="AC17" s="17">
        <f t="shared" si="9"/>
        <v>350</v>
      </c>
      <c r="AD17" s="17">
        <f t="shared" si="9"/>
        <v>0</v>
      </c>
      <c r="AE17" s="31">
        <f t="shared" si="9"/>
        <v>406</v>
      </c>
      <c r="AF17" s="31">
        <f t="shared" si="9"/>
        <v>756</v>
      </c>
    </row>
    <row r="18" spans="2:32" ht="23.1" customHeight="1" x14ac:dyDescent="0.25">
      <c r="B18" s="23" t="s">
        <v>45</v>
      </c>
      <c r="C18" s="50">
        <v>75</v>
      </c>
      <c r="D18" s="50">
        <v>25</v>
      </c>
      <c r="E18" s="50">
        <v>16</v>
      </c>
      <c r="F18" s="50">
        <v>80</v>
      </c>
      <c r="G18" s="50">
        <v>0</v>
      </c>
      <c r="H18" s="50">
        <v>1</v>
      </c>
      <c r="I18" s="50">
        <v>8</v>
      </c>
      <c r="J18" s="50">
        <v>1</v>
      </c>
      <c r="K18" s="50">
        <v>0</v>
      </c>
      <c r="L18" s="50">
        <v>2</v>
      </c>
      <c r="M18" s="50">
        <v>156</v>
      </c>
      <c r="N18" s="50">
        <v>0</v>
      </c>
      <c r="O18" s="15">
        <f t="shared" si="0"/>
        <v>208</v>
      </c>
      <c r="P18" s="15">
        <f t="shared" si="1"/>
        <v>364</v>
      </c>
      <c r="R18" s="1" t="s">
        <v>14</v>
      </c>
      <c r="S18" s="17">
        <f t="shared" ref="S18:AF18" si="10">SUM(C42:C45)</f>
        <v>174</v>
      </c>
      <c r="T18" s="17">
        <f t="shared" si="10"/>
        <v>77</v>
      </c>
      <c r="U18" s="17">
        <f t="shared" si="10"/>
        <v>43</v>
      </c>
      <c r="V18" s="17">
        <f t="shared" si="10"/>
        <v>248</v>
      </c>
      <c r="W18" s="17">
        <f t="shared" si="10"/>
        <v>4</v>
      </c>
      <c r="X18" s="17">
        <f t="shared" si="10"/>
        <v>0</v>
      </c>
      <c r="Y18" s="17">
        <f t="shared" si="10"/>
        <v>30</v>
      </c>
      <c r="Z18" s="17">
        <f t="shared" si="10"/>
        <v>5</v>
      </c>
      <c r="AA18" s="17">
        <f t="shared" si="10"/>
        <v>2</v>
      </c>
      <c r="AB18" s="17">
        <f t="shared" si="10"/>
        <v>5</v>
      </c>
      <c r="AC18" s="17">
        <f t="shared" si="10"/>
        <v>267</v>
      </c>
      <c r="AD18" s="17">
        <f t="shared" si="10"/>
        <v>0</v>
      </c>
      <c r="AE18" s="31">
        <f t="shared" si="10"/>
        <v>588</v>
      </c>
      <c r="AF18" s="31">
        <f t="shared" si="10"/>
        <v>855</v>
      </c>
    </row>
    <row r="19" spans="2:32" ht="23.1" customHeight="1" x14ac:dyDescent="0.25">
      <c r="B19" s="23" t="s">
        <v>46</v>
      </c>
      <c r="C19" s="50">
        <v>85</v>
      </c>
      <c r="D19" s="50">
        <v>31</v>
      </c>
      <c r="E19" s="50">
        <v>11</v>
      </c>
      <c r="F19" s="50">
        <v>111</v>
      </c>
      <c r="G19" s="50">
        <v>4</v>
      </c>
      <c r="H19" s="50">
        <v>3</v>
      </c>
      <c r="I19" s="50">
        <v>15</v>
      </c>
      <c r="J19" s="50">
        <v>2</v>
      </c>
      <c r="K19" s="50">
        <v>0</v>
      </c>
      <c r="L19" s="50">
        <v>1</v>
      </c>
      <c r="M19" s="50">
        <v>135</v>
      </c>
      <c r="N19" s="50">
        <v>0</v>
      </c>
      <c r="O19" s="15">
        <f t="shared" si="0"/>
        <v>263</v>
      </c>
      <c r="P19" s="15">
        <f t="shared" si="1"/>
        <v>398</v>
      </c>
      <c r="R19" s="1" t="s">
        <v>15</v>
      </c>
      <c r="S19" s="17">
        <f t="shared" ref="S19:AF19" si="11">SUM(C46:C49)</f>
        <v>174</v>
      </c>
      <c r="T19" s="17">
        <f t="shared" si="11"/>
        <v>84</v>
      </c>
      <c r="U19" s="17">
        <f t="shared" si="11"/>
        <v>25</v>
      </c>
      <c r="V19" s="17">
        <f t="shared" si="11"/>
        <v>258</v>
      </c>
      <c r="W19" s="17">
        <f t="shared" si="11"/>
        <v>3</v>
      </c>
      <c r="X19" s="17">
        <f t="shared" si="11"/>
        <v>1</v>
      </c>
      <c r="Y19" s="17">
        <f t="shared" si="11"/>
        <v>30</v>
      </c>
      <c r="Z19" s="17">
        <f t="shared" si="11"/>
        <v>3</v>
      </c>
      <c r="AA19" s="17">
        <f t="shared" si="11"/>
        <v>2</v>
      </c>
      <c r="AB19" s="17">
        <f t="shared" si="11"/>
        <v>2</v>
      </c>
      <c r="AC19" s="17">
        <f t="shared" si="11"/>
        <v>325</v>
      </c>
      <c r="AD19" s="17">
        <f t="shared" si="11"/>
        <v>0</v>
      </c>
      <c r="AE19" s="31">
        <f t="shared" si="11"/>
        <v>582</v>
      </c>
      <c r="AF19" s="31">
        <f t="shared" si="11"/>
        <v>907</v>
      </c>
    </row>
    <row r="20" spans="2:32" ht="23.1" customHeight="1" x14ac:dyDescent="0.25">
      <c r="B20" s="23" t="s">
        <v>47</v>
      </c>
      <c r="C20" s="50">
        <v>50</v>
      </c>
      <c r="D20" s="50">
        <v>27</v>
      </c>
      <c r="E20" s="50">
        <v>7</v>
      </c>
      <c r="F20" s="50">
        <v>40</v>
      </c>
      <c r="G20" s="50">
        <v>3</v>
      </c>
      <c r="H20" s="50">
        <v>0</v>
      </c>
      <c r="I20" s="50">
        <v>8</v>
      </c>
      <c r="J20" s="50">
        <v>0</v>
      </c>
      <c r="K20" s="50">
        <v>0</v>
      </c>
      <c r="L20" s="50">
        <v>0</v>
      </c>
      <c r="M20" s="50">
        <v>145</v>
      </c>
      <c r="N20" s="50">
        <v>0</v>
      </c>
      <c r="O20" s="15">
        <f t="shared" si="0"/>
        <v>135</v>
      </c>
      <c r="P20" s="15">
        <f t="shared" si="1"/>
        <v>280</v>
      </c>
      <c r="R20" s="1" t="s">
        <v>16</v>
      </c>
      <c r="S20" s="17">
        <f t="shared" ref="S20:AF20" si="12">SUM(C50:C53)</f>
        <v>165</v>
      </c>
      <c r="T20" s="17">
        <f t="shared" si="12"/>
        <v>63</v>
      </c>
      <c r="U20" s="17">
        <f t="shared" si="12"/>
        <v>36</v>
      </c>
      <c r="V20" s="17">
        <f t="shared" si="12"/>
        <v>230</v>
      </c>
      <c r="W20" s="17">
        <f t="shared" si="12"/>
        <v>6</v>
      </c>
      <c r="X20" s="17">
        <f t="shared" si="12"/>
        <v>0</v>
      </c>
      <c r="Y20" s="17">
        <f t="shared" si="12"/>
        <v>23</v>
      </c>
      <c r="Z20" s="17">
        <f t="shared" si="12"/>
        <v>6</v>
      </c>
      <c r="AA20" s="17">
        <f t="shared" si="12"/>
        <v>3</v>
      </c>
      <c r="AB20" s="17">
        <f t="shared" si="12"/>
        <v>6</v>
      </c>
      <c r="AC20" s="17">
        <f t="shared" si="12"/>
        <v>420</v>
      </c>
      <c r="AD20" s="17">
        <f t="shared" si="12"/>
        <v>0</v>
      </c>
      <c r="AE20" s="31">
        <f t="shared" si="12"/>
        <v>538</v>
      </c>
      <c r="AF20" s="31">
        <f t="shared" si="12"/>
        <v>958</v>
      </c>
    </row>
    <row r="21" spans="2:32" ht="23.1" customHeight="1" x14ac:dyDescent="0.25">
      <c r="B21" s="23" t="s">
        <v>48</v>
      </c>
      <c r="C21" s="50">
        <v>70</v>
      </c>
      <c r="D21" s="50">
        <v>31</v>
      </c>
      <c r="E21" s="50">
        <v>11</v>
      </c>
      <c r="F21" s="50">
        <v>85</v>
      </c>
      <c r="G21" s="50">
        <v>1</v>
      </c>
      <c r="H21" s="50">
        <v>0</v>
      </c>
      <c r="I21" s="50">
        <v>3</v>
      </c>
      <c r="J21" s="50">
        <v>0</v>
      </c>
      <c r="K21" s="50">
        <v>0</v>
      </c>
      <c r="L21" s="50">
        <v>2</v>
      </c>
      <c r="M21" s="50">
        <v>167</v>
      </c>
      <c r="N21" s="50">
        <v>0</v>
      </c>
      <c r="O21" s="15">
        <f t="shared" si="0"/>
        <v>203</v>
      </c>
      <c r="P21" s="15">
        <f t="shared" si="1"/>
        <v>370</v>
      </c>
      <c r="R21" s="36" t="s">
        <v>20</v>
      </c>
      <c r="S21" s="34">
        <f t="shared" ref="S21:AF21" si="13">SUM(C54:C57)</f>
        <v>170</v>
      </c>
      <c r="T21" s="17">
        <f t="shared" si="13"/>
        <v>48</v>
      </c>
      <c r="U21" s="17">
        <f t="shared" si="13"/>
        <v>23</v>
      </c>
      <c r="V21" s="17">
        <f t="shared" si="13"/>
        <v>290</v>
      </c>
      <c r="W21" s="17">
        <f t="shared" si="13"/>
        <v>10</v>
      </c>
      <c r="X21" s="17">
        <f t="shared" si="13"/>
        <v>3</v>
      </c>
      <c r="Y21" s="17">
        <f t="shared" si="13"/>
        <v>28</v>
      </c>
      <c r="Z21" s="17">
        <f t="shared" si="13"/>
        <v>2</v>
      </c>
      <c r="AA21" s="17">
        <f t="shared" si="13"/>
        <v>7</v>
      </c>
      <c r="AB21" s="17">
        <f t="shared" si="13"/>
        <v>4</v>
      </c>
      <c r="AC21" s="17">
        <f t="shared" si="13"/>
        <v>375</v>
      </c>
      <c r="AD21" s="17">
        <f t="shared" si="13"/>
        <v>0</v>
      </c>
      <c r="AE21" s="31">
        <f t="shared" si="13"/>
        <v>585</v>
      </c>
      <c r="AF21" s="31">
        <f t="shared" si="13"/>
        <v>960</v>
      </c>
    </row>
    <row r="22" spans="2:32" ht="23.1" customHeight="1" x14ac:dyDescent="0.25">
      <c r="B22" s="23" t="s">
        <v>49</v>
      </c>
      <c r="C22" s="50">
        <v>25</v>
      </c>
      <c r="D22" s="50">
        <v>20</v>
      </c>
      <c r="E22" s="50">
        <v>8</v>
      </c>
      <c r="F22" s="50">
        <v>65</v>
      </c>
      <c r="G22" s="50">
        <v>3</v>
      </c>
      <c r="H22" s="50">
        <v>1</v>
      </c>
      <c r="I22" s="50">
        <v>8</v>
      </c>
      <c r="J22" s="50">
        <v>1</v>
      </c>
      <c r="K22" s="50">
        <v>0</v>
      </c>
      <c r="L22" s="50">
        <v>0</v>
      </c>
      <c r="M22" s="50">
        <v>100</v>
      </c>
      <c r="N22" s="50">
        <v>0</v>
      </c>
      <c r="O22" s="15">
        <f t="shared" si="0"/>
        <v>131</v>
      </c>
      <c r="P22" s="15">
        <f t="shared" si="1"/>
        <v>231</v>
      </c>
      <c r="R22" s="38" t="s">
        <v>90</v>
      </c>
      <c r="S22" s="39">
        <f>MAX(S10:S12)</f>
        <v>330</v>
      </c>
      <c r="T22" s="39">
        <f t="shared" ref="T22:AF22" si="14">MAX(T10:T12)</f>
        <v>126</v>
      </c>
      <c r="U22" s="39">
        <f t="shared" si="14"/>
        <v>48</v>
      </c>
      <c r="V22" s="39">
        <f t="shared" si="14"/>
        <v>383</v>
      </c>
      <c r="W22" s="39">
        <f t="shared" si="14"/>
        <v>8</v>
      </c>
      <c r="X22" s="39">
        <f t="shared" si="14"/>
        <v>4</v>
      </c>
      <c r="Y22" s="39">
        <f t="shared" si="14"/>
        <v>36</v>
      </c>
      <c r="Z22" s="39">
        <f t="shared" si="14"/>
        <v>3</v>
      </c>
      <c r="AA22" s="39">
        <f t="shared" si="14"/>
        <v>2</v>
      </c>
      <c r="AB22" s="39">
        <f t="shared" si="14"/>
        <v>5</v>
      </c>
      <c r="AC22" s="39">
        <f t="shared" si="14"/>
        <v>773</v>
      </c>
      <c r="AD22" s="39">
        <f t="shared" si="14"/>
        <v>0</v>
      </c>
      <c r="AE22" s="40">
        <f t="shared" si="14"/>
        <v>931</v>
      </c>
      <c r="AF22" s="40">
        <f t="shared" si="14"/>
        <v>1648</v>
      </c>
    </row>
    <row r="23" spans="2:32" ht="23.1" customHeight="1" x14ac:dyDescent="0.25">
      <c r="B23" s="23" t="s">
        <v>50</v>
      </c>
      <c r="C23" s="50">
        <v>30</v>
      </c>
      <c r="D23" s="50">
        <v>15</v>
      </c>
      <c r="E23" s="50">
        <v>7</v>
      </c>
      <c r="F23" s="50">
        <v>37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67</v>
      </c>
      <c r="N23" s="50">
        <v>0</v>
      </c>
      <c r="O23" s="15">
        <f t="shared" si="0"/>
        <v>94</v>
      </c>
      <c r="P23" s="15">
        <f t="shared" si="1"/>
        <v>161</v>
      </c>
      <c r="R23" s="38" t="s">
        <v>91</v>
      </c>
      <c r="S23" s="39">
        <f>MAX(S13:S18)</f>
        <v>205</v>
      </c>
      <c r="T23" s="39">
        <f t="shared" ref="T23:AF23" si="15">MAX(T13:T18)</f>
        <v>82</v>
      </c>
      <c r="U23" s="39">
        <f t="shared" si="15"/>
        <v>43</v>
      </c>
      <c r="V23" s="39">
        <f t="shared" si="15"/>
        <v>275</v>
      </c>
      <c r="W23" s="39">
        <f t="shared" si="15"/>
        <v>7</v>
      </c>
      <c r="X23" s="39">
        <f t="shared" si="15"/>
        <v>2</v>
      </c>
      <c r="Y23" s="39">
        <f t="shared" si="15"/>
        <v>41</v>
      </c>
      <c r="Z23" s="39">
        <f t="shared" si="15"/>
        <v>17</v>
      </c>
      <c r="AA23" s="39">
        <f t="shared" si="15"/>
        <v>2</v>
      </c>
      <c r="AB23" s="39">
        <f t="shared" si="15"/>
        <v>5</v>
      </c>
      <c r="AC23" s="39">
        <f t="shared" si="15"/>
        <v>492</v>
      </c>
      <c r="AD23" s="39">
        <f t="shared" si="15"/>
        <v>0</v>
      </c>
      <c r="AE23" s="40">
        <f t="shared" si="15"/>
        <v>588</v>
      </c>
      <c r="AF23" s="40">
        <f t="shared" si="15"/>
        <v>1066</v>
      </c>
    </row>
    <row r="24" spans="2:32" ht="23.1" customHeight="1" x14ac:dyDescent="0.25">
      <c r="B24" s="23" t="s">
        <v>51</v>
      </c>
      <c r="C24" s="50">
        <v>33</v>
      </c>
      <c r="D24" s="50">
        <v>12</v>
      </c>
      <c r="E24" s="50">
        <v>4</v>
      </c>
      <c r="F24" s="50">
        <v>20</v>
      </c>
      <c r="G24" s="50">
        <v>2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115</v>
      </c>
      <c r="N24" s="50">
        <v>0</v>
      </c>
      <c r="O24" s="15">
        <f t="shared" si="0"/>
        <v>74</v>
      </c>
      <c r="P24" s="15">
        <f t="shared" si="1"/>
        <v>189</v>
      </c>
      <c r="R24" s="38" t="s">
        <v>92</v>
      </c>
      <c r="S24" s="39">
        <f>MAX(S19:S21)</f>
        <v>174</v>
      </c>
      <c r="T24" s="39">
        <f t="shared" ref="T24:AF24" si="16">MAX(T19:T21)</f>
        <v>84</v>
      </c>
      <c r="U24" s="39">
        <f t="shared" si="16"/>
        <v>36</v>
      </c>
      <c r="V24" s="39">
        <f t="shared" si="16"/>
        <v>290</v>
      </c>
      <c r="W24" s="39">
        <f t="shared" si="16"/>
        <v>10</v>
      </c>
      <c r="X24" s="39">
        <f t="shared" si="16"/>
        <v>3</v>
      </c>
      <c r="Y24" s="39">
        <f t="shared" si="16"/>
        <v>30</v>
      </c>
      <c r="Z24" s="39">
        <f t="shared" si="16"/>
        <v>6</v>
      </c>
      <c r="AA24" s="39">
        <f t="shared" si="16"/>
        <v>7</v>
      </c>
      <c r="AB24" s="39">
        <f t="shared" si="16"/>
        <v>6</v>
      </c>
      <c r="AC24" s="39">
        <f t="shared" si="16"/>
        <v>420</v>
      </c>
      <c r="AD24" s="39">
        <f t="shared" si="16"/>
        <v>0</v>
      </c>
      <c r="AE24" s="40">
        <f t="shared" si="16"/>
        <v>585</v>
      </c>
      <c r="AF24" s="40">
        <f t="shared" si="16"/>
        <v>960</v>
      </c>
    </row>
    <row r="25" spans="2:32" ht="23.1" customHeight="1" x14ac:dyDescent="0.25">
      <c r="B25" s="23" t="s">
        <v>52</v>
      </c>
      <c r="C25" s="50">
        <v>100</v>
      </c>
      <c r="D25" s="50">
        <v>35</v>
      </c>
      <c r="E25" s="50">
        <v>13</v>
      </c>
      <c r="F25" s="50">
        <v>56</v>
      </c>
      <c r="G25" s="50">
        <v>2</v>
      </c>
      <c r="H25" s="50">
        <v>0</v>
      </c>
      <c r="I25" s="50">
        <v>18</v>
      </c>
      <c r="J25" s="50">
        <v>4</v>
      </c>
      <c r="K25" s="50">
        <v>1</v>
      </c>
      <c r="L25" s="50">
        <v>1</v>
      </c>
      <c r="M25" s="50">
        <v>113</v>
      </c>
      <c r="N25" s="50">
        <v>0</v>
      </c>
      <c r="O25" s="15">
        <f t="shared" si="0"/>
        <v>230</v>
      </c>
      <c r="P25" s="15">
        <f t="shared" si="1"/>
        <v>343</v>
      </c>
      <c r="R25" s="37" t="s">
        <v>85</v>
      </c>
      <c r="S25" s="35">
        <f t="shared" ref="S25:AF25" si="17">SUM(S10:S12)</f>
        <v>938</v>
      </c>
      <c r="T25" s="16">
        <f t="shared" si="17"/>
        <v>361</v>
      </c>
      <c r="U25" s="16">
        <f t="shared" si="17"/>
        <v>131</v>
      </c>
      <c r="V25" s="16">
        <f t="shared" si="17"/>
        <v>1043</v>
      </c>
      <c r="W25" s="16">
        <f t="shared" si="17"/>
        <v>14</v>
      </c>
      <c r="X25" s="16">
        <f t="shared" si="17"/>
        <v>6</v>
      </c>
      <c r="Y25" s="16">
        <f t="shared" si="17"/>
        <v>104</v>
      </c>
      <c r="Z25" s="16">
        <f t="shared" si="17"/>
        <v>7</v>
      </c>
      <c r="AA25" s="16">
        <f t="shared" si="17"/>
        <v>3</v>
      </c>
      <c r="AB25" s="16">
        <f t="shared" si="17"/>
        <v>8</v>
      </c>
      <c r="AC25" s="16">
        <f t="shared" si="17"/>
        <v>2044</v>
      </c>
      <c r="AD25" s="16">
        <f t="shared" si="17"/>
        <v>0</v>
      </c>
      <c r="AE25" s="32">
        <f t="shared" si="17"/>
        <v>2615</v>
      </c>
      <c r="AF25" s="32">
        <f t="shared" si="17"/>
        <v>4659</v>
      </c>
    </row>
    <row r="26" spans="2:32" ht="23.1" customHeight="1" x14ac:dyDescent="0.25">
      <c r="B26" s="23" t="s">
        <v>53</v>
      </c>
      <c r="C26" s="50">
        <v>41</v>
      </c>
      <c r="D26" s="50">
        <v>15</v>
      </c>
      <c r="E26" s="50">
        <v>8</v>
      </c>
      <c r="F26" s="50">
        <v>48</v>
      </c>
      <c r="G26" s="50">
        <v>0</v>
      </c>
      <c r="H26" s="50">
        <v>0</v>
      </c>
      <c r="I26" s="50">
        <v>8</v>
      </c>
      <c r="J26" s="50">
        <v>3</v>
      </c>
      <c r="K26" s="50">
        <v>0</v>
      </c>
      <c r="L26" s="50">
        <v>0</v>
      </c>
      <c r="M26" s="50">
        <v>112</v>
      </c>
      <c r="N26" s="50">
        <v>0</v>
      </c>
      <c r="O26" s="15">
        <f t="shared" si="0"/>
        <v>123</v>
      </c>
      <c r="P26" s="15">
        <f t="shared" si="1"/>
        <v>235</v>
      </c>
      <c r="R26" s="28" t="s">
        <v>86</v>
      </c>
      <c r="S26" s="16">
        <f t="shared" ref="S26:AF26" si="18">SUM(S13:S18)</f>
        <v>995</v>
      </c>
      <c r="T26" s="16">
        <f t="shared" si="18"/>
        <v>389</v>
      </c>
      <c r="U26" s="16">
        <f t="shared" si="18"/>
        <v>186</v>
      </c>
      <c r="V26" s="16">
        <f t="shared" si="18"/>
        <v>1337</v>
      </c>
      <c r="W26" s="16">
        <f t="shared" si="18"/>
        <v>17</v>
      </c>
      <c r="X26" s="16">
        <f t="shared" si="18"/>
        <v>5</v>
      </c>
      <c r="Y26" s="16">
        <f t="shared" si="18"/>
        <v>206</v>
      </c>
      <c r="Z26" s="16">
        <f t="shared" si="18"/>
        <v>44</v>
      </c>
      <c r="AA26" s="16">
        <f t="shared" si="18"/>
        <v>7</v>
      </c>
      <c r="AB26" s="16">
        <f t="shared" si="18"/>
        <v>19</v>
      </c>
      <c r="AC26" s="16">
        <f t="shared" si="18"/>
        <v>2289</v>
      </c>
      <c r="AD26" s="16">
        <f t="shared" si="18"/>
        <v>0</v>
      </c>
      <c r="AE26" s="32">
        <f t="shared" si="18"/>
        <v>3205</v>
      </c>
      <c r="AF26" s="32">
        <f t="shared" si="18"/>
        <v>5494</v>
      </c>
    </row>
    <row r="27" spans="2:32" ht="23.1" customHeight="1" x14ac:dyDescent="0.25">
      <c r="B27" s="23" t="s">
        <v>54</v>
      </c>
      <c r="C27" s="50">
        <v>50</v>
      </c>
      <c r="D27" s="50">
        <v>15</v>
      </c>
      <c r="E27" s="50">
        <v>5</v>
      </c>
      <c r="F27" s="50">
        <v>85</v>
      </c>
      <c r="G27" s="50">
        <v>2</v>
      </c>
      <c r="H27" s="50">
        <v>0</v>
      </c>
      <c r="I27" s="50">
        <v>8</v>
      </c>
      <c r="J27" s="50">
        <v>1</v>
      </c>
      <c r="K27" s="50">
        <v>0</v>
      </c>
      <c r="L27" s="50">
        <v>1</v>
      </c>
      <c r="M27" s="50">
        <v>120</v>
      </c>
      <c r="N27" s="50">
        <v>0</v>
      </c>
      <c r="O27" s="15">
        <f t="shared" si="0"/>
        <v>167</v>
      </c>
      <c r="P27" s="15">
        <f t="shared" si="1"/>
        <v>287</v>
      </c>
      <c r="R27" s="29" t="s">
        <v>87</v>
      </c>
      <c r="S27" s="16">
        <f t="shared" ref="S27:AF27" si="19">SUM(S19:S21)</f>
        <v>509</v>
      </c>
      <c r="T27" s="16">
        <f t="shared" si="19"/>
        <v>195</v>
      </c>
      <c r="U27" s="16">
        <f t="shared" si="19"/>
        <v>84</v>
      </c>
      <c r="V27" s="16">
        <f t="shared" si="19"/>
        <v>778</v>
      </c>
      <c r="W27" s="16">
        <f t="shared" si="19"/>
        <v>19</v>
      </c>
      <c r="X27" s="16">
        <f t="shared" si="19"/>
        <v>4</v>
      </c>
      <c r="Y27" s="16">
        <f t="shared" si="19"/>
        <v>81</v>
      </c>
      <c r="Z27" s="16">
        <f t="shared" si="19"/>
        <v>11</v>
      </c>
      <c r="AA27" s="16">
        <f t="shared" si="19"/>
        <v>12</v>
      </c>
      <c r="AB27" s="16">
        <f t="shared" si="19"/>
        <v>12</v>
      </c>
      <c r="AC27" s="16">
        <f t="shared" si="19"/>
        <v>1120</v>
      </c>
      <c r="AD27" s="16">
        <f t="shared" si="19"/>
        <v>0</v>
      </c>
      <c r="AE27" s="32">
        <f t="shared" si="19"/>
        <v>1705</v>
      </c>
      <c r="AF27" s="32">
        <f t="shared" si="19"/>
        <v>2825</v>
      </c>
    </row>
    <row r="28" spans="2:32" ht="23.1" customHeight="1" x14ac:dyDescent="0.25">
      <c r="B28" s="23" t="s">
        <v>55</v>
      </c>
      <c r="C28" s="50">
        <v>55</v>
      </c>
      <c r="D28" s="50">
        <v>14</v>
      </c>
      <c r="E28" s="50">
        <v>5</v>
      </c>
      <c r="F28" s="50">
        <v>80</v>
      </c>
      <c r="G28" s="50">
        <v>1</v>
      </c>
      <c r="H28" s="50">
        <v>1</v>
      </c>
      <c r="I28" s="50">
        <v>6</v>
      </c>
      <c r="J28" s="50">
        <v>4</v>
      </c>
      <c r="K28" s="50">
        <v>1</v>
      </c>
      <c r="L28" s="50">
        <v>0</v>
      </c>
      <c r="M28" s="50">
        <v>140</v>
      </c>
      <c r="N28" s="50">
        <v>0</v>
      </c>
      <c r="O28" s="15">
        <f t="shared" si="0"/>
        <v>167</v>
      </c>
      <c r="P28" s="15">
        <f t="shared" si="1"/>
        <v>307</v>
      </c>
      <c r="R28" s="5" t="s">
        <v>17</v>
      </c>
      <c r="S28" s="16">
        <f t="shared" ref="S28:AF28" si="20">SUM(S10:S21)</f>
        <v>2442</v>
      </c>
      <c r="T28" s="16">
        <f t="shared" si="20"/>
        <v>945</v>
      </c>
      <c r="U28" s="16">
        <f t="shared" si="20"/>
        <v>401</v>
      </c>
      <c r="V28" s="16">
        <f t="shared" si="20"/>
        <v>3158</v>
      </c>
      <c r="W28" s="16">
        <f t="shared" si="20"/>
        <v>50</v>
      </c>
      <c r="X28" s="16">
        <f t="shared" si="20"/>
        <v>15</v>
      </c>
      <c r="Y28" s="16">
        <f t="shared" si="20"/>
        <v>391</v>
      </c>
      <c r="Z28" s="16">
        <f t="shared" si="20"/>
        <v>62</v>
      </c>
      <c r="AA28" s="16">
        <f t="shared" si="20"/>
        <v>22</v>
      </c>
      <c r="AB28" s="16">
        <f t="shared" si="20"/>
        <v>39</v>
      </c>
      <c r="AC28" s="16">
        <f t="shared" si="20"/>
        <v>5453</v>
      </c>
      <c r="AD28" s="16">
        <f t="shared" si="20"/>
        <v>0</v>
      </c>
      <c r="AE28" s="32">
        <f t="shared" si="20"/>
        <v>7525</v>
      </c>
      <c r="AF28" s="32">
        <f t="shared" si="20"/>
        <v>12978</v>
      </c>
    </row>
    <row r="29" spans="2:32" ht="23.1" customHeight="1" x14ac:dyDescent="0.25">
      <c r="B29" s="23" t="s">
        <v>56</v>
      </c>
      <c r="C29" s="50">
        <v>35</v>
      </c>
      <c r="D29" s="50">
        <v>11</v>
      </c>
      <c r="E29" s="50">
        <v>10</v>
      </c>
      <c r="F29" s="50">
        <v>35</v>
      </c>
      <c r="G29" s="50">
        <v>0</v>
      </c>
      <c r="H29" s="50">
        <v>0</v>
      </c>
      <c r="I29" s="50">
        <v>16</v>
      </c>
      <c r="J29" s="50">
        <v>9</v>
      </c>
      <c r="K29" s="50">
        <v>0</v>
      </c>
      <c r="L29" s="50">
        <v>1</v>
      </c>
      <c r="M29" s="50">
        <v>120</v>
      </c>
      <c r="N29" s="50">
        <v>0</v>
      </c>
      <c r="O29" s="15">
        <f t="shared" si="0"/>
        <v>117</v>
      </c>
      <c r="P29" s="15">
        <f t="shared" si="1"/>
        <v>237</v>
      </c>
      <c r="R29"/>
      <c r="S29" s="20"/>
      <c r="T29" s="19"/>
    </row>
    <row r="30" spans="2:32" ht="23.1" customHeight="1" x14ac:dyDescent="0.25">
      <c r="B30" s="23" t="s">
        <v>57</v>
      </c>
      <c r="C30" s="50">
        <v>60</v>
      </c>
      <c r="D30" s="50">
        <v>7</v>
      </c>
      <c r="E30" s="50">
        <v>17</v>
      </c>
      <c r="F30" s="50">
        <v>60</v>
      </c>
      <c r="G30" s="50">
        <v>0</v>
      </c>
      <c r="H30" s="50">
        <v>0</v>
      </c>
      <c r="I30" s="50">
        <v>5</v>
      </c>
      <c r="J30" s="50">
        <v>1</v>
      </c>
      <c r="K30" s="50">
        <v>1</v>
      </c>
      <c r="L30" s="50">
        <v>1</v>
      </c>
      <c r="M30" s="50">
        <v>120</v>
      </c>
      <c r="N30" s="50">
        <v>0</v>
      </c>
      <c r="O30" s="15">
        <f t="shared" si="0"/>
        <v>152</v>
      </c>
      <c r="P30" s="15">
        <f t="shared" si="1"/>
        <v>272</v>
      </c>
    </row>
    <row r="31" spans="2:32" ht="23.1" customHeight="1" x14ac:dyDescent="0.25">
      <c r="B31" s="24" t="s">
        <v>58</v>
      </c>
      <c r="C31" s="50">
        <v>65</v>
      </c>
      <c r="D31" s="50">
        <v>20</v>
      </c>
      <c r="E31" s="50">
        <v>10</v>
      </c>
      <c r="F31" s="50">
        <v>65</v>
      </c>
      <c r="G31" s="50">
        <v>1</v>
      </c>
      <c r="H31" s="50">
        <v>0</v>
      </c>
      <c r="I31" s="50">
        <v>16</v>
      </c>
      <c r="J31" s="50">
        <v>2</v>
      </c>
      <c r="K31" s="50">
        <v>0</v>
      </c>
      <c r="L31" s="50">
        <v>2</v>
      </c>
      <c r="M31" s="50">
        <v>125</v>
      </c>
      <c r="N31" s="50">
        <v>0</v>
      </c>
      <c r="O31" s="15">
        <f t="shared" si="0"/>
        <v>181</v>
      </c>
      <c r="P31" s="15">
        <f t="shared" si="1"/>
        <v>306</v>
      </c>
    </row>
    <row r="32" spans="2:32" ht="23.1" customHeight="1" x14ac:dyDescent="0.25">
      <c r="B32" s="24" t="s">
        <v>59</v>
      </c>
      <c r="C32" s="50">
        <v>60</v>
      </c>
      <c r="D32" s="50">
        <v>14</v>
      </c>
      <c r="E32" s="50">
        <v>5</v>
      </c>
      <c r="F32" s="50">
        <v>42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115</v>
      </c>
      <c r="N32" s="50">
        <v>0</v>
      </c>
      <c r="O32" s="15">
        <f t="shared" si="0"/>
        <v>126</v>
      </c>
      <c r="P32" s="15">
        <f t="shared" si="1"/>
        <v>241</v>
      </c>
    </row>
    <row r="33" spans="2:20" ht="23.1" customHeight="1" x14ac:dyDescent="0.25">
      <c r="B33" s="23" t="s">
        <v>60</v>
      </c>
      <c r="C33" s="50">
        <v>20</v>
      </c>
      <c r="D33" s="50">
        <v>8</v>
      </c>
      <c r="E33" s="50">
        <v>8</v>
      </c>
      <c r="F33" s="50">
        <v>37</v>
      </c>
      <c r="G33" s="50">
        <v>0</v>
      </c>
      <c r="H33" s="50">
        <v>0</v>
      </c>
      <c r="I33" s="50">
        <v>6</v>
      </c>
      <c r="J33" s="50">
        <v>4</v>
      </c>
      <c r="K33" s="50">
        <v>0</v>
      </c>
      <c r="L33" s="50">
        <v>1</v>
      </c>
      <c r="M33" s="50">
        <v>50</v>
      </c>
      <c r="N33" s="50">
        <v>0</v>
      </c>
      <c r="O33" s="15">
        <f t="shared" si="0"/>
        <v>84</v>
      </c>
      <c r="P33" s="15">
        <f t="shared" si="1"/>
        <v>134</v>
      </c>
    </row>
    <row r="34" spans="2:20" ht="23.1" customHeight="1" x14ac:dyDescent="0.25">
      <c r="B34" s="24" t="s">
        <v>61</v>
      </c>
      <c r="C34" s="50">
        <v>40</v>
      </c>
      <c r="D34" s="50">
        <v>16</v>
      </c>
      <c r="E34" s="50">
        <v>1</v>
      </c>
      <c r="F34" s="50">
        <v>95</v>
      </c>
      <c r="G34" s="50">
        <v>0</v>
      </c>
      <c r="H34" s="50">
        <v>0</v>
      </c>
      <c r="I34" s="50">
        <v>17</v>
      </c>
      <c r="J34" s="50">
        <v>0</v>
      </c>
      <c r="K34" s="50">
        <v>1</v>
      </c>
      <c r="L34" s="50">
        <v>0</v>
      </c>
      <c r="M34" s="50">
        <v>115</v>
      </c>
      <c r="N34" s="50">
        <v>0</v>
      </c>
      <c r="O34" s="15">
        <f t="shared" si="0"/>
        <v>170</v>
      </c>
      <c r="P34" s="15">
        <f t="shared" si="1"/>
        <v>285</v>
      </c>
    </row>
    <row r="35" spans="2:20" ht="23.1" customHeight="1" x14ac:dyDescent="0.25">
      <c r="B35" s="24" t="s">
        <v>62</v>
      </c>
      <c r="C35" s="50">
        <v>30</v>
      </c>
      <c r="D35" s="50">
        <v>18</v>
      </c>
      <c r="E35" s="50">
        <v>13</v>
      </c>
      <c r="F35" s="50">
        <v>60</v>
      </c>
      <c r="G35" s="50">
        <v>0</v>
      </c>
      <c r="H35" s="50">
        <v>0</v>
      </c>
      <c r="I35" s="50">
        <v>6</v>
      </c>
      <c r="J35" s="50">
        <v>1</v>
      </c>
      <c r="K35" s="50">
        <v>0</v>
      </c>
      <c r="L35" s="50">
        <v>0</v>
      </c>
      <c r="M35" s="50">
        <v>75</v>
      </c>
      <c r="N35" s="50">
        <v>0</v>
      </c>
      <c r="O35" s="15">
        <f t="shared" si="0"/>
        <v>128</v>
      </c>
      <c r="P35" s="15">
        <f t="shared" si="1"/>
        <v>203</v>
      </c>
    </row>
    <row r="36" spans="2:20" ht="23.1" customHeight="1" x14ac:dyDescent="0.25">
      <c r="B36" s="24" t="s">
        <v>63</v>
      </c>
      <c r="C36" s="50">
        <v>62</v>
      </c>
      <c r="D36" s="50">
        <v>22</v>
      </c>
      <c r="E36" s="50">
        <v>10</v>
      </c>
      <c r="F36" s="50">
        <v>80</v>
      </c>
      <c r="G36" s="50">
        <v>1</v>
      </c>
      <c r="H36" s="50">
        <v>2</v>
      </c>
      <c r="I36" s="50">
        <v>11</v>
      </c>
      <c r="J36" s="50">
        <v>0</v>
      </c>
      <c r="K36" s="50">
        <v>0</v>
      </c>
      <c r="L36" s="50">
        <v>2</v>
      </c>
      <c r="M36" s="50">
        <v>125</v>
      </c>
      <c r="N36" s="50">
        <v>0</v>
      </c>
      <c r="O36" s="15">
        <f t="shared" si="0"/>
        <v>190</v>
      </c>
      <c r="P36" s="15">
        <f t="shared" si="1"/>
        <v>315</v>
      </c>
    </row>
    <row r="37" spans="2:20" ht="23.1" customHeight="1" x14ac:dyDescent="0.25">
      <c r="B37" s="23" t="s">
        <v>64</v>
      </c>
      <c r="C37" s="50">
        <v>9</v>
      </c>
      <c r="D37" s="50">
        <v>18</v>
      </c>
      <c r="E37" s="50">
        <v>1</v>
      </c>
      <c r="F37" s="50">
        <v>40</v>
      </c>
      <c r="G37" s="50">
        <v>0</v>
      </c>
      <c r="H37" s="50">
        <v>0</v>
      </c>
      <c r="I37" s="50">
        <v>7</v>
      </c>
      <c r="J37" s="50">
        <v>1</v>
      </c>
      <c r="K37" s="50">
        <v>1</v>
      </c>
      <c r="L37" s="50">
        <v>0</v>
      </c>
      <c r="M37" s="50">
        <v>60</v>
      </c>
      <c r="N37" s="50">
        <v>0</v>
      </c>
      <c r="O37" s="15">
        <f t="shared" si="0"/>
        <v>77</v>
      </c>
      <c r="P37" s="15">
        <f t="shared" si="1"/>
        <v>137</v>
      </c>
    </row>
    <row r="38" spans="2:20" ht="23.1" customHeight="1" x14ac:dyDescent="0.25">
      <c r="B38" s="24" t="s">
        <v>65</v>
      </c>
      <c r="C38" s="50">
        <v>41</v>
      </c>
      <c r="D38" s="50">
        <v>13</v>
      </c>
      <c r="E38" s="50">
        <v>4</v>
      </c>
      <c r="F38" s="50">
        <v>45</v>
      </c>
      <c r="G38" s="50">
        <v>0</v>
      </c>
      <c r="H38" s="50">
        <v>0</v>
      </c>
      <c r="I38" s="50">
        <v>12</v>
      </c>
      <c r="J38" s="50">
        <v>4</v>
      </c>
      <c r="K38" s="50">
        <v>0</v>
      </c>
      <c r="L38" s="50">
        <v>1</v>
      </c>
      <c r="M38" s="50">
        <v>60</v>
      </c>
      <c r="N38" s="50">
        <v>0</v>
      </c>
      <c r="O38" s="15">
        <f t="shared" si="0"/>
        <v>120</v>
      </c>
      <c r="P38" s="15">
        <f t="shared" si="1"/>
        <v>180</v>
      </c>
    </row>
    <row r="39" spans="2:20" ht="23.1" customHeight="1" x14ac:dyDescent="0.25">
      <c r="B39" s="24" t="s">
        <v>66</v>
      </c>
      <c r="C39" s="50">
        <v>25</v>
      </c>
      <c r="D39" s="50">
        <v>10</v>
      </c>
      <c r="E39" s="50">
        <v>5</v>
      </c>
      <c r="F39" s="50">
        <v>40</v>
      </c>
      <c r="G39" s="50">
        <v>0</v>
      </c>
      <c r="H39" s="50">
        <v>0</v>
      </c>
      <c r="I39" s="50">
        <v>4</v>
      </c>
      <c r="J39" s="50">
        <v>3</v>
      </c>
      <c r="K39" s="50">
        <v>0</v>
      </c>
      <c r="L39" s="50">
        <v>3</v>
      </c>
      <c r="M39" s="50">
        <v>90</v>
      </c>
      <c r="N39" s="50">
        <v>0</v>
      </c>
      <c r="O39" s="15">
        <f t="shared" si="0"/>
        <v>90</v>
      </c>
      <c r="P39" s="15">
        <f t="shared" si="1"/>
        <v>180</v>
      </c>
    </row>
    <row r="40" spans="2:20" ht="23.1" customHeight="1" x14ac:dyDescent="0.25">
      <c r="B40" s="24" t="s">
        <v>67</v>
      </c>
      <c r="C40" s="50">
        <v>25</v>
      </c>
      <c r="D40" s="50">
        <v>17</v>
      </c>
      <c r="E40" s="50">
        <v>4</v>
      </c>
      <c r="F40" s="50">
        <v>54</v>
      </c>
      <c r="G40" s="50">
        <v>1</v>
      </c>
      <c r="H40" s="50">
        <v>0</v>
      </c>
      <c r="I40" s="50">
        <v>7</v>
      </c>
      <c r="J40" s="50">
        <v>1</v>
      </c>
      <c r="K40" s="50">
        <v>0</v>
      </c>
      <c r="L40" s="50">
        <v>0</v>
      </c>
      <c r="M40" s="50">
        <v>70</v>
      </c>
      <c r="N40" s="50">
        <v>0</v>
      </c>
      <c r="O40" s="15">
        <f t="shared" si="0"/>
        <v>109</v>
      </c>
      <c r="P40" s="15">
        <f t="shared" si="1"/>
        <v>179</v>
      </c>
    </row>
    <row r="41" spans="2:20" ht="23.1" customHeight="1" x14ac:dyDescent="0.25">
      <c r="B41" s="23" t="s">
        <v>68</v>
      </c>
      <c r="C41" s="50">
        <v>15</v>
      </c>
      <c r="D41" s="50">
        <v>12</v>
      </c>
      <c r="E41" s="50">
        <v>5</v>
      </c>
      <c r="F41" s="50">
        <v>45</v>
      </c>
      <c r="G41" s="50">
        <v>0</v>
      </c>
      <c r="H41" s="50">
        <v>1</v>
      </c>
      <c r="I41" s="50">
        <v>8</v>
      </c>
      <c r="J41" s="50">
        <v>0</v>
      </c>
      <c r="K41" s="50">
        <v>0</v>
      </c>
      <c r="L41" s="50">
        <v>1</v>
      </c>
      <c r="M41" s="50">
        <v>130</v>
      </c>
      <c r="N41" s="50">
        <v>0</v>
      </c>
      <c r="O41" s="15">
        <f t="shared" si="0"/>
        <v>87</v>
      </c>
      <c r="P41" s="15">
        <f t="shared" si="1"/>
        <v>217</v>
      </c>
    </row>
    <row r="42" spans="2:20" ht="23.1" customHeight="1" x14ac:dyDescent="0.25">
      <c r="B42" s="24" t="s">
        <v>69</v>
      </c>
      <c r="C42" s="50">
        <v>39</v>
      </c>
      <c r="D42" s="50">
        <v>24</v>
      </c>
      <c r="E42" s="50">
        <v>11</v>
      </c>
      <c r="F42" s="50">
        <v>65</v>
      </c>
      <c r="G42" s="50">
        <v>3</v>
      </c>
      <c r="H42" s="50">
        <v>0</v>
      </c>
      <c r="I42" s="50">
        <v>9</v>
      </c>
      <c r="J42" s="50">
        <v>0</v>
      </c>
      <c r="K42" s="50">
        <v>1</v>
      </c>
      <c r="L42" s="50">
        <v>0</v>
      </c>
      <c r="M42" s="50">
        <v>105</v>
      </c>
      <c r="N42" s="50">
        <v>0</v>
      </c>
      <c r="O42" s="15">
        <f t="shared" si="0"/>
        <v>152</v>
      </c>
      <c r="P42" s="15">
        <f t="shared" si="1"/>
        <v>257</v>
      </c>
    </row>
    <row r="43" spans="2:20" ht="23.1" customHeight="1" x14ac:dyDescent="0.25">
      <c r="B43" s="23" t="s">
        <v>70</v>
      </c>
      <c r="C43" s="50">
        <v>60</v>
      </c>
      <c r="D43" s="50">
        <v>21</v>
      </c>
      <c r="E43" s="50">
        <v>14</v>
      </c>
      <c r="F43" s="50">
        <v>78</v>
      </c>
      <c r="G43" s="50">
        <v>0</v>
      </c>
      <c r="H43" s="50">
        <v>0</v>
      </c>
      <c r="I43" s="50">
        <v>6</v>
      </c>
      <c r="J43" s="50">
        <v>0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179</v>
      </c>
      <c r="P43" s="15">
        <f t="shared" si="1"/>
        <v>214</v>
      </c>
    </row>
    <row r="44" spans="2:20" ht="23.1" customHeight="1" x14ac:dyDescent="0.25">
      <c r="B44" s="25" t="s">
        <v>71</v>
      </c>
      <c r="C44" s="50">
        <v>50</v>
      </c>
      <c r="D44" s="50">
        <v>16</v>
      </c>
      <c r="E44" s="50">
        <v>9</v>
      </c>
      <c r="F44" s="50">
        <v>60</v>
      </c>
      <c r="G44" s="50">
        <v>1</v>
      </c>
      <c r="H44" s="50">
        <v>0</v>
      </c>
      <c r="I44" s="50">
        <v>9</v>
      </c>
      <c r="J44" s="50">
        <v>2</v>
      </c>
      <c r="K44" s="50">
        <v>0</v>
      </c>
      <c r="L44" s="50">
        <v>2</v>
      </c>
      <c r="M44" s="50">
        <v>77</v>
      </c>
      <c r="N44" s="50">
        <v>0</v>
      </c>
      <c r="O44" s="15">
        <f t="shared" si="0"/>
        <v>149</v>
      </c>
      <c r="P44" s="15">
        <f t="shared" si="1"/>
        <v>226</v>
      </c>
    </row>
    <row r="45" spans="2:20" ht="23.1" customHeight="1" x14ac:dyDescent="0.25">
      <c r="B45" s="23" t="s">
        <v>72</v>
      </c>
      <c r="C45" s="50">
        <v>25</v>
      </c>
      <c r="D45" s="50">
        <v>16</v>
      </c>
      <c r="E45" s="50">
        <v>9</v>
      </c>
      <c r="F45" s="50">
        <v>45</v>
      </c>
      <c r="G45" s="50">
        <v>0</v>
      </c>
      <c r="H45" s="50">
        <v>0</v>
      </c>
      <c r="I45" s="50">
        <v>6</v>
      </c>
      <c r="J45" s="50">
        <v>3</v>
      </c>
      <c r="K45" s="50">
        <v>1</v>
      </c>
      <c r="L45" s="50">
        <v>3</v>
      </c>
      <c r="M45" s="50">
        <v>50</v>
      </c>
      <c r="N45" s="50">
        <v>0</v>
      </c>
      <c r="O45" s="15">
        <f t="shared" si="0"/>
        <v>108</v>
      </c>
      <c r="P45" s="15">
        <f t="shared" si="1"/>
        <v>158</v>
      </c>
    </row>
    <row r="46" spans="2:20" ht="23.1" customHeight="1" x14ac:dyDescent="0.25">
      <c r="B46" s="24" t="s">
        <v>73</v>
      </c>
      <c r="C46" s="50">
        <v>46</v>
      </c>
      <c r="D46" s="50">
        <v>28</v>
      </c>
      <c r="E46" s="50">
        <v>9</v>
      </c>
      <c r="F46" s="50">
        <v>55</v>
      </c>
      <c r="G46" s="50">
        <v>2</v>
      </c>
      <c r="H46" s="50">
        <v>1</v>
      </c>
      <c r="I46" s="50">
        <v>17</v>
      </c>
      <c r="J46" s="50">
        <v>0</v>
      </c>
      <c r="K46" s="50">
        <v>0</v>
      </c>
      <c r="L46" s="50">
        <v>1</v>
      </c>
      <c r="M46" s="50">
        <v>85</v>
      </c>
      <c r="N46" s="50">
        <v>0</v>
      </c>
      <c r="O46" s="15">
        <f t="shared" si="0"/>
        <v>159</v>
      </c>
      <c r="P46" s="15">
        <f t="shared" si="1"/>
        <v>244</v>
      </c>
      <c r="R46" s="8"/>
      <c r="T46"/>
    </row>
    <row r="47" spans="2:20" ht="23.1" customHeight="1" x14ac:dyDescent="0.25">
      <c r="B47" s="24" t="s">
        <v>74</v>
      </c>
      <c r="C47" s="50">
        <v>23</v>
      </c>
      <c r="D47" s="50">
        <v>16</v>
      </c>
      <c r="E47" s="50">
        <v>5</v>
      </c>
      <c r="F47" s="50">
        <v>45</v>
      </c>
      <c r="G47" s="50">
        <v>1</v>
      </c>
      <c r="H47" s="50">
        <v>0</v>
      </c>
      <c r="I47" s="50">
        <v>4</v>
      </c>
      <c r="J47" s="50">
        <v>0</v>
      </c>
      <c r="K47" s="50">
        <v>2</v>
      </c>
      <c r="L47" s="50">
        <v>0</v>
      </c>
      <c r="M47" s="50">
        <v>60</v>
      </c>
      <c r="N47" s="50">
        <v>0</v>
      </c>
      <c r="O47" s="15">
        <f t="shared" si="0"/>
        <v>96</v>
      </c>
      <c r="P47" s="15">
        <f t="shared" si="1"/>
        <v>156</v>
      </c>
      <c r="R47" s="8"/>
      <c r="T47"/>
    </row>
    <row r="48" spans="2:20" ht="23.1" customHeight="1" x14ac:dyDescent="0.25">
      <c r="B48" s="24" t="s">
        <v>75</v>
      </c>
      <c r="C48" s="50">
        <v>60</v>
      </c>
      <c r="D48" s="50">
        <v>22</v>
      </c>
      <c r="E48" s="50">
        <v>7</v>
      </c>
      <c r="F48" s="50">
        <v>75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95</v>
      </c>
      <c r="N48" s="50">
        <v>0</v>
      </c>
      <c r="O48" s="15">
        <f t="shared" si="0"/>
        <v>166</v>
      </c>
      <c r="P48" s="15">
        <f t="shared" si="1"/>
        <v>261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18</v>
      </c>
      <c r="E49" s="50">
        <v>4</v>
      </c>
      <c r="F49" s="50">
        <v>83</v>
      </c>
      <c r="G49" s="50">
        <v>0</v>
      </c>
      <c r="H49" s="50">
        <v>0</v>
      </c>
      <c r="I49" s="50">
        <v>8</v>
      </c>
      <c r="J49" s="50">
        <v>3</v>
      </c>
      <c r="K49" s="50">
        <v>0</v>
      </c>
      <c r="L49" s="50">
        <v>0</v>
      </c>
      <c r="M49" s="50">
        <v>85</v>
      </c>
      <c r="N49" s="50">
        <v>0</v>
      </c>
      <c r="O49" s="15">
        <f t="shared" si="0"/>
        <v>161</v>
      </c>
      <c r="P49" s="15">
        <f t="shared" si="1"/>
        <v>246</v>
      </c>
      <c r="R49" s="8"/>
      <c r="T49"/>
    </row>
    <row r="50" spans="2:20" ht="23.1" customHeight="1" x14ac:dyDescent="0.25">
      <c r="B50" s="24" t="s">
        <v>77</v>
      </c>
      <c r="C50" s="50">
        <v>50</v>
      </c>
      <c r="D50" s="50">
        <v>10</v>
      </c>
      <c r="E50" s="50">
        <v>12</v>
      </c>
      <c r="F50" s="50">
        <v>60</v>
      </c>
      <c r="G50" s="50">
        <v>1</v>
      </c>
      <c r="H50" s="50">
        <v>0</v>
      </c>
      <c r="I50" s="50">
        <v>8</v>
      </c>
      <c r="J50" s="50">
        <v>0</v>
      </c>
      <c r="K50" s="50">
        <v>1</v>
      </c>
      <c r="L50" s="50">
        <v>3</v>
      </c>
      <c r="M50" s="50">
        <v>125</v>
      </c>
      <c r="N50" s="50">
        <v>0</v>
      </c>
      <c r="O50" s="15">
        <f t="shared" si="0"/>
        <v>145</v>
      </c>
      <c r="P50" s="15">
        <f t="shared" si="1"/>
        <v>270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24</v>
      </c>
      <c r="E51" s="50">
        <v>9</v>
      </c>
      <c r="F51" s="50">
        <v>45</v>
      </c>
      <c r="G51" s="50">
        <v>0</v>
      </c>
      <c r="H51" s="50">
        <v>0</v>
      </c>
      <c r="I51" s="50">
        <v>5</v>
      </c>
      <c r="J51" s="50">
        <v>3</v>
      </c>
      <c r="K51" s="50">
        <v>0</v>
      </c>
      <c r="L51" s="50">
        <v>1</v>
      </c>
      <c r="M51" s="50">
        <v>100</v>
      </c>
      <c r="N51" s="50">
        <v>0</v>
      </c>
      <c r="O51" s="15">
        <f t="shared" si="0"/>
        <v>117</v>
      </c>
      <c r="P51" s="15">
        <f t="shared" si="1"/>
        <v>217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13</v>
      </c>
      <c r="E52" s="50">
        <v>4</v>
      </c>
      <c r="F52" s="50">
        <v>65</v>
      </c>
      <c r="G52" s="50">
        <v>1</v>
      </c>
      <c r="H52" s="50">
        <v>0</v>
      </c>
      <c r="I52" s="50">
        <v>6</v>
      </c>
      <c r="J52" s="50">
        <v>2</v>
      </c>
      <c r="K52" s="50">
        <v>2</v>
      </c>
      <c r="L52" s="50">
        <v>2</v>
      </c>
      <c r="M52" s="50">
        <v>95</v>
      </c>
      <c r="N52" s="50">
        <v>0</v>
      </c>
      <c r="O52" s="15">
        <f t="shared" si="0"/>
        <v>150</v>
      </c>
      <c r="P52" s="15">
        <f t="shared" si="1"/>
        <v>245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16</v>
      </c>
      <c r="E53" s="50">
        <v>11</v>
      </c>
      <c r="F53" s="50">
        <v>60</v>
      </c>
      <c r="G53" s="50">
        <v>4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100</v>
      </c>
      <c r="N53" s="50">
        <v>0</v>
      </c>
      <c r="O53" s="15">
        <f t="shared" si="0"/>
        <v>126</v>
      </c>
      <c r="P53" s="15">
        <f t="shared" si="1"/>
        <v>226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15</v>
      </c>
      <c r="E54" s="50">
        <v>5</v>
      </c>
      <c r="F54" s="50">
        <v>85</v>
      </c>
      <c r="G54" s="50">
        <v>5</v>
      </c>
      <c r="H54" s="50">
        <v>2</v>
      </c>
      <c r="I54" s="50">
        <v>2</v>
      </c>
      <c r="J54" s="50">
        <v>0</v>
      </c>
      <c r="K54" s="50">
        <v>3</v>
      </c>
      <c r="L54" s="50">
        <v>2</v>
      </c>
      <c r="M54" s="50">
        <v>120</v>
      </c>
      <c r="N54" s="50">
        <v>0</v>
      </c>
      <c r="O54" s="15">
        <f t="shared" si="0"/>
        <v>189</v>
      </c>
      <c r="P54" s="15">
        <f t="shared" si="1"/>
        <v>309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14</v>
      </c>
      <c r="E55" s="50">
        <v>4</v>
      </c>
      <c r="F55" s="50">
        <v>55</v>
      </c>
      <c r="G55" s="50">
        <v>2</v>
      </c>
      <c r="H55" s="50">
        <v>0</v>
      </c>
      <c r="I55" s="50">
        <v>7</v>
      </c>
      <c r="J55" s="50">
        <v>0</v>
      </c>
      <c r="K55" s="50">
        <v>2</v>
      </c>
      <c r="L55" s="50">
        <v>1</v>
      </c>
      <c r="M55" s="50">
        <v>20</v>
      </c>
      <c r="N55" s="50">
        <v>0</v>
      </c>
      <c r="O55" s="15">
        <f t="shared" si="0"/>
        <v>125</v>
      </c>
      <c r="P55" s="15">
        <f t="shared" si="1"/>
        <v>145</v>
      </c>
      <c r="R55" s="8"/>
      <c r="T55"/>
    </row>
    <row r="56" spans="2:20" ht="23.1" customHeight="1" x14ac:dyDescent="0.25">
      <c r="B56" s="23" t="s">
        <v>83</v>
      </c>
      <c r="C56" s="50">
        <v>30</v>
      </c>
      <c r="D56" s="50">
        <v>6</v>
      </c>
      <c r="E56" s="50">
        <v>8</v>
      </c>
      <c r="F56" s="50">
        <v>85</v>
      </c>
      <c r="G56" s="50">
        <v>1</v>
      </c>
      <c r="H56" s="50">
        <v>0</v>
      </c>
      <c r="I56" s="50">
        <v>13</v>
      </c>
      <c r="J56" s="50">
        <v>1</v>
      </c>
      <c r="K56" s="50">
        <v>1</v>
      </c>
      <c r="L56" s="50">
        <v>0</v>
      </c>
      <c r="M56" s="50">
        <v>115</v>
      </c>
      <c r="N56" s="50">
        <v>0</v>
      </c>
      <c r="O56" s="15">
        <f t="shared" si="0"/>
        <v>145</v>
      </c>
      <c r="P56" s="15">
        <f t="shared" si="1"/>
        <v>260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13</v>
      </c>
      <c r="E57" s="50">
        <v>6</v>
      </c>
      <c r="F57" s="50">
        <v>65</v>
      </c>
      <c r="G57" s="50">
        <v>2</v>
      </c>
      <c r="H57" s="50">
        <v>1</v>
      </c>
      <c r="I57" s="50">
        <v>6</v>
      </c>
      <c r="J57" s="50">
        <v>1</v>
      </c>
      <c r="K57" s="50">
        <v>1</v>
      </c>
      <c r="L57" s="50">
        <v>1</v>
      </c>
      <c r="M57" s="50">
        <v>120</v>
      </c>
      <c r="N57" s="50">
        <v>0</v>
      </c>
      <c r="O57" s="15">
        <f t="shared" si="0"/>
        <v>126</v>
      </c>
      <c r="P57" s="15">
        <f t="shared" si="1"/>
        <v>246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2442</v>
      </c>
      <c r="D58" s="16">
        <f t="shared" si="21"/>
        <v>945</v>
      </c>
      <c r="E58" s="16">
        <f t="shared" si="21"/>
        <v>401</v>
      </c>
      <c r="F58" s="16">
        <f t="shared" si="21"/>
        <v>3158</v>
      </c>
      <c r="G58" s="16">
        <f t="shared" si="21"/>
        <v>50</v>
      </c>
      <c r="H58" s="16">
        <f t="shared" si="21"/>
        <v>15</v>
      </c>
      <c r="I58" s="16">
        <f t="shared" si="21"/>
        <v>391</v>
      </c>
      <c r="J58" s="16">
        <f t="shared" si="21"/>
        <v>62</v>
      </c>
      <c r="K58" s="16">
        <f t="shared" si="21"/>
        <v>22</v>
      </c>
      <c r="L58" s="16">
        <f t="shared" si="21"/>
        <v>39</v>
      </c>
      <c r="M58" s="16">
        <f t="shared" si="21"/>
        <v>5453</v>
      </c>
      <c r="N58" s="16">
        <f t="shared" si="21"/>
        <v>0</v>
      </c>
      <c r="O58" s="16">
        <f t="shared" si="21"/>
        <v>7525</v>
      </c>
      <c r="P58" s="16">
        <f t="shared" si="21"/>
        <v>12978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0.18816458622283866</v>
      </c>
      <c r="D59" s="43">
        <f t="shared" si="22"/>
        <v>7.281553398058252E-2</v>
      </c>
      <c r="E59" s="43">
        <f t="shared" si="22"/>
        <v>3.0898443519802744E-2</v>
      </c>
      <c r="F59" s="43">
        <f t="shared" si="22"/>
        <v>0.24333487440283558</v>
      </c>
      <c r="G59" s="43">
        <f t="shared" si="22"/>
        <v>3.8526737555863769E-3</v>
      </c>
      <c r="H59" s="43">
        <f t="shared" si="22"/>
        <v>1.1558021266759131E-3</v>
      </c>
      <c r="I59" s="43">
        <f t="shared" si="22"/>
        <v>3.0127908768685468E-2</v>
      </c>
      <c r="J59" s="43">
        <f t="shared" si="22"/>
        <v>4.7773154569271071E-3</v>
      </c>
      <c r="K59" s="43">
        <f t="shared" si="22"/>
        <v>1.6951764524580058E-3</v>
      </c>
      <c r="L59" s="43">
        <f t="shared" si="22"/>
        <v>3.0050855293573741E-3</v>
      </c>
      <c r="M59" s="43">
        <f t="shared" si="22"/>
        <v>0.42017259978425026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0.32451827242524917</v>
      </c>
      <c r="D60" s="44">
        <f t="shared" ref="D60:N60" si="23">D58/$O$58</f>
        <v>0.12558139534883722</v>
      </c>
      <c r="E60" s="44">
        <f t="shared" si="23"/>
        <v>5.3289036544850496E-2</v>
      </c>
      <c r="F60" s="44">
        <f t="shared" si="23"/>
        <v>0.41966777408637873</v>
      </c>
      <c r="G60" s="44">
        <f t="shared" si="23"/>
        <v>6.6445182724252493E-3</v>
      </c>
      <c r="H60" s="44">
        <f t="shared" si="23"/>
        <v>1.9933554817275745E-3</v>
      </c>
      <c r="I60" s="44">
        <f t="shared" si="23"/>
        <v>5.1960132890365447E-2</v>
      </c>
      <c r="J60" s="44">
        <f t="shared" si="23"/>
        <v>8.2392026578073096E-3</v>
      </c>
      <c r="K60" s="44">
        <f t="shared" si="23"/>
        <v>2.9235880398671096E-3</v>
      </c>
      <c r="L60" s="44">
        <f t="shared" si="23"/>
        <v>5.1827242524916948E-3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A68" sqref="A6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6" t="str">
        <f>'25.07 Wakiso-Kampala'!G5:H5</f>
        <v>AFTER STABEX NANSANA</v>
      </c>
      <c r="H5" s="67"/>
      <c r="I5" s="14"/>
      <c r="J5" s="2" t="s">
        <v>5</v>
      </c>
      <c r="K5" s="66" t="str">
        <f>'25.07 Wakiso-Kampala'!K5:L5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Kampala-Wakiso'!D6:E6</f>
        <v>KAMPALA</v>
      </c>
      <c r="E6" s="67"/>
      <c r="F6" s="2" t="s">
        <v>2</v>
      </c>
      <c r="G6" s="66" t="str">
        <f>'22.07 Kampala-Wakiso'!G6:H6</f>
        <v>WAKISO</v>
      </c>
      <c r="H6" s="67"/>
      <c r="J6" s="2" t="s">
        <v>21</v>
      </c>
      <c r="K6" s="66" t="str">
        <f>'25.07 Wakiso-Kampala'!K6:L6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17</v>
      </c>
      <c r="D10" s="50">
        <v>20</v>
      </c>
      <c r="E10" s="50">
        <v>9</v>
      </c>
      <c r="F10" s="50">
        <v>30</v>
      </c>
      <c r="G10" s="50">
        <v>2</v>
      </c>
      <c r="H10" s="50">
        <v>0</v>
      </c>
      <c r="I10" s="50">
        <v>9</v>
      </c>
      <c r="J10" s="50">
        <v>0</v>
      </c>
      <c r="K10" s="50">
        <v>0</v>
      </c>
      <c r="L10" s="50">
        <v>0</v>
      </c>
      <c r="M10" s="50">
        <v>41</v>
      </c>
      <c r="N10" s="50">
        <v>0</v>
      </c>
      <c r="O10" s="15">
        <f t="shared" ref="O10:O57" si="0">SUM(C10:L10,N10)</f>
        <v>87</v>
      </c>
      <c r="P10" s="15">
        <f t="shared" ref="P10:P57" si="1">SUM(C10:N10)</f>
        <v>128</v>
      </c>
      <c r="R10" s="1" t="s">
        <v>6</v>
      </c>
      <c r="S10" s="17">
        <f t="shared" ref="S10:AF10" si="2">SUM(C10:C13)</f>
        <v>95</v>
      </c>
      <c r="T10" s="17">
        <f t="shared" si="2"/>
        <v>92</v>
      </c>
      <c r="U10" s="17">
        <f t="shared" si="2"/>
        <v>30</v>
      </c>
      <c r="V10" s="17">
        <f t="shared" si="2"/>
        <v>121</v>
      </c>
      <c r="W10" s="17">
        <f t="shared" si="2"/>
        <v>6</v>
      </c>
      <c r="X10" s="17">
        <f t="shared" si="2"/>
        <v>1</v>
      </c>
      <c r="Y10" s="17">
        <f t="shared" si="2"/>
        <v>25</v>
      </c>
      <c r="Z10" s="17">
        <f t="shared" si="2"/>
        <v>3</v>
      </c>
      <c r="AA10" s="17">
        <f t="shared" si="2"/>
        <v>0</v>
      </c>
      <c r="AB10" s="17">
        <f t="shared" si="2"/>
        <v>2</v>
      </c>
      <c r="AC10" s="17">
        <f t="shared" si="2"/>
        <v>251</v>
      </c>
      <c r="AD10" s="17">
        <f t="shared" si="2"/>
        <v>0</v>
      </c>
      <c r="AE10" s="31">
        <f t="shared" si="2"/>
        <v>375</v>
      </c>
      <c r="AF10" s="31">
        <f t="shared" si="2"/>
        <v>626</v>
      </c>
    </row>
    <row r="11" spans="2:32" s="6" customFormat="1" ht="23.1" customHeight="1" x14ac:dyDescent="0.25">
      <c r="B11" s="45" t="s">
        <v>38</v>
      </c>
      <c r="C11" s="50">
        <v>25</v>
      </c>
      <c r="D11" s="50">
        <v>32</v>
      </c>
      <c r="E11" s="50">
        <v>2</v>
      </c>
      <c r="F11" s="50">
        <v>31</v>
      </c>
      <c r="G11" s="50">
        <v>1</v>
      </c>
      <c r="H11" s="50">
        <v>1</v>
      </c>
      <c r="I11" s="50">
        <v>6</v>
      </c>
      <c r="J11" s="50">
        <v>0</v>
      </c>
      <c r="K11" s="50">
        <v>0</v>
      </c>
      <c r="L11" s="50">
        <v>1</v>
      </c>
      <c r="M11" s="50">
        <v>75</v>
      </c>
      <c r="N11" s="50">
        <v>0</v>
      </c>
      <c r="O11" s="15">
        <f t="shared" si="0"/>
        <v>99</v>
      </c>
      <c r="P11" s="15">
        <f t="shared" si="1"/>
        <v>174</v>
      </c>
      <c r="R11" s="1" t="s">
        <v>7</v>
      </c>
      <c r="S11" s="17">
        <f t="shared" ref="S11:AF11" si="3">SUM(C14:C17)</f>
        <v>144</v>
      </c>
      <c r="T11" s="17">
        <f t="shared" si="3"/>
        <v>132</v>
      </c>
      <c r="U11" s="17">
        <f t="shared" si="3"/>
        <v>13</v>
      </c>
      <c r="V11" s="17">
        <f t="shared" si="3"/>
        <v>254</v>
      </c>
      <c r="W11" s="17">
        <f t="shared" si="3"/>
        <v>5</v>
      </c>
      <c r="X11" s="17">
        <f t="shared" si="3"/>
        <v>1</v>
      </c>
      <c r="Y11" s="17">
        <f t="shared" si="3"/>
        <v>28</v>
      </c>
      <c r="Z11" s="17">
        <f t="shared" si="3"/>
        <v>3</v>
      </c>
      <c r="AA11" s="17">
        <f t="shared" si="3"/>
        <v>8</v>
      </c>
      <c r="AB11" s="17">
        <f t="shared" si="3"/>
        <v>2</v>
      </c>
      <c r="AC11" s="17">
        <f t="shared" si="3"/>
        <v>345</v>
      </c>
      <c r="AD11" s="17">
        <f t="shared" si="3"/>
        <v>0</v>
      </c>
      <c r="AE11" s="31">
        <f t="shared" si="3"/>
        <v>590</v>
      </c>
      <c r="AF11" s="31">
        <f t="shared" si="3"/>
        <v>935</v>
      </c>
    </row>
    <row r="12" spans="2:32" ht="23.1" customHeight="1" x14ac:dyDescent="0.25">
      <c r="B12" s="45" t="s">
        <v>39</v>
      </c>
      <c r="C12" s="50">
        <v>8</v>
      </c>
      <c r="D12" s="50">
        <v>10</v>
      </c>
      <c r="E12" s="50">
        <v>2</v>
      </c>
      <c r="F12" s="50">
        <v>15</v>
      </c>
      <c r="G12" s="50">
        <v>3</v>
      </c>
      <c r="H12" s="50">
        <v>0</v>
      </c>
      <c r="I12" s="50">
        <v>5</v>
      </c>
      <c r="J12" s="50">
        <v>1</v>
      </c>
      <c r="K12" s="50">
        <v>0</v>
      </c>
      <c r="L12" s="50">
        <v>0</v>
      </c>
      <c r="M12" s="50">
        <v>65</v>
      </c>
      <c r="N12" s="50">
        <v>0</v>
      </c>
      <c r="O12" s="15">
        <f t="shared" si="0"/>
        <v>44</v>
      </c>
      <c r="P12" s="15">
        <f t="shared" si="1"/>
        <v>109</v>
      </c>
      <c r="R12" s="1" t="s">
        <v>8</v>
      </c>
      <c r="S12" s="17">
        <f t="shared" ref="S12:AF12" si="4">SUM(C18:C21)</f>
        <v>205</v>
      </c>
      <c r="T12" s="17">
        <f t="shared" si="4"/>
        <v>227</v>
      </c>
      <c r="U12" s="17">
        <f t="shared" si="4"/>
        <v>19</v>
      </c>
      <c r="V12" s="17">
        <f t="shared" si="4"/>
        <v>200</v>
      </c>
      <c r="W12" s="17">
        <f t="shared" si="4"/>
        <v>6</v>
      </c>
      <c r="X12" s="17">
        <f t="shared" si="4"/>
        <v>0</v>
      </c>
      <c r="Y12" s="17">
        <f t="shared" si="4"/>
        <v>54</v>
      </c>
      <c r="Z12" s="17">
        <f t="shared" si="4"/>
        <v>4</v>
      </c>
      <c r="AA12" s="17">
        <f t="shared" si="4"/>
        <v>1</v>
      </c>
      <c r="AB12" s="17">
        <f t="shared" si="4"/>
        <v>2</v>
      </c>
      <c r="AC12" s="17">
        <f t="shared" si="4"/>
        <v>290</v>
      </c>
      <c r="AD12" s="17">
        <f t="shared" si="4"/>
        <v>0</v>
      </c>
      <c r="AE12" s="31">
        <f t="shared" si="4"/>
        <v>718</v>
      </c>
      <c r="AF12" s="31">
        <f t="shared" si="4"/>
        <v>1008</v>
      </c>
    </row>
    <row r="13" spans="2:32" ht="23.1" customHeight="1" x14ac:dyDescent="0.25">
      <c r="B13" s="45" t="s">
        <v>40</v>
      </c>
      <c r="C13" s="50">
        <v>45</v>
      </c>
      <c r="D13" s="50">
        <v>30</v>
      </c>
      <c r="E13" s="50">
        <v>17</v>
      </c>
      <c r="F13" s="50">
        <v>45</v>
      </c>
      <c r="G13" s="50">
        <v>0</v>
      </c>
      <c r="H13" s="50">
        <v>0</v>
      </c>
      <c r="I13" s="50">
        <v>5</v>
      </c>
      <c r="J13" s="50">
        <v>2</v>
      </c>
      <c r="K13" s="50">
        <v>0</v>
      </c>
      <c r="L13" s="50">
        <v>1</v>
      </c>
      <c r="M13" s="50">
        <v>70</v>
      </c>
      <c r="N13" s="50">
        <v>0</v>
      </c>
      <c r="O13" s="15">
        <f t="shared" si="0"/>
        <v>145</v>
      </c>
      <c r="P13" s="15">
        <f t="shared" si="1"/>
        <v>215</v>
      </c>
      <c r="R13" s="1" t="s">
        <v>9</v>
      </c>
      <c r="S13" s="17">
        <f t="shared" ref="S13:AF13" si="5">SUM(C22:C25)</f>
        <v>220</v>
      </c>
      <c r="T13" s="17">
        <f t="shared" si="5"/>
        <v>247</v>
      </c>
      <c r="U13" s="17">
        <f t="shared" si="5"/>
        <v>28</v>
      </c>
      <c r="V13" s="17">
        <f t="shared" si="5"/>
        <v>245</v>
      </c>
      <c r="W13" s="17">
        <f t="shared" si="5"/>
        <v>5</v>
      </c>
      <c r="X13" s="17">
        <f t="shared" si="5"/>
        <v>0</v>
      </c>
      <c r="Y13" s="17">
        <f t="shared" si="5"/>
        <v>47</v>
      </c>
      <c r="Z13" s="17">
        <f t="shared" si="5"/>
        <v>7</v>
      </c>
      <c r="AA13" s="17">
        <f t="shared" si="5"/>
        <v>3</v>
      </c>
      <c r="AB13" s="17">
        <f t="shared" si="5"/>
        <v>7</v>
      </c>
      <c r="AC13" s="17">
        <f t="shared" si="5"/>
        <v>335</v>
      </c>
      <c r="AD13" s="17">
        <f t="shared" si="5"/>
        <v>0</v>
      </c>
      <c r="AE13" s="31">
        <f t="shared" si="5"/>
        <v>809</v>
      </c>
      <c r="AF13" s="31">
        <f t="shared" si="5"/>
        <v>1144</v>
      </c>
    </row>
    <row r="14" spans="2:32" ht="23.1" customHeight="1" x14ac:dyDescent="0.25">
      <c r="B14" s="45" t="s">
        <v>41</v>
      </c>
      <c r="C14" s="50">
        <v>30</v>
      </c>
      <c r="D14" s="50">
        <v>25</v>
      </c>
      <c r="E14" s="50">
        <v>2</v>
      </c>
      <c r="F14" s="50">
        <v>50</v>
      </c>
      <c r="G14" s="50">
        <v>2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80</v>
      </c>
      <c r="N14" s="50">
        <v>0</v>
      </c>
      <c r="O14" s="15">
        <f t="shared" si="0"/>
        <v>114</v>
      </c>
      <c r="P14" s="15">
        <f t="shared" si="1"/>
        <v>194</v>
      </c>
      <c r="R14" s="1" t="s">
        <v>10</v>
      </c>
      <c r="S14" s="17">
        <f t="shared" ref="S14:AF14" si="6">SUM(C26:C29)</f>
        <v>175</v>
      </c>
      <c r="T14" s="17">
        <f t="shared" si="6"/>
        <v>182</v>
      </c>
      <c r="U14" s="17">
        <f t="shared" si="6"/>
        <v>31</v>
      </c>
      <c r="V14" s="17">
        <f t="shared" si="6"/>
        <v>140</v>
      </c>
      <c r="W14" s="17">
        <f t="shared" si="6"/>
        <v>1</v>
      </c>
      <c r="X14" s="17">
        <f t="shared" si="6"/>
        <v>1</v>
      </c>
      <c r="Y14" s="17">
        <f t="shared" si="6"/>
        <v>40</v>
      </c>
      <c r="Z14" s="17">
        <f t="shared" si="6"/>
        <v>3</v>
      </c>
      <c r="AA14" s="17">
        <f t="shared" si="6"/>
        <v>4</v>
      </c>
      <c r="AB14" s="17">
        <f t="shared" si="6"/>
        <v>5</v>
      </c>
      <c r="AC14" s="17">
        <f t="shared" si="6"/>
        <v>302</v>
      </c>
      <c r="AD14" s="17">
        <f t="shared" si="6"/>
        <v>0</v>
      </c>
      <c r="AE14" s="31">
        <f t="shared" si="6"/>
        <v>582</v>
      </c>
      <c r="AF14" s="31">
        <f t="shared" si="6"/>
        <v>884</v>
      </c>
    </row>
    <row r="15" spans="2:32" ht="23.1" customHeight="1" x14ac:dyDescent="0.25">
      <c r="B15" s="45" t="s">
        <v>42</v>
      </c>
      <c r="C15" s="50">
        <v>60</v>
      </c>
      <c r="D15" s="50">
        <v>81</v>
      </c>
      <c r="E15" s="50">
        <v>3</v>
      </c>
      <c r="F15" s="50">
        <v>70</v>
      </c>
      <c r="G15" s="50">
        <v>2</v>
      </c>
      <c r="H15" s="50">
        <v>0</v>
      </c>
      <c r="I15" s="50">
        <v>8</v>
      </c>
      <c r="J15" s="50">
        <v>0</v>
      </c>
      <c r="K15" s="50">
        <v>0</v>
      </c>
      <c r="L15" s="50">
        <v>2</v>
      </c>
      <c r="M15" s="50">
        <v>80</v>
      </c>
      <c r="N15" s="50">
        <v>0</v>
      </c>
      <c r="O15" s="15">
        <f t="shared" si="0"/>
        <v>226</v>
      </c>
      <c r="P15" s="15">
        <f t="shared" si="1"/>
        <v>306</v>
      </c>
      <c r="R15" s="1" t="s">
        <v>11</v>
      </c>
      <c r="S15" s="17">
        <f t="shared" ref="S15:AF15" si="7">SUM(C30:C33)</f>
        <v>170</v>
      </c>
      <c r="T15" s="17">
        <f t="shared" si="7"/>
        <v>150</v>
      </c>
      <c r="U15" s="17">
        <f t="shared" si="7"/>
        <v>9</v>
      </c>
      <c r="V15" s="17">
        <f t="shared" si="7"/>
        <v>182</v>
      </c>
      <c r="W15" s="17">
        <f t="shared" si="7"/>
        <v>0</v>
      </c>
      <c r="X15" s="17">
        <f t="shared" si="7"/>
        <v>2</v>
      </c>
      <c r="Y15" s="17">
        <f t="shared" si="7"/>
        <v>55</v>
      </c>
      <c r="Z15" s="17">
        <f t="shared" si="7"/>
        <v>1</v>
      </c>
      <c r="AA15" s="17">
        <f t="shared" si="7"/>
        <v>0</v>
      </c>
      <c r="AB15" s="17">
        <f t="shared" si="7"/>
        <v>11</v>
      </c>
      <c r="AC15" s="17">
        <f t="shared" si="7"/>
        <v>395</v>
      </c>
      <c r="AD15" s="17">
        <f t="shared" si="7"/>
        <v>0</v>
      </c>
      <c r="AE15" s="31">
        <f t="shared" si="7"/>
        <v>580</v>
      </c>
      <c r="AF15" s="31">
        <f t="shared" si="7"/>
        <v>975</v>
      </c>
    </row>
    <row r="16" spans="2:32" ht="23.1" customHeight="1" x14ac:dyDescent="0.25">
      <c r="B16" s="45" t="s">
        <v>43</v>
      </c>
      <c r="C16" s="50">
        <v>29</v>
      </c>
      <c r="D16" s="50">
        <v>11</v>
      </c>
      <c r="E16" s="50">
        <v>4</v>
      </c>
      <c r="F16" s="50">
        <v>68</v>
      </c>
      <c r="G16" s="50">
        <v>1</v>
      </c>
      <c r="H16" s="50">
        <v>1</v>
      </c>
      <c r="I16" s="50">
        <v>6</v>
      </c>
      <c r="J16" s="50">
        <v>1</v>
      </c>
      <c r="K16" s="50">
        <v>3</v>
      </c>
      <c r="L16" s="50">
        <v>0</v>
      </c>
      <c r="M16" s="50">
        <v>140</v>
      </c>
      <c r="N16" s="50">
        <v>0</v>
      </c>
      <c r="O16" s="15">
        <f t="shared" si="0"/>
        <v>124</v>
      </c>
      <c r="P16" s="15">
        <f t="shared" si="1"/>
        <v>264</v>
      </c>
      <c r="R16" s="1" t="s">
        <v>12</v>
      </c>
      <c r="S16" s="17">
        <f t="shared" ref="S16:AF16" si="8">SUM(C34:C37)</f>
        <v>155</v>
      </c>
      <c r="T16" s="17">
        <f t="shared" si="8"/>
        <v>125</v>
      </c>
      <c r="U16" s="17">
        <f t="shared" si="8"/>
        <v>14</v>
      </c>
      <c r="V16" s="17">
        <f t="shared" si="8"/>
        <v>190</v>
      </c>
      <c r="W16" s="17">
        <f t="shared" si="8"/>
        <v>2</v>
      </c>
      <c r="X16" s="17">
        <f t="shared" si="8"/>
        <v>3</v>
      </c>
      <c r="Y16" s="17">
        <f t="shared" si="8"/>
        <v>56</v>
      </c>
      <c r="Z16" s="17">
        <f t="shared" si="8"/>
        <v>3</v>
      </c>
      <c r="AA16" s="17">
        <f t="shared" si="8"/>
        <v>0</v>
      </c>
      <c r="AB16" s="17">
        <f t="shared" si="8"/>
        <v>4</v>
      </c>
      <c r="AC16" s="17">
        <f t="shared" si="8"/>
        <v>315</v>
      </c>
      <c r="AD16" s="17">
        <f t="shared" si="8"/>
        <v>0</v>
      </c>
      <c r="AE16" s="31">
        <f t="shared" si="8"/>
        <v>552</v>
      </c>
      <c r="AF16" s="31">
        <f t="shared" si="8"/>
        <v>867</v>
      </c>
    </row>
    <row r="17" spans="2:32" ht="23.1" customHeight="1" x14ac:dyDescent="0.25">
      <c r="B17" s="45" t="s">
        <v>44</v>
      </c>
      <c r="C17" s="50">
        <v>25</v>
      </c>
      <c r="D17" s="50">
        <v>15</v>
      </c>
      <c r="E17" s="50">
        <v>4</v>
      </c>
      <c r="F17" s="50">
        <v>66</v>
      </c>
      <c r="G17" s="50">
        <v>0</v>
      </c>
      <c r="H17" s="50">
        <v>0</v>
      </c>
      <c r="I17" s="50">
        <v>9</v>
      </c>
      <c r="J17" s="50">
        <v>2</v>
      </c>
      <c r="K17" s="50">
        <v>5</v>
      </c>
      <c r="L17" s="50">
        <v>0</v>
      </c>
      <c r="M17" s="50">
        <v>45</v>
      </c>
      <c r="N17" s="50">
        <v>0</v>
      </c>
      <c r="O17" s="15">
        <f t="shared" si="0"/>
        <v>126</v>
      </c>
      <c r="P17" s="15">
        <f t="shared" si="1"/>
        <v>171</v>
      </c>
      <c r="R17" s="1" t="s">
        <v>13</v>
      </c>
      <c r="S17" s="17">
        <f t="shared" ref="S17:AF17" si="9">SUM(C38:C41)</f>
        <v>225</v>
      </c>
      <c r="T17" s="17">
        <f t="shared" si="9"/>
        <v>235</v>
      </c>
      <c r="U17" s="17">
        <f t="shared" si="9"/>
        <v>23</v>
      </c>
      <c r="V17" s="17">
        <f t="shared" si="9"/>
        <v>171</v>
      </c>
      <c r="W17" s="17">
        <f t="shared" si="9"/>
        <v>1</v>
      </c>
      <c r="X17" s="17">
        <f t="shared" si="9"/>
        <v>1</v>
      </c>
      <c r="Y17" s="17">
        <f t="shared" si="9"/>
        <v>40</v>
      </c>
      <c r="Z17" s="17">
        <f t="shared" si="9"/>
        <v>16</v>
      </c>
      <c r="AA17" s="17">
        <f t="shared" si="9"/>
        <v>3</v>
      </c>
      <c r="AB17" s="17">
        <f t="shared" si="9"/>
        <v>13</v>
      </c>
      <c r="AC17" s="17">
        <f t="shared" si="9"/>
        <v>325</v>
      </c>
      <c r="AD17" s="17">
        <f t="shared" si="9"/>
        <v>0</v>
      </c>
      <c r="AE17" s="31">
        <f t="shared" si="9"/>
        <v>728</v>
      </c>
      <c r="AF17" s="31">
        <f t="shared" si="9"/>
        <v>1053</v>
      </c>
    </row>
    <row r="18" spans="2:32" ht="23.1" customHeight="1" x14ac:dyDescent="0.25">
      <c r="B18" s="45" t="s">
        <v>45</v>
      </c>
      <c r="C18" s="50">
        <v>60</v>
      </c>
      <c r="D18" s="50">
        <v>55</v>
      </c>
      <c r="E18" s="50">
        <v>2</v>
      </c>
      <c r="F18" s="50">
        <v>60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1</v>
      </c>
      <c r="M18" s="50">
        <v>90</v>
      </c>
      <c r="N18" s="50">
        <v>0</v>
      </c>
      <c r="O18" s="15">
        <f t="shared" si="0"/>
        <v>183</v>
      </c>
      <c r="P18" s="15">
        <f t="shared" si="1"/>
        <v>273</v>
      </c>
      <c r="R18" s="1" t="s">
        <v>14</v>
      </c>
      <c r="S18" s="17">
        <f t="shared" ref="S18:AF18" si="10">SUM(C42:C45)</f>
        <v>280</v>
      </c>
      <c r="T18" s="17">
        <f t="shared" si="10"/>
        <v>273</v>
      </c>
      <c r="U18" s="17">
        <f t="shared" si="10"/>
        <v>41</v>
      </c>
      <c r="V18" s="17">
        <f t="shared" si="10"/>
        <v>161</v>
      </c>
      <c r="W18" s="17">
        <f t="shared" si="10"/>
        <v>0</v>
      </c>
      <c r="X18" s="17">
        <f t="shared" si="10"/>
        <v>1</v>
      </c>
      <c r="Y18" s="17">
        <f t="shared" si="10"/>
        <v>40</v>
      </c>
      <c r="Z18" s="17">
        <f t="shared" si="10"/>
        <v>14</v>
      </c>
      <c r="AA18" s="17">
        <f t="shared" si="10"/>
        <v>6</v>
      </c>
      <c r="AB18" s="17">
        <f t="shared" si="10"/>
        <v>3</v>
      </c>
      <c r="AC18" s="17">
        <f t="shared" si="10"/>
        <v>390</v>
      </c>
      <c r="AD18" s="17">
        <f t="shared" si="10"/>
        <v>0</v>
      </c>
      <c r="AE18" s="31">
        <f t="shared" si="10"/>
        <v>819</v>
      </c>
      <c r="AF18" s="31">
        <f t="shared" si="10"/>
        <v>1209</v>
      </c>
    </row>
    <row r="19" spans="2:32" ht="23.1" customHeight="1" x14ac:dyDescent="0.25">
      <c r="B19" s="45" t="s">
        <v>46</v>
      </c>
      <c r="C19" s="50">
        <v>65</v>
      </c>
      <c r="D19" s="50">
        <v>67</v>
      </c>
      <c r="E19" s="50">
        <v>5</v>
      </c>
      <c r="F19" s="50">
        <v>60</v>
      </c>
      <c r="G19" s="50">
        <v>3</v>
      </c>
      <c r="H19" s="50">
        <v>0</v>
      </c>
      <c r="I19" s="50">
        <v>15</v>
      </c>
      <c r="J19" s="50">
        <v>3</v>
      </c>
      <c r="K19" s="50">
        <v>0</v>
      </c>
      <c r="L19" s="50">
        <v>0</v>
      </c>
      <c r="M19" s="50">
        <v>50</v>
      </c>
      <c r="N19" s="50">
        <v>0</v>
      </c>
      <c r="O19" s="15">
        <f t="shared" si="0"/>
        <v>218</v>
      </c>
      <c r="P19" s="15">
        <f t="shared" si="1"/>
        <v>268</v>
      </c>
      <c r="R19" s="1" t="s">
        <v>15</v>
      </c>
      <c r="S19" s="17">
        <f t="shared" ref="S19:AF19" si="11">SUM(C46:C49)</f>
        <v>272</v>
      </c>
      <c r="T19" s="17">
        <f t="shared" si="11"/>
        <v>200</v>
      </c>
      <c r="U19" s="17">
        <f t="shared" si="11"/>
        <v>90</v>
      </c>
      <c r="V19" s="17">
        <f t="shared" si="11"/>
        <v>267</v>
      </c>
      <c r="W19" s="17">
        <f t="shared" si="11"/>
        <v>1</v>
      </c>
      <c r="X19" s="17">
        <f t="shared" si="11"/>
        <v>1</v>
      </c>
      <c r="Y19" s="17">
        <f t="shared" si="11"/>
        <v>56</v>
      </c>
      <c r="Z19" s="17">
        <f t="shared" si="11"/>
        <v>41</v>
      </c>
      <c r="AA19" s="17">
        <f t="shared" si="11"/>
        <v>8</v>
      </c>
      <c r="AB19" s="17">
        <f t="shared" si="11"/>
        <v>6</v>
      </c>
      <c r="AC19" s="17">
        <f t="shared" si="11"/>
        <v>334</v>
      </c>
      <c r="AD19" s="17">
        <f t="shared" si="11"/>
        <v>0</v>
      </c>
      <c r="AE19" s="31">
        <f t="shared" si="11"/>
        <v>942</v>
      </c>
      <c r="AF19" s="31">
        <f t="shared" si="11"/>
        <v>1276</v>
      </c>
    </row>
    <row r="20" spans="2:32" ht="23.1" customHeight="1" x14ac:dyDescent="0.25">
      <c r="B20" s="45" t="s">
        <v>47</v>
      </c>
      <c r="C20" s="50">
        <v>45</v>
      </c>
      <c r="D20" s="50">
        <v>60</v>
      </c>
      <c r="E20" s="50">
        <v>7</v>
      </c>
      <c r="F20" s="50">
        <v>60</v>
      </c>
      <c r="G20" s="50">
        <v>3</v>
      </c>
      <c r="H20" s="50">
        <v>0</v>
      </c>
      <c r="I20" s="50">
        <v>13</v>
      </c>
      <c r="J20" s="50">
        <v>1</v>
      </c>
      <c r="K20" s="50">
        <v>0</v>
      </c>
      <c r="L20" s="50">
        <v>1</v>
      </c>
      <c r="M20" s="50">
        <v>75</v>
      </c>
      <c r="N20" s="50">
        <v>0</v>
      </c>
      <c r="O20" s="15">
        <f t="shared" si="0"/>
        <v>190</v>
      </c>
      <c r="P20" s="15">
        <f t="shared" si="1"/>
        <v>265</v>
      </c>
      <c r="R20" s="1" t="s">
        <v>16</v>
      </c>
      <c r="S20" s="17">
        <f t="shared" ref="S20:AF20" si="12">SUM(C50:C53)</f>
        <v>252</v>
      </c>
      <c r="T20" s="17">
        <f t="shared" si="12"/>
        <v>287</v>
      </c>
      <c r="U20" s="17">
        <f t="shared" si="12"/>
        <v>33</v>
      </c>
      <c r="V20" s="17">
        <f t="shared" si="12"/>
        <v>240</v>
      </c>
      <c r="W20" s="17">
        <f t="shared" si="12"/>
        <v>7</v>
      </c>
      <c r="X20" s="17">
        <f t="shared" si="12"/>
        <v>0</v>
      </c>
      <c r="Y20" s="17">
        <f t="shared" si="12"/>
        <v>25</v>
      </c>
      <c r="Z20" s="17">
        <f t="shared" si="12"/>
        <v>27</v>
      </c>
      <c r="AA20" s="17">
        <f t="shared" si="12"/>
        <v>1</v>
      </c>
      <c r="AB20" s="17">
        <f t="shared" si="12"/>
        <v>5</v>
      </c>
      <c r="AC20" s="17">
        <f t="shared" si="12"/>
        <v>365</v>
      </c>
      <c r="AD20" s="17">
        <f t="shared" si="12"/>
        <v>0</v>
      </c>
      <c r="AE20" s="31">
        <f t="shared" si="12"/>
        <v>877</v>
      </c>
      <c r="AF20" s="31">
        <f t="shared" si="12"/>
        <v>1242</v>
      </c>
    </row>
    <row r="21" spans="2:32" ht="23.1" customHeight="1" x14ac:dyDescent="0.25">
      <c r="B21" s="45" t="s">
        <v>48</v>
      </c>
      <c r="C21" s="50">
        <v>35</v>
      </c>
      <c r="D21" s="50">
        <v>45</v>
      </c>
      <c r="E21" s="50">
        <v>5</v>
      </c>
      <c r="F21" s="50">
        <v>20</v>
      </c>
      <c r="G21" s="50">
        <v>0</v>
      </c>
      <c r="H21" s="50">
        <v>0</v>
      </c>
      <c r="I21" s="50">
        <v>21</v>
      </c>
      <c r="J21" s="50">
        <v>0</v>
      </c>
      <c r="K21" s="50">
        <v>1</v>
      </c>
      <c r="L21" s="50">
        <v>0</v>
      </c>
      <c r="M21" s="50">
        <v>75</v>
      </c>
      <c r="N21" s="50">
        <v>0</v>
      </c>
      <c r="O21" s="15">
        <f t="shared" si="0"/>
        <v>127</v>
      </c>
      <c r="P21" s="15">
        <f t="shared" si="1"/>
        <v>202</v>
      </c>
      <c r="R21" s="36" t="s">
        <v>20</v>
      </c>
      <c r="S21" s="34">
        <f t="shared" ref="S21:AF21" si="13">SUM(C54:C57)</f>
        <v>295</v>
      </c>
      <c r="T21" s="17">
        <f t="shared" si="13"/>
        <v>295</v>
      </c>
      <c r="U21" s="17">
        <f t="shared" si="13"/>
        <v>35</v>
      </c>
      <c r="V21" s="17">
        <f t="shared" si="13"/>
        <v>250</v>
      </c>
      <c r="W21" s="17">
        <f t="shared" si="13"/>
        <v>6</v>
      </c>
      <c r="X21" s="17">
        <f t="shared" si="13"/>
        <v>0</v>
      </c>
      <c r="Y21" s="17">
        <f t="shared" si="13"/>
        <v>25</v>
      </c>
      <c r="Z21" s="17">
        <f t="shared" si="13"/>
        <v>9</v>
      </c>
      <c r="AA21" s="17">
        <f t="shared" si="13"/>
        <v>1</v>
      </c>
      <c r="AB21" s="17">
        <f t="shared" si="13"/>
        <v>1</v>
      </c>
      <c r="AC21" s="17">
        <f t="shared" si="13"/>
        <v>360</v>
      </c>
      <c r="AD21" s="17">
        <f t="shared" si="13"/>
        <v>1</v>
      </c>
      <c r="AE21" s="31">
        <f t="shared" si="13"/>
        <v>918</v>
      </c>
      <c r="AF21" s="31">
        <f t="shared" si="13"/>
        <v>1278</v>
      </c>
    </row>
    <row r="22" spans="2:32" ht="23.1" customHeight="1" x14ac:dyDescent="0.25">
      <c r="B22" s="45" t="s">
        <v>49</v>
      </c>
      <c r="C22" s="50">
        <v>60</v>
      </c>
      <c r="D22" s="50">
        <v>70</v>
      </c>
      <c r="E22" s="50">
        <v>8</v>
      </c>
      <c r="F22" s="50">
        <v>75</v>
      </c>
      <c r="G22" s="50">
        <v>1</v>
      </c>
      <c r="H22" s="50">
        <v>0</v>
      </c>
      <c r="I22" s="50">
        <v>18</v>
      </c>
      <c r="J22" s="50">
        <v>6</v>
      </c>
      <c r="K22" s="50">
        <v>0</v>
      </c>
      <c r="L22" s="50">
        <v>1</v>
      </c>
      <c r="M22" s="50">
        <v>90</v>
      </c>
      <c r="N22" s="50">
        <v>0</v>
      </c>
      <c r="O22" s="15">
        <f t="shared" si="0"/>
        <v>239</v>
      </c>
      <c r="P22" s="15">
        <f t="shared" si="1"/>
        <v>329</v>
      </c>
      <c r="R22" s="36" t="s">
        <v>146</v>
      </c>
      <c r="S22" s="34">
        <f>SUM(C58:C61)</f>
        <v>270</v>
      </c>
      <c r="T22" s="34">
        <f t="shared" ref="T22:AF22" si="14">SUM(D58:D61)</f>
        <v>255</v>
      </c>
      <c r="U22" s="34">
        <f t="shared" si="14"/>
        <v>157</v>
      </c>
      <c r="V22" s="34">
        <f t="shared" si="14"/>
        <v>153</v>
      </c>
      <c r="W22" s="34">
        <f t="shared" si="14"/>
        <v>11</v>
      </c>
      <c r="X22" s="34">
        <f t="shared" si="14"/>
        <v>5</v>
      </c>
      <c r="Y22" s="34">
        <f t="shared" si="14"/>
        <v>22</v>
      </c>
      <c r="Z22" s="34">
        <f t="shared" si="14"/>
        <v>2</v>
      </c>
      <c r="AA22" s="34">
        <f t="shared" si="14"/>
        <v>1</v>
      </c>
      <c r="AB22" s="34">
        <f t="shared" si="14"/>
        <v>7</v>
      </c>
      <c r="AC22" s="34">
        <f t="shared" si="14"/>
        <v>350</v>
      </c>
      <c r="AD22" s="34">
        <f t="shared" si="14"/>
        <v>0</v>
      </c>
      <c r="AE22" s="31">
        <f t="shared" si="14"/>
        <v>883</v>
      </c>
      <c r="AF22" s="31">
        <f t="shared" si="14"/>
        <v>1233</v>
      </c>
    </row>
    <row r="23" spans="2:32" ht="23.1" customHeight="1" x14ac:dyDescent="0.25">
      <c r="B23" s="45" t="s">
        <v>50</v>
      </c>
      <c r="C23" s="50">
        <v>60</v>
      </c>
      <c r="D23" s="50">
        <v>65</v>
      </c>
      <c r="E23" s="50">
        <v>9</v>
      </c>
      <c r="F23" s="50">
        <v>60</v>
      </c>
      <c r="G23" s="50">
        <v>2</v>
      </c>
      <c r="H23" s="50">
        <v>0</v>
      </c>
      <c r="I23" s="50">
        <v>17</v>
      </c>
      <c r="J23" s="50">
        <v>0</v>
      </c>
      <c r="K23" s="50">
        <v>3</v>
      </c>
      <c r="L23" s="50">
        <v>2</v>
      </c>
      <c r="M23" s="50">
        <v>80</v>
      </c>
      <c r="N23" s="50">
        <v>0</v>
      </c>
      <c r="O23" s="15">
        <f t="shared" si="0"/>
        <v>218</v>
      </c>
      <c r="P23" s="15">
        <f t="shared" si="1"/>
        <v>298</v>
      </c>
      <c r="R23" s="36" t="s">
        <v>147</v>
      </c>
      <c r="S23" s="34">
        <f>SUM(C62:C65)</f>
        <v>282</v>
      </c>
      <c r="T23" s="34">
        <f t="shared" ref="T23:AF23" si="15">SUM(D62:D65)</f>
        <v>295</v>
      </c>
      <c r="U23" s="34">
        <f t="shared" si="15"/>
        <v>28</v>
      </c>
      <c r="V23" s="34">
        <f t="shared" si="15"/>
        <v>238</v>
      </c>
      <c r="W23" s="34">
        <f t="shared" si="15"/>
        <v>9</v>
      </c>
      <c r="X23" s="34">
        <f t="shared" si="15"/>
        <v>4</v>
      </c>
      <c r="Y23" s="34">
        <f t="shared" si="15"/>
        <v>20</v>
      </c>
      <c r="Z23" s="34">
        <f t="shared" si="15"/>
        <v>2</v>
      </c>
      <c r="AA23" s="34">
        <f t="shared" si="15"/>
        <v>0</v>
      </c>
      <c r="AB23" s="34">
        <f t="shared" si="15"/>
        <v>2</v>
      </c>
      <c r="AC23" s="34">
        <f t="shared" si="15"/>
        <v>360</v>
      </c>
      <c r="AD23" s="34">
        <f t="shared" si="15"/>
        <v>0</v>
      </c>
      <c r="AE23" s="31">
        <f t="shared" si="15"/>
        <v>880</v>
      </c>
      <c r="AF23" s="31">
        <f t="shared" si="15"/>
        <v>1240</v>
      </c>
    </row>
    <row r="24" spans="2:32" ht="23.1" customHeight="1" x14ac:dyDescent="0.25">
      <c r="B24" s="45" t="s">
        <v>51</v>
      </c>
      <c r="C24" s="50">
        <v>65</v>
      </c>
      <c r="D24" s="50">
        <v>76</v>
      </c>
      <c r="E24" s="50">
        <v>5</v>
      </c>
      <c r="F24" s="50">
        <v>65</v>
      </c>
      <c r="G24" s="50">
        <v>2</v>
      </c>
      <c r="H24" s="50">
        <v>0</v>
      </c>
      <c r="I24" s="50">
        <v>10</v>
      </c>
      <c r="J24" s="50">
        <v>1</v>
      </c>
      <c r="K24" s="50">
        <v>0</v>
      </c>
      <c r="L24" s="50">
        <v>3</v>
      </c>
      <c r="M24" s="50">
        <v>75</v>
      </c>
      <c r="N24" s="50">
        <v>0</v>
      </c>
      <c r="O24" s="15">
        <f t="shared" si="0"/>
        <v>227</v>
      </c>
      <c r="P24" s="15">
        <f t="shared" si="1"/>
        <v>302</v>
      </c>
      <c r="R24" s="36" t="s">
        <v>148</v>
      </c>
      <c r="S24" s="34">
        <f>SUM(C66:C69)</f>
        <v>250</v>
      </c>
      <c r="T24" s="34">
        <f t="shared" ref="T24:AF24" si="16">SUM(D66:D69)</f>
        <v>295</v>
      </c>
      <c r="U24" s="34">
        <f t="shared" si="16"/>
        <v>26</v>
      </c>
      <c r="V24" s="34">
        <f t="shared" si="16"/>
        <v>305</v>
      </c>
      <c r="W24" s="34">
        <f t="shared" si="16"/>
        <v>7</v>
      </c>
      <c r="X24" s="34">
        <f t="shared" si="16"/>
        <v>4</v>
      </c>
      <c r="Y24" s="34">
        <f t="shared" si="16"/>
        <v>15</v>
      </c>
      <c r="Z24" s="34">
        <f t="shared" si="16"/>
        <v>20</v>
      </c>
      <c r="AA24" s="34">
        <f t="shared" si="16"/>
        <v>0</v>
      </c>
      <c r="AB24" s="34">
        <f t="shared" si="16"/>
        <v>4</v>
      </c>
      <c r="AC24" s="34">
        <f t="shared" si="16"/>
        <v>350</v>
      </c>
      <c r="AD24" s="34">
        <f t="shared" si="16"/>
        <v>0</v>
      </c>
      <c r="AE24" s="31">
        <f t="shared" si="16"/>
        <v>926</v>
      </c>
      <c r="AF24" s="31">
        <f t="shared" si="16"/>
        <v>1276</v>
      </c>
    </row>
    <row r="25" spans="2:32" ht="23.1" customHeight="1" x14ac:dyDescent="0.25">
      <c r="B25" s="45" t="s">
        <v>52</v>
      </c>
      <c r="C25" s="50">
        <v>35</v>
      </c>
      <c r="D25" s="50">
        <v>36</v>
      </c>
      <c r="E25" s="50">
        <v>6</v>
      </c>
      <c r="F25" s="50">
        <v>45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1</v>
      </c>
      <c r="M25" s="50">
        <v>90</v>
      </c>
      <c r="N25" s="50">
        <v>0</v>
      </c>
      <c r="O25" s="15">
        <f t="shared" si="0"/>
        <v>125</v>
      </c>
      <c r="P25" s="15">
        <f t="shared" si="1"/>
        <v>215</v>
      </c>
      <c r="R25" s="36" t="s">
        <v>149</v>
      </c>
      <c r="S25" s="34">
        <f>SUM(C70:C73)</f>
        <v>250</v>
      </c>
      <c r="T25" s="34">
        <f t="shared" ref="T25:AF25" si="17">SUM(D70:D73)</f>
        <v>260</v>
      </c>
      <c r="U25" s="34">
        <f t="shared" si="17"/>
        <v>33</v>
      </c>
      <c r="V25" s="34">
        <f t="shared" si="17"/>
        <v>265</v>
      </c>
      <c r="W25" s="34">
        <f t="shared" si="17"/>
        <v>13</v>
      </c>
      <c r="X25" s="34">
        <f t="shared" si="17"/>
        <v>0</v>
      </c>
      <c r="Y25" s="34">
        <f t="shared" si="17"/>
        <v>14</v>
      </c>
      <c r="Z25" s="34">
        <f t="shared" si="17"/>
        <v>6</v>
      </c>
      <c r="AA25" s="34">
        <f t="shared" si="17"/>
        <v>1</v>
      </c>
      <c r="AB25" s="34">
        <f t="shared" si="17"/>
        <v>1</v>
      </c>
      <c r="AC25" s="34">
        <f t="shared" si="17"/>
        <v>330</v>
      </c>
      <c r="AD25" s="34">
        <f t="shared" si="17"/>
        <v>0</v>
      </c>
      <c r="AE25" s="31">
        <f t="shared" si="17"/>
        <v>843</v>
      </c>
      <c r="AF25" s="31">
        <f t="shared" si="17"/>
        <v>1173</v>
      </c>
    </row>
    <row r="26" spans="2:32" ht="23.1" customHeight="1" x14ac:dyDescent="0.25">
      <c r="B26" s="45" t="s">
        <v>53</v>
      </c>
      <c r="C26" s="50">
        <v>40</v>
      </c>
      <c r="D26" s="50">
        <v>42</v>
      </c>
      <c r="E26" s="50">
        <v>6</v>
      </c>
      <c r="F26" s="50">
        <v>20</v>
      </c>
      <c r="G26" s="50">
        <v>0</v>
      </c>
      <c r="H26" s="50">
        <v>0</v>
      </c>
      <c r="I26" s="50">
        <v>8</v>
      </c>
      <c r="J26" s="50">
        <v>1</v>
      </c>
      <c r="K26" s="50">
        <v>4</v>
      </c>
      <c r="L26" s="50">
        <v>0</v>
      </c>
      <c r="M26" s="50">
        <v>70</v>
      </c>
      <c r="N26" s="50">
        <v>0</v>
      </c>
      <c r="O26" s="15">
        <f t="shared" si="0"/>
        <v>121</v>
      </c>
      <c r="P26" s="15">
        <f t="shared" si="1"/>
        <v>191</v>
      </c>
      <c r="R26" s="36" t="s">
        <v>150</v>
      </c>
      <c r="S26" s="34">
        <f>SUM(C74:C77)</f>
        <v>53</v>
      </c>
      <c r="T26" s="34">
        <f t="shared" ref="T26:AF26" si="18">SUM(D74:D77)</f>
        <v>70</v>
      </c>
      <c r="U26" s="34">
        <f t="shared" si="18"/>
        <v>6</v>
      </c>
      <c r="V26" s="34">
        <f t="shared" si="18"/>
        <v>81</v>
      </c>
      <c r="W26" s="34">
        <f t="shared" si="18"/>
        <v>6</v>
      </c>
      <c r="X26" s="34">
        <f t="shared" si="18"/>
        <v>0</v>
      </c>
      <c r="Y26" s="34">
        <f t="shared" si="18"/>
        <v>6</v>
      </c>
      <c r="Z26" s="34">
        <f t="shared" si="18"/>
        <v>1</v>
      </c>
      <c r="AA26" s="34">
        <f t="shared" si="18"/>
        <v>2</v>
      </c>
      <c r="AB26" s="34">
        <f t="shared" si="18"/>
        <v>2</v>
      </c>
      <c r="AC26" s="34">
        <f t="shared" si="18"/>
        <v>90</v>
      </c>
      <c r="AD26" s="34">
        <f t="shared" si="18"/>
        <v>0</v>
      </c>
      <c r="AE26" s="31">
        <f t="shared" si="18"/>
        <v>227</v>
      </c>
      <c r="AF26" s="31">
        <f t="shared" si="18"/>
        <v>317</v>
      </c>
    </row>
    <row r="27" spans="2:32" ht="23.1" customHeight="1" x14ac:dyDescent="0.25">
      <c r="B27" s="45" t="s">
        <v>54</v>
      </c>
      <c r="C27" s="50">
        <v>35</v>
      </c>
      <c r="D27" s="50">
        <v>40</v>
      </c>
      <c r="E27" s="50">
        <v>1</v>
      </c>
      <c r="F27" s="50">
        <v>30</v>
      </c>
      <c r="G27" s="50">
        <v>1</v>
      </c>
      <c r="H27" s="50">
        <v>1</v>
      </c>
      <c r="I27" s="50">
        <v>11</v>
      </c>
      <c r="J27" s="50">
        <v>1</v>
      </c>
      <c r="K27" s="50">
        <v>0</v>
      </c>
      <c r="L27" s="50">
        <v>4</v>
      </c>
      <c r="M27" s="50">
        <v>80</v>
      </c>
      <c r="N27" s="50">
        <v>0</v>
      </c>
      <c r="O27" s="15">
        <f t="shared" si="0"/>
        <v>124</v>
      </c>
      <c r="P27" s="15">
        <f t="shared" si="1"/>
        <v>204</v>
      </c>
      <c r="R27" s="36" t="s">
        <v>151</v>
      </c>
      <c r="S27" s="34">
        <f>SUM(C78:C81)</f>
        <v>83</v>
      </c>
      <c r="T27" s="34">
        <f t="shared" ref="T27:AF27" si="19">SUM(D78:D81)</f>
        <v>39</v>
      </c>
      <c r="U27" s="34">
        <f t="shared" si="19"/>
        <v>16</v>
      </c>
      <c r="V27" s="34">
        <f t="shared" si="19"/>
        <v>11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2</v>
      </c>
      <c r="AC27" s="34">
        <f t="shared" si="19"/>
        <v>83</v>
      </c>
      <c r="AD27" s="34">
        <f t="shared" si="19"/>
        <v>0</v>
      </c>
      <c r="AE27" s="31">
        <f t="shared" si="19"/>
        <v>154</v>
      </c>
      <c r="AF27" s="31">
        <f t="shared" si="19"/>
        <v>237</v>
      </c>
    </row>
    <row r="28" spans="2:32" ht="23.1" customHeight="1" x14ac:dyDescent="0.25">
      <c r="B28" s="45" t="s">
        <v>55</v>
      </c>
      <c r="C28" s="50">
        <v>45</v>
      </c>
      <c r="D28" s="50">
        <v>55</v>
      </c>
      <c r="E28" s="50">
        <v>15</v>
      </c>
      <c r="F28" s="50">
        <v>60</v>
      </c>
      <c r="G28" s="50">
        <v>0</v>
      </c>
      <c r="H28" s="50">
        <v>0</v>
      </c>
      <c r="I28" s="50">
        <v>18</v>
      </c>
      <c r="J28" s="50">
        <v>1</v>
      </c>
      <c r="K28" s="50">
        <v>0</v>
      </c>
      <c r="L28" s="50">
        <v>0</v>
      </c>
      <c r="M28" s="50">
        <v>80</v>
      </c>
      <c r="N28" s="50">
        <v>0</v>
      </c>
      <c r="O28" s="15">
        <f t="shared" si="0"/>
        <v>194</v>
      </c>
      <c r="P28" s="15">
        <f t="shared" si="1"/>
        <v>274</v>
      </c>
      <c r="R28" s="36" t="s">
        <v>152</v>
      </c>
      <c r="S28" s="34">
        <f>SUM(C82:C85)</f>
        <v>26</v>
      </c>
      <c r="T28" s="34">
        <f t="shared" ref="T28:AF28" si="20">SUM(D82:D85)</f>
        <v>22</v>
      </c>
      <c r="U28" s="34">
        <f t="shared" si="20"/>
        <v>10</v>
      </c>
      <c r="V28" s="34">
        <f t="shared" si="20"/>
        <v>11</v>
      </c>
      <c r="W28" s="34">
        <f t="shared" si="20"/>
        <v>0</v>
      </c>
      <c r="X28" s="34">
        <f t="shared" si="20"/>
        <v>1</v>
      </c>
      <c r="Y28" s="34">
        <f t="shared" si="20"/>
        <v>2</v>
      </c>
      <c r="Z28" s="34">
        <f t="shared" si="20"/>
        <v>8</v>
      </c>
      <c r="AA28" s="34">
        <f t="shared" si="20"/>
        <v>1</v>
      </c>
      <c r="AB28" s="34">
        <f t="shared" si="20"/>
        <v>1</v>
      </c>
      <c r="AC28" s="34">
        <f t="shared" si="20"/>
        <v>75</v>
      </c>
      <c r="AD28" s="34">
        <f t="shared" si="20"/>
        <v>0</v>
      </c>
      <c r="AE28" s="31">
        <f t="shared" si="20"/>
        <v>82</v>
      </c>
      <c r="AF28" s="31">
        <f t="shared" si="20"/>
        <v>157</v>
      </c>
    </row>
    <row r="29" spans="2:32" ht="23.1" customHeight="1" x14ac:dyDescent="0.25">
      <c r="B29" s="45" t="s">
        <v>56</v>
      </c>
      <c r="C29" s="50">
        <v>55</v>
      </c>
      <c r="D29" s="50">
        <v>45</v>
      </c>
      <c r="E29" s="50">
        <v>9</v>
      </c>
      <c r="F29" s="50">
        <v>30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1</v>
      </c>
      <c r="M29" s="50">
        <v>72</v>
      </c>
      <c r="N29" s="50">
        <v>0</v>
      </c>
      <c r="O29" s="15">
        <f t="shared" si="0"/>
        <v>143</v>
      </c>
      <c r="P29" s="15">
        <f t="shared" si="1"/>
        <v>215</v>
      </c>
      <c r="R29" s="36" t="s">
        <v>153</v>
      </c>
      <c r="S29" s="34">
        <f>SUM(C86:C89)</f>
        <v>32</v>
      </c>
      <c r="T29" s="34">
        <f t="shared" ref="T29:AF29" si="21">SUM(D86:D89)</f>
        <v>23</v>
      </c>
      <c r="U29" s="34">
        <f t="shared" si="21"/>
        <v>3</v>
      </c>
      <c r="V29" s="34">
        <f t="shared" si="21"/>
        <v>15</v>
      </c>
      <c r="W29" s="34">
        <f t="shared" si="21"/>
        <v>0</v>
      </c>
      <c r="X29" s="34">
        <f t="shared" si="21"/>
        <v>0</v>
      </c>
      <c r="Y29" s="34">
        <f t="shared" si="21"/>
        <v>13</v>
      </c>
      <c r="Z29" s="34">
        <f t="shared" si="21"/>
        <v>1</v>
      </c>
      <c r="AA29" s="34">
        <f t="shared" si="21"/>
        <v>4</v>
      </c>
      <c r="AB29" s="34">
        <f t="shared" si="21"/>
        <v>1</v>
      </c>
      <c r="AC29" s="34">
        <f t="shared" si="21"/>
        <v>57</v>
      </c>
      <c r="AD29" s="34">
        <f t="shared" si="21"/>
        <v>0</v>
      </c>
      <c r="AE29" s="31">
        <f t="shared" si="21"/>
        <v>92</v>
      </c>
      <c r="AF29" s="31">
        <f t="shared" si="21"/>
        <v>149</v>
      </c>
    </row>
    <row r="30" spans="2:32" ht="23.1" customHeight="1" x14ac:dyDescent="0.25">
      <c r="B30" s="45" t="s">
        <v>57</v>
      </c>
      <c r="C30" s="50">
        <v>40</v>
      </c>
      <c r="D30" s="50">
        <v>45</v>
      </c>
      <c r="E30" s="50">
        <v>5</v>
      </c>
      <c r="F30" s="50">
        <v>52</v>
      </c>
      <c r="G30" s="50">
        <v>0</v>
      </c>
      <c r="H30" s="50">
        <v>0</v>
      </c>
      <c r="I30" s="50">
        <v>17</v>
      </c>
      <c r="J30" s="50">
        <v>0</v>
      </c>
      <c r="K30" s="50">
        <v>0</v>
      </c>
      <c r="L30" s="50">
        <v>3</v>
      </c>
      <c r="M30" s="50">
        <v>100</v>
      </c>
      <c r="N30" s="50">
        <v>0</v>
      </c>
      <c r="O30" s="15">
        <f t="shared" si="0"/>
        <v>162</v>
      </c>
      <c r="P30" s="15">
        <f t="shared" si="1"/>
        <v>262</v>
      </c>
      <c r="R30" s="36" t="s">
        <v>154</v>
      </c>
      <c r="S30" s="34">
        <f>SUM(C90:C93)</f>
        <v>34</v>
      </c>
      <c r="T30" s="34">
        <f t="shared" ref="T30:AF30" si="22">SUM(D90:D93)</f>
        <v>23</v>
      </c>
      <c r="U30" s="34">
        <f t="shared" si="22"/>
        <v>3</v>
      </c>
      <c r="V30" s="34">
        <f t="shared" si="22"/>
        <v>8</v>
      </c>
      <c r="W30" s="34">
        <f t="shared" si="22"/>
        <v>1</v>
      </c>
      <c r="X30" s="34">
        <f t="shared" si="22"/>
        <v>0</v>
      </c>
      <c r="Y30" s="34">
        <f t="shared" si="22"/>
        <v>10</v>
      </c>
      <c r="Z30" s="34">
        <f t="shared" si="22"/>
        <v>10</v>
      </c>
      <c r="AA30" s="34">
        <f t="shared" si="22"/>
        <v>2</v>
      </c>
      <c r="AB30" s="34">
        <f t="shared" si="22"/>
        <v>2</v>
      </c>
      <c r="AC30" s="34">
        <f t="shared" si="22"/>
        <v>35</v>
      </c>
      <c r="AD30" s="34">
        <f t="shared" si="22"/>
        <v>0</v>
      </c>
      <c r="AE30" s="31">
        <f t="shared" si="22"/>
        <v>93</v>
      </c>
      <c r="AF30" s="31">
        <f t="shared" si="22"/>
        <v>128</v>
      </c>
    </row>
    <row r="31" spans="2:32" ht="23.1" customHeight="1" x14ac:dyDescent="0.25">
      <c r="B31" s="46" t="s">
        <v>58</v>
      </c>
      <c r="C31" s="50">
        <v>35</v>
      </c>
      <c r="D31" s="50">
        <v>40</v>
      </c>
      <c r="E31" s="50">
        <v>2</v>
      </c>
      <c r="F31" s="50">
        <v>50</v>
      </c>
      <c r="G31" s="50">
        <v>0</v>
      </c>
      <c r="H31" s="50">
        <v>0</v>
      </c>
      <c r="I31" s="50">
        <v>16</v>
      </c>
      <c r="J31" s="50">
        <v>1</v>
      </c>
      <c r="K31" s="50">
        <v>0</v>
      </c>
      <c r="L31" s="50">
        <v>2</v>
      </c>
      <c r="M31" s="50">
        <v>105</v>
      </c>
      <c r="N31" s="50">
        <v>0</v>
      </c>
      <c r="O31" s="15">
        <f t="shared" si="0"/>
        <v>146</v>
      </c>
      <c r="P31" s="15">
        <f t="shared" si="1"/>
        <v>251</v>
      </c>
      <c r="R31" s="36" t="s">
        <v>155</v>
      </c>
      <c r="S31" s="34">
        <f>SUM(C94:C97)</f>
        <v>45</v>
      </c>
      <c r="T31" s="34">
        <f t="shared" ref="T31:AF31" si="23">SUM(D94:D97)</f>
        <v>13</v>
      </c>
      <c r="U31" s="34">
        <f t="shared" si="23"/>
        <v>1</v>
      </c>
      <c r="V31" s="34">
        <f t="shared" si="23"/>
        <v>22</v>
      </c>
      <c r="W31" s="34">
        <f t="shared" si="23"/>
        <v>1</v>
      </c>
      <c r="X31" s="34">
        <f t="shared" si="23"/>
        <v>0</v>
      </c>
      <c r="Y31" s="34">
        <f t="shared" si="23"/>
        <v>9</v>
      </c>
      <c r="Z31" s="34">
        <f t="shared" si="23"/>
        <v>8</v>
      </c>
      <c r="AA31" s="34">
        <f t="shared" si="23"/>
        <v>4</v>
      </c>
      <c r="AB31" s="34">
        <f t="shared" si="23"/>
        <v>2</v>
      </c>
      <c r="AC31" s="34">
        <f t="shared" si="23"/>
        <v>84</v>
      </c>
      <c r="AD31" s="34">
        <f t="shared" si="23"/>
        <v>0</v>
      </c>
      <c r="AE31" s="31">
        <f t="shared" si="23"/>
        <v>105</v>
      </c>
      <c r="AF31" s="31">
        <f t="shared" si="23"/>
        <v>189</v>
      </c>
    </row>
    <row r="32" spans="2:32" ht="23.1" customHeight="1" x14ac:dyDescent="0.25">
      <c r="B32" s="46" t="s">
        <v>59</v>
      </c>
      <c r="C32" s="50">
        <v>45</v>
      </c>
      <c r="D32" s="50">
        <v>35</v>
      </c>
      <c r="E32" s="50">
        <v>2</v>
      </c>
      <c r="F32" s="50">
        <v>40</v>
      </c>
      <c r="G32" s="50">
        <v>0</v>
      </c>
      <c r="H32" s="50">
        <v>2</v>
      </c>
      <c r="I32" s="50">
        <v>7</v>
      </c>
      <c r="J32" s="50">
        <v>0</v>
      </c>
      <c r="K32" s="50">
        <v>0</v>
      </c>
      <c r="L32" s="50">
        <v>3</v>
      </c>
      <c r="M32" s="50">
        <v>115</v>
      </c>
      <c r="N32" s="50">
        <v>0</v>
      </c>
      <c r="O32" s="15">
        <f t="shared" si="0"/>
        <v>134</v>
      </c>
      <c r="P32" s="15">
        <f t="shared" si="1"/>
        <v>249</v>
      </c>
      <c r="R32" s="33" t="s">
        <v>156</v>
      </c>
      <c r="S32" s="34">
        <f>SUM(C98:C101)</f>
        <v>29</v>
      </c>
      <c r="T32" s="34">
        <f t="shared" ref="T32:AF32" si="24">SUM(D98:D101)</f>
        <v>17</v>
      </c>
      <c r="U32" s="34">
        <f t="shared" si="24"/>
        <v>6</v>
      </c>
      <c r="V32" s="34">
        <f t="shared" si="24"/>
        <v>70</v>
      </c>
      <c r="W32" s="34">
        <f t="shared" si="24"/>
        <v>0</v>
      </c>
      <c r="X32" s="34">
        <f t="shared" si="24"/>
        <v>0</v>
      </c>
      <c r="Y32" s="34">
        <f t="shared" si="24"/>
        <v>15</v>
      </c>
      <c r="Z32" s="34">
        <f t="shared" si="24"/>
        <v>6</v>
      </c>
      <c r="AA32" s="34">
        <f t="shared" si="24"/>
        <v>9</v>
      </c>
      <c r="AB32" s="34">
        <f t="shared" si="24"/>
        <v>5</v>
      </c>
      <c r="AC32" s="34">
        <f t="shared" si="24"/>
        <v>112</v>
      </c>
      <c r="AD32" s="34">
        <f t="shared" si="24"/>
        <v>0</v>
      </c>
      <c r="AE32" s="31">
        <f t="shared" si="24"/>
        <v>157</v>
      </c>
      <c r="AF32" s="31">
        <f t="shared" si="24"/>
        <v>269</v>
      </c>
    </row>
    <row r="33" spans="2:32" ht="23.1" customHeight="1" x14ac:dyDescent="0.25">
      <c r="B33" s="45" t="s">
        <v>60</v>
      </c>
      <c r="C33" s="50">
        <v>50</v>
      </c>
      <c r="D33" s="50">
        <v>30</v>
      </c>
      <c r="E33" s="50">
        <v>0</v>
      </c>
      <c r="F33" s="50">
        <v>40</v>
      </c>
      <c r="G33" s="50">
        <v>0</v>
      </c>
      <c r="H33" s="50">
        <v>0</v>
      </c>
      <c r="I33" s="50">
        <v>15</v>
      </c>
      <c r="J33" s="50">
        <v>0</v>
      </c>
      <c r="K33" s="50">
        <v>0</v>
      </c>
      <c r="L33" s="50">
        <v>3</v>
      </c>
      <c r="M33" s="50">
        <v>75</v>
      </c>
      <c r="N33" s="50">
        <v>0</v>
      </c>
      <c r="O33" s="15">
        <f t="shared" si="0"/>
        <v>138</v>
      </c>
      <c r="P33" s="15">
        <f t="shared" si="1"/>
        <v>213</v>
      </c>
      <c r="R33" s="33" t="s">
        <v>157</v>
      </c>
      <c r="S33" s="34">
        <f>SUM(C102:C105)</f>
        <v>56</v>
      </c>
      <c r="T33" s="34">
        <f t="shared" ref="T33:AF33" si="25">SUM(D102:D105)</f>
        <v>50</v>
      </c>
      <c r="U33" s="34">
        <f t="shared" si="25"/>
        <v>9</v>
      </c>
      <c r="V33" s="34">
        <f t="shared" si="25"/>
        <v>60</v>
      </c>
      <c r="W33" s="34">
        <f t="shared" si="25"/>
        <v>0</v>
      </c>
      <c r="X33" s="34">
        <f t="shared" si="25"/>
        <v>11</v>
      </c>
      <c r="Y33" s="34">
        <f t="shared" si="25"/>
        <v>10</v>
      </c>
      <c r="Z33" s="34">
        <f t="shared" si="25"/>
        <v>10</v>
      </c>
      <c r="AA33" s="34">
        <f t="shared" si="25"/>
        <v>0</v>
      </c>
      <c r="AB33" s="34">
        <f t="shared" si="25"/>
        <v>0</v>
      </c>
      <c r="AC33" s="34">
        <f t="shared" si="25"/>
        <v>112</v>
      </c>
      <c r="AD33" s="34">
        <f t="shared" si="25"/>
        <v>0</v>
      </c>
      <c r="AE33" s="31">
        <f t="shared" si="25"/>
        <v>206</v>
      </c>
      <c r="AF33" s="31">
        <f t="shared" si="25"/>
        <v>318</v>
      </c>
    </row>
    <row r="34" spans="2:32" ht="23.1" customHeight="1" x14ac:dyDescent="0.25">
      <c r="B34" s="46" t="s">
        <v>61</v>
      </c>
      <c r="C34" s="50">
        <v>43</v>
      </c>
      <c r="D34" s="50">
        <v>40</v>
      </c>
      <c r="E34" s="50">
        <v>3</v>
      </c>
      <c r="F34" s="50">
        <v>60</v>
      </c>
      <c r="G34" s="50">
        <v>0</v>
      </c>
      <c r="H34" s="50">
        <v>0</v>
      </c>
      <c r="I34" s="50">
        <v>25</v>
      </c>
      <c r="J34" s="50">
        <v>0</v>
      </c>
      <c r="K34" s="50">
        <v>0</v>
      </c>
      <c r="L34" s="50">
        <v>0</v>
      </c>
      <c r="M34" s="50">
        <v>100</v>
      </c>
      <c r="N34" s="50">
        <v>0</v>
      </c>
      <c r="O34" s="15">
        <f t="shared" si="0"/>
        <v>171</v>
      </c>
      <c r="P34" s="15">
        <f t="shared" si="1"/>
        <v>271</v>
      </c>
      <c r="R34" s="38" t="s">
        <v>90</v>
      </c>
      <c r="S34" s="39">
        <f t="shared" ref="S34:AF34" si="26">MAX(S10:S12)</f>
        <v>205</v>
      </c>
      <c r="T34" s="39">
        <f t="shared" si="26"/>
        <v>227</v>
      </c>
      <c r="U34" s="39">
        <f t="shared" si="26"/>
        <v>30</v>
      </c>
      <c r="V34" s="39">
        <f t="shared" si="26"/>
        <v>254</v>
      </c>
      <c r="W34" s="39">
        <f t="shared" si="26"/>
        <v>6</v>
      </c>
      <c r="X34" s="39">
        <f t="shared" si="26"/>
        <v>1</v>
      </c>
      <c r="Y34" s="39">
        <f t="shared" si="26"/>
        <v>54</v>
      </c>
      <c r="Z34" s="39">
        <f t="shared" si="26"/>
        <v>4</v>
      </c>
      <c r="AA34" s="39">
        <f t="shared" si="26"/>
        <v>8</v>
      </c>
      <c r="AB34" s="39">
        <f t="shared" si="26"/>
        <v>2</v>
      </c>
      <c r="AC34" s="39">
        <f t="shared" si="26"/>
        <v>345</v>
      </c>
      <c r="AD34" s="39">
        <f t="shared" si="26"/>
        <v>0</v>
      </c>
      <c r="AE34" s="40">
        <f t="shared" si="26"/>
        <v>718</v>
      </c>
      <c r="AF34" s="40">
        <f t="shared" si="26"/>
        <v>1008</v>
      </c>
    </row>
    <row r="35" spans="2:32" ht="23.1" customHeight="1" x14ac:dyDescent="0.25">
      <c r="B35" s="46" t="s">
        <v>62</v>
      </c>
      <c r="C35" s="50">
        <v>35</v>
      </c>
      <c r="D35" s="50">
        <v>30</v>
      </c>
      <c r="E35" s="50">
        <v>2</v>
      </c>
      <c r="F35" s="50">
        <v>50</v>
      </c>
      <c r="G35" s="50">
        <v>0</v>
      </c>
      <c r="H35" s="50">
        <v>0</v>
      </c>
      <c r="I35" s="50">
        <v>13</v>
      </c>
      <c r="J35" s="50">
        <v>0</v>
      </c>
      <c r="K35" s="50">
        <v>0</v>
      </c>
      <c r="L35" s="50">
        <v>1</v>
      </c>
      <c r="M35" s="50">
        <v>90</v>
      </c>
      <c r="N35" s="50">
        <v>0</v>
      </c>
      <c r="O35" s="15">
        <f t="shared" si="0"/>
        <v>131</v>
      </c>
      <c r="P35" s="15">
        <f t="shared" si="1"/>
        <v>221</v>
      </c>
      <c r="R35" s="38" t="s">
        <v>91</v>
      </c>
      <c r="S35" s="39">
        <f t="shared" ref="S35:AF35" si="27">MAX(S13:S18)</f>
        <v>280</v>
      </c>
      <c r="T35" s="39">
        <f t="shared" si="27"/>
        <v>273</v>
      </c>
      <c r="U35" s="39">
        <f t="shared" si="27"/>
        <v>41</v>
      </c>
      <c r="V35" s="39">
        <f t="shared" si="27"/>
        <v>245</v>
      </c>
      <c r="W35" s="39">
        <f t="shared" si="27"/>
        <v>5</v>
      </c>
      <c r="X35" s="39">
        <f t="shared" si="27"/>
        <v>3</v>
      </c>
      <c r="Y35" s="39">
        <f t="shared" si="27"/>
        <v>56</v>
      </c>
      <c r="Z35" s="39">
        <f t="shared" si="27"/>
        <v>16</v>
      </c>
      <c r="AA35" s="39">
        <f t="shared" si="27"/>
        <v>6</v>
      </c>
      <c r="AB35" s="39">
        <f t="shared" si="27"/>
        <v>13</v>
      </c>
      <c r="AC35" s="39">
        <f t="shared" si="27"/>
        <v>395</v>
      </c>
      <c r="AD35" s="39">
        <f t="shared" si="27"/>
        <v>0</v>
      </c>
      <c r="AE35" s="40">
        <f t="shared" si="27"/>
        <v>819</v>
      </c>
      <c r="AF35" s="40">
        <f t="shared" si="27"/>
        <v>1209</v>
      </c>
    </row>
    <row r="36" spans="2:32" ht="23.1" customHeight="1" x14ac:dyDescent="0.25">
      <c r="B36" s="46" t="s">
        <v>63</v>
      </c>
      <c r="C36" s="50">
        <v>37</v>
      </c>
      <c r="D36" s="50">
        <v>20</v>
      </c>
      <c r="E36" s="50">
        <v>5</v>
      </c>
      <c r="F36" s="50">
        <v>45</v>
      </c>
      <c r="G36" s="50">
        <v>1</v>
      </c>
      <c r="H36" s="50">
        <v>1</v>
      </c>
      <c r="I36" s="50">
        <v>8</v>
      </c>
      <c r="J36" s="50">
        <v>3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120</v>
      </c>
      <c r="P36" s="15">
        <f t="shared" si="1"/>
        <v>180</v>
      </c>
      <c r="R36" s="38" t="s">
        <v>92</v>
      </c>
      <c r="S36" s="39">
        <f t="shared" ref="S36:AF36" si="28">MAX(S19:S21)</f>
        <v>295</v>
      </c>
      <c r="T36" s="39">
        <f t="shared" si="28"/>
        <v>295</v>
      </c>
      <c r="U36" s="39">
        <f t="shared" si="28"/>
        <v>90</v>
      </c>
      <c r="V36" s="39">
        <f t="shared" si="28"/>
        <v>267</v>
      </c>
      <c r="W36" s="39">
        <f t="shared" si="28"/>
        <v>7</v>
      </c>
      <c r="X36" s="39">
        <f t="shared" si="28"/>
        <v>1</v>
      </c>
      <c r="Y36" s="39">
        <f t="shared" si="28"/>
        <v>56</v>
      </c>
      <c r="Z36" s="39">
        <f t="shared" si="28"/>
        <v>41</v>
      </c>
      <c r="AA36" s="39">
        <f t="shared" si="28"/>
        <v>8</v>
      </c>
      <c r="AB36" s="39">
        <f t="shared" si="28"/>
        <v>6</v>
      </c>
      <c r="AC36" s="39">
        <f t="shared" si="28"/>
        <v>365</v>
      </c>
      <c r="AD36" s="39">
        <f t="shared" si="28"/>
        <v>1</v>
      </c>
      <c r="AE36" s="40">
        <f t="shared" si="28"/>
        <v>942</v>
      </c>
      <c r="AF36" s="40">
        <f t="shared" si="28"/>
        <v>1278</v>
      </c>
    </row>
    <row r="37" spans="2:32" ht="23.1" customHeight="1" x14ac:dyDescent="0.25">
      <c r="B37" s="45" t="s">
        <v>64</v>
      </c>
      <c r="C37" s="50">
        <v>40</v>
      </c>
      <c r="D37" s="50">
        <v>35</v>
      </c>
      <c r="E37" s="50">
        <v>4</v>
      </c>
      <c r="F37" s="50">
        <v>35</v>
      </c>
      <c r="G37" s="50">
        <v>1</v>
      </c>
      <c r="H37" s="50">
        <v>2</v>
      </c>
      <c r="I37" s="50">
        <v>10</v>
      </c>
      <c r="J37" s="50">
        <v>0</v>
      </c>
      <c r="K37" s="50">
        <v>0</v>
      </c>
      <c r="L37" s="50">
        <v>3</v>
      </c>
      <c r="M37" s="50">
        <v>65</v>
      </c>
      <c r="N37" s="50">
        <v>0</v>
      </c>
      <c r="O37" s="15">
        <f t="shared" si="0"/>
        <v>130</v>
      </c>
      <c r="P37" s="15">
        <f t="shared" si="1"/>
        <v>195</v>
      </c>
      <c r="R37" s="37" t="s">
        <v>85</v>
      </c>
      <c r="S37" s="35">
        <f t="shared" ref="S37:AF37" si="29">SUM(S10:S12)</f>
        <v>444</v>
      </c>
      <c r="T37" s="16">
        <f t="shared" si="29"/>
        <v>451</v>
      </c>
      <c r="U37" s="16">
        <f t="shared" si="29"/>
        <v>62</v>
      </c>
      <c r="V37" s="16">
        <f t="shared" si="29"/>
        <v>575</v>
      </c>
      <c r="W37" s="16">
        <f t="shared" si="29"/>
        <v>17</v>
      </c>
      <c r="X37" s="16">
        <f t="shared" si="29"/>
        <v>2</v>
      </c>
      <c r="Y37" s="16">
        <f t="shared" si="29"/>
        <v>107</v>
      </c>
      <c r="Z37" s="16">
        <f t="shared" si="29"/>
        <v>10</v>
      </c>
      <c r="AA37" s="16">
        <f t="shared" si="29"/>
        <v>9</v>
      </c>
      <c r="AB37" s="16">
        <f t="shared" si="29"/>
        <v>6</v>
      </c>
      <c r="AC37" s="16">
        <f t="shared" si="29"/>
        <v>886</v>
      </c>
      <c r="AD37" s="16">
        <f t="shared" si="29"/>
        <v>0</v>
      </c>
      <c r="AE37" s="32">
        <f t="shared" si="29"/>
        <v>1683</v>
      </c>
      <c r="AF37" s="32">
        <f t="shared" si="29"/>
        <v>2569</v>
      </c>
    </row>
    <row r="38" spans="2:32" ht="23.1" customHeight="1" x14ac:dyDescent="0.25">
      <c r="B38" s="46" t="s">
        <v>65</v>
      </c>
      <c r="C38" s="50">
        <v>70</v>
      </c>
      <c r="D38" s="50">
        <v>100</v>
      </c>
      <c r="E38" s="50">
        <v>12</v>
      </c>
      <c r="F38" s="50">
        <v>41</v>
      </c>
      <c r="G38" s="50">
        <v>1</v>
      </c>
      <c r="H38" s="50">
        <v>1</v>
      </c>
      <c r="I38" s="50">
        <v>15</v>
      </c>
      <c r="J38" s="50">
        <v>2</v>
      </c>
      <c r="K38" s="50">
        <v>0</v>
      </c>
      <c r="L38" s="50">
        <v>11</v>
      </c>
      <c r="M38" s="50">
        <v>115</v>
      </c>
      <c r="N38" s="50">
        <v>0</v>
      </c>
      <c r="O38" s="15">
        <f t="shared" si="0"/>
        <v>253</v>
      </c>
      <c r="P38" s="15">
        <f t="shared" si="1"/>
        <v>368</v>
      </c>
      <c r="R38" s="28" t="s">
        <v>86</v>
      </c>
      <c r="S38" s="16">
        <f t="shared" ref="S38:AF38" si="30">SUM(S13:S18)</f>
        <v>1225</v>
      </c>
      <c r="T38" s="16">
        <f t="shared" si="30"/>
        <v>1212</v>
      </c>
      <c r="U38" s="16">
        <f t="shared" si="30"/>
        <v>146</v>
      </c>
      <c r="V38" s="16">
        <f t="shared" si="30"/>
        <v>1089</v>
      </c>
      <c r="W38" s="16">
        <f t="shared" si="30"/>
        <v>9</v>
      </c>
      <c r="X38" s="16">
        <f t="shared" si="30"/>
        <v>8</v>
      </c>
      <c r="Y38" s="16">
        <f t="shared" si="30"/>
        <v>278</v>
      </c>
      <c r="Z38" s="16">
        <f t="shared" si="30"/>
        <v>44</v>
      </c>
      <c r="AA38" s="16">
        <f t="shared" si="30"/>
        <v>16</v>
      </c>
      <c r="AB38" s="16">
        <f t="shared" si="30"/>
        <v>43</v>
      </c>
      <c r="AC38" s="16">
        <f t="shared" si="30"/>
        <v>2062</v>
      </c>
      <c r="AD38" s="16">
        <f t="shared" si="30"/>
        <v>0</v>
      </c>
      <c r="AE38" s="32">
        <f t="shared" si="30"/>
        <v>4070</v>
      </c>
      <c r="AF38" s="32">
        <f t="shared" si="30"/>
        <v>6132</v>
      </c>
    </row>
    <row r="39" spans="2:32" ht="23.1" customHeight="1" x14ac:dyDescent="0.25">
      <c r="B39" s="46" t="s">
        <v>66</v>
      </c>
      <c r="C39" s="50">
        <v>45</v>
      </c>
      <c r="D39" s="50">
        <v>25</v>
      </c>
      <c r="E39" s="50">
        <v>0</v>
      </c>
      <c r="F39" s="50">
        <v>35</v>
      </c>
      <c r="G39" s="50">
        <v>0</v>
      </c>
      <c r="H39" s="50">
        <v>0</v>
      </c>
      <c r="I39" s="50">
        <v>17</v>
      </c>
      <c r="J39" s="50">
        <v>2</v>
      </c>
      <c r="K39" s="50">
        <v>2</v>
      </c>
      <c r="L39" s="50">
        <v>0</v>
      </c>
      <c r="M39" s="50">
        <v>70</v>
      </c>
      <c r="N39" s="50">
        <v>0</v>
      </c>
      <c r="O39" s="15">
        <f t="shared" si="0"/>
        <v>126</v>
      </c>
      <c r="P39" s="15">
        <f t="shared" si="1"/>
        <v>196</v>
      </c>
      <c r="R39" s="29" t="s">
        <v>87</v>
      </c>
      <c r="S39" s="16">
        <f t="shared" ref="S39:AF39" si="31">SUM(S19:S21)</f>
        <v>819</v>
      </c>
      <c r="T39" s="16">
        <f t="shared" si="31"/>
        <v>782</v>
      </c>
      <c r="U39" s="16">
        <f t="shared" si="31"/>
        <v>158</v>
      </c>
      <c r="V39" s="16">
        <f t="shared" si="31"/>
        <v>757</v>
      </c>
      <c r="W39" s="16">
        <f t="shared" si="31"/>
        <v>14</v>
      </c>
      <c r="X39" s="16">
        <f t="shared" si="31"/>
        <v>1</v>
      </c>
      <c r="Y39" s="16">
        <f t="shared" si="31"/>
        <v>106</v>
      </c>
      <c r="Z39" s="16">
        <f t="shared" si="31"/>
        <v>77</v>
      </c>
      <c r="AA39" s="16">
        <f t="shared" si="31"/>
        <v>10</v>
      </c>
      <c r="AB39" s="16">
        <f t="shared" si="31"/>
        <v>12</v>
      </c>
      <c r="AC39" s="16">
        <f t="shared" si="31"/>
        <v>1059</v>
      </c>
      <c r="AD39" s="16">
        <f t="shared" si="31"/>
        <v>1</v>
      </c>
      <c r="AE39" s="32">
        <f t="shared" si="31"/>
        <v>2737</v>
      </c>
      <c r="AF39" s="32">
        <f t="shared" si="31"/>
        <v>3796</v>
      </c>
    </row>
    <row r="40" spans="2:32" ht="23.1" customHeight="1" x14ac:dyDescent="0.25">
      <c r="B40" s="46" t="s">
        <v>67</v>
      </c>
      <c r="C40" s="50">
        <v>65</v>
      </c>
      <c r="D40" s="50">
        <v>55</v>
      </c>
      <c r="E40" s="50">
        <v>10</v>
      </c>
      <c r="F40" s="50">
        <v>55</v>
      </c>
      <c r="G40" s="50">
        <v>0</v>
      </c>
      <c r="H40" s="50">
        <v>0</v>
      </c>
      <c r="I40" s="50">
        <v>4</v>
      </c>
      <c r="J40" s="50">
        <v>8</v>
      </c>
      <c r="K40" s="50">
        <v>1</v>
      </c>
      <c r="L40" s="50">
        <v>1</v>
      </c>
      <c r="M40" s="50">
        <v>85</v>
      </c>
      <c r="N40" s="50">
        <v>0</v>
      </c>
      <c r="O40" s="15">
        <f t="shared" si="0"/>
        <v>199</v>
      </c>
      <c r="P40" s="15">
        <f t="shared" si="1"/>
        <v>284</v>
      </c>
      <c r="R40" s="5" t="s">
        <v>17</v>
      </c>
      <c r="S40" s="16">
        <f t="shared" ref="S40:AF40" si="32">SUM(S10:S21)</f>
        <v>2488</v>
      </c>
      <c r="T40" s="16">
        <f t="shared" si="32"/>
        <v>2445</v>
      </c>
      <c r="U40" s="16">
        <f t="shared" si="32"/>
        <v>366</v>
      </c>
      <c r="V40" s="16">
        <f t="shared" si="32"/>
        <v>2421</v>
      </c>
      <c r="W40" s="16">
        <f t="shared" si="32"/>
        <v>40</v>
      </c>
      <c r="X40" s="16">
        <f t="shared" si="32"/>
        <v>11</v>
      </c>
      <c r="Y40" s="16">
        <f t="shared" si="32"/>
        <v>491</v>
      </c>
      <c r="Z40" s="16">
        <f t="shared" si="32"/>
        <v>131</v>
      </c>
      <c r="AA40" s="16">
        <f t="shared" si="32"/>
        <v>35</v>
      </c>
      <c r="AB40" s="16">
        <f t="shared" si="32"/>
        <v>61</v>
      </c>
      <c r="AC40" s="16">
        <f t="shared" si="32"/>
        <v>4007</v>
      </c>
      <c r="AD40" s="16">
        <f t="shared" si="32"/>
        <v>1</v>
      </c>
      <c r="AE40" s="32">
        <f t="shared" si="32"/>
        <v>8490</v>
      </c>
      <c r="AF40" s="32">
        <f t="shared" si="32"/>
        <v>12497</v>
      </c>
    </row>
    <row r="41" spans="2:32" ht="23.1" customHeight="1" x14ac:dyDescent="0.25">
      <c r="B41" s="45" t="s">
        <v>68</v>
      </c>
      <c r="C41" s="50">
        <v>45</v>
      </c>
      <c r="D41" s="50">
        <v>55</v>
      </c>
      <c r="E41" s="50">
        <v>1</v>
      </c>
      <c r="F41" s="50">
        <v>40</v>
      </c>
      <c r="G41" s="50">
        <v>0</v>
      </c>
      <c r="H41" s="50">
        <v>0</v>
      </c>
      <c r="I41" s="50">
        <v>4</v>
      </c>
      <c r="J41" s="50">
        <v>4</v>
      </c>
      <c r="K41" s="50">
        <v>0</v>
      </c>
      <c r="L41" s="50">
        <v>1</v>
      </c>
      <c r="M41" s="50">
        <v>55</v>
      </c>
      <c r="N41" s="50">
        <v>0</v>
      </c>
      <c r="O41" s="15">
        <f t="shared" si="0"/>
        <v>150</v>
      </c>
      <c r="P41" s="15">
        <f t="shared" si="1"/>
        <v>205</v>
      </c>
      <c r="R41" s="5" t="s">
        <v>159</v>
      </c>
      <c r="S41" s="16">
        <f>SUM(S10:S33)</f>
        <v>3898</v>
      </c>
      <c r="T41" s="16">
        <f t="shared" ref="T41:AF41" si="33">SUM(T10:T33)</f>
        <v>3807</v>
      </c>
      <c r="U41" s="16">
        <f t="shared" si="33"/>
        <v>664</v>
      </c>
      <c r="V41" s="16">
        <f t="shared" si="33"/>
        <v>3660</v>
      </c>
      <c r="W41" s="16">
        <f t="shared" si="33"/>
        <v>88</v>
      </c>
      <c r="X41" s="16">
        <f t="shared" si="33"/>
        <v>36</v>
      </c>
      <c r="Y41" s="16">
        <f t="shared" si="33"/>
        <v>630</v>
      </c>
      <c r="Z41" s="16">
        <f t="shared" si="33"/>
        <v>205</v>
      </c>
      <c r="AA41" s="16">
        <f t="shared" si="33"/>
        <v>59</v>
      </c>
      <c r="AB41" s="16">
        <f t="shared" si="33"/>
        <v>90</v>
      </c>
      <c r="AC41" s="16">
        <f t="shared" si="33"/>
        <v>6045</v>
      </c>
      <c r="AD41" s="16">
        <f t="shared" si="33"/>
        <v>1</v>
      </c>
      <c r="AE41" s="32">
        <f t="shared" si="33"/>
        <v>13138</v>
      </c>
      <c r="AF41" s="32">
        <f t="shared" si="33"/>
        <v>19183</v>
      </c>
    </row>
    <row r="42" spans="2:32" ht="23.1" customHeight="1" x14ac:dyDescent="0.25">
      <c r="B42" s="46" t="s">
        <v>69</v>
      </c>
      <c r="C42" s="50">
        <v>65</v>
      </c>
      <c r="D42" s="50">
        <v>80</v>
      </c>
      <c r="E42" s="50">
        <v>8</v>
      </c>
      <c r="F42" s="50">
        <v>48</v>
      </c>
      <c r="G42" s="50">
        <v>0</v>
      </c>
      <c r="H42" s="50">
        <v>0</v>
      </c>
      <c r="I42" s="50">
        <v>15</v>
      </c>
      <c r="J42" s="50">
        <v>6</v>
      </c>
      <c r="K42" s="50">
        <v>2</v>
      </c>
      <c r="L42" s="50">
        <v>0</v>
      </c>
      <c r="M42" s="50">
        <v>80</v>
      </c>
      <c r="N42" s="50">
        <v>0</v>
      </c>
      <c r="O42" s="15">
        <f t="shared" si="0"/>
        <v>224</v>
      </c>
      <c r="P42" s="15">
        <f t="shared" si="1"/>
        <v>304</v>
      </c>
      <c r="R42" s="5" t="s">
        <v>160</v>
      </c>
      <c r="S42" s="48">
        <f>S41/S40</f>
        <v>1.5667202572347267</v>
      </c>
      <c r="T42" s="48">
        <f t="shared" ref="T42:AF42" si="34">T41/T40</f>
        <v>1.5570552147239263</v>
      </c>
      <c r="U42" s="48">
        <f t="shared" si="34"/>
        <v>1.8142076502732241</v>
      </c>
      <c r="V42" s="48">
        <f t="shared" si="34"/>
        <v>1.5117719950433706</v>
      </c>
      <c r="W42" s="48">
        <f t="shared" si="34"/>
        <v>2.2000000000000002</v>
      </c>
      <c r="X42" s="48">
        <f t="shared" si="34"/>
        <v>3.2727272727272729</v>
      </c>
      <c r="Y42" s="48">
        <f t="shared" si="34"/>
        <v>1.2830957230142566</v>
      </c>
      <c r="Z42" s="48">
        <f t="shared" si="34"/>
        <v>1.5648854961832062</v>
      </c>
      <c r="AA42" s="48">
        <f t="shared" si="34"/>
        <v>1.6857142857142857</v>
      </c>
      <c r="AB42" s="48">
        <f t="shared" si="34"/>
        <v>1.4754098360655739</v>
      </c>
      <c r="AC42" s="48">
        <f t="shared" si="34"/>
        <v>1.5086099326179185</v>
      </c>
      <c r="AD42" s="48">
        <f t="shared" si="34"/>
        <v>1</v>
      </c>
      <c r="AE42" s="48">
        <f t="shared" si="34"/>
        <v>1.5474676089517079</v>
      </c>
      <c r="AF42" s="48">
        <f t="shared" si="34"/>
        <v>1.535008402016484</v>
      </c>
    </row>
    <row r="43" spans="2:32" ht="23.1" customHeight="1" x14ac:dyDescent="0.25">
      <c r="B43" s="45" t="s">
        <v>70</v>
      </c>
      <c r="C43" s="50">
        <v>72</v>
      </c>
      <c r="D43" s="50">
        <v>75</v>
      </c>
      <c r="E43" s="50">
        <v>10</v>
      </c>
      <c r="F43" s="50">
        <v>65</v>
      </c>
      <c r="G43" s="50">
        <v>0</v>
      </c>
      <c r="H43" s="50">
        <v>0</v>
      </c>
      <c r="I43" s="50">
        <v>10</v>
      </c>
      <c r="J43" s="50">
        <v>5</v>
      </c>
      <c r="K43" s="50">
        <v>3</v>
      </c>
      <c r="L43" s="50">
        <v>0</v>
      </c>
      <c r="M43" s="50">
        <v>100</v>
      </c>
      <c r="N43" s="50">
        <v>0</v>
      </c>
      <c r="O43" s="15">
        <f t="shared" si="0"/>
        <v>240</v>
      </c>
      <c r="P43" s="15">
        <f t="shared" si="1"/>
        <v>340</v>
      </c>
    </row>
    <row r="44" spans="2:32" ht="23.1" customHeight="1" x14ac:dyDescent="0.25">
      <c r="B44" s="47" t="s">
        <v>71</v>
      </c>
      <c r="C44" s="50">
        <v>70</v>
      </c>
      <c r="D44" s="50">
        <v>80</v>
      </c>
      <c r="E44" s="50">
        <v>15</v>
      </c>
      <c r="F44" s="50">
        <v>40</v>
      </c>
      <c r="G44" s="50">
        <v>0</v>
      </c>
      <c r="H44" s="50">
        <v>0</v>
      </c>
      <c r="I44" s="50">
        <v>7</v>
      </c>
      <c r="J44" s="50">
        <v>1</v>
      </c>
      <c r="K44" s="50">
        <v>1</v>
      </c>
      <c r="L44" s="50">
        <v>3</v>
      </c>
      <c r="M44" s="50">
        <v>110</v>
      </c>
      <c r="N44" s="50">
        <v>0</v>
      </c>
      <c r="O44" s="15">
        <f t="shared" si="0"/>
        <v>217</v>
      </c>
      <c r="P44" s="15">
        <f t="shared" si="1"/>
        <v>327</v>
      </c>
    </row>
    <row r="45" spans="2:32" ht="23.1" customHeight="1" x14ac:dyDescent="0.25">
      <c r="B45" s="45" t="s">
        <v>72</v>
      </c>
      <c r="C45" s="50">
        <v>73</v>
      </c>
      <c r="D45" s="50">
        <v>38</v>
      </c>
      <c r="E45" s="50">
        <v>8</v>
      </c>
      <c r="F45" s="50">
        <v>8</v>
      </c>
      <c r="G45" s="50">
        <v>0</v>
      </c>
      <c r="H45" s="50">
        <v>1</v>
      </c>
      <c r="I45" s="50">
        <v>8</v>
      </c>
      <c r="J45" s="50">
        <v>2</v>
      </c>
      <c r="K45" s="50">
        <v>0</v>
      </c>
      <c r="L45" s="50">
        <v>0</v>
      </c>
      <c r="M45" s="50">
        <v>100</v>
      </c>
      <c r="N45" s="50">
        <v>0</v>
      </c>
      <c r="O45" s="15">
        <f t="shared" si="0"/>
        <v>138</v>
      </c>
      <c r="P45" s="15">
        <f t="shared" si="1"/>
        <v>238</v>
      </c>
    </row>
    <row r="46" spans="2:32" ht="23.1" customHeight="1" x14ac:dyDescent="0.25">
      <c r="B46" s="46" t="s">
        <v>73</v>
      </c>
      <c r="C46" s="50">
        <v>46</v>
      </c>
      <c r="D46" s="50">
        <v>26</v>
      </c>
      <c r="E46" s="50">
        <v>23</v>
      </c>
      <c r="F46" s="50">
        <v>99</v>
      </c>
      <c r="G46" s="50">
        <v>0</v>
      </c>
      <c r="H46" s="50">
        <v>0</v>
      </c>
      <c r="I46" s="50">
        <v>19</v>
      </c>
      <c r="J46" s="50">
        <v>13</v>
      </c>
      <c r="K46" s="50">
        <v>1</v>
      </c>
      <c r="L46" s="50">
        <v>1</v>
      </c>
      <c r="M46" s="50">
        <v>92</v>
      </c>
      <c r="N46" s="50">
        <v>0</v>
      </c>
      <c r="O46" s="15">
        <f t="shared" si="0"/>
        <v>228</v>
      </c>
      <c r="P46" s="15">
        <f t="shared" si="1"/>
        <v>320</v>
      </c>
      <c r="R46" s="8"/>
      <c r="T46"/>
    </row>
    <row r="47" spans="2:32" ht="23.1" customHeight="1" x14ac:dyDescent="0.25">
      <c r="B47" s="46" t="s">
        <v>74</v>
      </c>
      <c r="C47" s="50">
        <v>81</v>
      </c>
      <c r="D47" s="50">
        <v>30</v>
      </c>
      <c r="E47" s="50">
        <v>11</v>
      </c>
      <c r="F47" s="50">
        <v>66</v>
      </c>
      <c r="G47" s="50">
        <v>0</v>
      </c>
      <c r="H47" s="50">
        <v>0</v>
      </c>
      <c r="I47" s="50">
        <v>13</v>
      </c>
      <c r="J47" s="50">
        <v>5</v>
      </c>
      <c r="K47" s="50">
        <v>5</v>
      </c>
      <c r="L47" s="50">
        <v>0</v>
      </c>
      <c r="M47" s="50">
        <v>97</v>
      </c>
      <c r="N47" s="50">
        <v>0</v>
      </c>
      <c r="O47" s="15">
        <f t="shared" si="0"/>
        <v>211</v>
      </c>
      <c r="P47" s="15">
        <f t="shared" si="1"/>
        <v>308</v>
      </c>
      <c r="R47" s="8"/>
      <c r="T47"/>
    </row>
    <row r="48" spans="2:32" ht="23.1" customHeight="1" x14ac:dyDescent="0.25">
      <c r="B48" s="46" t="s">
        <v>75</v>
      </c>
      <c r="C48" s="50">
        <v>75</v>
      </c>
      <c r="D48" s="50">
        <v>76</v>
      </c>
      <c r="E48" s="50">
        <v>45</v>
      </c>
      <c r="F48" s="50">
        <v>57</v>
      </c>
      <c r="G48" s="50">
        <v>1</v>
      </c>
      <c r="H48" s="50">
        <v>1</v>
      </c>
      <c r="I48" s="50">
        <v>20</v>
      </c>
      <c r="J48" s="50">
        <v>15</v>
      </c>
      <c r="K48" s="50">
        <v>0</v>
      </c>
      <c r="L48" s="50">
        <v>4</v>
      </c>
      <c r="M48" s="50">
        <v>65</v>
      </c>
      <c r="N48" s="50">
        <v>0</v>
      </c>
      <c r="O48" s="15">
        <f t="shared" si="0"/>
        <v>294</v>
      </c>
      <c r="P48" s="15">
        <f t="shared" si="1"/>
        <v>359</v>
      </c>
      <c r="R48" s="8"/>
      <c r="T48"/>
    </row>
    <row r="49" spans="2:20" ht="23.1" customHeight="1" x14ac:dyDescent="0.25">
      <c r="B49" s="45" t="s">
        <v>76</v>
      </c>
      <c r="C49" s="50">
        <v>70</v>
      </c>
      <c r="D49" s="50">
        <v>68</v>
      </c>
      <c r="E49" s="50">
        <v>11</v>
      </c>
      <c r="F49" s="50">
        <v>45</v>
      </c>
      <c r="G49" s="50">
        <v>0</v>
      </c>
      <c r="H49" s="50">
        <v>0</v>
      </c>
      <c r="I49" s="50">
        <v>4</v>
      </c>
      <c r="J49" s="50">
        <v>8</v>
      </c>
      <c r="K49" s="50">
        <v>2</v>
      </c>
      <c r="L49" s="50">
        <v>1</v>
      </c>
      <c r="M49" s="50">
        <v>80</v>
      </c>
      <c r="N49" s="50">
        <v>0</v>
      </c>
      <c r="O49" s="15">
        <f t="shared" si="0"/>
        <v>209</v>
      </c>
      <c r="P49" s="15">
        <f t="shared" si="1"/>
        <v>289</v>
      </c>
      <c r="R49" s="8"/>
      <c r="T49"/>
    </row>
    <row r="50" spans="2:20" ht="23.1" customHeight="1" x14ac:dyDescent="0.25">
      <c r="B50" s="46" t="s">
        <v>77</v>
      </c>
      <c r="C50" s="50">
        <v>55</v>
      </c>
      <c r="D50" s="50">
        <v>80</v>
      </c>
      <c r="E50" s="50">
        <v>15</v>
      </c>
      <c r="F50" s="50">
        <v>55</v>
      </c>
      <c r="G50" s="50">
        <v>2</v>
      </c>
      <c r="H50" s="50">
        <v>0</v>
      </c>
      <c r="I50" s="50">
        <v>15</v>
      </c>
      <c r="J50" s="50">
        <v>15</v>
      </c>
      <c r="K50" s="50">
        <v>0</v>
      </c>
      <c r="L50" s="50">
        <v>1</v>
      </c>
      <c r="M50" s="50">
        <v>65</v>
      </c>
      <c r="N50" s="50">
        <v>0</v>
      </c>
      <c r="O50" s="15">
        <f t="shared" si="0"/>
        <v>238</v>
      </c>
      <c r="P50" s="15">
        <f t="shared" si="1"/>
        <v>303</v>
      </c>
      <c r="R50" s="8"/>
      <c r="T50"/>
    </row>
    <row r="51" spans="2:20" ht="23.1" customHeight="1" x14ac:dyDescent="0.25">
      <c r="B51" s="46" t="s">
        <v>78</v>
      </c>
      <c r="C51" s="50">
        <v>60</v>
      </c>
      <c r="D51" s="50">
        <v>75</v>
      </c>
      <c r="E51" s="50">
        <v>10</v>
      </c>
      <c r="F51" s="50">
        <v>80</v>
      </c>
      <c r="G51" s="50">
        <v>0</v>
      </c>
      <c r="H51" s="50">
        <v>0</v>
      </c>
      <c r="I51" s="50">
        <v>2</v>
      </c>
      <c r="J51" s="50">
        <v>6</v>
      </c>
      <c r="K51" s="50">
        <v>0</v>
      </c>
      <c r="L51" s="50">
        <v>1</v>
      </c>
      <c r="M51" s="50">
        <v>120</v>
      </c>
      <c r="N51" s="50">
        <v>0</v>
      </c>
      <c r="O51" s="15">
        <f t="shared" si="0"/>
        <v>234</v>
      </c>
      <c r="P51" s="15">
        <f t="shared" si="1"/>
        <v>354</v>
      </c>
      <c r="R51" s="8"/>
      <c r="T51"/>
    </row>
    <row r="52" spans="2:20" ht="23.1" customHeight="1" x14ac:dyDescent="0.25">
      <c r="B52" s="46" t="s">
        <v>79</v>
      </c>
      <c r="C52" s="50">
        <v>72</v>
      </c>
      <c r="D52" s="50">
        <v>70</v>
      </c>
      <c r="E52" s="50">
        <v>5</v>
      </c>
      <c r="F52" s="50">
        <v>40</v>
      </c>
      <c r="G52" s="50">
        <v>5</v>
      </c>
      <c r="H52" s="50">
        <v>0</v>
      </c>
      <c r="I52" s="50">
        <v>0</v>
      </c>
      <c r="J52" s="50">
        <v>3</v>
      </c>
      <c r="K52" s="50">
        <v>1</v>
      </c>
      <c r="L52" s="50">
        <v>2</v>
      </c>
      <c r="M52" s="50">
        <v>100</v>
      </c>
      <c r="N52" s="50">
        <v>0</v>
      </c>
      <c r="O52" s="15">
        <f t="shared" si="0"/>
        <v>198</v>
      </c>
      <c r="P52" s="15">
        <f t="shared" si="1"/>
        <v>298</v>
      </c>
      <c r="R52" s="8"/>
      <c r="T52"/>
    </row>
    <row r="53" spans="2:20" ht="23.1" customHeight="1" x14ac:dyDescent="0.25">
      <c r="B53" s="45" t="s">
        <v>80</v>
      </c>
      <c r="C53" s="50">
        <v>65</v>
      </c>
      <c r="D53" s="50">
        <v>62</v>
      </c>
      <c r="E53" s="50">
        <v>3</v>
      </c>
      <c r="F53" s="50">
        <v>65</v>
      </c>
      <c r="G53" s="50">
        <v>0</v>
      </c>
      <c r="H53" s="50">
        <v>0</v>
      </c>
      <c r="I53" s="50">
        <v>8</v>
      </c>
      <c r="J53" s="50">
        <v>3</v>
      </c>
      <c r="K53" s="50">
        <v>0</v>
      </c>
      <c r="L53" s="50">
        <v>1</v>
      </c>
      <c r="M53" s="50">
        <v>80</v>
      </c>
      <c r="N53" s="50">
        <v>0</v>
      </c>
      <c r="O53" s="15">
        <f t="shared" si="0"/>
        <v>207</v>
      </c>
      <c r="P53" s="15">
        <f t="shared" si="1"/>
        <v>287</v>
      </c>
      <c r="R53" s="8"/>
      <c r="T53"/>
    </row>
    <row r="54" spans="2:20" ht="23.1" customHeight="1" x14ac:dyDescent="0.25">
      <c r="B54" s="45" t="s">
        <v>81</v>
      </c>
      <c r="C54" s="50">
        <v>95</v>
      </c>
      <c r="D54" s="50">
        <v>90</v>
      </c>
      <c r="E54" s="50">
        <v>13</v>
      </c>
      <c r="F54" s="50">
        <v>40</v>
      </c>
      <c r="G54" s="50">
        <v>1</v>
      </c>
      <c r="H54" s="50">
        <v>0</v>
      </c>
      <c r="I54" s="50">
        <v>7</v>
      </c>
      <c r="J54" s="50">
        <v>5</v>
      </c>
      <c r="K54" s="50">
        <v>0</v>
      </c>
      <c r="L54" s="50">
        <v>0</v>
      </c>
      <c r="M54" s="50">
        <v>125</v>
      </c>
      <c r="N54" s="50">
        <v>0</v>
      </c>
      <c r="O54" s="15">
        <f t="shared" si="0"/>
        <v>251</v>
      </c>
      <c r="P54" s="15">
        <f t="shared" si="1"/>
        <v>376</v>
      </c>
      <c r="R54" s="8"/>
      <c r="T54"/>
    </row>
    <row r="55" spans="2:20" ht="23.1" customHeight="1" x14ac:dyDescent="0.25">
      <c r="B55" s="45" t="s">
        <v>82</v>
      </c>
      <c r="C55" s="50">
        <v>75</v>
      </c>
      <c r="D55" s="50">
        <v>70</v>
      </c>
      <c r="E55" s="50">
        <v>10</v>
      </c>
      <c r="F55" s="50">
        <v>90</v>
      </c>
      <c r="G55" s="50">
        <v>3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95</v>
      </c>
      <c r="N55" s="50">
        <v>0</v>
      </c>
      <c r="O55" s="15">
        <f t="shared" si="0"/>
        <v>249</v>
      </c>
      <c r="P55" s="15">
        <f t="shared" si="1"/>
        <v>344</v>
      </c>
      <c r="R55" s="8"/>
      <c r="T55"/>
    </row>
    <row r="56" spans="2:20" ht="23.1" customHeight="1" x14ac:dyDescent="0.25">
      <c r="B56" s="45" t="s">
        <v>83</v>
      </c>
      <c r="C56" s="50">
        <v>65</v>
      </c>
      <c r="D56" s="50">
        <v>80</v>
      </c>
      <c r="E56" s="50">
        <v>2</v>
      </c>
      <c r="F56" s="50">
        <v>60</v>
      </c>
      <c r="G56" s="50">
        <v>1</v>
      </c>
      <c r="H56" s="50">
        <v>0</v>
      </c>
      <c r="I56" s="50">
        <v>15</v>
      </c>
      <c r="J56" s="50">
        <v>1</v>
      </c>
      <c r="K56" s="50">
        <v>0</v>
      </c>
      <c r="L56" s="50">
        <v>0</v>
      </c>
      <c r="M56" s="50">
        <v>70</v>
      </c>
      <c r="N56" s="50">
        <v>1</v>
      </c>
      <c r="O56" s="15">
        <f t="shared" si="0"/>
        <v>225</v>
      </c>
      <c r="P56" s="15">
        <f t="shared" si="1"/>
        <v>295</v>
      </c>
      <c r="R56" s="8"/>
      <c r="T56"/>
    </row>
    <row r="57" spans="2:20" ht="23.1" customHeight="1" x14ac:dyDescent="0.25">
      <c r="B57" s="45" t="s">
        <v>84</v>
      </c>
      <c r="C57" s="50">
        <v>60</v>
      </c>
      <c r="D57" s="50">
        <v>55</v>
      </c>
      <c r="E57" s="50">
        <v>10</v>
      </c>
      <c r="F57" s="50">
        <v>60</v>
      </c>
      <c r="G57" s="50">
        <v>1</v>
      </c>
      <c r="H57" s="50">
        <v>0</v>
      </c>
      <c r="I57" s="50">
        <v>3</v>
      </c>
      <c r="J57" s="50">
        <v>2</v>
      </c>
      <c r="K57" s="50">
        <v>1</v>
      </c>
      <c r="L57" s="50">
        <v>1</v>
      </c>
      <c r="M57" s="50">
        <v>70</v>
      </c>
      <c r="N57" s="50">
        <v>0</v>
      </c>
      <c r="O57" s="15">
        <f t="shared" si="0"/>
        <v>193</v>
      </c>
      <c r="P57" s="15">
        <f t="shared" si="1"/>
        <v>263</v>
      </c>
      <c r="R57" s="8"/>
      <c r="T57"/>
    </row>
    <row r="58" spans="2:20" ht="23.1" customHeight="1" x14ac:dyDescent="0.25">
      <c r="B58" s="45" t="s">
        <v>99</v>
      </c>
      <c r="C58" s="50">
        <v>65</v>
      </c>
      <c r="D58" s="50">
        <v>80</v>
      </c>
      <c r="E58" s="50">
        <v>75</v>
      </c>
      <c r="F58" s="50">
        <v>18</v>
      </c>
      <c r="G58" s="50">
        <v>5</v>
      </c>
      <c r="H58" s="50">
        <v>1</v>
      </c>
      <c r="I58" s="50">
        <v>10</v>
      </c>
      <c r="J58" s="50">
        <v>0</v>
      </c>
      <c r="K58" s="50">
        <v>1</v>
      </c>
      <c r="L58" s="50">
        <v>0</v>
      </c>
      <c r="M58" s="50">
        <v>100</v>
      </c>
      <c r="N58" s="50">
        <v>0</v>
      </c>
      <c r="O58" s="15">
        <f t="shared" ref="O58:O105" si="35">SUM(C58:L58,N58)</f>
        <v>255</v>
      </c>
      <c r="P58" s="15">
        <f t="shared" ref="P58:P105" si="36">SUM(C58:N58)</f>
        <v>355</v>
      </c>
      <c r="R58" s="8"/>
      <c r="T58"/>
    </row>
    <row r="59" spans="2:20" ht="23.1" customHeight="1" x14ac:dyDescent="0.25">
      <c r="B59" s="45" t="s">
        <v>100</v>
      </c>
      <c r="C59" s="50">
        <v>70</v>
      </c>
      <c r="D59" s="50">
        <v>75</v>
      </c>
      <c r="E59" s="50">
        <v>70</v>
      </c>
      <c r="F59" s="50">
        <v>10</v>
      </c>
      <c r="G59" s="50">
        <v>4</v>
      </c>
      <c r="H59" s="50">
        <v>1</v>
      </c>
      <c r="I59" s="50">
        <v>1</v>
      </c>
      <c r="J59" s="50">
        <v>2</v>
      </c>
      <c r="K59" s="50">
        <v>0</v>
      </c>
      <c r="L59" s="50">
        <v>1</v>
      </c>
      <c r="M59" s="50">
        <v>90</v>
      </c>
      <c r="N59" s="50">
        <v>0</v>
      </c>
      <c r="O59" s="15">
        <f t="shared" si="35"/>
        <v>234</v>
      </c>
      <c r="P59" s="15">
        <f t="shared" si="36"/>
        <v>324</v>
      </c>
      <c r="R59" s="8"/>
      <c r="T59"/>
    </row>
    <row r="60" spans="2:20" ht="23.1" customHeight="1" x14ac:dyDescent="0.25">
      <c r="B60" s="45" t="s">
        <v>101</v>
      </c>
      <c r="C60" s="50">
        <v>55</v>
      </c>
      <c r="D60" s="50">
        <v>50</v>
      </c>
      <c r="E60" s="50">
        <v>8</v>
      </c>
      <c r="F60" s="50">
        <v>65</v>
      </c>
      <c r="G60" s="50">
        <v>2</v>
      </c>
      <c r="H60" s="50">
        <v>0</v>
      </c>
      <c r="I60" s="50">
        <v>5</v>
      </c>
      <c r="J60" s="50">
        <v>0</v>
      </c>
      <c r="K60" s="50">
        <v>0</v>
      </c>
      <c r="L60" s="50">
        <v>6</v>
      </c>
      <c r="M60" s="50">
        <v>60</v>
      </c>
      <c r="N60" s="50">
        <v>0</v>
      </c>
      <c r="O60" s="15">
        <f t="shared" si="35"/>
        <v>191</v>
      </c>
      <c r="P60" s="15">
        <f t="shared" si="36"/>
        <v>251</v>
      </c>
      <c r="R60" s="8"/>
      <c r="T60"/>
    </row>
    <row r="61" spans="2:20" ht="23.1" customHeight="1" x14ac:dyDescent="0.25">
      <c r="B61" s="45" t="s">
        <v>102</v>
      </c>
      <c r="C61" s="50">
        <v>80</v>
      </c>
      <c r="D61" s="50">
        <v>50</v>
      </c>
      <c r="E61" s="50">
        <v>4</v>
      </c>
      <c r="F61" s="50">
        <v>60</v>
      </c>
      <c r="G61" s="50">
        <v>0</v>
      </c>
      <c r="H61" s="50">
        <v>3</v>
      </c>
      <c r="I61" s="50">
        <v>6</v>
      </c>
      <c r="J61" s="50">
        <v>0</v>
      </c>
      <c r="K61" s="50">
        <v>0</v>
      </c>
      <c r="L61" s="50">
        <v>0</v>
      </c>
      <c r="M61" s="50">
        <v>100</v>
      </c>
      <c r="N61" s="50">
        <v>0</v>
      </c>
      <c r="O61" s="15">
        <f t="shared" si="35"/>
        <v>203</v>
      </c>
      <c r="P61" s="15">
        <f t="shared" si="36"/>
        <v>303</v>
      </c>
      <c r="R61" s="8"/>
      <c r="T61"/>
    </row>
    <row r="62" spans="2:20" ht="23.1" customHeight="1" x14ac:dyDescent="0.25">
      <c r="B62" s="45" t="s">
        <v>107</v>
      </c>
      <c r="C62" s="50">
        <v>60</v>
      </c>
      <c r="D62" s="50">
        <v>70</v>
      </c>
      <c r="E62" s="50">
        <v>7</v>
      </c>
      <c r="F62" s="50">
        <v>75</v>
      </c>
      <c r="G62" s="50">
        <v>2</v>
      </c>
      <c r="H62" s="50">
        <v>0</v>
      </c>
      <c r="I62" s="50">
        <v>5</v>
      </c>
      <c r="J62" s="50">
        <v>2</v>
      </c>
      <c r="K62" s="50">
        <v>0</v>
      </c>
      <c r="L62" s="50">
        <v>0</v>
      </c>
      <c r="M62" s="50">
        <v>95</v>
      </c>
      <c r="N62" s="50">
        <v>0</v>
      </c>
      <c r="O62" s="15">
        <f t="shared" si="35"/>
        <v>221</v>
      </c>
      <c r="P62" s="15">
        <f t="shared" si="36"/>
        <v>316</v>
      </c>
      <c r="R62" s="8"/>
      <c r="T62"/>
    </row>
    <row r="63" spans="2:20" ht="23.1" customHeight="1" x14ac:dyDescent="0.25">
      <c r="B63" s="45" t="s">
        <v>108</v>
      </c>
      <c r="C63" s="50">
        <v>85</v>
      </c>
      <c r="D63" s="50">
        <v>85</v>
      </c>
      <c r="E63" s="50">
        <v>8</v>
      </c>
      <c r="F63" s="50">
        <v>80</v>
      </c>
      <c r="G63" s="50">
        <v>5</v>
      </c>
      <c r="H63" s="50">
        <v>1</v>
      </c>
      <c r="I63" s="50">
        <v>15</v>
      </c>
      <c r="J63" s="50">
        <v>0</v>
      </c>
      <c r="K63" s="50">
        <v>0</v>
      </c>
      <c r="L63" s="50">
        <v>1</v>
      </c>
      <c r="M63" s="50">
        <v>95</v>
      </c>
      <c r="N63" s="50">
        <v>0</v>
      </c>
      <c r="O63" s="15">
        <f t="shared" si="35"/>
        <v>280</v>
      </c>
      <c r="P63" s="15">
        <f t="shared" si="36"/>
        <v>375</v>
      </c>
      <c r="R63" s="8"/>
      <c r="T63"/>
    </row>
    <row r="64" spans="2:20" ht="23.1" customHeight="1" x14ac:dyDescent="0.25">
      <c r="B64" s="45" t="s">
        <v>109</v>
      </c>
      <c r="C64" s="50">
        <v>75</v>
      </c>
      <c r="D64" s="50">
        <v>80</v>
      </c>
      <c r="E64" s="50">
        <v>10</v>
      </c>
      <c r="F64" s="50">
        <v>3</v>
      </c>
      <c r="G64" s="50">
        <v>1</v>
      </c>
      <c r="H64" s="50">
        <v>1</v>
      </c>
      <c r="I64" s="50">
        <v>0</v>
      </c>
      <c r="J64" s="50">
        <v>0</v>
      </c>
      <c r="K64" s="50">
        <v>0</v>
      </c>
      <c r="L64" s="50">
        <v>1</v>
      </c>
      <c r="M64" s="50">
        <v>95</v>
      </c>
      <c r="N64" s="50">
        <v>0</v>
      </c>
      <c r="O64" s="15">
        <f t="shared" si="35"/>
        <v>171</v>
      </c>
      <c r="P64" s="15">
        <f t="shared" si="36"/>
        <v>266</v>
      </c>
      <c r="R64" s="8"/>
      <c r="T64"/>
    </row>
    <row r="65" spans="2:20" ht="23.1" customHeight="1" x14ac:dyDescent="0.25">
      <c r="B65" s="45" t="s">
        <v>158</v>
      </c>
      <c r="C65" s="50">
        <v>62</v>
      </c>
      <c r="D65" s="50">
        <v>60</v>
      </c>
      <c r="E65" s="50">
        <v>3</v>
      </c>
      <c r="F65" s="50">
        <v>80</v>
      </c>
      <c r="G65" s="50">
        <v>1</v>
      </c>
      <c r="H65" s="50">
        <v>2</v>
      </c>
      <c r="I65" s="50">
        <v>0</v>
      </c>
      <c r="J65" s="50">
        <v>0</v>
      </c>
      <c r="K65" s="50">
        <v>0</v>
      </c>
      <c r="L65" s="50">
        <v>0</v>
      </c>
      <c r="M65" s="50">
        <v>75</v>
      </c>
      <c r="N65" s="50">
        <v>0</v>
      </c>
      <c r="O65" s="15">
        <f t="shared" si="35"/>
        <v>208</v>
      </c>
      <c r="P65" s="15">
        <f t="shared" si="36"/>
        <v>283</v>
      </c>
      <c r="R65" s="8"/>
      <c r="T65"/>
    </row>
    <row r="66" spans="2:20" ht="23.1" customHeight="1" x14ac:dyDescent="0.25">
      <c r="B66" s="45" t="s">
        <v>103</v>
      </c>
      <c r="C66" s="50">
        <v>75</v>
      </c>
      <c r="D66" s="50">
        <v>75</v>
      </c>
      <c r="E66" s="50">
        <v>8</v>
      </c>
      <c r="F66" s="50">
        <v>80</v>
      </c>
      <c r="G66" s="50">
        <v>2</v>
      </c>
      <c r="H66" s="50">
        <v>0</v>
      </c>
      <c r="I66" s="50">
        <v>1</v>
      </c>
      <c r="J66" s="50">
        <v>15</v>
      </c>
      <c r="K66" s="50">
        <v>0</v>
      </c>
      <c r="L66" s="50">
        <v>0</v>
      </c>
      <c r="M66" s="50">
        <v>100</v>
      </c>
      <c r="N66" s="50">
        <v>0</v>
      </c>
      <c r="O66" s="15">
        <f t="shared" si="35"/>
        <v>256</v>
      </c>
      <c r="P66" s="15">
        <f t="shared" si="36"/>
        <v>356</v>
      </c>
      <c r="R66" s="8"/>
      <c r="T66"/>
    </row>
    <row r="67" spans="2:20" ht="23.1" customHeight="1" x14ac:dyDescent="0.25">
      <c r="B67" s="45" t="s">
        <v>104</v>
      </c>
      <c r="C67" s="50">
        <v>60</v>
      </c>
      <c r="D67" s="50">
        <v>75</v>
      </c>
      <c r="E67" s="50">
        <v>3</v>
      </c>
      <c r="F67" s="50">
        <v>80</v>
      </c>
      <c r="G67" s="50">
        <v>3</v>
      </c>
      <c r="H67" s="50">
        <v>0</v>
      </c>
      <c r="I67" s="50">
        <v>8</v>
      </c>
      <c r="J67" s="50">
        <v>3</v>
      </c>
      <c r="K67" s="50">
        <v>0</v>
      </c>
      <c r="L67" s="50">
        <v>0</v>
      </c>
      <c r="M67" s="50">
        <v>100</v>
      </c>
      <c r="N67" s="50">
        <v>0</v>
      </c>
      <c r="O67" s="15">
        <f t="shared" si="35"/>
        <v>232</v>
      </c>
      <c r="P67" s="15">
        <f t="shared" si="36"/>
        <v>332</v>
      </c>
      <c r="R67" s="8"/>
      <c r="T67"/>
    </row>
    <row r="68" spans="2:20" ht="23.1" customHeight="1" x14ac:dyDescent="0.25">
      <c r="B68" s="45" t="s">
        <v>105</v>
      </c>
      <c r="C68" s="50">
        <v>55</v>
      </c>
      <c r="D68" s="50">
        <v>75</v>
      </c>
      <c r="E68" s="50">
        <v>15</v>
      </c>
      <c r="F68" s="50">
        <v>70</v>
      </c>
      <c r="G68" s="50">
        <v>0</v>
      </c>
      <c r="H68" s="50">
        <v>4</v>
      </c>
      <c r="I68" s="50">
        <v>3</v>
      </c>
      <c r="J68" s="50">
        <v>2</v>
      </c>
      <c r="K68" s="50">
        <v>0</v>
      </c>
      <c r="L68" s="50">
        <v>2</v>
      </c>
      <c r="M68" s="50">
        <v>70</v>
      </c>
      <c r="N68" s="50">
        <v>0</v>
      </c>
      <c r="O68" s="15">
        <f t="shared" si="35"/>
        <v>226</v>
      </c>
      <c r="P68" s="15">
        <f t="shared" si="36"/>
        <v>296</v>
      </c>
      <c r="R68" s="8"/>
      <c r="T68"/>
    </row>
    <row r="69" spans="2:20" ht="23.1" customHeight="1" x14ac:dyDescent="0.25">
      <c r="B69" s="45" t="s">
        <v>106</v>
      </c>
      <c r="C69" s="50">
        <v>60</v>
      </c>
      <c r="D69" s="50">
        <v>70</v>
      </c>
      <c r="E69" s="50">
        <v>0</v>
      </c>
      <c r="F69" s="50">
        <v>75</v>
      </c>
      <c r="G69" s="50">
        <v>2</v>
      </c>
      <c r="H69" s="50">
        <v>0</v>
      </c>
      <c r="I69" s="50">
        <v>3</v>
      </c>
      <c r="J69" s="50">
        <v>0</v>
      </c>
      <c r="K69" s="50">
        <v>0</v>
      </c>
      <c r="L69" s="50">
        <v>2</v>
      </c>
      <c r="M69" s="50">
        <v>80</v>
      </c>
      <c r="N69" s="50">
        <v>0</v>
      </c>
      <c r="O69" s="15">
        <f t="shared" si="35"/>
        <v>212</v>
      </c>
      <c r="P69" s="15">
        <f t="shared" si="36"/>
        <v>292</v>
      </c>
      <c r="R69" s="8"/>
      <c r="T69"/>
    </row>
    <row r="70" spans="2:20" ht="23.1" customHeight="1" x14ac:dyDescent="0.25">
      <c r="B70" s="45" t="s">
        <v>110</v>
      </c>
      <c r="C70" s="50">
        <v>70</v>
      </c>
      <c r="D70" s="50">
        <v>70</v>
      </c>
      <c r="E70" s="50">
        <v>10</v>
      </c>
      <c r="F70" s="50">
        <v>80</v>
      </c>
      <c r="G70" s="50">
        <v>8</v>
      </c>
      <c r="H70" s="50">
        <v>0</v>
      </c>
      <c r="I70" s="50">
        <v>5</v>
      </c>
      <c r="J70" s="50">
        <v>2</v>
      </c>
      <c r="K70" s="50">
        <v>0</v>
      </c>
      <c r="L70" s="50">
        <v>0</v>
      </c>
      <c r="M70" s="50">
        <v>100</v>
      </c>
      <c r="N70" s="50">
        <v>0</v>
      </c>
      <c r="O70" s="15">
        <f t="shared" si="35"/>
        <v>245</v>
      </c>
      <c r="P70" s="15">
        <f t="shared" si="36"/>
        <v>345</v>
      </c>
      <c r="R70" s="8"/>
      <c r="T70"/>
    </row>
    <row r="71" spans="2:20" ht="23.1" customHeight="1" x14ac:dyDescent="0.25">
      <c r="B71" s="45" t="s">
        <v>111</v>
      </c>
      <c r="C71" s="50">
        <v>60</v>
      </c>
      <c r="D71" s="50">
        <v>80</v>
      </c>
      <c r="E71" s="50">
        <v>8</v>
      </c>
      <c r="F71" s="50">
        <v>75</v>
      </c>
      <c r="G71" s="50">
        <v>5</v>
      </c>
      <c r="H71" s="50">
        <v>0</v>
      </c>
      <c r="I71" s="50">
        <v>3</v>
      </c>
      <c r="J71" s="50">
        <v>0</v>
      </c>
      <c r="K71" s="50">
        <v>0</v>
      </c>
      <c r="L71" s="50">
        <v>1</v>
      </c>
      <c r="M71" s="50">
        <v>110</v>
      </c>
      <c r="N71" s="50">
        <v>0</v>
      </c>
      <c r="O71" s="15">
        <f t="shared" si="35"/>
        <v>232</v>
      </c>
      <c r="P71" s="15">
        <f t="shared" si="36"/>
        <v>342</v>
      </c>
      <c r="R71" s="8"/>
      <c r="T71"/>
    </row>
    <row r="72" spans="2:20" ht="23.1" customHeight="1" x14ac:dyDescent="0.25">
      <c r="B72" s="45" t="s">
        <v>112</v>
      </c>
      <c r="C72" s="50">
        <v>60</v>
      </c>
      <c r="D72" s="50">
        <v>50</v>
      </c>
      <c r="E72" s="50">
        <v>12</v>
      </c>
      <c r="F72" s="50">
        <v>70</v>
      </c>
      <c r="G72" s="50">
        <v>0</v>
      </c>
      <c r="H72" s="50">
        <v>0</v>
      </c>
      <c r="I72" s="50">
        <v>3</v>
      </c>
      <c r="J72" s="50">
        <v>2</v>
      </c>
      <c r="K72" s="50">
        <v>0</v>
      </c>
      <c r="L72" s="50">
        <v>0</v>
      </c>
      <c r="M72" s="50">
        <v>70</v>
      </c>
      <c r="N72" s="50">
        <v>0</v>
      </c>
      <c r="O72" s="15">
        <f t="shared" si="35"/>
        <v>197</v>
      </c>
      <c r="P72" s="15">
        <f t="shared" si="36"/>
        <v>267</v>
      </c>
      <c r="R72" s="8"/>
      <c r="T72"/>
    </row>
    <row r="73" spans="2:20" ht="23.1" customHeight="1" x14ac:dyDescent="0.25">
      <c r="B73" s="45" t="s">
        <v>113</v>
      </c>
      <c r="C73" s="50">
        <v>60</v>
      </c>
      <c r="D73" s="50">
        <v>60</v>
      </c>
      <c r="E73" s="50">
        <v>3</v>
      </c>
      <c r="F73" s="50">
        <v>40</v>
      </c>
      <c r="G73" s="50">
        <v>0</v>
      </c>
      <c r="H73" s="50">
        <v>0</v>
      </c>
      <c r="I73" s="50">
        <v>3</v>
      </c>
      <c r="J73" s="50">
        <v>2</v>
      </c>
      <c r="K73" s="50">
        <v>1</v>
      </c>
      <c r="L73" s="50">
        <v>0</v>
      </c>
      <c r="M73" s="50">
        <v>50</v>
      </c>
      <c r="N73" s="50">
        <v>0</v>
      </c>
      <c r="O73" s="15">
        <f t="shared" si="35"/>
        <v>169</v>
      </c>
      <c r="P73" s="15">
        <f t="shared" si="36"/>
        <v>219</v>
      </c>
      <c r="R73" s="8"/>
      <c r="T73"/>
    </row>
    <row r="74" spans="2:20" ht="23.1" customHeight="1" x14ac:dyDescent="0.25">
      <c r="B74" s="45" t="s">
        <v>114</v>
      </c>
      <c r="C74" s="50">
        <v>25</v>
      </c>
      <c r="D74" s="50">
        <v>30</v>
      </c>
      <c r="E74" s="50">
        <v>3</v>
      </c>
      <c r="F74" s="50">
        <v>30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1</v>
      </c>
      <c r="M74" s="50">
        <v>15</v>
      </c>
      <c r="N74" s="50">
        <v>0</v>
      </c>
      <c r="O74" s="15">
        <f t="shared" si="35"/>
        <v>90</v>
      </c>
      <c r="P74" s="15">
        <f t="shared" si="36"/>
        <v>105</v>
      </c>
      <c r="R74" s="8"/>
      <c r="T74"/>
    </row>
    <row r="75" spans="2:20" ht="23.1" customHeight="1" x14ac:dyDescent="0.25">
      <c r="B75" s="45" t="s">
        <v>115</v>
      </c>
      <c r="C75" s="50">
        <v>10</v>
      </c>
      <c r="D75" s="50">
        <v>10</v>
      </c>
      <c r="E75" s="50">
        <v>3</v>
      </c>
      <c r="F75" s="50">
        <v>31</v>
      </c>
      <c r="G75" s="50">
        <v>0</v>
      </c>
      <c r="H75" s="50">
        <v>0</v>
      </c>
      <c r="I75" s="50">
        <v>0</v>
      </c>
      <c r="J75" s="50">
        <v>1</v>
      </c>
      <c r="K75" s="50">
        <v>1</v>
      </c>
      <c r="L75" s="50">
        <v>0</v>
      </c>
      <c r="M75" s="50">
        <v>20</v>
      </c>
      <c r="N75" s="50">
        <v>0</v>
      </c>
      <c r="O75" s="15">
        <f t="shared" si="35"/>
        <v>56</v>
      </c>
      <c r="P75" s="15">
        <f t="shared" si="36"/>
        <v>76</v>
      </c>
      <c r="R75" s="8"/>
      <c r="T75"/>
    </row>
    <row r="76" spans="2:20" ht="23.1" customHeight="1" x14ac:dyDescent="0.25">
      <c r="B76" s="45" t="s">
        <v>116</v>
      </c>
      <c r="C76" s="50">
        <v>9</v>
      </c>
      <c r="D76" s="50">
        <v>10</v>
      </c>
      <c r="E76" s="50">
        <v>0</v>
      </c>
      <c r="F76" s="50">
        <v>10</v>
      </c>
      <c r="G76" s="50">
        <v>6</v>
      </c>
      <c r="H76" s="50">
        <v>0</v>
      </c>
      <c r="I76" s="50">
        <v>5</v>
      </c>
      <c r="J76" s="50">
        <v>0</v>
      </c>
      <c r="K76" s="50">
        <v>0</v>
      </c>
      <c r="L76" s="50">
        <v>1</v>
      </c>
      <c r="M76" s="50">
        <v>30</v>
      </c>
      <c r="N76" s="50">
        <v>0</v>
      </c>
      <c r="O76" s="15">
        <f t="shared" si="35"/>
        <v>41</v>
      </c>
      <c r="P76" s="15">
        <f t="shared" si="36"/>
        <v>71</v>
      </c>
      <c r="R76" s="8"/>
      <c r="T76"/>
    </row>
    <row r="77" spans="2:20" ht="23.1" customHeight="1" x14ac:dyDescent="0.25">
      <c r="B77" s="45" t="s">
        <v>117</v>
      </c>
      <c r="C77" s="50">
        <v>9</v>
      </c>
      <c r="D77" s="50">
        <v>20</v>
      </c>
      <c r="E77" s="50">
        <v>0</v>
      </c>
      <c r="F77" s="50">
        <v>10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0</v>
      </c>
      <c r="M77" s="50">
        <v>25</v>
      </c>
      <c r="N77" s="50">
        <v>0</v>
      </c>
      <c r="O77" s="15">
        <f t="shared" si="35"/>
        <v>40</v>
      </c>
      <c r="P77" s="15">
        <f t="shared" si="36"/>
        <v>65</v>
      </c>
      <c r="R77" s="8"/>
      <c r="T77"/>
    </row>
    <row r="78" spans="2:20" ht="23.1" customHeight="1" x14ac:dyDescent="0.25">
      <c r="B78" s="46" t="s">
        <v>118</v>
      </c>
      <c r="C78" s="50">
        <v>45</v>
      </c>
      <c r="D78" s="50">
        <v>15</v>
      </c>
      <c r="E78" s="50">
        <v>3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1</v>
      </c>
      <c r="M78" s="50">
        <v>20</v>
      </c>
      <c r="N78" s="50">
        <v>0</v>
      </c>
      <c r="O78" s="15">
        <f t="shared" si="35"/>
        <v>65</v>
      </c>
      <c r="P78" s="15">
        <f t="shared" si="36"/>
        <v>85</v>
      </c>
      <c r="R78" s="8"/>
      <c r="T78"/>
    </row>
    <row r="79" spans="2:20" ht="23.1" customHeight="1" x14ac:dyDescent="0.25">
      <c r="B79" s="45" t="s">
        <v>119</v>
      </c>
      <c r="C79" s="50">
        <v>18</v>
      </c>
      <c r="D79" s="50">
        <v>6</v>
      </c>
      <c r="E79" s="50">
        <v>3</v>
      </c>
      <c r="F79" s="50">
        <v>3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1</v>
      </c>
      <c r="M79" s="50">
        <v>5</v>
      </c>
      <c r="N79" s="50">
        <v>0</v>
      </c>
      <c r="O79" s="15">
        <f t="shared" si="35"/>
        <v>33</v>
      </c>
      <c r="P79" s="15">
        <f t="shared" si="36"/>
        <v>38</v>
      </c>
      <c r="R79" s="8"/>
      <c r="T79"/>
    </row>
    <row r="80" spans="2:20" ht="23.1" customHeight="1" x14ac:dyDescent="0.25">
      <c r="B80" s="47" t="s">
        <v>120</v>
      </c>
      <c r="C80" s="50">
        <v>7</v>
      </c>
      <c r="D80" s="50">
        <v>10</v>
      </c>
      <c r="E80" s="50">
        <v>8</v>
      </c>
      <c r="F80" s="50">
        <v>2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8</v>
      </c>
      <c r="N80" s="50">
        <v>0</v>
      </c>
      <c r="O80" s="15">
        <f t="shared" si="35"/>
        <v>27</v>
      </c>
      <c r="P80" s="15">
        <f t="shared" si="36"/>
        <v>35</v>
      </c>
      <c r="R80" s="8"/>
      <c r="T80"/>
    </row>
    <row r="81" spans="2:20" ht="23.1" customHeight="1" x14ac:dyDescent="0.25">
      <c r="B81" s="45" t="s">
        <v>121</v>
      </c>
      <c r="C81" s="50">
        <v>13</v>
      </c>
      <c r="D81" s="50">
        <v>8</v>
      </c>
      <c r="E81" s="50">
        <v>2</v>
      </c>
      <c r="F81" s="50">
        <v>6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50</v>
      </c>
      <c r="N81" s="50">
        <v>0</v>
      </c>
      <c r="O81" s="15">
        <f t="shared" si="35"/>
        <v>29</v>
      </c>
      <c r="P81" s="15">
        <f t="shared" si="36"/>
        <v>79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7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5</v>
      </c>
      <c r="K82" s="50">
        <v>0</v>
      </c>
      <c r="L82" s="50">
        <v>1</v>
      </c>
      <c r="M82" s="50">
        <v>15</v>
      </c>
      <c r="N82" s="50">
        <v>0</v>
      </c>
      <c r="O82" s="15">
        <f t="shared" si="35"/>
        <v>22</v>
      </c>
      <c r="P82" s="15">
        <f t="shared" si="36"/>
        <v>37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4</v>
      </c>
      <c r="E83" s="50">
        <v>0</v>
      </c>
      <c r="F83" s="50">
        <v>3</v>
      </c>
      <c r="G83" s="50">
        <v>0</v>
      </c>
      <c r="H83" s="50">
        <v>0</v>
      </c>
      <c r="I83" s="50">
        <v>2</v>
      </c>
      <c r="J83" s="50">
        <v>3</v>
      </c>
      <c r="K83" s="50">
        <v>1</v>
      </c>
      <c r="L83" s="50">
        <v>0</v>
      </c>
      <c r="M83" s="50">
        <v>30</v>
      </c>
      <c r="N83" s="50">
        <v>0</v>
      </c>
      <c r="O83" s="15">
        <f t="shared" si="35"/>
        <v>18</v>
      </c>
      <c r="P83" s="15">
        <f t="shared" si="36"/>
        <v>48</v>
      </c>
      <c r="R83" s="8"/>
      <c r="T83"/>
    </row>
    <row r="84" spans="2:20" ht="23.1" customHeight="1" x14ac:dyDescent="0.25">
      <c r="B84" s="47" t="s">
        <v>124</v>
      </c>
      <c r="C84" s="50">
        <v>6</v>
      </c>
      <c r="D84" s="50">
        <v>6</v>
      </c>
      <c r="E84" s="50">
        <v>2</v>
      </c>
      <c r="F84" s="50">
        <v>3</v>
      </c>
      <c r="G84" s="50">
        <v>0</v>
      </c>
      <c r="H84" s="50">
        <v>1</v>
      </c>
      <c r="I84" s="50">
        <v>0</v>
      </c>
      <c r="J84" s="50">
        <v>0</v>
      </c>
      <c r="K84" s="50">
        <v>0</v>
      </c>
      <c r="L84" s="50">
        <v>0</v>
      </c>
      <c r="M84" s="50">
        <v>20</v>
      </c>
      <c r="N84" s="50">
        <v>0</v>
      </c>
      <c r="O84" s="15">
        <f t="shared" si="35"/>
        <v>18</v>
      </c>
      <c r="P84" s="15">
        <f t="shared" si="36"/>
        <v>38</v>
      </c>
      <c r="R84" s="8"/>
      <c r="T84"/>
    </row>
    <row r="85" spans="2:20" ht="23.1" customHeight="1" x14ac:dyDescent="0.25">
      <c r="B85" s="45" t="s">
        <v>125</v>
      </c>
      <c r="C85" s="50">
        <v>8</v>
      </c>
      <c r="D85" s="50">
        <v>5</v>
      </c>
      <c r="E85" s="50">
        <v>6</v>
      </c>
      <c r="F85" s="50">
        <v>5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10</v>
      </c>
      <c r="N85" s="50">
        <v>0</v>
      </c>
      <c r="O85" s="15">
        <f t="shared" si="35"/>
        <v>24</v>
      </c>
      <c r="P85" s="15">
        <f t="shared" si="36"/>
        <v>34</v>
      </c>
      <c r="R85" s="8"/>
      <c r="T85"/>
    </row>
    <row r="86" spans="2:20" ht="23.1" customHeight="1" x14ac:dyDescent="0.25">
      <c r="B86" s="46" t="s">
        <v>126</v>
      </c>
      <c r="C86" s="50">
        <v>12</v>
      </c>
      <c r="D86" s="50">
        <v>10</v>
      </c>
      <c r="E86" s="50">
        <v>2</v>
      </c>
      <c r="F86" s="50">
        <v>5</v>
      </c>
      <c r="G86" s="50">
        <v>0</v>
      </c>
      <c r="H86" s="50">
        <v>0</v>
      </c>
      <c r="I86" s="50">
        <v>5</v>
      </c>
      <c r="J86" s="50">
        <v>0</v>
      </c>
      <c r="K86" s="50">
        <v>1</v>
      </c>
      <c r="L86" s="50">
        <v>0</v>
      </c>
      <c r="M86" s="50">
        <v>20</v>
      </c>
      <c r="N86" s="50">
        <v>0</v>
      </c>
      <c r="O86" s="15">
        <f t="shared" si="35"/>
        <v>35</v>
      </c>
      <c r="P86" s="15">
        <f t="shared" si="36"/>
        <v>55</v>
      </c>
      <c r="R86" s="8"/>
      <c r="T86"/>
    </row>
    <row r="87" spans="2:20" ht="23.1" customHeight="1" x14ac:dyDescent="0.25">
      <c r="B87" s="45" t="s">
        <v>127</v>
      </c>
      <c r="C87" s="50">
        <v>10</v>
      </c>
      <c r="D87" s="50">
        <v>2</v>
      </c>
      <c r="E87" s="50">
        <v>1</v>
      </c>
      <c r="F87" s="50">
        <v>8</v>
      </c>
      <c r="G87" s="50">
        <v>0</v>
      </c>
      <c r="H87" s="50">
        <v>0</v>
      </c>
      <c r="I87" s="50">
        <v>1</v>
      </c>
      <c r="J87" s="50">
        <v>1</v>
      </c>
      <c r="K87" s="50">
        <v>0</v>
      </c>
      <c r="L87" s="50">
        <v>0</v>
      </c>
      <c r="M87" s="50">
        <v>13</v>
      </c>
      <c r="N87" s="50">
        <v>0</v>
      </c>
      <c r="O87" s="15">
        <f t="shared" si="35"/>
        <v>23</v>
      </c>
      <c r="P87" s="15">
        <f t="shared" si="36"/>
        <v>36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3</v>
      </c>
      <c r="E88" s="50">
        <v>0</v>
      </c>
      <c r="F88" s="50">
        <v>2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10</v>
      </c>
      <c r="N88" s="50">
        <v>0</v>
      </c>
      <c r="O88" s="15">
        <f t="shared" si="35"/>
        <v>9</v>
      </c>
      <c r="P88" s="15">
        <f t="shared" si="36"/>
        <v>19</v>
      </c>
      <c r="R88" s="8"/>
      <c r="T88"/>
    </row>
    <row r="89" spans="2:20" ht="23.1" customHeight="1" x14ac:dyDescent="0.25">
      <c r="B89" s="45" t="s">
        <v>129</v>
      </c>
      <c r="C89" s="50">
        <v>7</v>
      </c>
      <c r="D89" s="50">
        <v>8</v>
      </c>
      <c r="E89" s="50">
        <v>0</v>
      </c>
      <c r="F89" s="50">
        <v>0</v>
      </c>
      <c r="G89" s="50">
        <v>0</v>
      </c>
      <c r="H89" s="50">
        <v>0</v>
      </c>
      <c r="I89" s="50">
        <v>6</v>
      </c>
      <c r="J89" s="50">
        <v>0</v>
      </c>
      <c r="K89" s="50">
        <v>3</v>
      </c>
      <c r="L89" s="50">
        <v>1</v>
      </c>
      <c r="M89" s="50">
        <v>14</v>
      </c>
      <c r="N89" s="50">
        <v>0</v>
      </c>
      <c r="O89" s="15">
        <f t="shared" si="35"/>
        <v>25</v>
      </c>
      <c r="P89" s="15">
        <f t="shared" si="36"/>
        <v>39</v>
      </c>
      <c r="R89" s="8"/>
      <c r="T89"/>
    </row>
    <row r="90" spans="2:20" ht="23.1" customHeight="1" x14ac:dyDescent="0.25">
      <c r="B90" s="46" t="s">
        <v>130</v>
      </c>
      <c r="C90" s="50">
        <v>11</v>
      </c>
      <c r="D90" s="50">
        <v>7</v>
      </c>
      <c r="E90" s="50">
        <v>1</v>
      </c>
      <c r="F90" s="50">
        <v>1</v>
      </c>
      <c r="G90" s="50">
        <v>1</v>
      </c>
      <c r="H90" s="50">
        <v>0</v>
      </c>
      <c r="I90" s="50">
        <v>8</v>
      </c>
      <c r="J90" s="50">
        <v>3</v>
      </c>
      <c r="K90" s="50">
        <v>1</v>
      </c>
      <c r="L90" s="50">
        <v>0</v>
      </c>
      <c r="M90" s="50">
        <v>8</v>
      </c>
      <c r="N90" s="50">
        <v>0</v>
      </c>
      <c r="O90" s="15">
        <f t="shared" si="35"/>
        <v>33</v>
      </c>
      <c r="P90" s="15">
        <f t="shared" si="36"/>
        <v>41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4</v>
      </c>
      <c r="E91" s="50">
        <v>1</v>
      </c>
      <c r="F91" s="50">
        <v>1</v>
      </c>
      <c r="G91" s="50">
        <v>0</v>
      </c>
      <c r="H91" s="50">
        <v>0</v>
      </c>
      <c r="I91" s="50">
        <v>0</v>
      </c>
      <c r="J91" s="50">
        <v>3</v>
      </c>
      <c r="K91" s="50">
        <v>0</v>
      </c>
      <c r="L91" s="50">
        <v>1</v>
      </c>
      <c r="M91" s="50">
        <v>8</v>
      </c>
      <c r="N91" s="50">
        <v>0</v>
      </c>
      <c r="O91" s="15">
        <f t="shared" si="35"/>
        <v>16</v>
      </c>
      <c r="P91" s="15">
        <f t="shared" si="36"/>
        <v>24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3</v>
      </c>
      <c r="E92" s="50">
        <v>0</v>
      </c>
      <c r="F92" s="50">
        <v>1</v>
      </c>
      <c r="G92" s="50">
        <v>0</v>
      </c>
      <c r="H92" s="50">
        <v>0</v>
      </c>
      <c r="I92" s="50">
        <v>2</v>
      </c>
      <c r="J92" s="50">
        <v>3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11</v>
      </c>
      <c r="P92" s="15">
        <f t="shared" si="36"/>
        <v>13</v>
      </c>
      <c r="R92" s="8"/>
      <c r="T92"/>
    </row>
    <row r="93" spans="2:20" ht="23.1" customHeight="1" x14ac:dyDescent="0.25">
      <c r="B93" s="45" t="s">
        <v>133</v>
      </c>
      <c r="C93" s="50">
        <v>15</v>
      </c>
      <c r="D93" s="50">
        <v>9</v>
      </c>
      <c r="E93" s="50">
        <v>1</v>
      </c>
      <c r="F93" s="50">
        <v>5</v>
      </c>
      <c r="G93" s="50">
        <v>0</v>
      </c>
      <c r="H93" s="50">
        <v>0</v>
      </c>
      <c r="I93" s="50">
        <v>0</v>
      </c>
      <c r="J93" s="50">
        <v>1</v>
      </c>
      <c r="K93" s="50">
        <v>1</v>
      </c>
      <c r="L93" s="50">
        <v>1</v>
      </c>
      <c r="M93" s="50">
        <v>17</v>
      </c>
      <c r="N93" s="50">
        <v>0</v>
      </c>
      <c r="O93" s="15">
        <f t="shared" si="35"/>
        <v>33</v>
      </c>
      <c r="P93" s="15">
        <f t="shared" si="36"/>
        <v>50</v>
      </c>
      <c r="R93" s="8"/>
      <c r="T93"/>
    </row>
    <row r="94" spans="2:20" ht="23.1" customHeight="1" x14ac:dyDescent="0.25">
      <c r="B94" s="46" t="s">
        <v>134</v>
      </c>
      <c r="C94" s="50">
        <v>10</v>
      </c>
      <c r="D94" s="50">
        <v>2</v>
      </c>
      <c r="E94" s="50">
        <v>1</v>
      </c>
      <c r="F94" s="50">
        <v>1</v>
      </c>
      <c r="G94" s="50">
        <v>0</v>
      </c>
      <c r="H94" s="50">
        <v>0</v>
      </c>
      <c r="I94" s="50">
        <v>3</v>
      </c>
      <c r="J94" s="50">
        <v>2</v>
      </c>
      <c r="K94" s="50">
        <v>0</v>
      </c>
      <c r="L94" s="50">
        <v>0</v>
      </c>
      <c r="M94" s="50">
        <v>19</v>
      </c>
      <c r="N94" s="50">
        <v>0</v>
      </c>
      <c r="O94" s="15">
        <f t="shared" si="35"/>
        <v>19</v>
      </c>
      <c r="P94" s="15">
        <f t="shared" si="36"/>
        <v>38</v>
      </c>
      <c r="R94" s="8"/>
      <c r="T94"/>
    </row>
    <row r="95" spans="2:20" ht="23.1" customHeight="1" x14ac:dyDescent="0.25">
      <c r="B95" s="45" t="s">
        <v>135</v>
      </c>
      <c r="C95" s="50">
        <v>9</v>
      </c>
      <c r="D95" s="50">
        <v>3</v>
      </c>
      <c r="E95" s="50">
        <v>0</v>
      </c>
      <c r="F95" s="50">
        <v>5</v>
      </c>
      <c r="G95" s="50">
        <v>0</v>
      </c>
      <c r="H95" s="50">
        <v>0</v>
      </c>
      <c r="I95" s="50">
        <v>3</v>
      </c>
      <c r="J95" s="50">
        <v>2</v>
      </c>
      <c r="K95" s="50">
        <v>2</v>
      </c>
      <c r="L95" s="50">
        <v>2</v>
      </c>
      <c r="M95" s="50">
        <v>20</v>
      </c>
      <c r="N95" s="50">
        <v>0</v>
      </c>
      <c r="O95" s="15">
        <f t="shared" si="35"/>
        <v>26</v>
      </c>
      <c r="P95" s="15">
        <f t="shared" si="36"/>
        <v>46</v>
      </c>
      <c r="R95" s="8"/>
      <c r="T95"/>
    </row>
    <row r="96" spans="2:20" ht="23.1" customHeight="1" x14ac:dyDescent="0.25">
      <c r="B96" s="47" t="s">
        <v>136</v>
      </c>
      <c r="C96" s="50">
        <v>18</v>
      </c>
      <c r="D96" s="50">
        <v>4</v>
      </c>
      <c r="E96" s="50">
        <v>0</v>
      </c>
      <c r="F96" s="50">
        <v>10</v>
      </c>
      <c r="G96" s="50">
        <v>0</v>
      </c>
      <c r="H96" s="50">
        <v>0</v>
      </c>
      <c r="I96" s="50">
        <v>3</v>
      </c>
      <c r="J96" s="50">
        <v>4</v>
      </c>
      <c r="K96" s="50">
        <v>1</v>
      </c>
      <c r="L96" s="50">
        <v>0</v>
      </c>
      <c r="M96" s="50">
        <v>20</v>
      </c>
      <c r="N96" s="50">
        <v>0</v>
      </c>
      <c r="O96" s="15">
        <f t="shared" si="35"/>
        <v>40</v>
      </c>
      <c r="P96" s="15">
        <f t="shared" si="36"/>
        <v>60</v>
      </c>
      <c r="R96" s="8"/>
      <c r="T96"/>
    </row>
    <row r="97" spans="2:20" ht="23.1" customHeight="1" x14ac:dyDescent="0.25">
      <c r="B97" s="45" t="s">
        <v>137</v>
      </c>
      <c r="C97" s="50">
        <v>8</v>
      </c>
      <c r="D97" s="50">
        <v>4</v>
      </c>
      <c r="E97" s="50">
        <v>0</v>
      </c>
      <c r="F97" s="50">
        <v>6</v>
      </c>
      <c r="G97" s="50">
        <v>1</v>
      </c>
      <c r="H97" s="50">
        <v>0</v>
      </c>
      <c r="I97" s="50">
        <v>0</v>
      </c>
      <c r="J97" s="50">
        <v>0</v>
      </c>
      <c r="K97" s="50">
        <v>1</v>
      </c>
      <c r="L97" s="50">
        <v>0</v>
      </c>
      <c r="M97" s="50">
        <v>25</v>
      </c>
      <c r="N97" s="50">
        <v>0</v>
      </c>
      <c r="O97" s="15">
        <f t="shared" si="35"/>
        <v>20</v>
      </c>
      <c r="P97" s="15">
        <f t="shared" si="36"/>
        <v>45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5</v>
      </c>
      <c r="E98" s="50">
        <v>0</v>
      </c>
      <c r="F98" s="50">
        <v>10</v>
      </c>
      <c r="G98" s="50">
        <v>0</v>
      </c>
      <c r="H98" s="50">
        <v>0</v>
      </c>
      <c r="I98" s="50">
        <v>3</v>
      </c>
      <c r="J98" s="50">
        <v>0</v>
      </c>
      <c r="K98" s="50">
        <v>3</v>
      </c>
      <c r="L98" s="50">
        <v>5</v>
      </c>
      <c r="M98" s="50">
        <v>50</v>
      </c>
      <c r="N98" s="50">
        <v>0</v>
      </c>
      <c r="O98" s="15">
        <f t="shared" si="35"/>
        <v>30</v>
      </c>
      <c r="P98" s="15">
        <f t="shared" si="36"/>
        <v>80</v>
      </c>
      <c r="R98" s="8"/>
      <c r="T98"/>
    </row>
    <row r="99" spans="2:20" ht="23.1" customHeight="1" x14ac:dyDescent="0.25">
      <c r="B99" s="45" t="s">
        <v>139</v>
      </c>
      <c r="C99" s="50">
        <v>13</v>
      </c>
      <c r="D99" s="50">
        <v>5</v>
      </c>
      <c r="E99" s="50">
        <v>1</v>
      </c>
      <c r="F99" s="50">
        <v>26</v>
      </c>
      <c r="G99" s="50">
        <v>0</v>
      </c>
      <c r="H99" s="50">
        <v>0</v>
      </c>
      <c r="I99" s="50">
        <v>5</v>
      </c>
      <c r="J99" s="50">
        <v>3</v>
      </c>
      <c r="K99" s="50">
        <v>2</v>
      </c>
      <c r="L99" s="50">
        <v>0</v>
      </c>
      <c r="M99" s="50">
        <v>30</v>
      </c>
      <c r="N99" s="50">
        <v>0</v>
      </c>
      <c r="O99" s="15">
        <f t="shared" si="35"/>
        <v>55</v>
      </c>
      <c r="P99" s="15">
        <f t="shared" si="36"/>
        <v>85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1</v>
      </c>
      <c r="E100" s="50">
        <v>3</v>
      </c>
      <c r="F100" s="50">
        <v>19</v>
      </c>
      <c r="G100" s="50">
        <v>0</v>
      </c>
      <c r="H100" s="50">
        <v>0</v>
      </c>
      <c r="I100" s="50">
        <v>2</v>
      </c>
      <c r="J100" s="50">
        <v>2</v>
      </c>
      <c r="K100" s="50">
        <v>3</v>
      </c>
      <c r="L100" s="50">
        <v>0</v>
      </c>
      <c r="M100" s="50">
        <v>20</v>
      </c>
      <c r="N100" s="50">
        <v>0</v>
      </c>
      <c r="O100" s="15">
        <f t="shared" si="35"/>
        <v>35</v>
      </c>
      <c r="P100" s="15">
        <f t="shared" si="36"/>
        <v>55</v>
      </c>
      <c r="R100" s="8"/>
      <c r="T100"/>
    </row>
    <row r="101" spans="2:20" ht="23.1" customHeight="1" x14ac:dyDescent="0.25">
      <c r="B101" s="45" t="s">
        <v>141</v>
      </c>
      <c r="C101" s="50">
        <v>7</v>
      </c>
      <c r="D101" s="50">
        <v>6</v>
      </c>
      <c r="E101" s="50">
        <v>2</v>
      </c>
      <c r="F101" s="50">
        <v>15</v>
      </c>
      <c r="G101" s="50">
        <v>0</v>
      </c>
      <c r="H101" s="50">
        <v>0</v>
      </c>
      <c r="I101" s="50">
        <v>5</v>
      </c>
      <c r="J101" s="50">
        <v>1</v>
      </c>
      <c r="K101" s="50">
        <v>1</v>
      </c>
      <c r="L101" s="50">
        <v>0</v>
      </c>
      <c r="M101" s="50">
        <v>12</v>
      </c>
      <c r="N101" s="50">
        <v>0</v>
      </c>
      <c r="O101" s="15">
        <f t="shared" si="35"/>
        <v>37</v>
      </c>
      <c r="P101" s="15">
        <f t="shared" si="36"/>
        <v>49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5</v>
      </c>
      <c r="E102" s="50">
        <v>2</v>
      </c>
      <c r="F102" s="50">
        <v>15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25</v>
      </c>
      <c r="N102" s="50">
        <v>0</v>
      </c>
      <c r="O102" s="15">
        <f t="shared" si="35"/>
        <v>28</v>
      </c>
      <c r="P102" s="15">
        <f t="shared" si="36"/>
        <v>53</v>
      </c>
      <c r="R102" s="8"/>
      <c r="T102"/>
    </row>
    <row r="103" spans="2:20" ht="23.1" customHeight="1" x14ac:dyDescent="0.25">
      <c r="B103" s="45" t="s">
        <v>143</v>
      </c>
      <c r="C103" s="50">
        <v>11</v>
      </c>
      <c r="D103" s="50">
        <v>5</v>
      </c>
      <c r="E103" s="50">
        <v>2</v>
      </c>
      <c r="F103" s="50">
        <v>2</v>
      </c>
      <c r="G103" s="50">
        <v>0</v>
      </c>
      <c r="H103" s="50">
        <v>0</v>
      </c>
      <c r="I103" s="50">
        <v>4</v>
      </c>
      <c r="J103" s="50">
        <v>2</v>
      </c>
      <c r="K103" s="50">
        <v>0</v>
      </c>
      <c r="L103" s="50">
        <v>0</v>
      </c>
      <c r="M103" s="50">
        <v>22</v>
      </c>
      <c r="N103" s="50">
        <v>0</v>
      </c>
      <c r="O103" s="15">
        <f t="shared" si="35"/>
        <v>26</v>
      </c>
      <c r="P103" s="15">
        <f t="shared" si="36"/>
        <v>48</v>
      </c>
      <c r="R103" s="8"/>
      <c r="T103"/>
    </row>
    <row r="104" spans="2:20" ht="23.1" customHeight="1" x14ac:dyDescent="0.25">
      <c r="B104" s="47" t="s">
        <v>144</v>
      </c>
      <c r="C104" s="50">
        <v>20</v>
      </c>
      <c r="D104" s="50">
        <v>20</v>
      </c>
      <c r="E104" s="50">
        <v>0</v>
      </c>
      <c r="F104" s="50">
        <v>22</v>
      </c>
      <c r="G104" s="50">
        <v>0</v>
      </c>
      <c r="H104" s="50">
        <v>1</v>
      </c>
      <c r="I104" s="50">
        <v>5</v>
      </c>
      <c r="J104" s="50">
        <v>1</v>
      </c>
      <c r="K104" s="50">
        <v>0</v>
      </c>
      <c r="L104" s="50">
        <v>0</v>
      </c>
      <c r="M104" s="50">
        <v>25</v>
      </c>
      <c r="N104" s="50">
        <v>0</v>
      </c>
      <c r="O104" s="15">
        <f t="shared" si="35"/>
        <v>69</v>
      </c>
      <c r="P104" s="15">
        <f t="shared" si="36"/>
        <v>94</v>
      </c>
      <c r="R104" s="8"/>
      <c r="T104"/>
    </row>
    <row r="105" spans="2:20" ht="23.1" customHeight="1" x14ac:dyDescent="0.25">
      <c r="B105" s="45" t="s">
        <v>145</v>
      </c>
      <c r="C105" s="50">
        <v>20</v>
      </c>
      <c r="D105" s="50">
        <v>20</v>
      </c>
      <c r="E105" s="50">
        <v>5</v>
      </c>
      <c r="F105" s="50">
        <v>21</v>
      </c>
      <c r="G105" s="50">
        <v>0</v>
      </c>
      <c r="H105" s="50">
        <v>10</v>
      </c>
      <c r="I105" s="50">
        <v>0</v>
      </c>
      <c r="J105" s="50">
        <v>7</v>
      </c>
      <c r="K105" s="50">
        <v>0</v>
      </c>
      <c r="L105" s="50">
        <v>0</v>
      </c>
      <c r="M105" s="50">
        <v>40</v>
      </c>
      <c r="N105" s="50">
        <v>0</v>
      </c>
      <c r="O105" s="15">
        <f t="shared" si="35"/>
        <v>83</v>
      </c>
      <c r="P105" s="15">
        <f t="shared" si="36"/>
        <v>123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3898</v>
      </c>
      <c r="D106" s="16">
        <f t="shared" ref="D106:P106" si="37">SUM(D10:D105)</f>
        <v>3807</v>
      </c>
      <c r="E106" s="16">
        <f t="shared" si="37"/>
        <v>664</v>
      </c>
      <c r="F106" s="16">
        <f t="shared" si="37"/>
        <v>3660</v>
      </c>
      <c r="G106" s="16">
        <f t="shared" si="37"/>
        <v>88</v>
      </c>
      <c r="H106" s="16">
        <f t="shared" si="37"/>
        <v>36</v>
      </c>
      <c r="I106" s="16">
        <f t="shared" si="37"/>
        <v>630</v>
      </c>
      <c r="J106" s="16">
        <f t="shared" si="37"/>
        <v>205</v>
      </c>
      <c r="K106" s="16">
        <f t="shared" si="37"/>
        <v>59</v>
      </c>
      <c r="L106" s="16">
        <f t="shared" si="37"/>
        <v>90</v>
      </c>
      <c r="M106" s="16">
        <f t="shared" si="37"/>
        <v>6045</v>
      </c>
      <c r="N106" s="16">
        <f t="shared" si="37"/>
        <v>1</v>
      </c>
      <c r="O106" s="16">
        <f t="shared" si="37"/>
        <v>13138</v>
      </c>
      <c r="P106" s="16">
        <f t="shared" si="37"/>
        <v>19183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0.20320075066465099</v>
      </c>
      <c r="D107" s="43">
        <f t="shared" si="38"/>
        <v>0.19845696710629204</v>
      </c>
      <c r="E107" s="43">
        <f t="shared" si="38"/>
        <v>3.4613981129124748E-2</v>
      </c>
      <c r="F107" s="43">
        <f t="shared" si="38"/>
        <v>0.19079393212740448</v>
      </c>
      <c r="G107" s="43">
        <f t="shared" si="38"/>
        <v>4.5873950894020745E-3</v>
      </c>
      <c r="H107" s="43">
        <f t="shared" si="38"/>
        <v>1.8766616274826669E-3</v>
      </c>
      <c r="I107" s="43">
        <f t="shared" si="38"/>
        <v>3.2841578480946675E-2</v>
      </c>
      <c r="J107" s="43">
        <f t="shared" si="38"/>
        <v>1.0686545378720743E-2</v>
      </c>
      <c r="K107" s="43">
        <f t="shared" si="38"/>
        <v>3.075639889485482E-3</v>
      </c>
      <c r="L107" s="43">
        <f t="shared" si="38"/>
        <v>4.6916540687066671E-3</v>
      </c>
      <c r="M107" s="43">
        <f t="shared" si="38"/>
        <v>0.31512276494813118</v>
      </c>
      <c r="N107" s="43">
        <f t="shared" si="38"/>
        <v>5.2129489652296305E-5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0.29669660526716396</v>
      </c>
      <c r="D108" s="44">
        <f t="shared" ref="D108:N108" si="39">D106/$O$106</f>
        <v>0.28977013244024968</v>
      </c>
      <c r="E108" s="44">
        <f t="shared" si="39"/>
        <v>5.0540417110671337E-2</v>
      </c>
      <c r="F108" s="44">
        <f t="shared" si="39"/>
        <v>0.27858121479677272</v>
      </c>
      <c r="G108" s="44">
        <f t="shared" si="39"/>
        <v>6.6981275688841532E-3</v>
      </c>
      <c r="H108" s="44">
        <f t="shared" si="39"/>
        <v>2.740143096361699E-3</v>
      </c>
      <c r="I108" s="44">
        <f t="shared" si="39"/>
        <v>4.7952504186329729E-2</v>
      </c>
      <c r="J108" s="44">
        <f t="shared" si="39"/>
        <v>1.5603592632059675E-2</v>
      </c>
      <c r="K108" s="44">
        <f t="shared" si="39"/>
        <v>4.4907900745927839E-3</v>
      </c>
      <c r="L108" s="44">
        <f t="shared" si="39"/>
        <v>6.8503577409042473E-3</v>
      </c>
      <c r="M108" s="44"/>
      <c r="N108" s="44">
        <f t="shared" si="39"/>
        <v>7.6115086010047187E-5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1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Kampala-Wakiso-24h'!D5</f>
        <v>26.07.19</v>
      </c>
      <c r="E5" s="3"/>
      <c r="F5" s="41" t="s">
        <v>1</v>
      </c>
      <c r="G5" s="66" t="str">
        <f>'26.07 Kampala-Wakiso-24h'!G5:H5</f>
        <v>AFTER STABEX NANSANA</v>
      </c>
      <c r="H5" s="67"/>
      <c r="I5" s="14"/>
      <c r="J5" s="2" t="s">
        <v>5</v>
      </c>
      <c r="K5" s="66" t="str">
        <f>'26.07 Kampala-Wakiso-24h'!K5:L5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Wakiso-Kampala'!D6:E6</f>
        <v>Wakiso</v>
      </c>
      <c r="E6" s="67"/>
      <c r="F6" s="2" t="s">
        <v>2</v>
      </c>
      <c r="G6" s="66" t="str">
        <f>'23.07 Wakiso-Kampala'!G6:H6</f>
        <v>Kampala</v>
      </c>
      <c r="H6" s="67"/>
      <c r="J6" s="2" t="s">
        <v>21</v>
      </c>
      <c r="K6" s="66" t="str">
        <f>'26.07 Kampala-Wakiso-24h'!K6:L6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80</v>
      </c>
      <c r="D10" s="50">
        <v>20</v>
      </c>
      <c r="E10" s="50">
        <v>2</v>
      </c>
      <c r="F10" s="50">
        <v>93</v>
      </c>
      <c r="G10" s="50">
        <v>93</v>
      </c>
      <c r="H10" s="50">
        <v>0</v>
      </c>
      <c r="I10" s="50">
        <v>4</v>
      </c>
      <c r="J10" s="50">
        <v>0</v>
      </c>
      <c r="K10" s="50">
        <v>0</v>
      </c>
      <c r="L10" s="50">
        <v>1</v>
      </c>
      <c r="M10" s="50">
        <v>95</v>
      </c>
      <c r="N10" s="50">
        <v>0</v>
      </c>
      <c r="O10" s="15">
        <f t="shared" ref="O10:O73" si="0">SUM(C10:L10,N10)</f>
        <v>293</v>
      </c>
      <c r="P10" s="15">
        <f t="shared" ref="P10:P73" si="1">SUM(C10:N10)</f>
        <v>388</v>
      </c>
      <c r="R10" s="1" t="s">
        <v>6</v>
      </c>
      <c r="S10" s="17">
        <f t="shared" ref="S10:AF10" si="2">SUM(C10:C13)</f>
        <v>403</v>
      </c>
      <c r="T10" s="17">
        <f t="shared" si="2"/>
        <v>130</v>
      </c>
      <c r="U10" s="17">
        <f t="shared" si="2"/>
        <v>28</v>
      </c>
      <c r="V10" s="17">
        <f t="shared" si="2"/>
        <v>338</v>
      </c>
      <c r="W10" s="17">
        <f t="shared" si="2"/>
        <v>97</v>
      </c>
      <c r="X10" s="17">
        <f t="shared" si="2"/>
        <v>4</v>
      </c>
      <c r="Y10" s="17">
        <f t="shared" si="2"/>
        <v>39</v>
      </c>
      <c r="Z10" s="17">
        <f t="shared" si="2"/>
        <v>9</v>
      </c>
      <c r="AA10" s="17">
        <f t="shared" si="2"/>
        <v>4</v>
      </c>
      <c r="AB10" s="17">
        <f t="shared" si="2"/>
        <v>1</v>
      </c>
      <c r="AC10" s="17">
        <f t="shared" si="2"/>
        <v>540</v>
      </c>
      <c r="AD10" s="17">
        <f t="shared" si="2"/>
        <v>0</v>
      </c>
      <c r="AE10" s="31">
        <f t="shared" si="2"/>
        <v>1053</v>
      </c>
      <c r="AF10" s="31">
        <f t="shared" si="2"/>
        <v>1593</v>
      </c>
    </row>
    <row r="11" spans="2:32" s="6" customFormat="1" ht="23.1" customHeight="1" x14ac:dyDescent="0.25">
      <c r="B11" s="45" t="s">
        <v>38</v>
      </c>
      <c r="C11" s="50">
        <v>100</v>
      </c>
      <c r="D11" s="50">
        <v>43</v>
      </c>
      <c r="E11" s="50">
        <v>11</v>
      </c>
      <c r="F11" s="50">
        <v>85</v>
      </c>
      <c r="G11" s="50">
        <v>3</v>
      </c>
      <c r="H11" s="50">
        <v>0</v>
      </c>
      <c r="I11" s="50">
        <v>16</v>
      </c>
      <c r="J11" s="50">
        <v>1</v>
      </c>
      <c r="K11" s="50">
        <v>1</v>
      </c>
      <c r="L11" s="50">
        <v>0</v>
      </c>
      <c r="M11" s="50">
        <v>140</v>
      </c>
      <c r="N11" s="50">
        <v>0</v>
      </c>
      <c r="O11" s="15">
        <f t="shared" si="0"/>
        <v>260</v>
      </c>
      <c r="P11" s="15">
        <f t="shared" si="1"/>
        <v>400</v>
      </c>
      <c r="R11" s="1" t="s">
        <v>7</v>
      </c>
      <c r="S11" s="17">
        <f t="shared" ref="S11:AF11" si="3">SUM(C14:C17)</f>
        <v>260</v>
      </c>
      <c r="T11" s="17">
        <f t="shared" si="3"/>
        <v>94</v>
      </c>
      <c r="U11" s="17">
        <f t="shared" si="3"/>
        <v>29</v>
      </c>
      <c r="V11" s="17">
        <f t="shared" si="3"/>
        <v>250</v>
      </c>
      <c r="W11" s="17">
        <f t="shared" si="3"/>
        <v>1</v>
      </c>
      <c r="X11" s="17">
        <f t="shared" si="3"/>
        <v>0</v>
      </c>
      <c r="Y11" s="17">
        <f t="shared" si="3"/>
        <v>35</v>
      </c>
      <c r="Z11" s="17">
        <f t="shared" si="3"/>
        <v>5</v>
      </c>
      <c r="AA11" s="17">
        <f t="shared" si="3"/>
        <v>3</v>
      </c>
      <c r="AB11" s="17">
        <f t="shared" si="3"/>
        <v>2</v>
      </c>
      <c r="AC11" s="17">
        <f t="shared" si="3"/>
        <v>865</v>
      </c>
      <c r="AD11" s="17">
        <f t="shared" si="3"/>
        <v>0</v>
      </c>
      <c r="AE11" s="31">
        <f t="shared" si="3"/>
        <v>679</v>
      </c>
      <c r="AF11" s="31">
        <f t="shared" si="3"/>
        <v>1544</v>
      </c>
    </row>
    <row r="12" spans="2:32" ht="23.1" customHeight="1" x14ac:dyDescent="0.25">
      <c r="B12" s="45" t="s">
        <v>39</v>
      </c>
      <c r="C12" s="50">
        <v>103</v>
      </c>
      <c r="D12" s="50">
        <v>25</v>
      </c>
      <c r="E12" s="50">
        <v>9</v>
      </c>
      <c r="F12" s="50">
        <v>70</v>
      </c>
      <c r="G12" s="50">
        <v>0</v>
      </c>
      <c r="H12" s="50">
        <v>2</v>
      </c>
      <c r="I12" s="50">
        <v>4</v>
      </c>
      <c r="J12" s="50">
        <v>2</v>
      </c>
      <c r="K12" s="50">
        <v>0</v>
      </c>
      <c r="L12" s="50">
        <v>0</v>
      </c>
      <c r="M12" s="50">
        <v>115</v>
      </c>
      <c r="N12" s="50">
        <v>0</v>
      </c>
      <c r="O12" s="15">
        <f t="shared" si="0"/>
        <v>215</v>
      </c>
      <c r="P12" s="15">
        <f t="shared" si="1"/>
        <v>330</v>
      </c>
      <c r="R12" s="1" t="s">
        <v>8</v>
      </c>
      <c r="S12" s="17">
        <f t="shared" ref="S12:AF12" si="4">SUM(C18:C21)</f>
        <v>297</v>
      </c>
      <c r="T12" s="17">
        <f t="shared" si="4"/>
        <v>148</v>
      </c>
      <c r="U12" s="17">
        <f t="shared" si="4"/>
        <v>39</v>
      </c>
      <c r="V12" s="17">
        <f t="shared" si="4"/>
        <v>321</v>
      </c>
      <c r="W12" s="17">
        <f t="shared" si="4"/>
        <v>9</v>
      </c>
      <c r="X12" s="17">
        <f t="shared" si="4"/>
        <v>1</v>
      </c>
      <c r="Y12" s="17">
        <f t="shared" si="4"/>
        <v>26</v>
      </c>
      <c r="Z12" s="17">
        <f t="shared" si="4"/>
        <v>15</v>
      </c>
      <c r="AA12" s="17">
        <f t="shared" si="4"/>
        <v>4</v>
      </c>
      <c r="AB12" s="17">
        <f t="shared" si="4"/>
        <v>1</v>
      </c>
      <c r="AC12" s="17">
        <f t="shared" si="4"/>
        <v>563</v>
      </c>
      <c r="AD12" s="17">
        <f t="shared" si="4"/>
        <v>0</v>
      </c>
      <c r="AE12" s="31">
        <f t="shared" si="4"/>
        <v>861</v>
      </c>
      <c r="AF12" s="31">
        <f t="shared" si="4"/>
        <v>1424</v>
      </c>
    </row>
    <row r="13" spans="2:32" ht="23.1" customHeight="1" x14ac:dyDescent="0.25">
      <c r="B13" s="45" t="s">
        <v>40</v>
      </c>
      <c r="C13" s="50">
        <v>120</v>
      </c>
      <c r="D13" s="50">
        <v>42</v>
      </c>
      <c r="E13" s="50">
        <v>6</v>
      </c>
      <c r="F13" s="50">
        <v>90</v>
      </c>
      <c r="G13" s="50">
        <v>1</v>
      </c>
      <c r="H13" s="50">
        <v>2</v>
      </c>
      <c r="I13" s="50">
        <v>15</v>
      </c>
      <c r="J13" s="50">
        <v>6</v>
      </c>
      <c r="K13" s="50">
        <v>3</v>
      </c>
      <c r="L13" s="50">
        <v>0</v>
      </c>
      <c r="M13" s="50">
        <v>190</v>
      </c>
      <c r="N13" s="50">
        <v>0</v>
      </c>
      <c r="O13" s="15">
        <f t="shared" si="0"/>
        <v>285</v>
      </c>
      <c r="P13" s="15">
        <f t="shared" si="1"/>
        <v>475</v>
      </c>
      <c r="R13" s="1" t="s">
        <v>9</v>
      </c>
      <c r="S13" s="17">
        <f t="shared" ref="S13:AF13" si="5">SUM(C22:C25)</f>
        <v>260</v>
      </c>
      <c r="T13" s="17">
        <f t="shared" si="5"/>
        <v>72</v>
      </c>
      <c r="U13" s="17">
        <f t="shared" si="5"/>
        <v>39</v>
      </c>
      <c r="V13" s="17">
        <f t="shared" si="5"/>
        <v>295</v>
      </c>
      <c r="W13" s="17">
        <f t="shared" si="5"/>
        <v>9</v>
      </c>
      <c r="X13" s="17">
        <f t="shared" si="5"/>
        <v>2</v>
      </c>
      <c r="Y13" s="17">
        <f t="shared" si="5"/>
        <v>26</v>
      </c>
      <c r="Z13" s="17">
        <f t="shared" si="5"/>
        <v>7</v>
      </c>
      <c r="AA13" s="17">
        <f t="shared" si="5"/>
        <v>4</v>
      </c>
      <c r="AB13" s="17">
        <f t="shared" si="5"/>
        <v>2</v>
      </c>
      <c r="AC13" s="17">
        <f t="shared" si="5"/>
        <v>475</v>
      </c>
      <c r="AD13" s="17">
        <f t="shared" si="5"/>
        <v>0</v>
      </c>
      <c r="AE13" s="31">
        <f t="shared" si="5"/>
        <v>716</v>
      </c>
      <c r="AF13" s="31">
        <f t="shared" si="5"/>
        <v>1191</v>
      </c>
    </row>
    <row r="14" spans="2:32" ht="23.1" customHeight="1" x14ac:dyDescent="0.25">
      <c r="B14" s="45" t="s">
        <v>41</v>
      </c>
      <c r="C14" s="50">
        <v>80</v>
      </c>
      <c r="D14" s="50">
        <v>21</v>
      </c>
      <c r="E14" s="50">
        <v>3</v>
      </c>
      <c r="F14" s="50">
        <v>50</v>
      </c>
      <c r="G14" s="50">
        <v>1</v>
      </c>
      <c r="H14" s="50">
        <v>0</v>
      </c>
      <c r="I14" s="50">
        <v>12</v>
      </c>
      <c r="J14" s="50">
        <v>0</v>
      </c>
      <c r="K14" s="50">
        <v>0</v>
      </c>
      <c r="L14" s="50">
        <v>0</v>
      </c>
      <c r="M14" s="50">
        <v>210</v>
      </c>
      <c r="N14" s="50">
        <v>0</v>
      </c>
      <c r="O14" s="15">
        <f t="shared" si="0"/>
        <v>167</v>
      </c>
      <c r="P14" s="15">
        <f t="shared" si="1"/>
        <v>377</v>
      </c>
      <c r="R14" s="1" t="s">
        <v>10</v>
      </c>
      <c r="S14" s="17">
        <f t="shared" ref="S14:AF14" si="6">SUM(C26:C29)</f>
        <v>175</v>
      </c>
      <c r="T14" s="17">
        <f t="shared" si="6"/>
        <v>74</v>
      </c>
      <c r="U14" s="17">
        <f t="shared" si="6"/>
        <v>19</v>
      </c>
      <c r="V14" s="17">
        <f t="shared" si="6"/>
        <v>254</v>
      </c>
      <c r="W14" s="17">
        <f t="shared" si="6"/>
        <v>0</v>
      </c>
      <c r="X14" s="17">
        <f t="shared" si="6"/>
        <v>1</v>
      </c>
      <c r="Y14" s="17">
        <f t="shared" si="6"/>
        <v>25</v>
      </c>
      <c r="Z14" s="17">
        <f t="shared" si="6"/>
        <v>6</v>
      </c>
      <c r="AA14" s="17">
        <f t="shared" si="6"/>
        <v>3</v>
      </c>
      <c r="AB14" s="17">
        <f t="shared" si="6"/>
        <v>1</v>
      </c>
      <c r="AC14" s="17">
        <f t="shared" si="6"/>
        <v>380</v>
      </c>
      <c r="AD14" s="17">
        <f t="shared" si="6"/>
        <v>0</v>
      </c>
      <c r="AE14" s="31">
        <f t="shared" si="6"/>
        <v>558</v>
      </c>
      <c r="AF14" s="31">
        <f t="shared" si="6"/>
        <v>938</v>
      </c>
    </row>
    <row r="15" spans="2:32" ht="23.1" customHeight="1" x14ac:dyDescent="0.25">
      <c r="B15" s="45" t="s">
        <v>42</v>
      </c>
      <c r="C15" s="50">
        <v>70</v>
      </c>
      <c r="D15" s="50">
        <v>22</v>
      </c>
      <c r="E15" s="50">
        <v>8</v>
      </c>
      <c r="F15" s="50">
        <v>75</v>
      </c>
      <c r="G15" s="50">
        <v>0</v>
      </c>
      <c r="H15" s="50">
        <v>0</v>
      </c>
      <c r="I15" s="50">
        <v>9</v>
      </c>
      <c r="J15" s="50">
        <v>2</v>
      </c>
      <c r="K15" s="50">
        <v>1</v>
      </c>
      <c r="L15" s="50">
        <v>2</v>
      </c>
      <c r="M15" s="50">
        <v>210</v>
      </c>
      <c r="N15" s="50">
        <v>0</v>
      </c>
      <c r="O15" s="15">
        <f t="shared" si="0"/>
        <v>189</v>
      </c>
      <c r="P15" s="15">
        <f t="shared" si="1"/>
        <v>399</v>
      </c>
      <c r="R15" s="1" t="s">
        <v>11</v>
      </c>
      <c r="S15" s="17">
        <f t="shared" ref="S15:AF15" si="7">SUM(C30:C33)</f>
        <v>237</v>
      </c>
      <c r="T15" s="17">
        <f t="shared" si="7"/>
        <v>87</v>
      </c>
      <c r="U15" s="17">
        <f t="shared" si="7"/>
        <v>28</v>
      </c>
      <c r="V15" s="17">
        <f t="shared" si="7"/>
        <v>230</v>
      </c>
      <c r="W15" s="17">
        <f t="shared" si="7"/>
        <v>3</v>
      </c>
      <c r="X15" s="17">
        <f t="shared" si="7"/>
        <v>1</v>
      </c>
      <c r="Y15" s="17">
        <f t="shared" si="7"/>
        <v>30</v>
      </c>
      <c r="Z15" s="17">
        <f t="shared" si="7"/>
        <v>6</v>
      </c>
      <c r="AA15" s="17">
        <f t="shared" si="7"/>
        <v>1</v>
      </c>
      <c r="AB15" s="17">
        <f t="shared" si="7"/>
        <v>5</v>
      </c>
      <c r="AC15" s="17">
        <f t="shared" si="7"/>
        <v>335</v>
      </c>
      <c r="AD15" s="17">
        <f t="shared" si="7"/>
        <v>0</v>
      </c>
      <c r="AE15" s="31">
        <f t="shared" si="7"/>
        <v>628</v>
      </c>
      <c r="AF15" s="31">
        <f t="shared" si="7"/>
        <v>963</v>
      </c>
    </row>
    <row r="16" spans="2:32" ht="23.1" customHeight="1" x14ac:dyDescent="0.25">
      <c r="B16" s="45" t="s">
        <v>43</v>
      </c>
      <c r="C16" s="50">
        <v>50</v>
      </c>
      <c r="D16" s="50">
        <v>20</v>
      </c>
      <c r="E16" s="50">
        <v>9</v>
      </c>
      <c r="F16" s="50">
        <v>50</v>
      </c>
      <c r="G16" s="50">
        <v>0</v>
      </c>
      <c r="H16" s="50">
        <v>0</v>
      </c>
      <c r="I16" s="50">
        <v>9</v>
      </c>
      <c r="J16" s="50">
        <v>2</v>
      </c>
      <c r="K16" s="50">
        <v>1</v>
      </c>
      <c r="L16" s="50">
        <v>0</v>
      </c>
      <c r="M16" s="50">
        <v>210</v>
      </c>
      <c r="N16" s="50">
        <v>0</v>
      </c>
      <c r="O16" s="15">
        <f t="shared" si="0"/>
        <v>141</v>
      </c>
      <c r="P16" s="15">
        <f t="shared" si="1"/>
        <v>351</v>
      </c>
      <c r="R16" s="1" t="s">
        <v>12</v>
      </c>
      <c r="S16" s="17">
        <f t="shared" ref="S16:AF16" si="8">SUM(C34:C37)</f>
        <v>210</v>
      </c>
      <c r="T16" s="17">
        <f t="shared" si="8"/>
        <v>80</v>
      </c>
      <c r="U16" s="17">
        <f t="shared" si="8"/>
        <v>37</v>
      </c>
      <c r="V16" s="17">
        <f t="shared" si="8"/>
        <v>157</v>
      </c>
      <c r="W16" s="17">
        <f t="shared" si="8"/>
        <v>6</v>
      </c>
      <c r="X16" s="17">
        <f t="shared" si="8"/>
        <v>1</v>
      </c>
      <c r="Y16" s="17">
        <f t="shared" si="8"/>
        <v>32</v>
      </c>
      <c r="Z16" s="17">
        <f t="shared" si="8"/>
        <v>11</v>
      </c>
      <c r="AA16" s="17">
        <f t="shared" si="8"/>
        <v>2</v>
      </c>
      <c r="AB16" s="17">
        <f t="shared" si="8"/>
        <v>5</v>
      </c>
      <c r="AC16" s="17">
        <f t="shared" si="8"/>
        <v>373</v>
      </c>
      <c r="AD16" s="17">
        <f t="shared" si="8"/>
        <v>0</v>
      </c>
      <c r="AE16" s="31">
        <f t="shared" si="8"/>
        <v>541</v>
      </c>
      <c r="AF16" s="31">
        <f t="shared" si="8"/>
        <v>914</v>
      </c>
    </row>
    <row r="17" spans="2:32" ht="23.1" customHeight="1" x14ac:dyDescent="0.25">
      <c r="B17" s="45" t="s">
        <v>44</v>
      </c>
      <c r="C17" s="50">
        <v>60</v>
      </c>
      <c r="D17" s="50">
        <v>31</v>
      </c>
      <c r="E17" s="50">
        <v>9</v>
      </c>
      <c r="F17" s="50">
        <v>75</v>
      </c>
      <c r="G17" s="50">
        <v>0</v>
      </c>
      <c r="H17" s="50">
        <v>0</v>
      </c>
      <c r="I17" s="50">
        <v>5</v>
      </c>
      <c r="J17" s="50">
        <v>1</v>
      </c>
      <c r="K17" s="50">
        <v>1</v>
      </c>
      <c r="L17" s="50">
        <v>0</v>
      </c>
      <c r="M17" s="50">
        <v>235</v>
      </c>
      <c r="N17" s="50">
        <v>0</v>
      </c>
      <c r="O17" s="15">
        <f t="shared" si="0"/>
        <v>182</v>
      </c>
      <c r="P17" s="15">
        <f t="shared" si="1"/>
        <v>417</v>
      </c>
      <c r="R17" s="1" t="s">
        <v>13</v>
      </c>
      <c r="S17" s="17">
        <f t="shared" ref="S17:AF17" si="9">SUM(C38:C41)</f>
        <v>213</v>
      </c>
      <c r="T17" s="17">
        <f t="shared" si="9"/>
        <v>62</v>
      </c>
      <c r="U17" s="17">
        <f t="shared" si="9"/>
        <v>40</v>
      </c>
      <c r="V17" s="17">
        <f t="shared" si="9"/>
        <v>189</v>
      </c>
      <c r="W17" s="17">
        <f t="shared" si="9"/>
        <v>1</v>
      </c>
      <c r="X17" s="17">
        <f t="shared" si="9"/>
        <v>0</v>
      </c>
      <c r="Y17" s="17">
        <f t="shared" si="9"/>
        <v>35</v>
      </c>
      <c r="Z17" s="17">
        <f t="shared" si="9"/>
        <v>8</v>
      </c>
      <c r="AA17" s="17">
        <f t="shared" si="9"/>
        <v>3</v>
      </c>
      <c r="AB17" s="17">
        <f t="shared" si="9"/>
        <v>2</v>
      </c>
      <c r="AC17" s="17">
        <f t="shared" si="9"/>
        <v>301</v>
      </c>
      <c r="AD17" s="17">
        <f t="shared" si="9"/>
        <v>0</v>
      </c>
      <c r="AE17" s="31">
        <f t="shared" si="9"/>
        <v>553</v>
      </c>
      <c r="AF17" s="31">
        <f t="shared" si="9"/>
        <v>854</v>
      </c>
    </row>
    <row r="18" spans="2:32" ht="23.1" customHeight="1" x14ac:dyDescent="0.25">
      <c r="B18" s="45" t="s">
        <v>45</v>
      </c>
      <c r="C18" s="50">
        <v>80</v>
      </c>
      <c r="D18" s="50">
        <v>51</v>
      </c>
      <c r="E18" s="50">
        <v>22</v>
      </c>
      <c r="F18" s="50">
        <v>110</v>
      </c>
      <c r="G18" s="50">
        <v>2</v>
      </c>
      <c r="H18" s="50">
        <v>0</v>
      </c>
      <c r="I18" s="50">
        <v>3</v>
      </c>
      <c r="J18" s="50">
        <v>6</v>
      </c>
      <c r="K18" s="50">
        <v>2</v>
      </c>
      <c r="L18" s="50">
        <v>0</v>
      </c>
      <c r="M18" s="50">
        <v>175</v>
      </c>
      <c r="N18" s="50">
        <v>0</v>
      </c>
      <c r="O18" s="15">
        <f t="shared" si="0"/>
        <v>276</v>
      </c>
      <c r="P18" s="15">
        <f t="shared" si="1"/>
        <v>451</v>
      </c>
      <c r="R18" s="1" t="s">
        <v>14</v>
      </c>
      <c r="S18" s="17">
        <f t="shared" ref="S18:AF18" si="10">SUM(C42:C45)</f>
        <v>143</v>
      </c>
      <c r="T18" s="17">
        <f t="shared" si="10"/>
        <v>94</v>
      </c>
      <c r="U18" s="17">
        <f t="shared" si="10"/>
        <v>49</v>
      </c>
      <c r="V18" s="17">
        <f t="shared" si="10"/>
        <v>212</v>
      </c>
      <c r="W18" s="17">
        <f t="shared" si="10"/>
        <v>0</v>
      </c>
      <c r="X18" s="17">
        <f t="shared" si="10"/>
        <v>1</v>
      </c>
      <c r="Y18" s="17">
        <f t="shared" si="10"/>
        <v>35</v>
      </c>
      <c r="Z18" s="17">
        <f t="shared" si="10"/>
        <v>24</v>
      </c>
      <c r="AA18" s="17">
        <f t="shared" si="10"/>
        <v>6</v>
      </c>
      <c r="AB18" s="17">
        <f t="shared" si="10"/>
        <v>2</v>
      </c>
      <c r="AC18" s="17">
        <f t="shared" si="10"/>
        <v>365</v>
      </c>
      <c r="AD18" s="17">
        <f t="shared" si="10"/>
        <v>0</v>
      </c>
      <c r="AE18" s="31">
        <f t="shared" si="10"/>
        <v>566</v>
      </c>
      <c r="AF18" s="31">
        <f t="shared" si="10"/>
        <v>931</v>
      </c>
    </row>
    <row r="19" spans="2:32" ht="23.1" customHeight="1" x14ac:dyDescent="0.25">
      <c r="B19" s="45" t="s">
        <v>46</v>
      </c>
      <c r="C19" s="50">
        <v>39</v>
      </c>
      <c r="D19" s="50">
        <v>19</v>
      </c>
      <c r="E19" s="50">
        <v>3</v>
      </c>
      <c r="F19" s="50">
        <v>55</v>
      </c>
      <c r="G19" s="50">
        <v>4</v>
      </c>
      <c r="H19" s="50">
        <v>0</v>
      </c>
      <c r="I19" s="50">
        <v>11</v>
      </c>
      <c r="J19" s="50">
        <v>3</v>
      </c>
      <c r="K19" s="50">
        <v>2</v>
      </c>
      <c r="L19" s="50">
        <v>1</v>
      </c>
      <c r="M19" s="50">
        <v>127</v>
      </c>
      <c r="N19" s="50">
        <v>0</v>
      </c>
      <c r="O19" s="15">
        <f t="shared" si="0"/>
        <v>137</v>
      </c>
      <c r="P19" s="15">
        <f t="shared" si="1"/>
        <v>264</v>
      </c>
      <c r="R19" s="1" t="s">
        <v>15</v>
      </c>
      <c r="S19" s="17">
        <f t="shared" ref="S19:AF19" si="11">SUM(C46:C49)</f>
        <v>212</v>
      </c>
      <c r="T19" s="17">
        <f t="shared" si="11"/>
        <v>116</v>
      </c>
      <c r="U19" s="17">
        <f t="shared" si="11"/>
        <v>41</v>
      </c>
      <c r="V19" s="17">
        <f t="shared" si="11"/>
        <v>276</v>
      </c>
      <c r="W19" s="17">
        <f t="shared" si="11"/>
        <v>1</v>
      </c>
      <c r="X19" s="17">
        <f t="shared" si="11"/>
        <v>0</v>
      </c>
      <c r="Y19" s="17">
        <f t="shared" si="11"/>
        <v>28</v>
      </c>
      <c r="Z19" s="17">
        <f t="shared" si="11"/>
        <v>3</v>
      </c>
      <c r="AA19" s="17">
        <f t="shared" si="11"/>
        <v>3</v>
      </c>
      <c r="AB19" s="17">
        <f t="shared" si="11"/>
        <v>13</v>
      </c>
      <c r="AC19" s="17">
        <f t="shared" si="11"/>
        <v>310</v>
      </c>
      <c r="AD19" s="17">
        <f t="shared" si="11"/>
        <v>0</v>
      </c>
      <c r="AE19" s="31">
        <f t="shared" si="11"/>
        <v>693</v>
      </c>
      <c r="AF19" s="31">
        <f t="shared" si="11"/>
        <v>1003</v>
      </c>
    </row>
    <row r="20" spans="2:32" ht="23.1" customHeight="1" x14ac:dyDescent="0.25">
      <c r="B20" s="45" t="s">
        <v>47</v>
      </c>
      <c r="C20" s="50">
        <v>73</v>
      </c>
      <c r="D20" s="50">
        <v>41</v>
      </c>
      <c r="E20" s="50">
        <v>6</v>
      </c>
      <c r="F20" s="50">
        <v>91</v>
      </c>
      <c r="G20" s="50">
        <v>1</v>
      </c>
      <c r="H20" s="50">
        <v>0</v>
      </c>
      <c r="I20" s="50">
        <v>7</v>
      </c>
      <c r="J20" s="50">
        <v>3</v>
      </c>
      <c r="K20" s="50">
        <v>0</v>
      </c>
      <c r="L20" s="50">
        <v>0</v>
      </c>
      <c r="M20" s="50">
        <v>87</v>
      </c>
      <c r="N20" s="50">
        <v>0</v>
      </c>
      <c r="O20" s="15">
        <f t="shared" si="0"/>
        <v>222</v>
      </c>
      <c r="P20" s="15">
        <f t="shared" si="1"/>
        <v>309</v>
      </c>
      <c r="R20" s="1" t="s">
        <v>16</v>
      </c>
      <c r="S20" s="17">
        <f t="shared" ref="S20:AF20" si="12">SUM(C50:C53)</f>
        <v>242</v>
      </c>
      <c r="T20" s="17">
        <f t="shared" si="12"/>
        <v>98</v>
      </c>
      <c r="U20" s="17">
        <f t="shared" si="12"/>
        <v>33</v>
      </c>
      <c r="V20" s="17">
        <f t="shared" si="12"/>
        <v>250</v>
      </c>
      <c r="W20" s="17">
        <f t="shared" si="12"/>
        <v>4</v>
      </c>
      <c r="X20" s="17">
        <f t="shared" si="12"/>
        <v>0</v>
      </c>
      <c r="Y20" s="17">
        <f t="shared" si="12"/>
        <v>39</v>
      </c>
      <c r="Z20" s="17">
        <f t="shared" si="12"/>
        <v>5</v>
      </c>
      <c r="AA20" s="17">
        <f t="shared" si="12"/>
        <v>5</v>
      </c>
      <c r="AB20" s="17">
        <f t="shared" si="12"/>
        <v>6</v>
      </c>
      <c r="AC20" s="17">
        <f t="shared" si="12"/>
        <v>395</v>
      </c>
      <c r="AD20" s="17">
        <f t="shared" si="12"/>
        <v>0</v>
      </c>
      <c r="AE20" s="31">
        <f t="shared" si="12"/>
        <v>682</v>
      </c>
      <c r="AF20" s="31">
        <f t="shared" si="12"/>
        <v>1077</v>
      </c>
    </row>
    <row r="21" spans="2:32" ht="23.1" customHeight="1" x14ac:dyDescent="0.25">
      <c r="B21" s="45" t="s">
        <v>48</v>
      </c>
      <c r="C21" s="50">
        <v>105</v>
      </c>
      <c r="D21" s="50">
        <v>37</v>
      </c>
      <c r="E21" s="50">
        <v>8</v>
      </c>
      <c r="F21" s="50">
        <v>65</v>
      </c>
      <c r="G21" s="50">
        <v>2</v>
      </c>
      <c r="H21" s="50">
        <v>1</v>
      </c>
      <c r="I21" s="50">
        <v>5</v>
      </c>
      <c r="J21" s="50">
        <v>3</v>
      </c>
      <c r="K21" s="50">
        <v>0</v>
      </c>
      <c r="L21" s="50">
        <v>0</v>
      </c>
      <c r="M21" s="50">
        <v>174</v>
      </c>
      <c r="N21" s="50">
        <v>0</v>
      </c>
      <c r="O21" s="15">
        <f t="shared" si="0"/>
        <v>226</v>
      </c>
      <c r="P21" s="15">
        <f t="shared" si="1"/>
        <v>400</v>
      </c>
      <c r="R21" s="36" t="s">
        <v>20</v>
      </c>
      <c r="S21" s="34">
        <f t="shared" ref="S21:AF21" si="13">SUM(C54:C57)</f>
        <v>201</v>
      </c>
      <c r="T21" s="17">
        <f t="shared" si="13"/>
        <v>81</v>
      </c>
      <c r="U21" s="17">
        <f t="shared" si="13"/>
        <v>41</v>
      </c>
      <c r="V21" s="17">
        <f t="shared" si="13"/>
        <v>255</v>
      </c>
      <c r="W21" s="17">
        <f t="shared" si="13"/>
        <v>8</v>
      </c>
      <c r="X21" s="17">
        <f t="shared" si="13"/>
        <v>1</v>
      </c>
      <c r="Y21" s="17">
        <f t="shared" si="13"/>
        <v>13</v>
      </c>
      <c r="Z21" s="17">
        <f t="shared" si="13"/>
        <v>5</v>
      </c>
      <c r="AA21" s="17">
        <f t="shared" si="13"/>
        <v>2</v>
      </c>
      <c r="AB21" s="17">
        <f t="shared" si="13"/>
        <v>2</v>
      </c>
      <c r="AC21" s="17">
        <f t="shared" si="13"/>
        <v>255</v>
      </c>
      <c r="AD21" s="17">
        <f t="shared" si="13"/>
        <v>0</v>
      </c>
      <c r="AE21" s="31">
        <f t="shared" si="13"/>
        <v>609</v>
      </c>
      <c r="AF21" s="31">
        <f t="shared" si="13"/>
        <v>864</v>
      </c>
    </row>
    <row r="22" spans="2:32" ht="23.1" customHeight="1" x14ac:dyDescent="0.25">
      <c r="B22" s="45" t="s">
        <v>49</v>
      </c>
      <c r="C22" s="50">
        <v>75</v>
      </c>
      <c r="D22" s="50">
        <v>16</v>
      </c>
      <c r="E22" s="50">
        <v>7</v>
      </c>
      <c r="F22" s="50">
        <v>75</v>
      </c>
      <c r="G22" s="50">
        <v>3</v>
      </c>
      <c r="H22" s="50">
        <v>1</v>
      </c>
      <c r="I22" s="50">
        <v>2</v>
      </c>
      <c r="J22" s="50">
        <v>1</v>
      </c>
      <c r="K22" s="50">
        <v>0</v>
      </c>
      <c r="L22" s="50">
        <v>0</v>
      </c>
      <c r="M22" s="50">
        <v>125</v>
      </c>
      <c r="N22" s="50">
        <v>0</v>
      </c>
      <c r="O22" s="15">
        <f t="shared" si="0"/>
        <v>180</v>
      </c>
      <c r="P22" s="15">
        <f t="shared" si="1"/>
        <v>305</v>
      </c>
      <c r="R22" s="36" t="s">
        <v>146</v>
      </c>
      <c r="S22" s="34">
        <f>SUM(C58:C61)</f>
        <v>135</v>
      </c>
      <c r="T22" s="34">
        <f t="shared" ref="T22:AF22" si="14">SUM(D58:D61)</f>
        <v>40</v>
      </c>
      <c r="U22" s="34">
        <f t="shared" si="14"/>
        <v>23</v>
      </c>
      <c r="V22" s="34">
        <f t="shared" si="14"/>
        <v>240</v>
      </c>
      <c r="W22" s="34">
        <f t="shared" si="14"/>
        <v>6</v>
      </c>
      <c r="X22" s="34">
        <f t="shared" si="14"/>
        <v>2</v>
      </c>
      <c r="Y22" s="34">
        <f t="shared" si="14"/>
        <v>25</v>
      </c>
      <c r="Z22" s="34">
        <f t="shared" si="14"/>
        <v>6</v>
      </c>
      <c r="AA22" s="34">
        <f t="shared" si="14"/>
        <v>1</v>
      </c>
      <c r="AB22" s="34">
        <f t="shared" si="14"/>
        <v>4</v>
      </c>
      <c r="AC22" s="34">
        <f t="shared" si="14"/>
        <v>400</v>
      </c>
      <c r="AD22" s="34">
        <f t="shared" si="14"/>
        <v>0</v>
      </c>
      <c r="AE22" s="31">
        <f t="shared" si="14"/>
        <v>482</v>
      </c>
      <c r="AF22" s="31">
        <f t="shared" si="14"/>
        <v>882</v>
      </c>
    </row>
    <row r="23" spans="2:32" ht="23.1" customHeight="1" x14ac:dyDescent="0.25">
      <c r="B23" s="45" t="s">
        <v>50</v>
      </c>
      <c r="C23" s="50">
        <v>110</v>
      </c>
      <c r="D23" s="50">
        <v>13</v>
      </c>
      <c r="E23" s="50">
        <v>14</v>
      </c>
      <c r="F23" s="50">
        <v>85</v>
      </c>
      <c r="G23" s="50">
        <v>3</v>
      </c>
      <c r="H23" s="50">
        <v>1</v>
      </c>
      <c r="I23" s="50">
        <v>2</v>
      </c>
      <c r="J23" s="50">
        <v>1</v>
      </c>
      <c r="K23" s="50">
        <v>0</v>
      </c>
      <c r="L23" s="50">
        <v>0</v>
      </c>
      <c r="M23" s="50">
        <v>125</v>
      </c>
      <c r="N23" s="50">
        <v>0</v>
      </c>
      <c r="O23" s="15">
        <f t="shared" si="0"/>
        <v>229</v>
      </c>
      <c r="P23" s="15">
        <f t="shared" si="1"/>
        <v>354</v>
      </c>
      <c r="R23" s="36" t="s">
        <v>147</v>
      </c>
      <c r="S23" s="34">
        <f>SUM(C62:C65)</f>
        <v>115</v>
      </c>
      <c r="T23" s="34">
        <f t="shared" ref="T23:AF23" si="15">SUM(D62:D65)</f>
        <v>32</v>
      </c>
      <c r="U23" s="34">
        <f t="shared" si="15"/>
        <v>18</v>
      </c>
      <c r="V23" s="34">
        <f t="shared" si="15"/>
        <v>175</v>
      </c>
      <c r="W23" s="34">
        <f t="shared" si="15"/>
        <v>5</v>
      </c>
      <c r="X23" s="34">
        <f t="shared" si="15"/>
        <v>2</v>
      </c>
      <c r="Y23" s="34">
        <f t="shared" si="15"/>
        <v>28</v>
      </c>
      <c r="Z23" s="34">
        <f t="shared" si="15"/>
        <v>4</v>
      </c>
      <c r="AA23" s="34">
        <f t="shared" si="15"/>
        <v>1</v>
      </c>
      <c r="AB23" s="34">
        <f t="shared" si="15"/>
        <v>2</v>
      </c>
      <c r="AC23" s="34">
        <f t="shared" si="15"/>
        <v>358</v>
      </c>
      <c r="AD23" s="34">
        <f t="shared" si="15"/>
        <v>0</v>
      </c>
      <c r="AE23" s="31">
        <f t="shared" si="15"/>
        <v>382</v>
      </c>
      <c r="AF23" s="31">
        <f t="shared" si="15"/>
        <v>740</v>
      </c>
    </row>
    <row r="24" spans="2:32" ht="23.1" customHeight="1" x14ac:dyDescent="0.25">
      <c r="B24" s="45" t="s">
        <v>51</v>
      </c>
      <c r="C24" s="50">
        <v>45</v>
      </c>
      <c r="D24" s="50">
        <v>27</v>
      </c>
      <c r="E24" s="50">
        <v>8</v>
      </c>
      <c r="F24" s="50">
        <v>75</v>
      </c>
      <c r="G24" s="50">
        <v>2</v>
      </c>
      <c r="H24" s="50">
        <v>0</v>
      </c>
      <c r="I24" s="50">
        <v>12</v>
      </c>
      <c r="J24" s="50">
        <v>4</v>
      </c>
      <c r="K24" s="50">
        <v>2</v>
      </c>
      <c r="L24" s="50">
        <v>0</v>
      </c>
      <c r="M24" s="50">
        <v>135</v>
      </c>
      <c r="N24" s="50">
        <v>0</v>
      </c>
      <c r="O24" s="15">
        <f t="shared" si="0"/>
        <v>175</v>
      </c>
      <c r="P24" s="15">
        <f t="shared" si="1"/>
        <v>310</v>
      </c>
      <c r="R24" s="36" t="s">
        <v>148</v>
      </c>
      <c r="S24" s="34">
        <f>SUM(C66:C69)</f>
        <v>158</v>
      </c>
      <c r="T24" s="34">
        <f t="shared" ref="T24:AF24" si="16">SUM(D66:D69)</f>
        <v>36</v>
      </c>
      <c r="U24" s="34">
        <f t="shared" si="16"/>
        <v>19</v>
      </c>
      <c r="V24" s="34">
        <f t="shared" si="16"/>
        <v>107</v>
      </c>
      <c r="W24" s="34">
        <f t="shared" si="16"/>
        <v>3</v>
      </c>
      <c r="X24" s="34">
        <f t="shared" si="16"/>
        <v>0</v>
      </c>
      <c r="Y24" s="34">
        <f t="shared" si="16"/>
        <v>14</v>
      </c>
      <c r="Z24" s="34">
        <f t="shared" si="16"/>
        <v>3</v>
      </c>
      <c r="AA24" s="34">
        <f t="shared" si="16"/>
        <v>5</v>
      </c>
      <c r="AB24" s="34">
        <f t="shared" si="16"/>
        <v>3</v>
      </c>
      <c r="AC24" s="34">
        <f t="shared" si="16"/>
        <v>287</v>
      </c>
      <c r="AD24" s="34">
        <f t="shared" si="16"/>
        <v>0</v>
      </c>
      <c r="AE24" s="31">
        <f t="shared" si="16"/>
        <v>348</v>
      </c>
      <c r="AF24" s="31">
        <f t="shared" si="16"/>
        <v>635</v>
      </c>
    </row>
    <row r="25" spans="2:32" ht="23.1" customHeight="1" x14ac:dyDescent="0.25">
      <c r="B25" s="45" t="s">
        <v>52</v>
      </c>
      <c r="C25" s="50">
        <v>30</v>
      </c>
      <c r="D25" s="50">
        <v>16</v>
      </c>
      <c r="E25" s="50">
        <v>10</v>
      </c>
      <c r="F25" s="50">
        <v>60</v>
      </c>
      <c r="G25" s="50">
        <v>1</v>
      </c>
      <c r="H25" s="50">
        <v>0</v>
      </c>
      <c r="I25" s="50">
        <v>10</v>
      </c>
      <c r="J25" s="50">
        <v>1</v>
      </c>
      <c r="K25" s="50">
        <v>2</v>
      </c>
      <c r="L25" s="50">
        <v>2</v>
      </c>
      <c r="M25" s="50">
        <v>90</v>
      </c>
      <c r="N25" s="50">
        <v>0</v>
      </c>
      <c r="O25" s="15">
        <f t="shared" si="0"/>
        <v>132</v>
      </c>
      <c r="P25" s="15">
        <f t="shared" si="1"/>
        <v>222</v>
      </c>
      <c r="R25" s="36" t="s">
        <v>149</v>
      </c>
      <c r="S25" s="34">
        <f>SUM(C70:C73)</f>
        <v>123</v>
      </c>
      <c r="T25" s="34">
        <f t="shared" ref="T25:AF25" si="17">SUM(D70:D73)</f>
        <v>55</v>
      </c>
      <c r="U25" s="34">
        <f t="shared" si="17"/>
        <v>27</v>
      </c>
      <c r="V25" s="34">
        <f t="shared" si="17"/>
        <v>80</v>
      </c>
      <c r="W25" s="34">
        <f t="shared" si="17"/>
        <v>2</v>
      </c>
      <c r="X25" s="34">
        <f t="shared" si="17"/>
        <v>2</v>
      </c>
      <c r="Y25" s="34">
        <f t="shared" si="17"/>
        <v>20</v>
      </c>
      <c r="Z25" s="34">
        <f t="shared" si="17"/>
        <v>2</v>
      </c>
      <c r="AA25" s="34">
        <f t="shared" si="17"/>
        <v>2</v>
      </c>
      <c r="AB25" s="34">
        <f t="shared" si="17"/>
        <v>0</v>
      </c>
      <c r="AC25" s="34">
        <f t="shared" si="17"/>
        <v>352</v>
      </c>
      <c r="AD25" s="34">
        <f t="shared" si="17"/>
        <v>0</v>
      </c>
      <c r="AE25" s="31">
        <f t="shared" si="17"/>
        <v>313</v>
      </c>
      <c r="AF25" s="31">
        <f t="shared" si="17"/>
        <v>665</v>
      </c>
    </row>
    <row r="26" spans="2:32" ht="23.1" customHeight="1" x14ac:dyDescent="0.25">
      <c r="B26" s="45" t="s">
        <v>53</v>
      </c>
      <c r="C26" s="50">
        <v>55</v>
      </c>
      <c r="D26" s="50">
        <v>10</v>
      </c>
      <c r="E26" s="50">
        <v>5</v>
      </c>
      <c r="F26" s="50">
        <v>46</v>
      </c>
      <c r="G26" s="50">
        <v>0</v>
      </c>
      <c r="H26" s="50">
        <v>0</v>
      </c>
      <c r="I26" s="50">
        <v>1</v>
      </c>
      <c r="J26" s="50">
        <v>2</v>
      </c>
      <c r="K26" s="50">
        <v>2</v>
      </c>
      <c r="L26" s="50">
        <v>0</v>
      </c>
      <c r="M26" s="50">
        <v>100</v>
      </c>
      <c r="N26" s="50">
        <v>0</v>
      </c>
      <c r="O26" s="15">
        <f t="shared" si="0"/>
        <v>121</v>
      </c>
      <c r="P26" s="15">
        <f t="shared" si="1"/>
        <v>221</v>
      </c>
      <c r="R26" s="36" t="s">
        <v>150</v>
      </c>
      <c r="S26" s="34">
        <f>SUM(C74:C77)</f>
        <v>47</v>
      </c>
      <c r="T26" s="34">
        <f t="shared" ref="T26:AF26" si="18">SUM(D74:D77)</f>
        <v>19</v>
      </c>
      <c r="U26" s="34">
        <f t="shared" si="18"/>
        <v>10</v>
      </c>
      <c r="V26" s="34">
        <f t="shared" si="18"/>
        <v>12</v>
      </c>
      <c r="W26" s="34">
        <f t="shared" si="18"/>
        <v>0</v>
      </c>
      <c r="X26" s="34">
        <f t="shared" si="18"/>
        <v>0</v>
      </c>
      <c r="Y26" s="34">
        <f t="shared" si="18"/>
        <v>22</v>
      </c>
      <c r="Z26" s="34">
        <f t="shared" si="18"/>
        <v>6</v>
      </c>
      <c r="AA26" s="34">
        <f t="shared" si="18"/>
        <v>3</v>
      </c>
      <c r="AB26" s="34">
        <f t="shared" si="18"/>
        <v>5</v>
      </c>
      <c r="AC26" s="34">
        <f t="shared" si="18"/>
        <v>66</v>
      </c>
      <c r="AD26" s="34">
        <f t="shared" si="18"/>
        <v>0</v>
      </c>
      <c r="AE26" s="31">
        <f t="shared" si="18"/>
        <v>124</v>
      </c>
      <c r="AF26" s="31">
        <f t="shared" si="18"/>
        <v>190</v>
      </c>
    </row>
    <row r="27" spans="2:32" ht="23.1" customHeight="1" x14ac:dyDescent="0.25">
      <c r="B27" s="45" t="s">
        <v>54</v>
      </c>
      <c r="C27" s="50">
        <v>25</v>
      </c>
      <c r="D27" s="50">
        <v>17</v>
      </c>
      <c r="E27" s="50">
        <v>8</v>
      </c>
      <c r="F27" s="50">
        <v>80</v>
      </c>
      <c r="G27" s="50">
        <v>0</v>
      </c>
      <c r="H27" s="50">
        <v>1</v>
      </c>
      <c r="I27" s="50">
        <v>10</v>
      </c>
      <c r="J27" s="50">
        <v>1</v>
      </c>
      <c r="K27" s="50">
        <v>0</v>
      </c>
      <c r="L27" s="50">
        <v>0</v>
      </c>
      <c r="M27" s="50">
        <v>110</v>
      </c>
      <c r="N27" s="50">
        <v>0</v>
      </c>
      <c r="O27" s="15">
        <f t="shared" si="0"/>
        <v>142</v>
      </c>
      <c r="P27" s="15">
        <f t="shared" si="1"/>
        <v>252</v>
      </c>
      <c r="R27" s="36" t="s">
        <v>151</v>
      </c>
      <c r="S27" s="34">
        <f>SUM(C78:C81)</f>
        <v>32</v>
      </c>
      <c r="T27" s="34">
        <f t="shared" ref="T27:AF27" si="19">SUM(D78:D81)</f>
        <v>18</v>
      </c>
      <c r="U27" s="34">
        <f t="shared" si="19"/>
        <v>5</v>
      </c>
      <c r="V27" s="34">
        <f t="shared" si="19"/>
        <v>16</v>
      </c>
      <c r="W27" s="34">
        <f t="shared" si="19"/>
        <v>0</v>
      </c>
      <c r="X27" s="34">
        <f t="shared" si="19"/>
        <v>0</v>
      </c>
      <c r="Y27" s="34">
        <f t="shared" si="19"/>
        <v>10</v>
      </c>
      <c r="Z27" s="34">
        <f t="shared" si="19"/>
        <v>3</v>
      </c>
      <c r="AA27" s="34">
        <f t="shared" si="19"/>
        <v>7</v>
      </c>
      <c r="AB27" s="34">
        <f t="shared" si="19"/>
        <v>0</v>
      </c>
      <c r="AC27" s="34">
        <f t="shared" si="19"/>
        <v>77</v>
      </c>
      <c r="AD27" s="34">
        <f t="shared" si="19"/>
        <v>0</v>
      </c>
      <c r="AE27" s="31">
        <f t="shared" si="19"/>
        <v>91</v>
      </c>
      <c r="AF27" s="31">
        <f t="shared" si="19"/>
        <v>168</v>
      </c>
    </row>
    <row r="28" spans="2:32" ht="23.1" customHeight="1" x14ac:dyDescent="0.25">
      <c r="B28" s="45" t="s">
        <v>55</v>
      </c>
      <c r="C28" s="50">
        <v>30</v>
      </c>
      <c r="D28" s="50">
        <v>27</v>
      </c>
      <c r="E28" s="50">
        <v>3</v>
      </c>
      <c r="F28" s="50">
        <v>43</v>
      </c>
      <c r="G28" s="50">
        <v>0</v>
      </c>
      <c r="H28" s="50">
        <v>0</v>
      </c>
      <c r="I28" s="50">
        <v>6</v>
      </c>
      <c r="J28" s="50">
        <v>2</v>
      </c>
      <c r="K28" s="50">
        <v>1</v>
      </c>
      <c r="L28" s="50">
        <v>1</v>
      </c>
      <c r="M28" s="50">
        <v>95</v>
      </c>
      <c r="N28" s="50">
        <v>0</v>
      </c>
      <c r="O28" s="15">
        <f t="shared" si="0"/>
        <v>113</v>
      </c>
      <c r="P28" s="15">
        <f t="shared" si="1"/>
        <v>208</v>
      </c>
      <c r="R28" s="36" t="s">
        <v>152</v>
      </c>
      <c r="S28" s="34">
        <f>SUM(C82:C85)</f>
        <v>32</v>
      </c>
      <c r="T28" s="34">
        <f t="shared" ref="T28:AF28" si="20">SUM(D82:D85)</f>
        <v>18</v>
      </c>
      <c r="U28" s="34">
        <f t="shared" si="20"/>
        <v>5</v>
      </c>
      <c r="V28" s="34">
        <f t="shared" si="20"/>
        <v>16</v>
      </c>
      <c r="W28" s="34">
        <f t="shared" si="20"/>
        <v>0</v>
      </c>
      <c r="X28" s="34">
        <f t="shared" si="20"/>
        <v>0</v>
      </c>
      <c r="Y28" s="34">
        <f t="shared" si="20"/>
        <v>11</v>
      </c>
      <c r="Z28" s="34">
        <f t="shared" si="20"/>
        <v>3</v>
      </c>
      <c r="AA28" s="34">
        <f t="shared" si="20"/>
        <v>7</v>
      </c>
      <c r="AB28" s="34">
        <f t="shared" si="20"/>
        <v>0</v>
      </c>
      <c r="AC28" s="34">
        <f t="shared" si="20"/>
        <v>77</v>
      </c>
      <c r="AD28" s="34">
        <f t="shared" si="20"/>
        <v>0</v>
      </c>
      <c r="AE28" s="31">
        <f t="shared" si="20"/>
        <v>92</v>
      </c>
      <c r="AF28" s="31">
        <f t="shared" si="20"/>
        <v>169</v>
      </c>
    </row>
    <row r="29" spans="2:32" ht="23.1" customHeight="1" x14ac:dyDescent="0.25">
      <c r="B29" s="45" t="s">
        <v>56</v>
      </c>
      <c r="C29" s="50">
        <v>65</v>
      </c>
      <c r="D29" s="50">
        <v>20</v>
      </c>
      <c r="E29" s="50">
        <v>3</v>
      </c>
      <c r="F29" s="50">
        <v>85</v>
      </c>
      <c r="G29" s="50">
        <v>0</v>
      </c>
      <c r="H29" s="50">
        <v>0</v>
      </c>
      <c r="I29" s="50">
        <v>8</v>
      </c>
      <c r="J29" s="50">
        <v>1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182</v>
      </c>
      <c r="P29" s="15">
        <f t="shared" si="1"/>
        <v>257</v>
      </c>
      <c r="R29" s="36" t="s">
        <v>153</v>
      </c>
      <c r="S29" s="34">
        <f>SUM(C86:C89)</f>
        <v>49</v>
      </c>
      <c r="T29" s="34">
        <f t="shared" ref="T29:AF29" si="21">SUM(D86:D89)</f>
        <v>10</v>
      </c>
      <c r="U29" s="34">
        <f t="shared" si="21"/>
        <v>2</v>
      </c>
      <c r="V29" s="34">
        <f t="shared" si="21"/>
        <v>11</v>
      </c>
      <c r="W29" s="34">
        <f t="shared" si="21"/>
        <v>0</v>
      </c>
      <c r="X29" s="34">
        <f t="shared" si="21"/>
        <v>0</v>
      </c>
      <c r="Y29" s="34">
        <f t="shared" si="21"/>
        <v>17</v>
      </c>
      <c r="Z29" s="34">
        <f t="shared" si="21"/>
        <v>9</v>
      </c>
      <c r="AA29" s="34">
        <f t="shared" si="21"/>
        <v>0</v>
      </c>
      <c r="AB29" s="34">
        <f t="shared" si="21"/>
        <v>0</v>
      </c>
      <c r="AC29" s="34">
        <f t="shared" si="21"/>
        <v>115</v>
      </c>
      <c r="AD29" s="34">
        <f t="shared" si="21"/>
        <v>0</v>
      </c>
      <c r="AE29" s="31">
        <f t="shared" si="21"/>
        <v>98</v>
      </c>
      <c r="AF29" s="31">
        <f t="shared" si="21"/>
        <v>213</v>
      </c>
    </row>
    <row r="30" spans="2:32" ht="23.1" customHeight="1" x14ac:dyDescent="0.25">
      <c r="B30" s="45" t="s">
        <v>57</v>
      </c>
      <c r="C30" s="50">
        <v>60</v>
      </c>
      <c r="D30" s="50">
        <v>27</v>
      </c>
      <c r="E30" s="50">
        <v>14</v>
      </c>
      <c r="F30" s="50">
        <v>45</v>
      </c>
      <c r="G30" s="50">
        <v>0</v>
      </c>
      <c r="H30" s="50">
        <v>1</v>
      </c>
      <c r="I30" s="50">
        <v>5</v>
      </c>
      <c r="J30" s="50">
        <v>2</v>
      </c>
      <c r="K30" s="50">
        <v>1</v>
      </c>
      <c r="L30" s="50">
        <v>0</v>
      </c>
      <c r="M30" s="50">
        <v>90</v>
      </c>
      <c r="N30" s="50">
        <v>0</v>
      </c>
      <c r="O30" s="15">
        <f t="shared" si="0"/>
        <v>155</v>
      </c>
      <c r="P30" s="15">
        <f t="shared" si="1"/>
        <v>245</v>
      </c>
      <c r="R30" s="36" t="s">
        <v>154</v>
      </c>
      <c r="S30" s="34">
        <f>SUM(C90:C93)</f>
        <v>29</v>
      </c>
      <c r="T30" s="34">
        <f t="shared" ref="T30:AF30" si="22">SUM(D90:D93)</f>
        <v>9</v>
      </c>
      <c r="U30" s="34">
        <f t="shared" si="22"/>
        <v>8</v>
      </c>
      <c r="V30" s="34">
        <f t="shared" si="22"/>
        <v>18</v>
      </c>
      <c r="W30" s="34">
        <f t="shared" si="22"/>
        <v>0</v>
      </c>
      <c r="X30" s="34">
        <f t="shared" si="22"/>
        <v>0</v>
      </c>
      <c r="Y30" s="34">
        <f t="shared" si="22"/>
        <v>18</v>
      </c>
      <c r="Z30" s="34">
        <f t="shared" si="22"/>
        <v>19</v>
      </c>
      <c r="AA30" s="34">
        <f t="shared" si="22"/>
        <v>6</v>
      </c>
      <c r="AB30" s="34">
        <f t="shared" si="22"/>
        <v>0</v>
      </c>
      <c r="AC30" s="34">
        <f t="shared" si="22"/>
        <v>76</v>
      </c>
      <c r="AD30" s="34">
        <f t="shared" si="22"/>
        <v>0</v>
      </c>
      <c r="AE30" s="31">
        <f t="shared" si="22"/>
        <v>107</v>
      </c>
      <c r="AF30" s="31">
        <f t="shared" si="22"/>
        <v>183</v>
      </c>
    </row>
    <row r="31" spans="2:32" ht="23.1" customHeight="1" x14ac:dyDescent="0.25">
      <c r="B31" s="46" t="s">
        <v>58</v>
      </c>
      <c r="C31" s="50">
        <v>70</v>
      </c>
      <c r="D31" s="50">
        <v>35</v>
      </c>
      <c r="E31" s="50">
        <v>9</v>
      </c>
      <c r="F31" s="50">
        <v>70</v>
      </c>
      <c r="G31" s="50">
        <v>3</v>
      </c>
      <c r="H31" s="50">
        <v>0</v>
      </c>
      <c r="I31" s="50">
        <v>8</v>
      </c>
      <c r="J31" s="50">
        <v>4</v>
      </c>
      <c r="K31" s="50">
        <v>0</v>
      </c>
      <c r="L31" s="50">
        <v>1</v>
      </c>
      <c r="M31" s="50">
        <v>70</v>
      </c>
      <c r="N31" s="50">
        <v>0</v>
      </c>
      <c r="O31" s="15">
        <f t="shared" si="0"/>
        <v>200</v>
      </c>
      <c r="P31" s="15">
        <f t="shared" si="1"/>
        <v>270</v>
      </c>
      <c r="R31" s="36" t="s">
        <v>155</v>
      </c>
      <c r="S31" s="34">
        <f>SUM(C94:C97)</f>
        <v>47</v>
      </c>
      <c r="T31" s="34">
        <f t="shared" ref="T31:AF31" si="23">SUM(D94:D97)</f>
        <v>31</v>
      </c>
      <c r="U31" s="34">
        <f t="shared" si="23"/>
        <v>9</v>
      </c>
      <c r="V31" s="34">
        <f t="shared" si="23"/>
        <v>56</v>
      </c>
      <c r="W31" s="34">
        <f t="shared" si="23"/>
        <v>0</v>
      </c>
      <c r="X31" s="34">
        <f t="shared" si="23"/>
        <v>0</v>
      </c>
      <c r="Y31" s="34">
        <f t="shared" si="23"/>
        <v>21</v>
      </c>
      <c r="Z31" s="34">
        <f t="shared" si="23"/>
        <v>15</v>
      </c>
      <c r="AA31" s="34">
        <f t="shared" si="23"/>
        <v>8</v>
      </c>
      <c r="AB31" s="34">
        <f t="shared" si="23"/>
        <v>0</v>
      </c>
      <c r="AC31" s="34">
        <f t="shared" si="23"/>
        <v>117</v>
      </c>
      <c r="AD31" s="34">
        <f t="shared" si="23"/>
        <v>0</v>
      </c>
      <c r="AE31" s="31">
        <f t="shared" si="23"/>
        <v>187</v>
      </c>
      <c r="AF31" s="31">
        <f t="shared" si="23"/>
        <v>304</v>
      </c>
    </row>
    <row r="32" spans="2:32" ht="23.1" customHeight="1" x14ac:dyDescent="0.25">
      <c r="B32" s="46" t="s">
        <v>59</v>
      </c>
      <c r="C32" s="50">
        <v>50</v>
      </c>
      <c r="D32" s="50">
        <v>13</v>
      </c>
      <c r="E32" s="50">
        <v>0</v>
      </c>
      <c r="F32" s="50">
        <v>60</v>
      </c>
      <c r="G32" s="50">
        <v>0</v>
      </c>
      <c r="H32" s="50">
        <v>0</v>
      </c>
      <c r="I32" s="50">
        <v>8</v>
      </c>
      <c r="J32" s="50">
        <v>0</v>
      </c>
      <c r="K32" s="50">
        <v>0</v>
      </c>
      <c r="L32" s="50">
        <v>1</v>
      </c>
      <c r="M32" s="50">
        <v>95</v>
      </c>
      <c r="N32" s="50">
        <v>0</v>
      </c>
      <c r="O32" s="15">
        <f t="shared" si="0"/>
        <v>132</v>
      </c>
      <c r="P32" s="15">
        <f t="shared" si="1"/>
        <v>227</v>
      </c>
      <c r="R32" s="33" t="s">
        <v>156</v>
      </c>
      <c r="S32" s="34">
        <f>SUM(C98:C101)</f>
        <v>46</v>
      </c>
      <c r="T32" s="34">
        <f t="shared" ref="T32:AF32" si="24">SUM(D98:D101)</f>
        <v>18</v>
      </c>
      <c r="U32" s="34">
        <f t="shared" si="24"/>
        <v>2</v>
      </c>
      <c r="V32" s="34">
        <f t="shared" si="24"/>
        <v>84</v>
      </c>
      <c r="W32" s="34">
        <f t="shared" si="24"/>
        <v>6</v>
      </c>
      <c r="X32" s="34">
        <f t="shared" si="24"/>
        <v>1</v>
      </c>
      <c r="Y32" s="34">
        <f t="shared" si="24"/>
        <v>20</v>
      </c>
      <c r="Z32" s="34">
        <f t="shared" si="24"/>
        <v>2</v>
      </c>
      <c r="AA32" s="34">
        <f t="shared" si="24"/>
        <v>20</v>
      </c>
      <c r="AB32" s="34">
        <f t="shared" si="24"/>
        <v>2</v>
      </c>
      <c r="AC32" s="34">
        <f t="shared" si="24"/>
        <v>94</v>
      </c>
      <c r="AD32" s="34">
        <f t="shared" si="24"/>
        <v>0</v>
      </c>
      <c r="AE32" s="31">
        <f t="shared" si="24"/>
        <v>201</v>
      </c>
      <c r="AF32" s="31">
        <f t="shared" si="24"/>
        <v>295</v>
      </c>
    </row>
    <row r="33" spans="2:32" ht="23.1" customHeight="1" x14ac:dyDescent="0.25">
      <c r="B33" s="45" t="s">
        <v>60</v>
      </c>
      <c r="C33" s="50">
        <v>57</v>
      </c>
      <c r="D33" s="50">
        <v>12</v>
      </c>
      <c r="E33" s="50">
        <v>5</v>
      </c>
      <c r="F33" s="50">
        <v>55</v>
      </c>
      <c r="G33" s="50">
        <v>0</v>
      </c>
      <c r="H33" s="50">
        <v>0</v>
      </c>
      <c r="I33" s="50">
        <v>9</v>
      </c>
      <c r="J33" s="50">
        <v>0</v>
      </c>
      <c r="K33" s="50">
        <v>0</v>
      </c>
      <c r="L33" s="50">
        <v>3</v>
      </c>
      <c r="M33" s="50">
        <v>80</v>
      </c>
      <c r="N33" s="50">
        <v>0</v>
      </c>
      <c r="O33" s="15">
        <f t="shared" si="0"/>
        <v>141</v>
      </c>
      <c r="P33" s="15">
        <f t="shared" si="1"/>
        <v>221</v>
      </c>
      <c r="R33" s="33" t="s">
        <v>157</v>
      </c>
      <c r="S33" s="34">
        <f>SUM(C102:C105)</f>
        <v>73</v>
      </c>
      <c r="T33" s="34">
        <f t="shared" ref="T33:AF33" si="25">SUM(D102:D105)</f>
        <v>27</v>
      </c>
      <c r="U33" s="34">
        <f t="shared" si="25"/>
        <v>10</v>
      </c>
      <c r="V33" s="34">
        <f t="shared" si="25"/>
        <v>172</v>
      </c>
      <c r="W33" s="34">
        <f t="shared" si="25"/>
        <v>4</v>
      </c>
      <c r="X33" s="34">
        <f t="shared" si="25"/>
        <v>0</v>
      </c>
      <c r="Y33" s="34">
        <f t="shared" si="25"/>
        <v>26</v>
      </c>
      <c r="Z33" s="34">
        <f t="shared" si="25"/>
        <v>3</v>
      </c>
      <c r="AA33" s="34">
        <f t="shared" si="25"/>
        <v>4</v>
      </c>
      <c r="AB33" s="34">
        <f t="shared" si="25"/>
        <v>0</v>
      </c>
      <c r="AC33" s="34">
        <f t="shared" si="25"/>
        <v>172</v>
      </c>
      <c r="AD33" s="34">
        <f t="shared" si="25"/>
        <v>0</v>
      </c>
      <c r="AE33" s="31">
        <f t="shared" si="25"/>
        <v>319</v>
      </c>
      <c r="AF33" s="31">
        <f t="shared" si="25"/>
        <v>491</v>
      </c>
    </row>
    <row r="34" spans="2:32" ht="23.1" customHeight="1" x14ac:dyDescent="0.25">
      <c r="B34" s="46" t="s">
        <v>61</v>
      </c>
      <c r="C34" s="50">
        <v>40</v>
      </c>
      <c r="D34" s="50">
        <v>15</v>
      </c>
      <c r="E34" s="50">
        <v>5</v>
      </c>
      <c r="F34" s="50">
        <v>47</v>
      </c>
      <c r="G34" s="50">
        <v>1</v>
      </c>
      <c r="H34" s="50">
        <v>0</v>
      </c>
      <c r="I34" s="50">
        <v>8</v>
      </c>
      <c r="J34" s="50">
        <v>3</v>
      </c>
      <c r="K34" s="50">
        <v>1</v>
      </c>
      <c r="L34" s="50">
        <v>0</v>
      </c>
      <c r="M34" s="50">
        <v>80</v>
      </c>
      <c r="N34" s="50">
        <v>0</v>
      </c>
      <c r="O34" s="15">
        <f t="shared" si="0"/>
        <v>120</v>
      </c>
      <c r="P34" s="15">
        <f t="shared" si="1"/>
        <v>200</v>
      </c>
      <c r="R34" s="38" t="s">
        <v>90</v>
      </c>
      <c r="S34" s="39">
        <f t="shared" ref="S34:AF34" si="26">MAX(S10:S12)</f>
        <v>403</v>
      </c>
      <c r="T34" s="39">
        <f t="shared" si="26"/>
        <v>148</v>
      </c>
      <c r="U34" s="39">
        <f t="shared" si="26"/>
        <v>39</v>
      </c>
      <c r="V34" s="39">
        <f t="shared" si="26"/>
        <v>338</v>
      </c>
      <c r="W34" s="39">
        <f t="shared" si="26"/>
        <v>97</v>
      </c>
      <c r="X34" s="39">
        <f t="shared" si="26"/>
        <v>4</v>
      </c>
      <c r="Y34" s="39">
        <f t="shared" si="26"/>
        <v>39</v>
      </c>
      <c r="Z34" s="39">
        <f t="shared" si="26"/>
        <v>15</v>
      </c>
      <c r="AA34" s="39">
        <f t="shared" si="26"/>
        <v>4</v>
      </c>
      <c r="AB34" s="39">
        <f t="shared" si="26"/>
        <v>2</v>
      </c>
      <c r="AC34" s="39">
        <f t="shared" si="26"/>
        <v>865</v>
      </c>
      <c r="AD34" s="39">
        <f t="shared" si="26"/>
        <v>0</v>
      </c>
      <c r="AE34" s="40">
        <f t="shared" si="26"/>
        <v>1053</v>
      </c>
      <c r="AF34" s="40">
        <f t="shared" si="26"/>
        <v>1593</v>
      </c>
    </row>
    <row r="35" spans="2:32" ht="23.1" customHeight="1" x14ac:dyDescent="0.25">
      <c r="B35" s="46" t="s">
        <v>62</v>
      </c>
      <c r="C35" s="50">
        <v>40</v>
      </c>
      <c r="D35" s="50">
        <v>20</v>
      </c>
      <c r="E35" s="50">
        <v>7</v>
      </c>
      <c r="F35" s="50">
        <v>30</v>
      </c>
      <c r="G35" s="50">
        <v>0</v>
      </c>
      <c r="H35" s="50">
        <v>0</v>
      </c>
      <c r="I35" s="50">
        <v>7</v>
      </c>
      <c r="J35" s="50">
        <v>1</v>
      </c>
      <c r="K35" s="50">
        <v>0</v>
      </c>
      <c r="L35" s="50">
        <v>2</v>
      </c>
      <c r="M35" s="50">
        <v>110</v>
      </c>
      <c r="N35" s="50">
        <v>0</v>
      </c>
      <c r="O35" s="15">
        <f t="shared" si="0"/>
        <v>107</v>
      </c>
      <c r="P35" s="15">
        <f t="shared" si="1"/>
        <v>217</v>
      </c>
      <c r="R35" s="38" t="s">
        <v>91</v>
      </c>
      <c r="S35" s="39">
        <f t="shared" ref="S35:AF35" si="27">MAX(S13:S18)</f>
        <v>260</v>
      </c>
      <c r="T35" s="39">
        <f t="shared" si="27"/>
        <v>94</v>
      </c>
      <c r="U35" s="39">
        <f t="shared" si="27"/>
        <v>49</v>
      </c>
      <c r="V35" s="39">
        <f t="shared" si="27"/>
        <v>295</v>
      </c>
      <c r="W35" s="39">
        <f t="shared" si="27"/>
        <v>9</v>
      </c>
      <c r="X35" s="39">
        <f t="shared" si="27"/>
        <v>2</v>
      </c>
      <c r="Y35" s="39">
        <f t="shared" si="27"/>
        <v>35</v>
      </c>
      <c r="Z35" s="39">
        <f t="shared" si="27"/>
        <v>24</v>
      </c>
      <c r="AA35" s="39">
        <f t="shared" si="27"/>
        <v>6</v>
      </c>
      <c r="AB35" s="39">
        <f t="shared" si="27"/>
        <v>5</v>
      </c>
      <c r="AC35" s="39">
        <f t="shared" si="27"/>
        <v>475</v>
      </c>
      <c r="AD35" s="39">
        <f t="shared" si="27"/>
        <v>0</v>
      </c>
      <c r="AE35" s="40">
        <f t="shared" si="27"/>
        <v>716</v>
      </c>
      <c r="AF35" s="40">
        <f t="shared" si="27"/>
        <v>1191</v>
      </c>
    </row>
    <row r="36" spans="2:32" ht="23.1" customHeight="1" x14ac:dyDescent="0.25">
      <c r="B36" s="46" t="s">
        <v>63</v>
      </c>
      <c r="C36" s="50">
        <v>70</v>
      </c>
      <c r="D36" s="50">
        <v>22</v>
      </c>
      <c r="E36" s="50">
        <v>12</v>
      </c>
      <c r="F36" s="50">
        <v>35</v>
      </c>
      <c r="G36" s="50">
        <v>5</v>
      </c>
      <c r="H36" s="50">
        <v>1</v>
      </c>
      <c r="I36" s="50">
        <v>12</v>
      </c>
      <c r="J36" s="50">
        <v>5</v>
      </c>
      <c r="K36" s="50">
        <v>1</v>
      </c>
      <c r="L36" s="50">
        <v>1</v>
      </c>
      <c r="M36" s="50">
        <v>80</v>
      </c>
      <c r="N36" s="50">
        <v>0</v>
      </c>
      <c r="O36" s="15">
        <f t="shared" si="0"/>
        <v>164</v>
      </c>
      <c r="P36" s="15">
        <f t="shared" si="1"/>
        <v>244</v>
      </c>
      <c r="R36" s="38" t="s">
        <v>92</v>
      </c>
      <c r="S36" s="39">
        <f t="shared" ref="S36:AF36" si="28">MAX(S19:S21)</f>
        <v>242</v>
      </c>
      <c r="T36" s="39">
        <f t="shared" si="28"/>
        <v>116</v>
      </c>
      <c r="U36" s="39">
        <f t="shared" si="28"/>
        <v>41</v>
      </c>
      <c r="V36" s="39">
        <f t="shared" si="28"/>
        <v>276</v>
      </c>
      <c r="W36" s="39">
        <f t="shared" si="28"/>
        <v>8</v>
      </c>
      <c r="X36" s="39">
        <f t="shared" si="28"/>
        <v>1</v>
      </c>
      <c r="Y36" s="39">
        <f t="shared" si="28"/>
        <v>39</v>
      </c>
      <c r="Z36" s="39">
        <f t="shared" si="28"/>
        <v>5</v>
      </c>
      <c r="AA36" s="39">
        <f t="shared" si="28"/>
        <v>5</v>
      </c>
      <c r="AB36" s="39">
        <f t="shared" si="28"/>
        <v>13</v>
      </c>
      <c r="AC36" s="39">
        <f t="shared" si="28"/>
        <v>395</v>
      </c>
      <c r="AD36" s="39">
        <f t="shared" si="28"/>
        <v>0</v>
      </c>
      <c r="AE36" s="40">
        <f t="shared" si="28"/>
        <v>693</v>
      </c>
      <c r="AF36" s="40">
        <f t="shared" si="28"/>
        <v>1077</v>
      </c>
    </row>
    <row r="37" spans="2:32" ht="23.1" customHeight="1" x14ac:dyDescent="0.25">
      <c r="B37" s="45" t="s">
        <v>64</v>
      </c>
      <c r="C37" s="50">
        <v>60</v>
      </c>
      <c r="D37" s="50">
        <v>23</v>
      </c>
      <c r="E37" s="50">
        <v>13</v>
      </c>
      <c r="F37" s="50">
        <v>45</v>
      </c>
      <c r="G37" s="50">
        <v>0</v>
      </c>
      <c r="H37" s="50">
        <v>0</v>
      </c>
      <c r="I37" s="50">
        <v>5</v>
      </c>
      <c r="J37" s="50">
        <v>2</v>
      </c>
      <c r="K37" s="50">
        <v>0</v>
      </c>
      <c r="L37" s="50">
        <v>2</v>
      </c>
      <c r="M37" s="50">
        <v>103</v>
      </c>
      <c r="N37" s="50">
        <v>0</v>
      </c>
      <c r="O37" s="15">
        <f t="shared" si="0"/>
        <v>150</v>
      </c>
      <c r="P37" s="15">
        <f t="shared" si="1"/>
        <v>253</v>
      </c>
      <c r="R37" s="37" t="s">
        <v>85</v>
      </c>
      <c r="S37" s="35">
        <f t="shared" ref="S37:AF37" si="29">SUM(S10:S12)</f>
        <v>960</v>
      </c>
      <c r="T37" s="16">
        <f t="shared" si="29"/>
        <v>372</v>
      </c>
      <c r="U37" s="16">
        <f t="shared" si="29"/>
        <v>96</v>
      </c>
      <c r="V37" s="16">
        <f t="shared" si="29"/>
        <v>909</v>
      </c>
      <c r="W37" s="16">
        <f t="shared" si="29"/>
        <v>107</v>
      </c>
      <c r="X37" s="16">
        <f t="shared" si="29"/>
        <v>5</v>
      </c>
      <c r="Y37" s="16">
        <f t="shared" si="29"/>
        <v>100</v>
      </c>
      <c r="Z37" s="16">
        <f t="shared" si="29"/>
        <v>29</v>
      </c>
      <c r="AA37" s="16">
        <f t="shared" si="29"/>
        <v>11</v>
      </c>
      <c r="AB37" s="16">
        <f t="shared" si="29"/>
        <v>4</v>
      </c>
      <c r="AC37" s="16">
        <f t="shared" si="29"/>
        <v>1968</v>
      </c>
      <c r="AD37" s="16">
        <f t="shared" si="29"/>
        <v>0</v>
      </c>
      <c r="AE37" s="32">
        <f t="shared" si="29"/>
        <v>2593</v>
      </c>
      <c r="AF37" s="32">
        <f t="shared" si="29"/>
        <v>4561</v>
      </c>
    </row>
    <row r="38" spans="2:32" ht="23.1" customHeight="1" x14ac:dyDescent="0.25">
      <c r="B38" s="46" t="s">
        <v>65</v>
      </c>
      <c r="C38" s="50">
        <v>75</v>
      </c>
      <c r="D38" s="50">
        <v>26</v>
      </c>
      <c r="E38" s="50">
        <v>7</v>
      </c>
      <c r="F38" s="50">
        <v>56</v>
      </c>
      <c r="G38" s="50">
        <v>1</v>
      </c>
      <c r="H38" s="50">
        <v>0</v>
      </c>
      <c r="I38" s="50">
        <v>16</v>
      </c>
      <c r="J38" s="50">
        <v>3</v>
      </c>
      <c r="K38" s="50">
        <v>2</v>
      </c>
      <c r="L38" s="50">
        <v>2</v>
      </c>
      <c r="M38" s="50">
        <v>70</v>
      </c>
      <c r="N38" s="50">
        <v>0</v>
      </c>
      <c r="O38" s="15">
        <f t="shared" si="0"/>
        <v>188</v>
      </c>
      <c r="P38" s="15">
        <f t="shared" si="1"/>
        <v>258</v>
      </c>
      <c r="R38" s="28" t="s">
        <v>86</v>
      </c>
      <c r="S38" s="16">
        <f t="shared" ref="S38:AF38" si="30">SUM(S13:S18)</f>
        <v>1238</v>
      </c>
      <c r="T38" s="16">
        <f t="shared" si="30"/>
        <v>469</v>
      </c>
      <c r="U38" s="16">
        <f t="shared" si="30"/>
        <v>212</v>
      </c>
      <c r="V38" s="16">
        <f t="shared" si="30"/>
        <v>1337</v>
      </c>
      <c r="W38" s="16">
        <f t="shared" si="30"/>
        <v>19</v>
      </c>
      <c r="X38" s="16">
        <f t="shared" si="30"/>
        <v>6</v>
      </c>
      <c r="Y38" s="16">
        <f t="shared" si="30"/>
        <v>183</v>
      </c>
      <c r="Z38" s="16">
        <f t="shared" si="30"/>
        <v>62</v>
      </c>
      <c r="AA38" s="16">
        <f t="shared" si="30"/>
        <v>19</v>
      </c>
      <c r="AB38" s="16">
        <f t="shared" si="30"/>
        <v>17</v>
      </c>
      <c r="AC38" s="16">
        <f t="shared" si="30"/>
        <v>2229</v>
      </c>
      <c r="AD38" s="16">
        <f t="shared" si="30"/>
        <v>0</v>
      </c>
      <c r="AE38" s="32">
        <f t="shared" si="30"/>
        <v>3562</v>
      </c>
      <c r="AF38" s="32">
        <f t="shared" si="30"/>
        <v>5791</v>
      </c>
    </row>
    <row r="39" spans="2:32" ht="23.1" customHeight="1" x14ac:dyDescent="0.25">
      <c r="B39" s="46" t="s">
        <v>66</v>
      </c>
      <c r="C39" s="50">
        <v>22</v>
      </c>
      <c r="D39" s="50">
        <v>7</v>
      </c>
      <c r="E39" s="50">
        <v>6</v>
      </c>
      <c r="F39" s="50">
        <v>30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67</v>
      </c>
      <c r="P39" s="15">
        <f t="shared" si="1"/>
        <v>137</v>
      </c>
      <c r="R39" s="29" t="s">
        <v>87</v>
      </c>
      <c r="S39" s="16">
        <f t="shared" ref="S39:AF39" si="31">SUM(S19:S21)</f>
        <v>655</v>
      </c>
      <c r="T39" s="16">
        <f t="shared" si="31"/>
        <v>295</v>
      </c>
      <c r="U39" s="16">
        <f t="shared" si="31"/>
        <v>115</v>
      </c>
      <c r="V39" s="16">
        <f t="shared" si="31"/>
        <v>781</v>
      </c>
      <c r="W39" s="16">
        <f t="shared" si="31"/>
        <v>13</v>
      </c>
      <c r="X39" s="16">
        <f t="shared" si="31"/>
        <v>1</v>
      </c>
      <c r="Y39" s="16">
        <f t="shared" si="31"/>
        <v>80</v>
      </c>
      <c r="Z39" s="16">
        <f t="shared" si="31"/>
        <v>13</v>
      </c>
      <c r="AA39" s="16">
        <f t="shared" si="31"/>
        <v>10</v>
      </c>
      <c r="AB39" s="16">
        <f t="shared" si="31"/>
        <v>21</v>
      </c>
      <c r="AC39" s="16">
        <f t="shared" si="31"/>
        <v>960</v>
      </c>
      <c r="AD39" s="16">
        <f t="shared" si="31"/>
        <v>0</v>
      </c>
      <c r="AE39" s="32">
        <f t="shared" si="31"/>
        <v>1984</v>
      </c>
      <c r="AF39" s="32">
        <f t="shared" si="31"/>
        <v>2944</v>
      </c>
    </row>
    <row r="40" spans="2:32" ht="23.1" customHeight="1" x14ac:dyDescent="0.25">
      <c r="B40" s="46" t="s">
        <v>67</v>
      </c>
      <c r="C40" s="50">
        <v>68</v>
      </c>
      <c r="D40" s="50">
        <v>10</v>
      </c>
      <c r="E40" s="50">
        <v>17</v>
      </c>
      <c r="F40" s="50">
        <v>51</v>
      </c>
      <c r="G40" s="50">
        <v>0</v>
      </c>
      <c r="H40" s="50">
        <v>0</v>
      </c>
      <c r="I40" s="50">
        <v>5</v>
      </c>
      <c r="J40" s="50">
        <v>0</v>
      </c>
      <c r="K40" s="50">
        <v>0</v>
      </c>
      <c r="L40" s="50">
        <v>0</v>
      </c>
      <c r="M40" s="50">
        <v>76</v>
      </c>
      <c r="N40" s="50">
        <v>0</v>
      </c>
      <c r="O40" s="15">
        <f t="shared" si="0"/>
        <v>151</v>
      </c>
      <c r="P40" s="15">
        <f t="shared" si="1"/>
        <v>227</v>
      </c>
      <c r="R40" s="5" t="s">
        <v>17</v>
      </c>
      <c r="S40" s="16">
        <f t="shared" ref="S40:AF40" si="32">SUM(S10:S21)</f>
        <v>2853</v>
      </c>
      <c r="T40" s="16">
        <f t="shared" si="32"/>
        <v>1136</v>
      </c>
      <c r="U40" s="16">
        <f t="shared" si="32"/>
        <v>423</v>
      </c>
      <c r="V40" s="16">
        <f t="shared" si="32"/>
        <v>3027</v>
      </c>
      <c r="W40" s="16">
        <f t="shared" si="32"/>
        <v>139</v>
      </c>
      <c r="X40" s="16">
        <f t="shared" si="32"/>
        <v>12</v>
      </c>
      <c r="Y40" s="16">
        <f t="shared" si="32"/>
        <v>363</v>
      </c>
      <c r="Z40" s="16">
        <f t="shared" si="32"/>
        <v>104</v>
      </c>
      <c r="AA40" s="16">
        <f t="shared" si="32"/>
        <v>40</v>
      </c>
      <c r="AB40" s="16">
        <f t="shared" si="32"/>
        <v>42</v>
      </c>
      <c r="AC40" s="16">
        <f t="shared" si="32"/>
        <v>5157</v>
      </c>
      <c r="AD40" s="16">
        <f t="shared" si="32"/>
        <v>0</v>
      </c>
      <c r="AE40" s="32">
        <f t="shared" si="32"/>
        <v>8139</v>
      </c>
      <c r="AF40" s="32">
        <f t="shared" si="32"/>
        <v>13296</v>
      </c>
    </row>
    <row r="41" spans="2:32" ht="23.1" customHeight="1" x14ac:dyDescent="0.25">
      <c r="B41" s="45" t="s">
        <v>68</v>
      </c>
      <c r="C41" s="50">
        <v>48</v>
      </c>
      <c r="D41" s="50">
        <v>19</v>
      </c>
      <c r="E41" s="50">
        <v>10</v>
      </c>
      <c r="F41" s="50">
        <v>52</v>
      </c>
      <c r="G41" s="50">
        <v>0</v>
      </c>
      <c r="H41" s="50">
        <v>0</v>
      </c>
      <c r="I41" s="50">
        <v>13</v>
      </c>
      <c r="J41" s="50">
        <v>4</v>
      </c>
      <c r="K41" s="50">
        <v>1</v>
      </c>
      <c r="L41" s="50">
        <v>0</v>
      </c>
      <c r="M41" s="50">
        <v>85</v>
      </c>
      <c r="N41" s="50">
        <v>0</v>
      </c>
      <c r="O41" s="15">
        <f t="shared" si="0"/>
        <v>147</v>
      </c>
      <c r="P41" s="15">
        <f t="shared" si="1"/>
        <v>232</v>
      </c>
      <c r="R41" s="5" t="s">
        <v>159</v>
      </c>
      <c r="S41" s="16">
        <f>SUM(S10:S33)</f>
        <v>3739</v>
      </c>
      <c r="T41" s="16">
        <f t="shared" ref="T41:AF41" si="33">SUM(T10:T33)</f>
        <v>1449</v>
      </c>
      <c r="U41" s="16">
        <f t="shared" si="33"/>
        <v>561</v>
      </c>
      <c r="V41" s="16">
        <f t="shared" si="33"/>
        <v>4014</v>
      </c>
      <c r="W41" s="16">
        <f t="shared" si="33"/>
        <v>165</v>
      </c>
      <c r="X41" s="16">
        <f t="shared" si="33"/>
        <v>19</v>
      </c>
      <c r="Y41" s="16">
        <f t="shared" si="33"/>
        <v>595</v>
      </c>
      <c r="Z41" s="16">
        <f t="shared" si="33"/>
        <v>179</v>
      </c>
      <c r="AA41" s="16">
        <f t="shared" si="33"/>
        <v>104</v>
      </c>
      <c r="AB41" s="16">
        <f t="shared" si="33"/>
        <v>58</v>
      </c>
      <c r="AC41" s="16">
        <f t="shared" si="33"/>
        <v>7348</v>
      </c>
      <c r="AD41" s="16">
        <f t="shared" si="33"/>
        <v>0</v>
      </c>
      <c r="AE41" s="32">
        <f t="shared" si="33"/>
        <v>10883</v>
      </c>
      <c r="AF41" s="32">
        <f t="shared" si="33"/>
        <v>18231</v>
      </c>
    </row>
    <row r="42" spans="2:32" ht="23.1" customHeight="1" x14ac:dyDescent="0.25">
      <c r="B42" s="46" t="s">
        <v>69</v>
      </c>
      <c r="C42" s="50">
        <v>33</v>
      </c>
      <c r="D42" s="50">
        <v>19</v>
      </c>
      <c r="E42" s="50">
        <v>7</v>
      </c>
      <c r="F42" s="50">
        <v>65</v>
      </c>
      <c r="G42" s="50">
        <v>0</v>
      </c>
      <c r="H42" s="50">
        <v>0</v>
      </c>
      <c r="I42" s="50">
        <v>11</v>
      </c>
      <c r="J42" s="50">
        <v>4</v>
      </c>
      <c r="K42" s="50">
        <v>2</v>
      </c>
      <c r="L42" s="50">
        <v>0</v>
      </c>
      <c r="M42" s="50">
        <v>90</v>
      </c>
      <c r="N42" s="50">
        <v>0</v>
      </c>
      <c r="O42" s="15">
        <f t="shared" si="0"/>
        <v>141</v>
      </c>
      <c r="P42" s="15">
        <f t="shared" si="1"/>
        <v>231</v>
      </c>
      <c r="R42" s="5" t="s">
        <v>160</v>
      </c>
      <c r="S42" s="48">
        <f>S41/S40</f>
        <v>1.3105502979320014</v>
      </c>
      <c r="T42" s="48">
        <f t="shared" ref="T42:AF42" si="34">T41/T40</f>
        <v>1.2755281690140845</v>
      </c>
      <c r="U42" s="48">
        <f t="shared" si="34"/>
        <v>1.3262411347517731</v>
      </c>
      <c r="V42" s="48">
        <f t="shared" si="34"/>
        <v>1.3260654112983152</v>
      </c>
      <c r="W42" s="48">
        <f t="shared" si="34"/>
        <v>1.1870503597122302</v>
      </c>
      <c r="X42" s="48">
        <f t="shared" si="34"/>
        <v>1.5833333333333333</v>
      </c>
      <c r="Y42" s="48">
        <f t="shared" si="34"/>
        <v>1.6391184573002755</v>
      </c>
      <c r="Z42" s="48">
        <f t="shared" si="34"/>
        <v>1.7211538461538463</v>
      </c>
      <c r="AA42" s="48">
        <f t="shared" si="34"/>
        <v>2.6</v>
      </c>
      <c r="AB42" s="48">
        <f t="shared" si="34"/>
        <v>1.3809523809523809</v>
      </c>
      <c r="AC42" s="48">
        <f t="shared" si="34"/>
        <v>1.4248594143882103</v>
      </c>
      <c r="AD42" s="48" t="e">
        <f t="shared" si="34"/>
        <v>#DIV/0!</v>
      </c>
      <c r="AE42" s="48">
        <f t="shared" si="34"/>
        <v>1.3371421550559037</v>
      </c>
      <c r="AF42" s="48">
        <f t="shared" si="34"/>
        <v>1.3711642599277978</v>
      </c>
    </row>
    <row r="43" spans="2:32" ht="23.1" customHeight="1" x14ac:dyDescent="0.25">
      <c r="B43" s="45" t="s">
        <v>70</v>
      </c>
      <c r="C43" s="50">
        <v>50</v>
      </c>
      <c r="D43" s="50">
        <v>38</v>
      </c>
      <c r="E43" s="50">
        <v>17</v>
      </c>
      <c r="F43" s="50">
        <v>75</v>
      </c>
      <c r="G43" s="50">
        <v>0</v>
      </c>
      <c r="H43" s="50">
        <v>1</v>
      </c>
      <c r="I43" s="50">
        <v>10</v>
      </c>
      <c r="J43" s="50">
        <v>20</v>
      </c>
      <c r="K43" s="50">
        <v>0</v>
      </c>
      <c r="L43" s="50">
        <v>1</v>
      </c>
      <c r="M43" s="50">
        <v>115</v>
      </c>
      <c r="N43" s="50">
        <v>0</v>
      </c>
      <c r="O43" s="15">
        <f t="shared" si="0"/>
        <v>212</v>
      </c>
      <c r="P43" s="15">
        <f t="shared" si="1"/>
        <v>327</v>
      </c>
    </row>
    <row r="44" spans="2:32" ht="23.1" customHeight="1" x14ac:dyDescent="0.25">
      <c r="B44" s="47" t="s">
        <v>71</v>
      </c>
      <c r="C44" s="50">
        <v>30</v>
      </c>
      <c r="D44" s="50">
        <v>17</v>
      </c>
      <c r="E44" s="50">
        <v>17</v>
      </c>
      <c r="F44" s="50">
        <v>27</v>
      </c>
      <c r="G44" s="50">
        <v>0</v>
      </c>
      <c r="H44" s="50">
        <v>0</v>
      </c>
      <c r="I44" s="50">
        <v>8</v>
      </c>
      <c r="J44" s="50">
        <v>0</v>
      </c>
      <c r="K44" s="50">
        <v>2</v>
      </c>
      <c r="L44" s="50">
        <v>0</v>
      </c>
      <c r="M44" s="50">
        <v>55</v>
      </c>
      <c r="N44" s="50">
        <v>0</v>
      </c>
      <c r="O44" s="15">
        <f t="shared" si="0"/>
        <v>101</v>
      </c>
      <c r="P44" s="15">
        <f t="shared" si="1"/>
        <v>156</v>
      </c>
    </row>
    <row r="45" spans="2:32" ht="23.1" customHeight="1" x14ac:dyDescent="0.25">
      <c r="B45" s="45" t="s">
        <v>72</v>
      </c>
      <c r="C45" s="50">
        <v>30</v>
      </c>
      <c r="D45" s="50">
        <v>20</v>
      </c>
      <c r="E45" s="50">
        <v>8</v>
      </c>
      <c r="F45" s="50">
        <v>45</v>
      </c>
      <c r="G45" s="50">
        <v>0</v>
      </c>
      <c r="H45" s="50">
        <v>0</v>
      </c>
      <c r="I45" s="50">
        <v>6</v>
      </c>
      <c r="J45" s="50">
        <v>0</v>
      </c>
      <c r="K45" s="50">
        <v>2</v>
      </c>
      <c r="L45" s="50">
        <v>1</v>
      </c>
      <c r="M45" s="50">
        <v>105</v>
      </c>
      <c r="N45" s="50">
        <v>0</v>
      </c>
      <c r="O45" s="15">
        <f t="shared" si="0"/>
        <v>112</v>
      </c>
      <c r="P45" s="15">
        <f t="shared" si="1"/>
        <v>217</v>
      </c>
    </row>
    <row r="46" spans="2:32" ht="23.1" customHeight="1" x14ac:dyDescent="0.25">
      <c r="B46" s="46" t="s">
        <v>73</v>
      </c>
      <c r="C46" s="50">
        <v>70</v>
      </c>
      <c r="D46" s="50">
        <v>33</v>
      </c>
      <c r="E46" s="50">
        <v>10</v>
      </c>
      <c r="F46" s="50">
        <v>81</v>
      </c>
      <c r="G46" s="50">
        <v>0</v>
      </c>
      <c r="H46" s="50">
        <v>0</v>
      </c>
      <c r="I46" s="50">
        <v>11</v>
      </c>
      <c r="J46" s="50">
        <v>0</v>
      </c>
      <c r="K46" s="50">
        <v>0</v>
      </c>
      <c r="L46" s="50">
        <v>1</v>
      </c>
      <c r="M46" s="50">
        <v>100</v>
      </c>
      <c r="N46" s="50">
        <v>0</v>
      </c>
      <c r="O46" s="15">
        <f t="shared" si="0"/>
        <v>206</v>
      </c>
      <c r="P46" s="15">
        <f t="shared" si="1"/>
        <v>306</v>
      </c>
      <c r="R46" s="8"/>
      <c r="T46"/>
    </row>
    <row r="47" spans="2:32" ht="23.1" customHeight="1" x14ac:dyDescent="0.25">
      <c r="B47" s="46" t="s">
        <v>74</v>
      </c>
      <c r="C47" s="50">
        <v>95</v>
      </c>
      <c r="D47" s="50">
        <v>47</v>
      </c>
      <c r="E47" s="50">
        <v>7</v>
      </c>
      <c r="F47" s="50">
        <v>70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1</v>
      </c>
      <c r="M47" s="50">
        <v>65</v>
      </c>
      <c r="N47" s="50">
        <v>0</v>
      </c>
      <c r="O47" s="15">
        <f t="shared" si="0"/>
        <v>222</v>
      </c>
      <c r="P47" s="15">
        <f t="shared" si="1"/>
        <v>287</v>
      </c>
      <c r="R47" s="8"/>
      <c r="T47"/>
    </row>
    <row r="48" spans="2:32" ht="23.1" customHeight="1" x14ac:dyDescent="0.25">
      <c r="B48" s="46" t="s">
        <v>75</v>
      </c>
      <c r="C48" s="50">
        <v>25</v>
      </c>
      <c r="D48" s="50">
        <v>31</v>
      </c>
      <c r="E48" s="50">
        <v>22</v>
      </c>
      <c r="F48" s="50">
        <v>80</v>
      </c>
      <c r="G48" s="50">
        <v>1</v>
      </c>
      <c r="H48" s="50">
        <v>0</v>
      </c>
      <c r="I48" s="50">
        <v>7</v>
      </c>
      <c r="J48" s="50">
        <v>2</v>
      </c>
      <c r="K48" s="50">
        <v>2</v>
      </c>
      <c r="L48" s="50">
        <v>1</v>
      </c>
      <c r="M48" s="50">
        <v>95</v>
      </c>
      <c r="N48" s="50">
        <v>0</v>
      </c>
      <c r="O48" s="15">
        <f t="shared" si="0"/>
        <v>171</v>
      </c>
      <c r="P48" s="15">
        <f t="shared" si="1"/>
        <v>266</v>
      </c>
      <c r="R48" s="8"/>
      <c r="T48"/>
    </row>
    <row r="49" spans="2:20" ht="23.1" customHeight="1" x14ac:dyDescent="0.25">
      <c r="B49" s="45" t="s">
        <v>76</v>
      </c>
      <c r="C49" s="50">
        <v>22</v>
      </c>
      <c r="D49" s="50">
        <v>5</v>
      </c>
      <c r="E49" s="50">
        <v>2</v>
      </c>
      <c r="F49" s="50">
        <v>45</v>
      </c>
      <c r="G49" s="50">
        <v>0</v>
      </c>
      <c r="H49" s="50">
        <v>0</v>
      </c>
      <c r="I49" s="50">
        <v>9</v>
      </c>
      <c r="J49" s="50">
        <v>0</v>
      </c>
      <c r="K49" s="50">
        <v>1</v>
      </c>
      <c r="L49" s="50">
        <v>10</v>
      </c>
      <c r="M49" s="50">
        <v>50</v>
      </c>
      <c r="N49" s="50">
        <v>0</v>
      </c>
      <c r="O49" s="15">
        <f t="shared" si="0"/>
        <v>94</v>
      </c>
      <c r="P49" s="15">
        <f t="shared" si="1"/>
        <v>144</v>
      </c>
      <c r="R49" s="8"/>
      <c r="T49"/>
    </row>
    <row r="50" spans="2:20" ht="23.1" customHeight="1" x14ac:dyDescent="0.25">
      <c r="B50" s="46" t="s">
        <v>77</v>
      </c>
      <c r="C50" s="50">
        <v>60</v>
      </c>
      <c r="D50" s="50">
        <v>33</v>
      </c>
      <c r="E50" s="50">
        <v>11</v>
      </c>
      <c r="F50" s="50">
        <v>70</v>
      </c>
      <c r="G50" s="50">
        <v>0</v>
      </c>
      <c r="H50" s="50">
        <v>0</v>
      </c>
      <c r="I50" s="50">
        <v>6</v>
      </c>
      <c r="J50" s="50">
        <v>0</v>
      </c>
      <c r="K50" s="50">
        <v>2</v>
      </c>
      <c r="L50" s="50">
        <v>2</v>
      </c>
      <c r="M50" s="50">
        <v>120</v>
      </c>
      <c r="N50" s="50">
        <v>0</v>
      </c>
      <c r="O50" s="15">
        <f t="shared" si="0"/>
        <v>184</v>
      </c>
      <c r="P50" s="15">
        <f t="shared" si="1"/>
        <v>304</v>
      </c>
      <c r="R50" s="8"/>
      <c r="T50"/>
    </row>
    <row r="51" spans="2:20" ht="23.1" customHeight="1" x14ac:dyDescent="0.25">
      <c r="B51" s="46" t="s">
        <v>78</v>
      </c>
      <c r="C51" s="50">
        <v>70</v>
      </c>
      <c r="D51" s="50">
        <v>21</v>
      </c>
      <c r="E51" s="50">
        <v>6</v>
      </c>
      <c r="F51" s="50">
        <v>70</v>
      </c>
      <c r="G51" s="50">
        <v>2</v>
      </c>
      <c r="H51" s="50">
        <v>0</v>
      </c>
      <c r="I51" s="50">
        <v>6</v>
      </c>
      <c r="J51" s="50">
        <v>1</v>
      </c>
      <c r="K51" s="50">
        <v>1</v>
      </c>
      <c r="L51" s="50">
        <v>1</v>
      </c>
      <c r="M51" s="50">
        <v>100</v>
      </c>
      <c r="N51" s="50">
        <v>0</v>
      </c>
      <c r="O51" s="15">
        <f t="shared" si="0"/>
        <v>178</v>
      </c>
      <c r="P51" s="15">
        <f t="shared" si="1"/>
        <v>278</v>
      </c>
      <c r="R51" s="8"/>
      <c r="T51"/>
    </row>
    <row r="52" spans="2:20" ht="23.1" customHeight="1" x14ac:dyDescent="0.25">
      <c r="B52" s="46" t="s">
        <v>79</v>
      </c>
      <c r="C52" s="50">
        <v>72</v>
      </c>
      <c r="D52" s="50">
        <v>19</v>
      </c>
      <c r="E52" s="50">
        <v>11</v>
      </c>
      <c r="F52" s="50">
        <v>60</v>
      </c>
      <c r="G52" s="50">
        <v>0</v>
      </c>
      <c r="H52" s="50">
        <v>0</v>
      </c>
      <c r="I52" s="50">
        <v>11</v>
      </c>
      <c r="J52" s="50">
        <v>1</v>
      </c>
      <c r="K52" s="50">
        <v>0</v>
      </c>
      <c r="L52" s="50">
        <v>2</v>
      </c>
      <c r="M52" s="50">
        <v>115</v>
      </c>
      <c r="N52" s="50">
        <v>0</v>
      </c>
      <c r="O52" s="15">
        <f t="shared" si="0"/>
        <v>176</v>
      </c>
      <c r="P52" s="15">
        <f t="shared" si="1"/>
        <v>291</v>
      </c>
      <c r="R52" s="8"/>
      <c r="T52"/>
    </row>
    <row r="53" spans="2:20" ht="23.1" customHeight="1" x14ac:dyDescent="0.25">
      <c r="B53" s="45" t="s">
        <v>80</v>
      </c>
      <c r="C53" s="50">
        <v>40</v>
      </c>
      <c r="D53" s="50">
        <v>25</v>
      </c>
      <c r="E53" s="50">
        <v>5</v>
      </c>
      <c r="F53" s="50">
        <v>50</v>
      </c>
      <c r="G53" s="50">
        <v>2</v>
      </c>
      <c r="H53" s="50">
        <v>0</v>
      </c>
      <c r="I53" s="50">
        <v>16</v>
      </c>
      <c r="J53" s="50">
        <v>3</v>
      </c>
      <c r="K53" s="50">
        <v>2</v>
      </c>
      <c r="L53" s="50">
        <v>1</v>
      </c>
      <c r="M53" s="50">
        <v>60</v>
      </c>
      <c r="N53" s="50">
        <v>0</v>
      </c>
      <c r="O53" s="15">
        <f t="shared" si="0"/>
        <v>144</v>
      </c>
      <c r="P53" s="15">
        <f t="shared" si="1"/>
        <v>204</v>
      </c>
      <c r="R53" s="8"/>
      <c r="T53"/>
    </row>
    <row r="54" spans="2:20" ht="23.1" customHeight="1" x14ac:dyDescent="0.25">
      <c r="B54" s="45" t="s">
        <v>81</v>
      </c>
      <c r="C54" s="50">
        <v>40</v>
      </c>
      <c r="D54" s="50">
        <v>24</v>
      </c>
      <c r="E54" s="50">
        <v>9</v>
      </c>
      <c r="F54" s="50">
        <v>45</v>
      </c>
      <c r="G54" s="50">
        <v>0</v>
      </c>
      <c r="H54" s="50">
        <v>1</v>
      </c>
      <c r="I54" s="50">
        <v>5</v>
      </c>
      <c r="J54" s="50">
        <v>1</v>
      </c>
      <c r="K54" s="50">
        <v>0</v>
      </c>
      <c r="L54" s="50">
        <v>1</v>
      </c>
      <c r="M54" s="50">
        <v>85</v>
      </c>
      <c r="N54" s="50">
        <v>0</v>
      </c>
      <c r="O54" s="15">
        <f t="shared" si="0"/>
        <v>126</v>
      </c>
      <c r="P54" s="15">
        <f t="shared" si="1"/>
        <v>211</v>
      </c>
      <c r="R54" s="8"/>
      <c r="T54"/>
    </row>
    <row r="55" spans="2:20" ht="23.1" customHeight="1" x14ac:dyDescent="0.25">
      <c r="B55" s="45" t="s">
        <v>82</v>
      </c>
      <c r="C55" s="50">
        <v>41</v>
      </c>
      <c r="D55" s="50">
        <v>27</v>
      </c>
      <c r="E55" s="50">
        <v>11</v>
      </c>
      <c r="F55" s="50">
        <v>45</v>
      </c>
      <c r="G55" s="50">
        <v>2</v>
      </c>
      <c r="H55" s="50">
        <v>0</v>
      </c>
      <c r="I55" s="50">
        <v>5</v>
      </c>
      <c r="J55" s="50">
        <v>4</v>
      </c>
      <c r="K55" s="50">
        <v>1</v>
      </c>
      <c r="L55" s="50">
        <v>1</v>
      </c>
      <c r="M55" s="50">
        <v>40</v>
      </c>
      <c r="N55" s="50">
        <v>0</v>
      </c>
      <c r="O55" s="15">
        <f t="shared" si="0"/>
        <v>137</v>
      </c>
      <c r="P55" s="15">
        <f t="shared" si="1"/>
        <v>177</v>
      </c>
      <c r="R55" s="8"/>
      <c r="T55"/>
    </row>
    <row r="56" spans="2:20" ht="23.1" customHeight="1" x14ac:dyDescent="0.25">
      <c r="B56" s="45" t="s">
        <v>83</v>
      </c>
      <c r="C56" s="50">
        <v>60</v>
      </c>
      <c r="D56" s="50">
        <v>21</v>
      </c>
      <c r="E56" s="50">
        <v>15</v>
      </c>
      <c r="F56" s="50">
        <v>85</v>
      </c>
      <c r="G56" s="50">
        <v>3</v>
      </c>
      <c r="H56" s="50">
        <v>0</v>
      </c>
      <c r="I56" s="50">
        <v>2</v>
      </c>
      <c r="J56" s="50">
        <v>0</v>
      </c>
      <c r="K56" s="50">
        <v>1</v>
      </c>
      <c r="L56" s="50">
        <v>0</v>
      </c>
      <c r="M56" s="50">
        <v>80</v>
      </c>
      <c r="N56" s="50">
        <v>0</v>
      </c>
      <c r="O56" s="15">
        <f t="shared" si="0"/>
        <v>187</v>
      </c>
      <c r="P56" s="15">
        <f t="shared" si="1"/>
        <v>267</v>
      </c>
      <c r="R56" s="8"/>
      <c r="T56"/>
    </row>
    <row r="57" spans="2:20" ht="23.1" customHeight="1" x14ac:dyDescent="0.25">
      <c r="B57" s="45" t="s">
        <v>84</v>
      </c>
      <c r="C57" s="50">
        <v>60</v>
      </c>
      <c r="D57" s="50">
        <v>9</v>
      </c>
      <c r="E57" s="50">
        <v>6</v>
      </c>
      <c r="F57" s="50">
        <v>80</v>
      </c>
      <c r="G57" s="50">
        <v>3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159</v>
      </c>
      <c r="P57" s="15">
        <f t="shared" si="1"/>
        <v>209</v>
      </c>
      <c r="R57" s="8"/>
      <c r="T57"/>
    </row>
    <row r="58" spans="2:20" ht="23.1" customHeight="1" x14ac:dyDescent="0.25">
      <c r="B58" s="45" t="s">
        <v>99</v>
      </c>
      <c r="C58" s="50">
        <v>45</v>
      </c>
      <c r="D58" s="50">
        <v>13</v>
      </c>
      <c r="E58" s="50">
        <v>5</v>
      </c>
      <c r="F58" s="50">
        <v>65</v>
      </c>
      <c r="G58" s="50">
        <v>2</v>
      </c>
      <c r="H58" s="50">
        <v>1</v>
      </c>
      <c r="I58" s="50">
        <v>3</v>
      </c>
      <c r="J58" s="50">
        <v>0</v>
      </c>
      <c r="K58" s="50">
        <v>0</v>
      </c>
      <c r="L58" s="50">
        <v>0</v>
      </c>
      <c r="M58" s="50">
        <v>80</v>
      </c>
      <c r="N58" s="50">
        <v>0</v>
      </c>
      <c r="O58" s="15">
        <f t="shared" si="0"/>
        <v>134</v>
      </c>
      <c r="P58" s="15">
        <f t="shared" si="1"/>
        <v>214</v>
      </c>
      <c r="R58" s="8"/>
      <c r="T58"/>
    </row>
    <row r="59" spans="2:20" ht="23.1" customHeight="1" x14ac:dyDescent="0.25">
      <c r="B59" s="45" t="s">
        <v>100</v>
      </c>
      <c r="C59" s="50">
        <v>32</v>
      </c>
      <c r="D59" s="50">
        <v>8</v>
      </c>
      <c r="E59" s="50">
        <v>6</v>
      </c>
      <c r="F59" s="50">
        <v>65</v>
      </c>
      <c r="G59" s="50">
        <v>1</v>
      </c>
      <c r="H59" s="50">
        <v>0</v>
      </c>
      <c r="I59" s="50">
        <v>6</v>
      </c>
      <c r="J59" s="50">
        <v>3</v>
      </c>
      <c r="K59" s="50">
        <v>1</v>
      </c>
      <c r="L59" s="50">
        <v>2</v>
      </c>
      <c r="M59" s="50">
        <v>60</v>
      </c>
      <c r="N59" s="50">
        <v>0</v>
      </c>
      <c r="O59" s="15">
        <f t="shared" si="0"/>
        <v>124</v>
      </c>
      <c r="P59" s="15">
        <f t="shared" si="1"/>
        <v>184</v>
      </c>
      <c r="R59" s="8"/>
      <c r="T59"/>
    </row>
    <row r="60" spans="2:20" ht="23.1" customHeight="1" x14ac:dyDescent="0.25">
      <c r="B60" s="45" t="s">
        <v>101</v>
      </c>
      <c r="C60" s="50">
        <v>33</v>
      </c>
      <c r="D60" s="50">
        <v>9</v>
      </c>
      <c r="E60" s="50">
        <v>5</v>
      </c>
      <c r="F60" s="50">
        <v>45</v>
      </c>
      <c r="G60" s="50">
        <v>2</v>
      </c>
      <c r="H60" s="50">
        <v>1</v>
      </c>
      <c r="I60" s="50">
        <v>7</v>
      </c>
      <c r="J60" s="50">
        <v>0</v>
      </c>
      <c r="K60" s="50">
        <v>0</v>
      </c>
      <c r="L60" s="50">
        <v>1</v>
      </c>
      <c r="M60" s="50">
        <v>120</v>
      </c>
      <c r="N60" s="50">
        <v>0</v>
      </c>
      <c r="O60" s="15">
        <f t="shared" si="0"/>
        <v>103</v>
      </c>
      <c r="P60" s="15">
        <f t="shared" si="1"/>
        <v>223</v>
      </c>
      <c r="R60" s="8"/>
      <c r="T60"/>
    </row>
    <row r="61" spans="2:20" ht="23.1" customHeight="1" x14ac:dyDescent="0.25">
      <c r="B61" s="45" t="s">
        <v>102</v>
      </c>
      <c r="C61" s="50">
        <v>25</v>
      </c>
      <c r="D61" s="50">
        <v>10</v>
      </c>
      <c r="E61" s="50">
        <v>7</v>
      </c>
      <c r="F61" s="50">
        <v>65</v>
      </c>
      <c r="G61" s="50">
        <v>1</v>
      </c>
      <c r="H61" s="50">
        <v>0</v>
      </c>
      <c r="I61" s="50">
        <v>9</v>
      </c>
      <c r="J61" s="50">
        <v>3</v>
      </c>
      <c r="K61" s="50">
        <v>0</v>
      </c>
      <c r="L61" s="50">
        <v>1</v>
      </c>
      <c r="M61" s="50">
        <v>140</v>
      </c>
      <c r="N61" s="50">
        <v>0</v>
      </c>
      <c r="O61" s="15">
        <f t="shared" si="0"/>
        <v>121</v>
      </c>
      <c r="P61" s="15">
        <f t="shared" si="1"/>
        <v>261</v>
      </c>
      <c r="R61" s="8"/>
      <c r="T61"/>
    </row>
    <row r="62" spans="2:20" ht="23.1" customHeight="1" x14ac:dyDescent="0.25">
      <c r="B62" s="45" t="s">
        <v>107</v>
      </c>
      <c r="C62" s="50">
        <v>40</v>
      </c>
      <c r="D62" s="50">
        <v>5</v>
      </c>
      <c r="E62" s="50">
        <v>4</v>
      </c>
      <c r="F62" s="50">
        <v>20</v>
      </c>
      <c r="G62" s="50">
        <v>1</v>
      </c>
      <c r="H62" s="50">
        <v>0</v>
      </c>
      <c r="I62" s="50">
        <v>2</v>
      </c>
      <c r="J62" s="50">
        <v>1</v>
      </c>
      <c r="K62" s="50">
        <v>1</v>
      </c>
      <c r="L62" s="50">
        <v>1</v>
      </c>
      <c r="M62" s="50">
        <v>105</v>
      </c>
      <c r="N62" s="50">
        <v>0</v>
      </c>
      <c r="O62" s="15">
        <f t="shared" si="0"/>
        <v>75</v>
      </c>
      <c r="P62" s="15">
        <f t="shared" si="1"/>
        <v>180</v>
      </c>
      <c r="R62" s="8"/>
      <c r="T62"/>
    </row>
    <row r="63" spans="2:20" ht="23.1" customHeight="1" x14ac:dyDescent="0.25">
      <c r="B63" s="45" t="s">
        <v>108</v>
      </c>
      <c r="C63" s="50">
        <v>10</v>
      </c>
      <c r="D63" s="50">
        <v>4</v>
      </c>
      <c r="E63" s="50">
        <v>6</v>
      </c>
      <c r="F63" s="50">
        <v>80</v>
      </c>
      <c r="G63" s="50">
        <v>2</v>
      </c>
      <c r="H63" s="50">
        <v>1</v>
      </c>
      <c r="I63" s="50">
        <v>5</v>
      </c>
      <c r="J63" s="50">
        <v>0</v>
      </c>
      <c r="K63" s="50">
        <v>0</v>
      </c>
      <c r="L63" s="50">
        <v>1</v>
      </c>
      <c r="M63" s="50">
        <v>85</v>
      </c>
      <c r="N63" s="50">
        <v>0</v>
      </c>
      <c r="O63" s="15">
        <f t="shared" si="0"/>
        <v>109</v>
      </c>
      <c r="P63" s="15">
        <f t="shared" si="1"/>
        <v>194</v>
      </c>
      <c r="R63" s="8"/>
      <c r="T63"/>
    </row>
    <row r="64" spans="2:20" ht="23.1" customHeight="1" x14ac:dyDescent="0.25">
      <c r="B64" s="45" t="s">
        <v>109</v>
      </c>
      <c r="C64" s="50">
        <v>45</v>
      </c>
      <c r="D64" s="50">
        <v>15</v>
      </c>
      <c r="E64" s="50">
        <v>6</v>
      </c>
      <c r="F64" s="50">
        <v>30</v>
      </c>
      <c r="G64" s="50">
        <v>2</v>
      </c>
      <c r="H64" s="50">
        <v>0</v>
      </c>
      <c r="I64" s="50">
        <v>8</v>
      </c>
      <c r="J64" s="50">
        <v>0</v>
      </c>
      <c r="K64" s="50">
        <v>0</v>
      </c>
      <c r="L64" s="50">
        <v>0</v>
      </c>
      <c r="M64" s="50">
        <v>80</v>
      </c>
      <c r="N64" s="50">
        <v>0</v>
      </c>
      <c r="O64" s="15">
        <f t="shared" si="0"/>
        <v>106</v>
      </c>
      <c r="P64" s="15">
        <f t="shared" si="1"/>
        <v>186</v>
      </c>
      <c r="R64" s="8"/>
      <c r="T64"/>
    </row>
    <row r="65" spans="2:20" ht="23.1" customHeight="1" x14ac:dyDescent="0.25">
      <c r="B65" s="45" t="s">
        <v>158</v>
      </c>
      <c r="C65" s="50">
        <v>20</v>
      </c>
      <c r="D65" s="50">
        <v>8</v>
      </c>
      <c r="E65" s="50">
        <v>2</v>
      </c>
      <c r="F65" s="50">
        <v>45</v>
      </c>
      <c r="G65" s="50">
        <v>0</v>
      </c>
      <c r="H65" s="50">
        <v>1</v>
      </c>
      <c r="I65" s="50">
        <v>13</v>
      </c>
      <c r="J65" s="50">
        <v>3</v>
      </c>
      <c r="K65" s="50">
        <v>0</v>
      </c>
      <c r="L65" s="50">
        <v>0</v>
      </c>
      <c r="M65" s="50">
        <v>88</v>
      </c>
      <c r="N65" s="50">
        <v>0</v>
      </c>
      <c r="O65" s="15">
        <f t="shared" si="0"/>
        <v>92</v>
      </c>
      <c r="P65" s="15">
        <f t="shared" si="1"/>
        <v>180</v>
      </c>
      <c r="R65" s="8"/>
      <c r="T65"/>
    </row>
    <row r="66" spans="2:20" ht="23.1" customHeight="1" x14ac:dyDescent="0.25">
      <c r="B66" s="45" t="s">
        <v>103</v>
      </c>
      <c r="C66" s="50">
        <v>50</v>
      </c>
      <c r="D66" s="50">
        <v>5</v>
      </c>
      <c r="E66" s="50">
        <v>5</v>
      </c>
      <c r="F66" s="50">
        <v>45</v>
      </c>
      <c r="G66" s="50">
        <v>1</v>
      </c>
      <c r="H66" s="50">
        <v>0</v>
      </c>
      <c r="I66" s="50">
        <v>2</v>
      </c>
      <c r="J66" s="50">
        <v>1</v>
      </c>
      <c r="K66" s="50">
        <v>0</v>
      </c>
      <c r="L66" s="50">
        <v>3</v>
      </c>
      <c r="M66" s="50">
        <v>70</v>
      </c>
      <c r="N66" s="50">
        <v>0</v>
      </c>
      <c r="O66" s="15">
        <f t="shared" si="0"/>
        <v>112</v>
      </c>
      <c r="P66" s="15">
        <f t="shared" si="1"/>
        <v>182</v>
      </c>
      <c r="R66" s="8"/>
      <c r="T66"/>
    </row>
    <row r="67" spans="2:20" ht="23.1" customHeight="1" x14ac:dyDescent="0.25">
      <c r="B67" s="45" t="s">
        <v>104</v>
      </c>
      <c r="C67" s="50">
        <v>35</v>
      </c>
      <c r="D67" s="50">
        <v>15</v>
      </c>
      <c r="E67" s="50">
        <v>2</v>
      </c>
      <c r="F67" s="50">
        <v>22</v>
      </c>
      <c r="G67" s="50">
        <v>1</v>
      </c>
      <c r="H67" s="50">
        <v>0</v>
      </c>
      <c r="I67" s="50">
        <v>6</v>
      </c>
      <c r="J67" s="50">
        <v>1</v>
      </c>
      <c r="K67" s="50">
        <v>1</v>
      </c>
      <c r="L67" s="50">
        <v>0</v>
      </c>
      <c r="M67" s="50">
        <v>67</v>
      </c>
      <c r="N67" s="50">
        <v>0</v>
      </c>
      <c r="O67" s="15">
        <f t="shared" si="0"/>
        <v>83</v>
      </c>
      <c r="P67" s="15">
        <f t="shared" si="1"/>
        <v>150</v>
      </c>
      <c r="R67" s="8"/>
      <c r="T67"/>
    </row>
    <row r="68" spans="2:20" ht="23.1" customHeight="1" x14ac:dyDescent="0.25">
      <c r="B68" s="45" t="s">
        <v>105</v>
      </c>
      <c r="C68" s="50">
        <v>30</v>
      </c>
      <c r="D68" s="50">
        <v>3</v>
      </c>
      <c r="E68" s="50">
        <v>2</v>
      </c>
      <c r="F68" s="50">
        <v>13</v>
      </c>
      <c r="G68" s="50">
        <v>0</v>
      </c>
      <c r="H68" s="50">
        <v>0</v>
      </c>
      <c r="I68" s="50">
        <v>2</v>
      </c>
      <c r="J68" s="50">
        <v>0</v>
      </c>
      <c r="K68" s="50">
        <v>3</v>
      </c>
      <c r="L68" s="50">
        <v>0</v>
      </c>
      <c r="M68" s="50">
        <v>60</v>
      </c>
      <c r="N68" s="50">
        <v>0</v>
      </c>
      <c r="O68" s="15">
        <f t="shared" si="0"/>
        <v>53</v>
      </c>
      <c r="P68" s="15">
        <f t="shared" si="1"/>
        <v>113</v>
      </c>
      <c r="R68" s="8"/>
      <c r="T68"/>
    </row>
    <row r="69" spans="2:20" ht="23.1" customHeight="1" x14ac:dyDescent="0.25">
      <c r="B69" s="45" t="s">
        <v>106</v>
      </c>
      <c r="C69" s="50">
        <v>43</v>
      </c>
      <c r="D69" s="50">
        <v>13</v>
      </c>
      <c r="E69" s="50">
        <v>10</v>
      </c>
      <c r="F69" s="50">
        <v>27</v>
      </c>
      <c r="G69" s="50">
        <v>1</v>
      </c>
      <c r="H69" s="50">
        <v>0</v>
      </c>
      <c r="I69" s="50">
        <v>4</v>
      </c>
      <c r="J69" s="50">
        <v>1</v>
      </c>
      <c r="K69" s="50">
        <v>1</v>
      </c>
      <c r="L69" s="50">
        <v>0</v>
      </c>
      <c r="M69" s="50">
        <v>90</v>
      </c>
      <c r="N69" s="50">
        <v>0</v>
      </c>
      <c r="O69" s="15">
        <f t="shared" si="0"/>
        <v>100</v>
      </c>
      <c r="P69" s="15">
        <f t="shared" si="1"/>
        <v>190</v>
      </c>
      <c r="R69" s="8"/>
      <c r="T69"/>
    </row>
    <row r="70" spans="2:20" ht="23.1" customHeight="1" x14ac:dyDescent="0.25">
      <c r="B70" s="45" t="s">
        <v>110</v>
      </c>
      <c r="C70" s="50">
        <v>20</v>
      </c>
      <c r="D70" s="50">
        <v>10</v>
      </c>
      <c r="E70" s="50">
        <v>10</v>
      </c>
      <c r="F70" s="50">
        <v>22</v>
      </c>
      <c r="G70" s="50">
        <v>0</v>
      </c>
      <c r="H70" s="50">
        <v>2</v>
      </c>
      <c r="I70" s="50">
        <v>3</v>
      </c>
      <c r="J70" s="50">
        <v>1</v>
      </c>
      <c r="K70" s="50">
        <v>0</v>
      </c>
      <c r="L70" s="50">
        <v>0</v>
      </c>
      <c r="M70" s="50">
        <v>191</v>
      </c>
      <c r="N70" s="50">
        <v>0</v>
      </c>
      <c r="O70" s="15">
        <f t="shared" si="0"/>
        <v>68</v>
      </c>
      <c r="P70" s="15">
        <f t="shared" si="1"/>
        <v>259</v>
      </c>
      <c r="R70" s="8"/>
      <c r="T70"/>
    </row>
    <row r="71" spans="2:20" ht="23.1" customHeight="1" x14ac:dyDescent="0.25">
      <c r="B71" s="45" t="s">
        <v>111</v>
      </c>
      <c r="C71" s="50">
        <v>19</v>
      </c>
      <c r="D71" s="50">
        <v>14</v>
      </c>
      <c r="E71" s="50">
        <v>5</v>
      </c>
      <c r="F71" s="50">
        <v>15</v>
      </c>
      <c r="G71" s="50">
        <v>2</v>
      </c>
      <c r="H71" s="50">
        <v>0</v>
      </c>
      <c r="I71" s="50">
        <v>5</v>
      </c>
      <c r="J71" s="50">
        <v>0</v>
      </c>
      <c r="K71" s="50">
        <v>0</v>
      </c>
      <c r="L71" s="50">
        <v>0</v>
      </c>
      <c r="M71" s="50">
        <v>76</v>
      </c>
      <c r="N71" s="50">
        <v>0</v>
      </c>
      <c r="O71" s="15">
        <f t="shared" si="0"/>
        <v>60</v>
      </c>
      <c r="P71" s="15">
        <f t="shared" si="1"/>
        <v>136</v>
      </c>
      <c r="R71" s="8"/>
      <c r="T71"/>
    </row>
    <row r="72" spans="2:20" ht="23.1" customHeight="1" x14ac:dyDescent="0.25">
      <c r="B72" s="45" t="s">
        <v>112</v>
      </c>
      <c r="C72" s="50">
        <v>23</v>
      </c>
      <c r="D72" s="50">
        <v>19</v>
      </c>
      <c r="E72" s="50">
        <v>7</v>
      </c>
      <c r="F72" s="50">
        <v>23</v>
      </c>
      <c r="G72" s="50">
        <v>0</v>
      </c>
      <c r="H72" s="50">
        <v>0</v>
      </c>
      <c r="I72" s="50">
        <v>7</v>
      </c>
      <c r="J72" s="50">
        <v>0</v>
      </c>
      <c r="K72" s="50">
        <v>0</v>
      </c>
      <c r="L72" s="50">
        <v>0</v>
      </c>
      <c r="M72" s="50">
        <v>35</v>
      </c>
      <c r="N72" s="50">
        <v>0</v>
      </c>
      <c r="O72" s="15">
        <f t="shared" si="0"/>
        <v>79</v>
      </c>
      <c r="P72" s="15">
        <f t="shared" si="1"/>
        <v>114</v>
      </c>
      <c r="R72" s="8"/>
      <c r="T72"/>
    </row>
    <row r="73" spans="2:20" ht="23.1" customHeight="1" x14ac:dyDescent="0.25">
      <c r="B73" s="45" t="s">
        <v>113</v>
      </c>
      <c r="C73" s="50">
        <v>61</v>
      </c>
      <c r="D73" s="50">
        <v>12</v>
      </c>
      <c r="E73" s="50">
        <v>5</v>
      </c>
      <c r="F73" s="50">
        <v>20</v>
      </c>
      <c r="G73" s="50">
        <v>0</v>
      </c>
      <c r="H73" s="50">
        <v>0</v>
      </c>
      <c r="I73" s="50">
        <v>5</v>
      </c>
      <c r="J73" s="50">
        <v>1</v>
      </c>
      <c r="K73" s="50">
        <v>2</v>
      </c>
      <c r="L73" s="50">
        <v>0</v>
      </c>
      <c r="M73" s="50">
        <v>50</v>
      </c>
      <c r="N73" s="50">
        <v>0</v>
      </c>
      <c r="O73" s="15">
        <f t="shared" si="0"/>
        <v>106</v>
      </c>
      <c r="P73" s="15">
        <f t="shared" si="1"/>
        <v>156</v>
      </c>
      <c r="R73" s="8"/>
      <c r="T73"/>
    </row>
    <row r="74" spans="2:20" ht="23.1" customHeight="1" x14ac:dyDescent="0.25">
      <c r="B74" s="45" t="s">
        <v>114</v>
      </c>
      <c r="C74" s="50">
        <v>23</v>
      </c>
      <c r="D74" s="50">
        <v>11</v>
      </c>
      <c r="E74" s="50">
        <v>4</v>
      </c>
      <c r="F74" s="50">
        <v>6</v>
      </c>
      <c r="G74" s="50">
        <v>0</v>
      </c>
      <c r="H74" s="50">
        <v>0</v>
      </c>
      <c r="I74" s="50">
        <v>10</v>
      </c>
      <c r="J74" s="50">
        <v>2</v>
      </c>
      <c r="K74" s="50">
        <v>0</v>
      </c>
      <c r="L74" s="50">
        <v>1</v>
      </c>
      <c r="M74" s="50">
        <v>36</v>
      </c>
      <c r="N74" s="50">
        <v>0</v>
      </c>
      <c r="O74" s="15">
        <f t="shared" ref="O74:O105" si="35">SUM(C74:L74,N74)</f>
        <v>57</v>
      </c>
      <c r="P74" s="15">
        <f t="shared" ref="P74:P105" si="36">SUM(C74:N74)</f>
        <v>93</v>
      </c>
      <c r="R74" s="8"/>
      <c r="T74"/>
    </row>
    <row r="75" spans="2:20" ht="23.1" customHeight="1" x14ac:dyDescent="0.25">
      <c r="B75" s="45" t="s">
        <v>115</v>
      </c>
      <c r="C75" s="50">
        <v>11</v>
      </c>
      <c r="D75" s="50">
        <v>6</v>
      </c>
      <c r="E75" s="50">
        <v>4</v>
      </c>
      <c r="F75" s="50">
        <v>3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1</v>
      </c>
      <c r="M75" s="50">
        <v>8</v>
      </c>
      <c r="N75" s="50">
        <v>0</v>
      </c>
      <c r="O75" s="15">
        <f t="shared" si="35"/>
        <v>27</v>
      </c>
      <c r="P75" s="15">
        <f t="shared" si="36"/>
        <v>35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0</v>
      </c>
      <c r="E76" s="50">
        <v>1</v>
      </c>
      <c r="F76" s="50">
        <v>2</v>
      </c>
      <c r="G76" s="50">
        <v>0</v>
      </c>
      <c r="H76" s="50">
        <v>0</v>
      </c>
      <c r="I76" s="50">
        <v>5</v>
      </c>
      <c r="J76" s="50">
        <v>0</v>
      </c>
      <c r="K76" s="50">
        <v>3</v>
      </c>
      <c r="L76" s="50">
        <v>2</v>
      </c>
      <c r="M76" s="50">
        <v>16</v>
      </c>
      <c r="N76" s="50">
        <v>0</v>
      </c>
      <c r="O76" s="15">
        <f t="shared" si="35"/>
        <v>18</v>
      </c>
      <c r="P76" s="15">
        <f t="shared" si="36"/>
        <v>34</v>
      </c>
      <c r="R76" s="8"/>
      <c r="T76"/>
    </row>
    <row r="77" spans="2:20" ht="23.1" customHeight="1" x14ac:dyDescent="0.25">
      <c r="B77" s="45" t="s">
        <v>117</v>
      </c>
      <c r="C77" s="50">
        <v>8</v>
      </c>
      <c r="D77" s="50">
        <v>2</v>
      </c>
      <c r="E77" s="50">
        <v>1</v>
      </c>
      <c r="F77" s="50">
        <v>1</v>
      </c>
      <c r="G77" s="50">
        <v>0</v>
      </c>
      <c r="H77" s="50">
        <v>0</v>
      </c>
      <c r="I77" s="50">
        <v>6</v>
      </c>
      <c r="J77" s="50">
        <v>3</v>
      </c>
      <c r="K77" s="50">
        <v>0</v>
      </c>
      <c r="L77" s="50">
        <v>1</v>
      </c>
      <c r="M77" s="50">
        <v>6</v>
      </c>
      <c r="N77" s="50">
        <v>0</v>
      </c>
      <c r="O77" s="15">
        <f t="shared" si="35"/>
        <v>22</v>
      </c>
      <c r="P77" s="15">
        <f t="shared" si="36"/>
        <v>28</v>
      </c>
      <c r="R77" s="8"/>
      <c r="T77"/>
    </row>
    <row r="78" spans="2:20" ht="23.1" customHeight="1" x14ac:dyDescent="0.25">
      <c r="B78" s="46" t="s">
        <v>118</v>
      </c>
      <c r="C78" s="50">
        <v>8</v>
      </c>
      <c r="D78" s="50">
        <v>9</v>
      </c>
      <c r="E78" s="50">
        <v>2</v>
      </c>
      <c r="F78" s="50">
        <v>5</v>
      </c>
      <c r="G78" s="50">
        <v>0</v>
      </c>
      <c r="H78" s="50">
        <v>0</v>
      </c>
      <c r="I78" s="50">
        <v>6</v>
      </c>
      <c r="J78" s="50">
        <v>1</v>
      </c>
      <c r="K78" s="50">
        <v>0</v>
      </c>
      <c r="L78" s="50">
        <v>0</v>
      </c>
      <c r="M78" s="50">
        <v>15</v>
      </c>
      <c r="N78" s="50">
        <v>0</v>
      </c>
      <c r="O78" s="15">
        <f t="shared" si="35"/>
        <v>31</v>
      </c>
      <c r="P78" s="15">
        <f t="shared" si="36"/>
        <v>46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2</v>
      </c>
      <c r="E79" s="50">
        <v>1</v>
      </c>
      <c r="F79" s="50">
        <v>4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17</v>
      </c>
      <c r="P79" s="15">
        <f t="shared" si="36"/>
        <v>20</v>
      </c>
      <c r="R79" s="8"/>
      <c r="T79"/>
    </row>
    <row r="80" spans="2:20" ht="23.1" customHeight="1" x14ac:dyDescent="0.25">
      <c r="B80" s="47" t="s">
        <v>120</v>
      </c>
      <c r="C80" s="50">
        <v>10</v>
      </c>
      <c r="D80" s="50">
        <v>5</v>
      </c>
      <c r="E80" s="50">
        <v>0</v>
      </c>
      <c r="F80" s="50">
        <v>3</v>
      </c>
      <c r="G80" s="50">
        <v>0</v>
      </c>
      <c r="H80" s="50">
        <v>0</v>
      </c>
      <c r="I80" s="50">
        <v>1</v>
      </c>
      <c r="J80" s="50">
        <v>2</v>
      </c>
      <c r="K80" s="50">
        <v>4</v>
      </c>
      <c r="L80" s="50">
        <v>0</v>
      </c>
      <c r="M80" s="50">
        <v>29</v>
      </c>
      <c r="N80" s="50">
        <v>0</v>
      </c>
      <c r="O80" s="15">
        <f t="shared" si="35"/>
        <v>25</v>
      </c>
      <c r="P80" s="15">
        <f t="shared" si="36"/>
        <v>54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2</v>
      </c>
      <c r="E81" s="50">
        <v>2</v>
      </c>
      <c r="F81" s="50">
        <v>4</v>
      </c>
      <c r="G81" s="50">
        <v>0</v>
      </c>
      <c r="H81" s="50">
        <v>0</v>
      </c>
      <c r="I81" s="50">
        <v>1</v>
      </c>
      <c r="J81" s="50">
        <v>0</v>
      </c>
      <c r="K81" s="50">
        <v>3</v>
      </c>
      <c r="L81" s="50">
        <v>0</v>
      </c>
      <c r="M81" s="50">
        <v>30</v>
      </c>
      <c r="N81" s="50">
        <v>0</v>
      </c>
      <c r="O81" s="15">
        <f t="shared" si="35"/>
        <v>18</v>
      </c>
      <c r="P81" s="15">
        <f t="shared" si="36"/>
        <v>48</v>
      </c>
      <c r="R81" s="8"/>
      <c r="T81"/>
    </row>
    <row r="82" spans="2:20" ht="23.1" customHeight="1" x14ac:dyDescent="0.25">
      <c r="B82" s="46" t="s">
        <v>122</v>
      </c>
      <c r="C82" s="50">
        <v>8</v>
      </c>
      <c r="D82" s="50">
        <v>9</v>
      </c>
      <c r="E82" s="50">
        <v>2</v>
      </c>
      <c r="F82" s="50">
        <v>5</v>
      </c>
      <c r="G82" s="50">
        <v>0</v>
      </c>
      <c r="H82" s="50">
        <v>0</v>
      </c>
      <c r="I82" s="50">
        <v>6</v>
      </c>
      <c r="J82" s="50">
        <v>1</v>
      </c>
      <c r="K82" s="50">
        <v>0</v>
      </c>
      <c r="L82" s="50">
        <v>0</v>
      </c>
      <c r="M82" s="50">
        <v>15</v>
      </c>
      <c r="N82" s="50">
        <v>0</v>
      </c>
      <c r="O82" s="15">
        <f t="shared" si="35"/>
        <v>31</v>
      </c>
      <c r="P82" s="15">
        <f t="shared" si="36"/>
        <v>46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2</v>
      </c>
      <c r="E83" s="50">
        <v>1</v>
      </c>
      <c r="F83" s="50">
        <v>4</v>
      </c>
      <c r="G83" s="50">
        <v>0</v>
      </c>
      <c r="H83" s="50">
        <v>0</v>
      </c>
      <c r="I83" s="50">
        <v>2</v>
      </c>
      <c r="J83" s="50">
        <v>0</v>
      </c>
      <c r="K83" s="50">
        <v>0</v>
      </c>
      <c r="L83" s="50">
        <v>0</v>
      </c>
      <c r="M83" s="50">
        <v>3</v>
      </c>
      <c r="N83" s="50">
        <v>0</v>
      </c>
      <c r="O83" s="15">
        <f t="shared" si="35"/>
        <v>17</v>
      </c>
      <c r="P83" s="15">
        <f t="shared" si="36"/>
        <v>20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5</v>
      </c>
      <c r="E84" s="50">
        <v>0</v>
      </c>
      <c r="F84" s="50">
        <v>3</v>
      </c>
      <c r="G84" s="50">
        <v>0</v>
      </c>
      <c r="H84" s="50">
        <v>0</v>
      </c>
      <c r="I84" s="50">
        <v>1</v>
      </c>
      <c r="J84" s="50">
        <v>2</v>
      </c>
      <c r="K84" s="50">
        <v>4</v>
      </c>
      <c r="L84" s="50">
        <v>0</v>
      </c>
      <c r="M84" s="50">
        <v>29</v>
      </c>
      <c r="N84" s="50">
        <v>0</v>
      </c>
      <c r="O84" s="15">
        <f t="shared" si="35"/>
        <v>25</v>
      </c>
      <c r="P84" s="15">
        <f t="shared" si="36"/>
        <v>54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2</v>
      </c>
      <c r="E85" s="50">
        <v>2</v>
      </c>
      <c r="F85" s="50">
        <v>4</v>
      </c>
      <c r="G85" s="50">
        <v>0</v>
      </c>
      <c r="H85" s="50">
        <v>0</v>
      </c>
      <c r="I85" s="50">
        <v>2</v>
      </c>
      <c r="J85" s="50">
        <v>0</v>
      </c>
      <c r="K85" s="50">
        <v>3</v>
      </c>
      <c r="L85" s="50">
        <v>0</v>
      </c>
      <c r="M85" s="50">
        <v>30</v>
      </c>
      <c r="N85" s="50">
        <v>0</v>
      </c>
      <c r="O85" s="15">
        <f t="shared" si="35"/>
        <v>19</v>
      </c>
      <c r="P85" s="15">
        <f t="shared" si="36"/>
        <v>49</v>
      </c>
      <c r="R85" s="8"/>
      <c r="T85"/>
    </row>
    <row r="86" spans="2:20" ht="23.1" customHeight="1" x14ac:dyDescent="0.25">
      <c r="B86" s="46" t="s">
        <v>126</v>
      </c>
      <c r="C86" s="50">
        <v>11</v>
      </c>
      <c r="D86" s="50">
        <v>2</v>
      </c>
      <c r="E86" s="50">
        <v>0</v>
      </c>
      <c r="F86" s="50">
        <v>5</v>
      </c>
      <c r="G86" s="50">
        <v>0</v>
      </c>
      <c r="H86" s="50">
        <v>0</v>
      </c>
      <c r="I86" s="50">
        <v>3</v>
      </c>
      <c r="J86" s="50">
        <v>3</v>
      </c>
      <c r="K86" s="50">
        <v>0</v>
      </c>
      <c r="L86" s="50">
        <v>0</v>
      </c>
      <c r="M86" s="50">
        <v>30</v>
      </c>
      <c r="N86" s="50">
        <v>0</v>
      </c>
      <c r="O86" s="15">
        <f t="shared" si="35"/>
        <v>24</v>
      </c>
      <c r="P86" s="15">
        <f t="shared" si="36"/>
        <v>54</v>
      </c>
      <c r="R86" s="8"/>
      <c r="T86"/>
    </row>
    <row r="87" spans="2:20" ht="23.1" customHeight="1" x14ac:dyDescent="0.25">
      <c r="B87" s="45" t="s">
        <v>127</v>
      </c>
      <c r="C87" s="50">
        <v>10</v>
      </c>
      <c r="D87" s="50">
        <v>2</v>
      </c>
      <c r="E87" s="50">
        <v>0</v>
      </c>
      <c r="F87" s="50">
        <v>2</v>
      </c>
      <c r="G87" s="50">
        <v>0</v>
      </c>
      <c r="H87" s="50">
        <v>0</v>
      </c>
      <c r="I87" s="50">
        <v>5</v>
      </c>
      <c r="J87" s="50">
        <v>0</v>
      </c>
      <c r="K87" s="50">
        <v>0</v>
      </c>
      <c r="L87" s="50">
        <v>0</v>
      </c>
      <c r="M87" s="50">
        <v>35</v>
      </c>
      <c r="N87" s="50">
        <v>0</v>
      </c>
      <c r="O87" s="15">
        <f t="shared" si="35"/>
        <v>19</v>
      </c>
      <c r="P87" s="15">
        <f t="shared" si="36"/>
        <v>54</v>
      </c>
      <c r="R87" s="8"/>
      <c r="T87"/>
    </row>
    <row r="88" spans="2:20" ht="23.1" customHeight="1" x14ac:dyDescent="0.25">
      <c r="B88" s="47" t="s">
        <v>128</v>
      </c>
      <c r="C88" s="50">
        <v>18</v>
      </c>
      <c r="D88" s="50">
        <v>3</v>
      </c>
      <c r="E88" s="50">
        <v>1</v>
      </c>
      <c r="F88" s="50">
        <v>2</v>
      </c>
      <c r="G88" s="50">
        <v>0</v>
      </c>
      <c r="H88" s="50">
        <v>0</v>
      </c>
      <c r="I88" s="50">
        <v>4</v>
      </c>
      <c r="J88" s="50">
        <v>2</v>
      </c>
      <c r="K88" s="50">
        <v>0</v>
      </c>
      <c r="L88" s="50">
        <v>0</v>
      </c>
      <c r="M88" s="50">
        <v>28</v>
      </c>
      <c r="N88" s="50">
        <v>0</v>
      </c>
      <c r="O88" s="15">
        <f t="shared" si="35"/>
        <v>30</v>
      </c>
      <c r="P88" s="15">
        <f t="shared" si="36"/>
        <v>58</v>
      </c>
      <c r="R88" s="8"/>
      <c r="T88"/>
    </row>
    <row r="89" spans="2:20" ht="23.1" customHeight="1" x14ac:dyDescent="0.25">
      <c r="B89" s="45" t="s">
        <v>129</v>
      </c>
      <c r="C89" s="50">
        <v>10</v>
      </c>
      <c r="D89" s="50">
        <v>3</v>
      </c>
      <c r="E89" s="50">
        <v>1</v>
      </c>
      <c r="F89" s="50">
        <v>2</v>
      </c>
      <c r="G89" s="50">
        <v>0</v>
      </c>
      <c r="H89" s="50">
        <v>0</v>
      </c>
      <c r="I89" s="50">
        <v>5</v>
      </c>
      <c r="J89" s="50">
        <v>4</v>
      </c>
      <c r="K89" s="50">
        <v>0</v>
      </c>
      <c r="L89" s="50">
        <v>0</v>
      </c>
      <c r="M89" s="50">
        <v>22</v>
      </c>
      <c r="N89" s="50">
        <v>0</v>
      </c>
      <c r="O89" s="15">
        <f t="shared" si="35"/>
        <v>25</v>
      </c>
      <c r="P89" s="15">
        <f t="shared" si="36"/>
        <v>47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3</v>
      </c>
      <c r="E90" s="50">
        <v>2</v>
      </c>
      <c r="F90" s="50">
        <v>4</v>
      </c>
      <c r="G90" s="50">
        <v>0</v>
      </c>
      <c r="H90" s="50">
        <v>0</v>
      </c>
      <c r="I90" s="50">
        <v>1</v>
      </c>
      <c r="J90" s="50">
        <v>6</v>
      </c>
      <c r="K90" s="50">
        <v>0</v>
      </c>
      <c r="L90" s="50">
        <v>0</v>
      </c>
      <c r="M90" s="50">
        <v>21</v>
      </c>
      <c r="N90" s="50">
        <v>0</v>
      </c>
      <c r="O90" s="15">
        <f t="shared" si="35"/>
        <v>25</v>
      </c>
      <c r="P90" s="15">
        <f t="shared" si="36"/>
        <v>46</v>
      </c>
      <c r="R90" s="8"/>
      <c r="T90"/>
    </row>
    <row r="91" spans="2:20" ht="23.1" customHeight="1" x14ac:dyDescent="0.25">
      <c r="B91" s="45" t="s">
        <v>131</v>
      </c>
      <c r="C91" s="50">
        <v>8</v>
      </c>
      <c r="D91" s="50">
        <v>2</v>
      </c>
      <c r="E91" s="50">
        <v>1</v>
      </c>
      <c r="F91" s="50">
        <v>6</v>
      </c>
      <c r="G91" s="50">
        <v>0</v>
      </c>
      <c r="H91" s="50">
        <v>0</v>
      </c>
      <c r="I91" s="50">
        <v>6</v>
      </c>
      <c r="J91" s="50">
        <v>8</v>
      </c>
      <c r="K91" s="50">
        <v>3</v>
      </c>
      <c r="L91" s="50">
        <v>0</v>
      </c>
      <c r="M91" s="50">
        <v>15</v>
      </c>
      <c r="N91" s="50">
        <v>0</v>
      </c>
      <c r="O91" s="15">
        <f t="shared" si="35"/>
        <v>34</v>
      </c>
      <c r="P91" s="15">
        <f t="shared" si="36"/>
        <v>49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0</v>
      </c>
      <c r="F92" s="50">
        <v>3</v>
      </c>
      <c r="G92" s="50">
        <v>0</v>
      </c>
      <c r="H92" s="50">
        <v>0</v>
      </c>
      <c r="I92" s="50">
        <v>5</v>
      </c>
      <c r="J92" s="50">
        <v>4</v>
      </c>
      <c r="K92" s="50">
        <v>0</v>
      </c>
      <c r="L92" s="50">
        <v>0</v>
      </c>
      <c r="M92" s="50">
        <v>15</v>
      </c>
      <c r="N92" s="50">
        <v>0</v>
      </c>
      <c r="O92" s="15">
        <f t="shared" si="35"/>
        <v>16</v>
      </c>
      <c r="P92" s="15">
        <f t="shared" si="36"/>
        <v>31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3</v>
      </c>
      <c r="E93" s="50">
        <v>5</v>
      </c>
      <c r="F93" s="50">
        <v>5</v>
      </c>
      <c r="G93" s="50">
        <v>0</v>
      </c>
      <c r="H93" s="50">
        <v>0</v>
      </c>
      <c r="I93" s="50">
        <v>6</v>
      </c>
      <c r="J93" s="50">
        <v>1</v>
      </c>
      <c r="K93" s="50">
        <v>3</v>
      </c>
      <c r="L93" s="50">
        <v>0</v>
      </c>
      <c r="M93" s="50">
        <v>25</v>
      </c>
      <c r="N93" s="50">
        <v>0</v>
      </c>
      <c r="O93" s="15">
        <f t="shared" si="35"/>
        <v>32</v>
      </c>
      <c r="P93" s="15">
        <f t="shared" si="36"/>
        <v>57</v>
      </c>
      <c r="R93" s="8"/>
      <c r="T93"/>
    </row>
    <row r="94" spans="2:20" ht="23.1" customHeight="1" x14ac:dyDescent="0.25">
      <c r="B94" s="46" t="s">
        <v>134</v>
      </c>
      <c r="C94" s="50">
        <v>12</v>
      </c>
      <c r="D94" s="50">
        <v>2</v>
      </c>
      <c r="E94" s="50">
        <v>0</v>
      </c>
      <c r="F94" s="50">
        <v>8</v>
      </c>
      <c r="G94" s="50">
        <v>0</v>
      </c>
      <c r="H94" s="50">
        <v>0</v>
      </c>
      <c r="I94" s="50">
        <v>3</v>
      </c>
      <c r="J94" s="50">
        <v>4</v>
      </c>
      <c r="K94" s="50">
        <v>3</v>
      </c>
      <c r="L94" s="50">
        <v>0</v>
      </c>
      <c r="M94" s="50">
        <v>30</v>
      </c>
      <c r="N94" s="50">
        <v>0</v>
      </c>
      <c r="O94" s="15">
        <f t="shared" si="35"/>
        <v>32</v>
      </c>
      <c r="P94" s="15">
        <f t="shared" si="36"/>
        <v>62</v>
      </c>
      <c r="R94" s="8"/>
      <c r="T94"/>
    </row>
    <row r="95" spans="2:20" ht="23.1" customHeight="1" x14ac:dyDescent="0.25">
      <c r="B95" s="45" t="s">
        <v>135</v>
      </c>
      <c r="C95" s="50">
        <v>18</v>
      </c>
      <c r="D95" s="50">
        <v>9</v>
      </c>
      <c r="E95" s="50">
        <v>4</v>
      </c>
      <c r="F95" s="50">
        <v>11</v>
      </c>
      <c r="G95" s="50">
        <v>0</v>
      </c>
      <c r="H95" s="50">
        <v>0</v>
      </c>
      <c r="I95" s="50">
        <v>12</v>
      </c>
      <c r="J95" s="50">
        <v>7</v>
      </c>
      <c r="K95" s="50">
        <v>2</v>
      </c>
      <c r="L95" s="50">
        <v>0</v>
      </c>
      <c r="M95" s="50">
        <v>38</v>
      </c>
      <c r="N95" s="50">
        <v>0</v>
      </c>
      <c r="O95" s="15">
        <f t="shared" si="35"/>
        <v>63</v>
      </c>
      <c r="P95" s="15">
        <f t="shared" si="36"/>
        <v>101</v>
      </c>
      <c r="R95" s="8"/>
      <c r="T95"/>
    </row>
    <row r="96" spans="2:20" ht="23.1" customHeight="1" x14ac:dyDescent="0.25">
      <c r="B96" s="47" t="s">
        <v>136</v>
      </c>
      <c r="C96" s="50">
        <v>10</v>
      </c>
      <c r="D96" s="50">
        <v>15</v>
      </c>
      <c r="E96" s="50">
        <v>2</v>
      </c>
      <c r="F96" s="50">
        <v>17</v>
      </c>
      <c r="G96" s="50">
        <v>0</v>
      </c>
      <c r="H96" s="50">
        <v>0</v>
      </c>
      <c r="I96" s="50">
        <v>6</v>
      </c>
      <c r="J96" s="50">
        <v>1</v>
      </c>
      <c r="K96" s="50">
        <v>1</v>
      </c>
      <c r="L96" s="50">
        <v>0</v>
      </c>
      <c r="M96" s="50">
        <v>25</v>
      </c>
      <c r="N96" s="50">
        <v>0</v>
      </c>
      <c r="O96" s="15">
        <f t="shared" si="35"/>
        <v>52</v>
      </c>
      <c r="P96" s="15">
        <f t="shared" si="36"/>
        <v>77</v>
      </c>
      <c r="R96" s="8"/>
      <c r="T96"/>
    </row>
    <row r="97" spans="2:20" ht="23.1" customHeight="1" x14ac:dyDescent="0.25">
      <c r="B97" s="45" t="s">
        <v>137</v>
      </c>
      <c r="C97" s="50">
        <v>7</v>
      </c>
      <c r="D97" s="50">
        <v>5</v>
      </c>
      <c r="E97" s="50">
        <v>3</v>
      </c>
      <c r="F97" s="50">
        <v>20</v>
      </c>
      <c r="G97" s="50">
        <v>0</v>
      </c>
      <c r="H97" s="50">
        <v>0</v>
      </c>
      <c r="I97" s="50">
        <v>0</v>
      </c>
      <c r="J97" s="50">
        <v>3</v>
      </c>
      <c r="K97" s="50">
        <v>2</v>
      </c>
      <c r="L97" s="50">
        <v>0</v>
      </c>
      <c r="M97" s="50">
        <v>24</v>
      </c>
      <c r="N97" s="50">
        <v>0</v>
      </c>
      <c r="O97" s="15">
        <f t="shared" si="35"/>
        <v>40</v>
      </c>
      <c r="P97" s="15">
        <f t="shared" si="36"/>
        <v>64</v>
      </c>
      <c r="R97" s="8"/>
      <c r="T97"/>
    </row>
    <row r="98" spans="2:20" ht="23.1" customHeight="1" x14ac:dyDescent="0.25">
      <c r="B98" s="46" t="s">
        <v>138</v>
      </c>
      <c r="C98" s="50">
        <v>9</v>
      </c>
      <c r="D98" s="50">
        <v>3</v>
      </c>
      <c r="E98" s="50">
        <v>0</v>
      </c>
      <c r="F98" s="50">
        <v>35</v>
      </c>
      <c r="G98" s="50">
        <v>0</v>
      </c>
      <c r="H98" s="50">
        <v>0</v>
      </c>
      <c r="I98" s="50">
        <v>7</v>
      </c>
      <c r="J98" s="50">
        <v>0</v>
      </c>
      <c r="K98" s="50">
        <v>5</v>
      </c>
      <c r="L98" s="50">
        <v>1</v>
      </c>
      <c r="M98" s="50">
        <v>20</v>
      </c>
      <c r="N98" s="50">
        <v>0</v>
      </c>
      <c r="O98" s="15">
        <f t="shared" si="35"/>
        <v>60</v>
      </c>
      <c r="P98" s="15">
        <f t="shared" si="36"/>
        <v>80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4</v>
      </c>
      <c r="E99" s="50">
        <v>0</v>
      </c>
      <c r="F99" s="50">
        <v>19</v>
      </c>
      <c r="G99" s="50">
        <v>1</v>
      </c>
      <c r="H99" s="50">
        <v>0</v>
      </c>
      <c r="I99" s="50">
        <v>3</v>
      </c>
      <c r="J99" s="50">
        <v>1</v>
      </c>
      <c r="K99" s="50">
        <v>2</v>
      </c>
      <c r="L99" s="50">
        <v>0</v>
      </c>
      <c r="M99" s="50">
        <v>34</v>
      </c>
      <c r="N99" s="50">
        <v>0</v>
      </c>
      <c r="O99" s="15">
        <f t="shared" si="35"/>
        <v>37</v>
      </c>
      <c r="P99" s="15">
        <f t="shared" si="36"/>
        <v>71</v>
      </c>
      <c r="R99" s="8"/>
      <c r="T99"/>
    </row>
    <row r="100" spans="2:20" ht="23.1" customHeight="1" x14ac:dyDescent="0.25">
      <c r="B100" s="47" t="s">
        <v>140</v>
      </c>
      <c r="C100" s="50">
        <v>7</v>
      </c>
      <c r="D100" s="50">
        <v>7</v>
      </c>
      <c r="E100" s="50">
        <v>2</v>
      </c>
      <c r="F100" s="50">
        <v>3</v>
      </c>
      <c r="G100" s="50">
        <v>3</v>
      </c>
      <c r="H100" s="50">
        <v>0</v>
      </c>
      <c r="I100" s="50">
        <v>7</v>
      </c>
      <c r="J100" s="50">
        <v>1</v>
      </c>
      <c r="K100" s="50">
        <v>1</v>
      </c>
      <c r="L100" s="50">
        <v>1</v>
      </c>
      <c r="M100" s="50">
        <v>30</v>
      </c>
      <c r="N100" s="50">
        <v>0</v>
      </c>
      <c r="O100" s="15">
        <f t="shared" si="35"/>
        <v>32</v>
      </c>
      <c r="P100" s="15">
        <f t="shared" si="36"/>
        <v>62</v>
      </c>
      <c r="R100" s="8"/>
      <c r="T100"/>
    </row>
    <row r="101" spans="2:20" ht="23.1" customHeight="1" x14ac:dyDescent="0.25">
      <c r="B101" s="45" t="s">
        <v>141</v>
      </c>
      <c r="C101" s="50">
        <v>23</v>
      </c>
      <c r="D101" s="50">
        <v>4</v>
      </c>
      <c r="E101" s="50">
        <v>0</v>
      </c>
      <c r="F101" s="50">
        <v>27</v>
      </c>
      <c r="G101" s="50">
        <v>2</v>
      </c>
      <c r="H101" s="50">
        <v>1</v>
      </c>
      <c r="I101" s="50">
        <v>3</v>
      </c>
      <c r="J101" s="50">
        <v>0</v>
      </c>
      <c r="K101" s="50">
        <v>12</v>
      </c>
      <c r="L101" s="50">
        <v>0</v>
      </c>
      <c r="M101" s="50">
        <v>10</v>
      </c>
      <c r="N101" s="50">
        <v>0</v>
      </c>
      <c r="O101" s="15">
        <f t="shared" si="35"/>
        <v>72</v>
      </c>
      <c r="P101" s="15">
        <f t="shared" si="36"/>
        <v>82</v>
      </c>
      <c r="R101" s="8"/>
      <c r="T101"/>
    </row>
    <row r="102" spans="2:20" ht="23.1" customHeight="1" x14ac:dyDescent="0.25">
      <c r="B102" s="46" t="s">
        <v>142</v>
      </c>
      <c r="C102" s="50">
        <v>17</v>
      </c>
      <c r="D102" s="50">
        <v>10</v>
      </c>
      <c r="E102" s="50">
        <v>2</v>
      </c>
      <c r="F102" s="50">
        <v>40</v>
      </c>
      <c r="G102" s="50">
        <v>1</v>
      </c>
      <c r="H102" s="50">
        <v>0</v>
      </c>
      <c r="I102" s="50">
        <v>1</v>
      </c>
      <c r="J102" s="50">
        <v>0</v>
      </c>
      <c r="K102" s="50">
        <v>1</v>
      </c>
      <c r="L102" s="50">
        <v>0</v>
      </c>
      <c r="M102" s="50">
        <v>20</v>
      </c>
      <c r="N102" s="50">
        <v>0</v>
      </c>
      <c r="O102" s="15">
        <f t="shared" si="35"/>
        <v>72</v>
      </c>
      <c r="P102" s="15">
        <f t="shared" si="36"/>
        <v>92</v>
      </c>
      <c r="R102" s="8"/>
      <c r="T102"/>
    </row>
    <row r="103" spans="2:20" ht="23.1" customHeight="1" x14ac:dyDescent="0.25">
      <c r="B103" s="45" t="s">
        <v>143</v>
      </c>
      <c r="C103" s="50">
        <v>10</v>
      </c>
      <c r="D103" s="50">
        <v>5</v>
      </c>
      <c r="E103" s="50">
        <v>2</v>
      </c>
      <c r="F103" s="50">
        <v>40</v>
      </c>
      <c r="G103" s="50">
        <v>0</v>
      </c>
      <c r="H103" s="50">
        <v>0</v>
      </c>
      <c r="I103" s="50">
        <v>7</v>
      </c>
      <c r="J103" s="50">
        <v>1</v>
      </c>
      <c r="K103" s="50">
        <v>0</v>
      </c>
      <c r="L103" s="50">
        <v>0</v>
      </c>
      <c r="M103" s="50">
        <v>60</v>
      </c>
      <c r="N103" s="50">
        <v>0</v>
      </c>
      <c r="O103" s="15">
        <f t="shared" si="35"/>
        <v>65</v>
      </c>
      <c r="P103" s="15">
        <f t="shared" si="36"/>
        <v>125</v>
      </c>
      <c r="R103" s="8"/>
      <c r="T103"/>
    </row>
    <row r="104" spans="2:20" ht="23.1" customHeight="1" x14ac:dyDescent="0.25">
      <c r="B104" s="47" t="s">
        <v>144</v>
      </c>
      <c r="C104" s="50">
        <v>15</v>
      </c>
      <c r="D104" s="50">
        <v>4</v>
      </c>
      <c r="E104" s="50">
        <v>2</v>
      </c>
      <c r="F104" s="50">
        <v>43</v>
      </c>
      <c r="G104" s="50">
        <v>0</v>
      </c>
      <c r="H104" s="50">
        <v>0</v>
      </c>
      <c r="I104" s="50">
        <v>6</v>
      </c>
      <c r="J104" s="50">
        <v>1</v>
      </c>
      <c r="K104" s="50">
        <v>1</v>
      </c>
      <c r="L104" s="50">
        <v>0</v>
      </c>
      <c r="M104" s="50">
        <v>40</v>
      </c>
      <c r="N104" s="50">
        <v>0</v>
      </c>
      <c r="O104" s="15">
        <f t="shared" si="35"/>
        <v>72</v>
      </c>
      <c r="P104" s="15">
        <f t="shared" si="36"/>
        <v>112</v>
      </c>
      <c r="R104" s="8"/>
      <c r="T104"/>
    </row>
    <row r="105" spans="2:20" ht="23.1" customHeight="1" x14ac:dyDescent="0.25">
      <c r="B105" s="45" t="s">
        <v>145</v>
      </c>
      <c r="C105" s="50">
        <v>31</v>
      </c>
      <c r="D105" s="50">
        <v>8</v>
      </c>
      <c r="E105" s="50">
        <v>4</v>
      </c>
      <c r="F105" s="50">
        <v>49</v>
      </c>
      <c r="G105" s="50">
        <v>3</v>
      </c>
      <c r="H105" s="50">
        <v>0</v>
      </c>
      <c r="I105" s="50">
        <v>12</v>
      </c>
      <c r="J105" s="50">
        <v>1</v>
      </c>
      <c r="K105" s="50">
        <v>2</v>
      </c>
      <c r="L105" s="50">
        <v>0</v>
      </c>
      <c r="M105" s="50">
        <v>52</v>
      </c>
      <c r="N105" s="50">
        <v>0</v>
      </c>
      <c r="O105" s="15">
        <f t="shared" si="35"/>
        <v>110</v>
      </c>
      <c r="P105" s="15">
        <f t="shared" si="36"/>
        <v>162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3739</v>
      </c>
      <c r="D106" s="16">
        <f t="shared" ref="D106:P106" si="37">SUM(D10:D105)</f>
        <v>1449</v>
      </c>
      <c r="E106" s="16">
        <f t="shared" si="37"/>
        <v>561</v>
      </c>
      <c r="F106" s="16">
        <f t="shared" si="37"/>
        <v>4014</v>
      </c>
      <c r="G106" s="16">
        <f t="shared" si="37"/>
        <v>165</v>
      </c>
      <c r="H106" s="16">
        <f t="shared" si="37"/>
        <v>19</v>
      </c>
      <c r="I106" s="16">
        <f t="shared" si="37"/>
        <v>595</v>
      </c>
      <c r="J106" s="16">
        <f t="shared" si="37"/>
        <v>179</v>
      </c>
      <c r="K106" s="16">
        <f t="shared" si="37"/>
        <v>104</v>
      </c>
      <c r="L106" s="16">
        <f t="shared" si="37"/>
        <v>58</v>
      </c>
      <c r="M106" s="16">
        <f t="shared" si="37"/>
        <v>7348</v>
      </c>
      <c r="N106" s="16">
        <f t="shared" si="37"/>
        <v>0</v>
      </c>
      <c r="O106" s="16">
        <f t="shared" si="37"/>
        <v>10883</v>
      </c>
      <c r="P106" s="16">
        <f t="shared" si="37"/>
        <v>18231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0.20509023092534695</v>
      </c>
      <c r="D107" s="43">
        <f t="shared" si="38"/>
        <v>7.9480006582195159E-2</v>
      </c>
      <c r="E107" s="43">
        <f t="shared" si="38"/>
        <v>3.0771762382754649E-2</v>
      </c>
      <c r="F107" s="43">
        <f t="shared" si="38"/>
        <v>0.22017442817179531</v>
      </c>
      <c r="G107" s="43">
        <f t="shared" si="38"/>
        <v>9.0505183478690136E-3</v>
      </c>
      <c r="H107" s="43">
        <f t="shared" si="38"/>
        <v>1.0421809006637046E-3</v>
      </c>
      <c r="I107" s="43">
        <f t="shared" si="38"/>
        <v>3.2636717678679171E-2</v>
      </c>
      <c r="J107" s="43">
        <f t="shared" si="38"/>
        <v>9.8184411167791131E-3</v>
      </c>
      <c r="K107" s="43">
        <f t="shared" si="38"/>
        <v>5.7045691404750149E-3</v>
      </c>
      <c r="L107" s="43">
        <f t="shared" si="38"/>
        <v>3.1813943283418352E-3</v>
      </c>
      <c r="M107" s="43">
        <f t="shared" si="38"/>
        <v>0.40304975042510011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0.34356335569236424</v>
      </c>
      <c r="D108" s="44">
        <f t="shared" ref="D108:N108" si="39">D106/$O$106</f>
        <v>0.13314343471469264</v>
      </c>
      <c r="E108" s="44">
        <f t="shared" si="39"/>
        <v>5.1548286318110814E-2</v>
      </c>
      <c r="F108" s="44">
        <f t="shared" si="39"/>
        <v>0.36883212349535971</v>
      </c>
      <c r="G108" s="44">
        <f t="shared" si="39"/>
        <v>1.5161260681797298E-2</v>
      </c>
      <c r="H108" s="44">
        <f t="shared" si="39"/>
        <v>1.7458421391160525E-3</v>
      </c>
      <c r="I108" s="44">
        <f t="shared" si="39"/>
        <v>5.4672424882844801E-2</v>
      </c>
      <c r="J108" s="44">
        <f t="shared" si="39"/>
        <v>1.6447670679040707E-2</v>
      </c>
      <c r="K108" s="44">
        <f t="shared" si="39"/>
        <v>9.5561885509510246E-3</v>
      </c>
      <c r="L108" s="44">
        <f t="shared" si="39"/>
        <v>5.3294128457226867E-3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M106" sqref="M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6" t="str">
        <f>'26.07 Wakiso-Kampala-24h'!G5:H5</f>
        <v>AFTER STABEX NANSANA</v>
      </c>
      <c r="H5" s="67"/>
      <c r="I5" s="14"/>
      <c r="J5" s="2" t="s">
        <v>5</v>
      </c>
      <c r="K5" s="66" t="str">
        <f>'26.07 Wakiso-Kampala-24h'!K5:L5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Kampala-Wakiso'!D6:E6</f>
        <v>KAMPALA</v>
      </c>
      <c r="E6" s="67"/>
      <c r="F6" s="2" t="s">
        <v>2</v>
      </c>
      <c r="G6" s="66" t="str">
        <f>'22.07 Kampala-Wakiso'!G6:H6</f>
        <v>WAKISO</v>
      </c>
      <c r="H6" s="67"/>
      <c r="J6" s="2" t="s">
        <v>21</v>
      </c>
      <c r="K6" s="66" t="str">
        <f>'26.07 Wakiso-Kampala-24h'!K6:L6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73</v>
      </c>
      <c r="D10" s="50">
        <v>81</v>
      </c>
      <c r="E10" s="50">
        <v>27</v>
      </c>
      <c r="F10" s="50">
        <v>16</v>
      </c>
      <c r="G10" s="50">
        <v>12</v>
      </c>
      <c r="H10" s="50">
        <v>2</v>
      </c>
      <c r="I10" s="50">
        <v>18</v>
      </c>
      <c r="J10" s="50">
        <v>4</v>
      </c>
      <c r="K10" s="50">
        <v>7</v>
      </c>
      <c r="L10" s="50">
        <v>0</v>
      </c>
      <c r="M10" s="50">
        <v>28</v>
      </c>
      <c r="N10" s="50">
        <v>0</v>
      </c>
      <c r="O10" s="15">
        <f t="shared" ref="O10:O73" si="0">SUM(C10:L10,N10)</f>
        <v>240</v>
      </c>
      <c r="P10" s="15">
        <f t="shared" ref="P10:P73" si="1">SUM(C10:N10)</f>
        <v>268</v>
      </c>
      <c r="R10" s="1" t="s">
        <v>6</v>
      </c>
      <c r="S10" s="17">
        <f t="shared" ref="S10:AF10" si="2">SUM(C10:C13)</f>
        <v>312</v>
      </c>
      <c r="T10" s="17">
        <f t="shared" si="2"/>
        <v>211</v>
      </c>
      <c r="U10" s="17">
        <f t="shared" si="2"/>
        <v>97</v>
      </c>
      <c r="V10" s="17">
        <f t="shared" si="2"/>
        <v>185</v>
      </c>
      <c r="W10" s="17">
        <f t="shared" si="2"/>
        <v>61</v>
      </c>
      <c r="X10" s="17">
        <f t="shared" si="2"/>
        <v>3</v>
      </c>
      <c r="Y10" s="17">
        <f t="shared" si="2"/>
        <v>157</v>
      </c>
      <c r="Z10" s="17">
        <f t="shared" si="2"/>
        <v>34</v>
      </c>
      <c r="AA10" s="17">
        <f t="shared" si="2"/>
        <v>27</v>
      </c>
      <c r="AB10" s="17">
        <f t="shared" si="2"/>
        <v>5</v>
      </c>
      <c r="AC10" s="17">
        <f t="shared" si="2"/>
        <v>333</v>
      </c>
      <c r="AD10" s="17">
        <f t="shared" si="2"/>
        <v>0</v>
      </c>
      <c r="AE10" s="31">
        <f t="shared" si="2"/>
        <v>1092</v>
      </c>
      <c r="AF10" s="31">
        <f t="shared" si="2"/>
        <v>1425</v>
      </c>
    </row>
    <row r="11" spans="2:32" s="6" customFormat="1" ht="23.1" customHeight="1" x14ac:dyDescent="0.25">
      <c r="B11" s="45" t="s">
        <v>38</v>
      </c>
      <c r="C11" s="50">
        <v>91</v>
      </c>
      <c r="D11" s="50">
        <v>61</v>
      </c>
      <c r="E11" s="50">
        <v>59</v>
      </c>
      <c r="F11" s="50">
        <v>26</v>
      </c>
      <c r="G11" s="50">
        <v>15</v>
      </c>
      <c r="H11" s="50">
        <v>1</v>
      </c>
      <c r="I11" s="50">
        <v>33</v>
      </c>
      <c r="J11" s="50">
        <v>11</v>
      </c>
      <c r="K11" s="50">
        <v>18</v>
      </c>
      <c r="L11" s="50">
        <v>3</v>
      </c>
      <c r="M11" s="50">
        <v>38</v>
      </c>
      <c r="N11" s="50">
        <v>0</v>
      </c>
      <c r="O11" s="15">
        <f t="shared" si="0"/>
        <v>318</v>
      </c>
      <c r="P11" s="15">
        <f t="shared" si="1"/>
        <v>356</v>
      </c>
      <c r="R11" s="1" t="s">
        <v>7</v>
      </c>
      <c r="S11" s="17">
        <f t="shared" ref="S11:AF11" si="3">SUM(C14:C17)</f>
        <v>305</v>
      </c>
      <c r="T11" s="17">
        <f t="shared" si="3"/>
        <v>258</v>
      </c>
      <c r="U11" s="17">
        <f t="shared" si="3"/>
        <v>183</v>
      </c>
      <c r="V11" s="17">
        <f t="shared" si="3"/>
        <v>316</v>
      </c>
      <c r="W11" s="17">
        <f t="shared" si="3"/>
        <v>73</v>
      </c>
      <c r="X11" s="17">
        <f t="shared" si="3"/>
        <v>3</v>
      </c>
      <c r="Y11" s="17">
        <f t="shared" si="3"/>
        <v>201</v>
      </c>
      <c r="Z11" s="17">
        <f t="shared" si="3"/>
        <v>11</v>
      </c>
      <c r="AA11" s="17">
        <f t="shared" si="3"/>
        <v>15</v>
      </c>
      <c r="AB11" s="17">
        <f t="shared" si="3"/>
        <v>10</v>
      </c>
      <c r="AC11" s="17">
        <f t="shared" si="3"/>
        <v>349</v>
      </c>
      <c r="AD11" s="17">
        <f t="shared" si="3"/>
        <v>0</v>
      </c>
      <c r="AE11" s="31">
        <f t="shared" si="3"/>
        <v>1375</v>
      </c>
      <c r="AF11" s="31">
        <f t="shared" si="3"/>
        <v>1724</v>
      </c>
    </row>
    <row r="12" spans="2:32" ht="23.1" customHeight="1" x14ac:dyDescent="0.25">
      <c r="B12" s="45" t="s">
        <v>39</v>
      </c>
      <c r="C12" s="50">
        <v>106</v>
      </c>
      <c r="D12" s="50">
        <v>31</v>
      </c>
      <c r="E12" s="50">
        <v>3</v>
      </c>
      <c r="F12" s="50">
        <v>81</v>
      </c>
      <c r="G12" s="50">
        <v>14</v>
      </c>
      <c r="H12" s="50">
        <v>0</v>
      </c>
      <c r="I12" s="50">
        <v>65</v>
      </c>
      <c r="J12" s="50">
        <v>8</v>
      </c>
      <c r="K12" s="50">
        <v>0</v>
      </c>
      <c r="L12" s="50">
        <v>1</v>
      </c>
      <c r="M12" s="50">
        <v>175</v>
      </c>
      <c r="N12" s="50">
        <v>0</v>
      </c>
      <c r="O12" s="15">
        <f t="shared" si="0"/>
        <v>309</v>
      </c>
      <c r="P12" s="15">
        <f t="shared" si="1"/>
        <v>484</v>
      </c>
      <c r="R12" s="1" t="s">
        <v>8</v>
      </c>
      <c r="S12" s="17">
        <f t="shared" ref="S12:AF12" si="4">SUM(C18:C21)</f>
        <v>219</v>
      </c>
      <c r="T12" s="17">
        <f t="shared" si="4"/>
        <v>104</v>
      </c>
      <c r="U12" s="17">
        <f t="shared" si="4"/>
        <v>79</v>
      </c>
      <c r="V12" s="17">
        <f t="shared" si="4"/>
        <v>97</v>
      </c>
      <c r="W12" s="17">
        <f t="shared" si="4"/>
        <v>1</v>
      </c>
      <c r="X12" s="17">
        <f t="shared" si="4"/>
        <v>0</v>
      </c>
      <c r="Y12" s="17">
        <f t="shared" si="4"/>
        <v>41</v>
      </c>
      <c r="Z12" s="17">
        <f t="shared" si="4"/>
        <v>13</v>
      </c>
      <c r="AA12" s="17">
        <f t="shared" si="4"/>
        <v>37</v>
      </c>
      <c r="AB12" s="17">
        <f t="shared" si="4"/>
        <v>2</v>
      </c>
      <c r="AC12" s="17">
        <f t="shared" si="4"/>
        <v>241</v>
      </c>
      <c r="AD12" s="17">
        <f t="shared" si="4"/>
        <v>0</v>
      </c>
      <c r="AE12" s="31">
        <f t="shared" si="4"/>
        <v>593</v>
      </c>
      <c r="AF12" s="31">
        <f t="shared" si="4"/>
        <v>834</v>
      </c>
    </row>
    <row r="13" spans="2:32" ht="23.1" customHeight="1" x14ac:dyDescent="0.25">
      <c r="B13" s="45" t="s">
        <v>40</v>
      </c>
      <c r="C13" s="50">
        <v>42</v>
      </c>
      <c r="D13" s="50">
        <v>38</v>
      </c>
      <c r="E13" s="50">
        <v>8</v>
      </c>
      <c r="F13" s="50">
        <v>62</v>
      </c>
      <c r="G13" s="50">
        <v>20</v>
      </c>
      <c r="H13" s="50">
        <v>0</v>
      </c>
      <c r="I13" s="50">
        <v>41</v>
      </c>
      <c r="J13" s="50">
        <v>11</v>
      </c>
      <c r="K13" s="50">
        <v>2</v>
      </c>
      <c r="L13" s="50">
        <v>1</v>
      </c>
      <c r="M13" s="50">
        <v>92</v>
      </c>
      <c r="N13" s="50">
        <v>0</v>
      </c>
      <c r="O13" s="15">
        <f t="shared" si="0"/>
        <v>225</v>
      </c>
      <c r="P13" s="15">
        <f t="shared" si="1"/>
        <v>317</v>
      </c>
      <c r="R13" s="1" t="s">
        <v>9</v>
      </c>
      <c r="S13" s="17">
        <f t="shared" ref="S13:AF13" si="5">SUM(C22:C25)</f>
        <v>247</v>
      </c>
      <c r="T13" s="17">
        <f t="shared" si="5"/>
        <v>128</v>
      </c>
      <c r="U13" s="17">
        <f t="shared" si="5"/>
        <v>113</v>
      </c>
      <c r="V13" s="17">
        <f t="shared" si="5"/>
        <v>197</v>
      </c>
      <c r="W13" s="17">
        <f t="shared" si="5"/>
        <v>5</v>
      </c>
      <c r="X13" s="17">
        <f t="shared" si="5"/>
        <v>1</v>
      </c>
      <c r="Y13" s="17">
        <f t="shared" si="5"/>
        <v>110</v>
      </c>
      <c r="Z13" s="17">
        <f t="shared" si="5"/>
        <v>54</v>
      </c>
      <c r="AA13" s="17">
        <f t="shared" si="5"/>
        <v>5</v>
      </c>
      <c r="AB13" s="17">
        <f t="shared" si="5"/>
        <v>6</v>
      </c>
      <c r="AC13" s="17">
        <f t="shared" si="5"/>
        <v>301</v>
      </c>
      <c r="AD13" s="17">
        <f t="shared" si="5"/>
        <v>0</v>
      </c>
      <c r="AE13" s="31">
        <f t="shared" si="5"/>
        <v>866</v>
      </c>
      <c r="AF13" s="31">
        <f t="shared" si="5"/>
        <v>1167</v>
      </c>
    </row>
    <row r="14" spans="2:32" ht="23.1" customHeight="1" x14ac:dyDescent="0.25">
      <c r="B14" s="45" t="s">
        <v>41</v>
      </c>
      <c r="C14" s="50">
        <v>53</v>
      </c>
      <c r="D14" s="50">
        <v>78</v>
      </c>
      <c r="E14" s="50">
        <v>33</v>
      </c>
      <c r="F14" s="50">
        <v>85</v>
      </c>
      <c r="G14" s="50">
        <v>16</v>
      </c>
      <c r="H14" s="50">
        <v>1</v>
      </c>
      <c r="I14" s="50">
        <v>46</v>
      </c>
      <c r="J14" s="50">
        <v>3</v>
      </c>
      <c r="K14" s="50">
        <v>4</v>
      </c>
      <c r="L14" s="50">
        <v>0</v>
      </c>
      <c r="M14" s="50">
        <v>123</v>
      </c>
      <c r="N14" s="50">
        <v>0</v>
      </c>
      <c r="O14" s="15">
        <f t="shared" si="0"/>
        <v>319</v>
      </c>
      <c r="P14" s="15">
        <f t="shared" si="1"/>
        <v>442</v>
      </c>
      <c r="R14" s="1" t="s">
        <v>10</v>
      </c>
      <c r="S14" s="17">
        <f t="shared" ref="S14:AF14" si="6">SUM(C26:C29)</f>
        <v>235</v>
      </c>
      <c r="T14" s="17">
        <f t="shared" si="6"/>
        <v>129</v>
      </c>
      <c r="U14" s="17">
        <f t="shared" si="6"/>
        <v>74</v>
      </c>
      <c r="V14" s="17">
        <f t="shared" si="6"/>
        <v>185</v>
      </c>
      <c r="W14" s="17">
        <f t="shared" si="6"/>
        <v>2</v>
      </c>
      <c r="X14" s="17">
        <f t="shared" si="6"/>
        <v>1</v>
      </c>
      <c r="Y14" s="17">
        <f t="shared" si="6"/>
        <v>31</v>
      </c>
      <c r="Z14" s="17">
        <f t="shared" si="6"/>
        <v>37</v>
      </c>
      <c r="AA14" s="17">
        <f t="shared" si="6"/>
        <v>10</v>
      </c>
      <c r="AB14" s="17">
        <f t="shared" si="6"/>
        <v>5</v>
      </c>
      <c r="AC14" s="17">
        <f t="shared" si="6"/>
        <v>213</v>
      </c>
      <c r="AD14" s="17">
        <f t="shared" si="6"/>
        <v>0</v>
      </c>
      <c r="AE14" s="31">
        <f t="shared" si="6"/>
        <v>709</v>
      </c>
      <c r="AF14" s="31">
        <f t="shared" si="6"/>
        <v>922</v>
      </c>
    </row>
    <row r="15" spans="2:32" ht="23.1" customHeight="1" x14ac:dyDescent="0.25">
      <c r="B15" s="45" t="s">
        <v>42</v>
      </c>
      <c r="C15" s="50">
        <v>76</v>
      </c>
      <c r="D15" s="50">
        <v>82</v>
      </c>
      <c r="E15" s="50">
        <v>51</v>
      </c>
      <c r="F15" s="50">
        <v>79</v>
      </c>
      <c r="G15" s="50">
        <v>25</v>
      </c>
      <c r="H15" s="50">
        <v>2</v>
      </c>
      <c r="I15" s="50">
        <v>55</v>
      </c>
      <c r="J15" s="50">
        <v>5</v>
      </c>
      <c r="K15" s="50">
        <v>11</v>
      </c>
      <c r="L15" s="50">
        <v>1</v>
      </c>
      <c r="M15" s="50">
        <v>82</v>
      </c>
      <c r="N15" s="50">
        <v>0</v>
      </c>
      <c r="O15" s="15">
        <f t="shared" si="0"/>
        <v>387</v>
      </c>
      <c r="P15" s="15">
        <f t="shared" si="1"/>
        <v>469</v>
      </c>
      <c r="R15" s="1" t="s">
        <v>11</v>
      </c>
      <c r="S15" s="17">
        <f t="shared" ref="S15:AF15" si="7">SUM(C30:C33)</f>
        <v>187</v>
      </c>
      <c r="T15" s="17">
        <f t="shared" si="7"/>
        <v>133</v>
      </c>
      <c r="U15" s="17">
        <f t="shared" si="7"/>
        <v>73</v>
      </c>
      <c r="V15" s="17">
        <f t="shared" si="7"/>
        <v>156</v>
      </c>
      <c r="W15" s="17">
        <f t="shared" si="7"/>
        <v>0</v>
      </c>
      <c r="X15" s="17">
        <f t="shared" si="7"/>
        <v>1</v>
      </c>
      <c r="Y15" s="17">
        <f t="shared" si="7"/>
        <v>96</v>
      </c>
      <c r="Z15" s="17">
        <f t="shared" si="7"/>
        <v>9</v>
      </c>
      <c r="AA15" s="17">
        <f t="shared" si="7"/>
        <v>8</v>
      </c>
      <c r="AB15" s="17">
        <f t="shared" si="7"/>
        <v>2</v>
      </c>
      <c r="AC15" s="17">
        <f t="shared" si="7"/>
        <v>196</v>
      </c>
      <c r="AD15" s="17">
        <f t="shared" si="7"/>
        <v>0</v>
      </c>
      <c r="AE15" s="31">
        <f t="shared" si="7"/>
        <v>665</v>
      </c>
      <c r="AF15" s="31">
        <f t="shared" si="7"/>
        <v>861</v>
      </c>
    </row>
    <row r="16" spans="2:32" ht="23.1" customHeight="1" x14ac:dyDescent="0.25">
      <c r="B16" s="45" t="s">
        <v>43</v>
      </c>
      <c r="C16" s="50">
        <v>75</v>
      </c>
      <c r="D16" s="50">
        <v>60</v>
      </c>
      <c r="E16" s="50">
        <v>54</v>
      </c>
      <c r="F16" s="50">
        <v>68</v>
      </c>
      <c r="G16" s="50">
        <v>17</v>
      </c>
      <c r="H16" s="50">
        <v>0</v>
      </c>
      <c r="I16" s="50">
        <v>65</v>
      </c>
      <c r="J16" s="50">
        <v>0</v>
      </c>
      <c r="K16" s="50">
        <v>0</v>
      </c>
      <c r="L16" s="50">
        <v>4</v>
      </c>
      <c r="M16" s="50">
        <v>90</v>
      </c>
      <c r="N16" s="50">
        <v>0</v>
      </c>
      <c r="O16" s="15">
        <f t="shared" si="0"/>
        <v>343</v>
      </c>
      <c r="P16" s="15">
        <f t="shared" si="1"/>
        <v>433</v>
      </c>
      <c r="R16" s="1" t="s">
        <v>12</v>
      </c>
      <c r="S16" s="17">
        <f t="shared" ref="S16:AF16" si="8">SUM(C34:C37)</f>
        <v>205</v>
      </c>
      <c r="T16" s="17">
        <f t="shared" si="8"/>
        <v>55</v>
      </c>
      <c r="U16" s="17">
        <f t="shared" si="8"/>
        <v>37</v>
      </c>
      <c r="V16" s="17">
        <f t="shared" si="8"/>
        <v>140</v>
      </c>
      <c r="W16" s="17">
        <f t="shared" si="8"/>
        <v>1</v>
      </c>
      <c r="X16" s="17">
        <f t="shared" si="8"/>
        <v>1</v>
      </c>
      <c r="Y16" s="17">
        <f t="shared" si="8"/>
        <v>49</v>
      </c>
      <c r="Z16" s="17">
        <f t="shared" si="8"/>
        <v>18</v>
      </c>
      <c r="AA16" s="17">
        <f t="shared" si="8"/>
        <v>9</v>
      </c>
      <c r="AB16" s="17">
        <f t="shared" si="8"/>
        <v>5</v>
      </c>
      <c r="AC16" s="17">
        <f t="shared" si="8"/>
        <v>353</v>
      </c>
      <c r="AD16" s="17">
        <f t="shared" si="8"/>
        <v>0</v>
      </c>
      <c r="AE16" s="31">
        <f t="shared" si="8"/>
        <v>520</v>
      </c>
      <c r="AF16" s="31">
        <f t="shared" si="8"/>
        <v>873</v>
      </c>
    </row>
    <row r="17" spans="2:32" ht="23.1" customHeight="1" x14ac:dyDescent="0.25">
      <c r="B17" s="45" t="s">
        <v>44</v>
      </c>
      <c r="C17" s="50">
        <v>101</v>
      </c>
      <c r="D17" s="50">
        <v>38</v>
      </c>
      <c r="E17" s="50">
        <v>45</v>
      </c>
      <c r="F17" s="50">
        <v>84</v>
      </c>
      <c r="G17" s="50">
        <v>15</v>
      </c>
      <c r="H17" s="50">
        <v>0</v>
      </c>
      <c r="I17" s="50">
        <v>35</v>
      </c>
      <c r="J17" s="50">
        <v>3</v>
      </c>
      <c r="K17" s="50">
        <v>0</v>
      </c>
      <c r="L17" s="50">
        <v>5</v>
      </c>
      <c r="M17" s="50">
        <v>54</v>
      </c>
      <c r="N17" s="50">
        <v>0</v>
      </c>
      <c r="O17" s="15">
        <f t="shared" si="0"/>
        <v>326</v>
      </c>
      <c r="P17" s="15">
        <f t="shared" si="1"/>
        <v>380</v>
      </c>
      <c r="R17" s="1" t="s">
        <v>13</v>
      </c>
      <c r="S17" s="17">
        <f t="shared" ref="S17:AF17" si="9">SUM(C38:C41)</f>
        <v>198</v>
      </c>
      <c r="T17" s="17">
        <f t="shared" si="9"/>
        <v>140</v>
      </c>
      <c r="U17" s="17">
        <f t="shared" si="9"/>
        <v>84</v>
      </c>
      <c r="V17" s="17">
        <f t="shared" si="9"/>
        <v>172</v>
      </c>
      <c r="W17" s="17">
        <f t="shared" si="9"/>
        <v>2</v>
      </c>
      <c r="X17" s="17">
        <f t="shared" si="9"/>
        <v>1</v>
      </c>
      <c r="Y17" s="17">
        <f t="shared" si="9"/>
        <v>47</v>
      </c>
      <c r="Z17" s="17">
        <f t="shared" si="9"/>
        <v>29</v>
      </c>
      <c r="AA17" s="17">
        <f t="shared" si="9"/>
        <v>4</v>
      </c>
      <c r="AB17" s="17">
        <f t="shared" si="9"/>
        <v>4</v>
      </c>
      <c r="AC17" s="17">
        <f t="shared" si="9"/>
        <v>348</v>
      </c>
      <c r="AD17" s="17">
        <f t="shared" si="9"/>
        <v>0</v>
      </c>
      <c r="AE17" s="31">
        <f t="shared" si="9"/>
        <v>681</v>
      </c>
      <c r="AF17" s="31">
        <f t="shared" si="9"/>
        <v>1029</v>
      </c>
    </row>
    <row r="18" spans="2:32" ht="23.1" customHeight="1" x14ac:dyDescent="0.25">
      <c r="B18" s="45" t="s">
        <v>45</v>
      </c>
      <c r="C18" s="50">
        <v>49</v>
      </c>
      <c r="D18" s="50">
        <v>32</v>
      </c>
      <c r="E18" s="50">
        <v>3</v>
      </c>
      <c r="F18" s="50">
        <v>11</v>
      </c>
      <c r="G18" s="50">
        <v>1</v>
      </c>
      <c r="H18" s="50">
        <v>0</v>
      </c>
      <c r="I18" s="50">
        <v>8</v>
      </c>
      <c r="J18" s="50">
        <v>3</v>
      </c>
      <c r="K18" s="50">
        <v>12</v>
      </c>
      <c r="L18" s="50">
        <v>0</v>
      </c>
      <c r="M18" s="50">
        <v>65</v>
      </c>
      <c r="N18" s="50">
        <v>0</v>
      </c>
      <c r="O18" s="15">
        <f t="shared" si="0"/>
        <v>119</v>
      </c>
      <c r="P18" s="15">
        <f t="shared" si="1"/>
        <v>184</v>
      </c>
      <c r="R18" s="1" t="s">
        <v>14</v>
      </c>
      <c r="S18" s="17">
        <f t="shared" ref="S18:AF18" si="10">SUM(C42:C45)</f>
        <v>182</v>
      </c>
      <c r="T18" s="17">
        <f t="shared" si="10"/>
        <v>110</v>
      </c>
      <c r="U18" s="17">
        <f t="shared" si="10"/>
        <v>86</v>
      </c>
      <c r="V18" s="17">
        <f t="shared" si="10"/>
        <v>164</v>
      </c>
      <c r="W18" s="17">
        <f t="shared" si="10"/>
        <v>0</v>
      </c>
      <c r="X18" s="17">
        <f t="shared" si="10"/>
        <v>1</v>
      </c>
      <c r="Y18" s="17">
        <f t="shared" si="10"/>
        <v>37</v>
      </c>
      <c r="Z18" s="17">
        <f t="shared" si="10"/>
        <v>38</v>
      </c>
      <c r="AA18" s="17">
        <f t="shared" si="10"/>
        <v>1</v>
      </c>
      <c r="AB18" s="17">
        <f t="shared" si="10"/>
        <v>6</v>
      </c>
      <c r="AC18" s="17">
        <f t="shared" si="10"/>
        <v>350</v>
      </c>
      <c r="AD18" s="17">
        <f t="shared" si="10"/>
        <v>0</v>
      </c>
      <c r="AE18" s="31">
        <f t="shared" si="10"/>
        <v>625</v>
      </c>
      <c r="AF18" s="31">
        <f t="shared" si="10"/>
        <v>975</v>
      </c>
    </row>
    <row r="19" spans="2:32" ht="23.1" customHeight="1" x14ac:dyDescent="0.25">
      <c r="B19" s="45" t="s">
        <v>46</v>
      </c>
      <c r="C19" s="50">
        <v>55</v>
      </c>
      <c r="D19" s="50">
        <v>15</v>
      </c>
      <c r="E19" s="50">
        <v>22</v>
      </c>
      <c r="F19" s="50">
        <v>28</v>
      </c>
      <c r="G19" s="50">
        <v>0</v>
      </c>
      <c r="H19" s="50">
        <v>0</v>
      </c>
      <c r="I19" s="50">
        <v>4</v>
      </c>
      <c r="J19" s="50">
        <v>4</v>
      </c>
      <c r="K19" s="50">
        <v>15</v>
      </c>
      <c r="L19" s="50">
        <v>1</v>
      </c>
      <c r="M19" s="50">
        <v>72</v>
      </c>
      <c r="N19" s="50">
        <v>0</v>
      </c>
      <c r="O19" s="15">
        <f t="shared" si="0"/>
        <v>144</v>
      </c>
      <c r="P19" s="15">
        <f t="shared" si="1"/>
        <v>216</v>
      </c>
      <c r="R19" s="1" t="s">
        <v>15</v>
      </c>
      <c r="S19" s="17">
        <f t="shared" ref="S19:AF19" si="11">SUM(C46:C49)</f>
        <v>300</v>
      </c>
      <c r="T19" s="17">
        <f t="shared" si="11"/>
        <v>211</v>
      </c>
      <c r="U19" s="17">
        <f t="shared" si="11"/>
        <v>209</v>
      </c>
      <c r="V19" s="17">
        <f t="shared" si="11"/>
        <v>234</v>
      </c>
      <c r="W19" s="17">
        <f t="shared" si="11"/>
        <v>1</v>
      </c>
      <c r="X19" s="17">
        <f t="shared" si="11"/>
        <v>1</v>
      </c>
      <c r="Y19" s="17">
        <f t="shared" si="11"/>
        <v>142</v>
      </c>
      <c r="Z19" s="17">
        <f t="shared" si="11"/>
        <v>93</v>
      </c>
      <c r="AA19" s="17">
        <f t="shared" si="11"/>
        <v>1</v>
      </c>
      <c r="AB19" s="17">
        <f t="shared" si="11"/>
        <v>5</v>
      </c>
      <c r="AC19" s="17">
        <f t="shared" si="11"/>
        <v>363</v>
      </c>
      <c r="AD19" s="17">
        <f t="shared" si="11"/>
        <v>0</v>
      </c>
      <c r="AE19" s="31">
        <f t="shared" si="11"/>
        <v>1197</v>
      </c>
      <c r="AF19" s="31">
        <f t="shared" si="11"/>
        <v>1560</v>
      </c>
    </row>
    <row r="20" spans="2:32" ht="23.1" customHeight="1" x14ac:dyDescent="0.25">
      <c r="B20" s="45" t="s">
        <v>47</v>
      </c>
      <c r="C20" s="50">
        <v>55</v>
      </c>
      <c r="D20" s="50">
        <v>31</v>
      </c>
      <c r="E20" s="50">
        <v>25</v>
      </c>
      <c r="F20" s="50">
        <v>23</v>
      </c>
      <c r="G20" s="50">
        <v>0</v>
      </c>
      <c r="H20" s="50">
        <v>0</v>
      </c>
      <c r="I20" s="50">
        <v>17</v>
      </c>
      <c r="J20" s="50">
        <v>1</v>
      </c>
      <c r="K20" s="50">
        <v>6</v>
      </c>
      <c r="L20" s="50">
        <v>0</v>
      </c>
      <c r="M20" s="50">
        <v>56</v>
      </c>
      <c r="N20" s="50">
        <v>0</v>
      </c>
      <c r="O20" s="15">
        <f t="shared" si="0"/>
        <v>158</v>
      </c>
      <c r="P20" s="15">
        <f t="shared" si="1"/>
        <v>214</v>
      </c>
      <c r="R20" s="1" t="s">
        <v>16</v>
      </c>
      <c r="S20" s="17">
        <f t="shared" ref="S20:AF20" si="12">SUM(C50:C53)</f>
        <v>198</v>
      </c>
      <c r="T20" s="17">
        <f t="shared" si="12"/>
        <v>69</v>
      </c>
      <c r="U20" s="17">
        <f t="shared" si="12"/>
        <v>38</v>
      </c>
      <c r="V20" s="17">
        <f t="shared" si="12"/>
        <v>158</v>
      </c>
      <c r="W20" s="17">
        <f t="shared" si="12"/>
        <v>7</v>
      </c>
      <c r="X20" s="17">
        <f t="shared" si="12"/>
        <v>0</v>
      </c>
      <c r="Y20" s="17">
        <f t="shared" si="12"/>
        <v>50</v>
      </c>
      <c r="Z20" s="17">
        <f t="shared" si="12"/>
        <v>33</v>
      </c>
      <c r="AA20" s="17">
        <f t="shared" si="12"/>
        <v>25</v>
      </c>
      <c r="AB20" s="17">
        <f t="shared" si="12"/>
        <v>15</v>
      </c>
      <c r="AC20" s="17">
        <f t="shared" si="12"/>
        <v>283</v>
      </c>
      <c r="AD20" s="17">
        <f t="shared" si="12"/>
        <v>0</v>
      </c>
      <c r="AE20" s="31">
        <f t="shared" si="12"/>
        <v>593</v>
      </c>
      <c r="AF20" s="31">
        <f t="shared" si="12"/>
        <v>876</v>
      </c>
    </row>
    <row r="21" spans="2:32" ht="23.1" customHeight="1" x14ac:dyDescent="0.25">
      <c r="B21" s="45" t="s">
        <v>48</v>
      </c>
      <c r="C21" s="50">
        <v>60</v>
      </c>
      <c r="D21" s="50">
        <v>26</v>
      </c>
      <c r="E21" s="50">
        <v>29</v>
      </c>
      <c r="F21" s="50">
        <v>35</v>
      </c>
      <c r="G21" s="50">
        <v>0</v>
      </c>
      <c r="H21" s="50">
        <v>0</v>
      </c>
      <c r="I21" s="50">
        <v>12</v>
      </c>
      <c r="J21" s="50">
        <v>5</v>
      </c>
      <c r="K21" s="50">
        <v>4</v>
      </c>
      <c r="L21" s="50">
        <v>1</v>
      </c>
      <c r="M21" s="50">
        <v>48</v>
      </c>
      <c r="N21" s="50">
        <v>0</v>
      </c>
      <c r="O21" s="15">
        <f t="shared" si="0"/>
        <v>172</v>
      </c>
      <c r="P21" s="15">
        <f t="shared" si="1"/>
        <v>220</v>
      </c>
      <c r="R21" s="36" t="s">
        <v>20</v>
      </c>
      <c r="S21" s="34">
        <f t="shared" ref="S21:AF21" si="13">SUM(C54:C57)</f>
        <v>67</v>
      </c>
      <c r="T21" s="17">
        <f t="shared" si="13"/>
        <v>32</v>
      </c>
      <c r="U21" s="17">
        <f t="shared" si="13"/>
        <v>54</v>
      </c>
      <c r="V21" s="17">
        <f t="shared" si="13"/>
        <v>97</v>
      </c>
      <c r="W21" s="17">
        <f t="shared" si="13"/>
        <v>10</v>
      </c>
      <c r="X21" s="17">
        <f t="shared" si="13"/>
        <v>1</v>
      </c>
      <c r="Y21" s="17">
        <f t="shared" si="13"/>
        <v>106</v>
      </c>
      <c r="Z21" s="17">
        <f t="shared" si="13"/>
        <v>80</v>
      </c>
      <c r="AA21" s="17">
        <f t="shared" si="13"/>
        <v>30</v>
      </c>
      <c r="AB21" s="17">
        <f t="shared" si="13"/>
        <v>17</v>
      </c>
      <c r="AC21" s="17">
        <f t="shared" si="13"/>
        <v>200</v>
      </c>
      <c r="AD21" s="17">
        <f t="shared" si="13"/>
        <v>0</v>
      </c>
      <c r="AE21" s="31">
        <f t="shared" si="13"/>
        <v>494</v>
      </c>
      <c r="AF21" s="31">
        <f t="shared" si="13"/>
        <v>694</v>
      </c>
    </row>
    <row r="22" spans="2:32" ht="23.1" customHeight="1" x14ac:dyDescent="0.25">
      <c r="B22" s="45" t="s">
        <v>49</v>
      </c>
      <c r="C22" s="50">
        <v>77</v>
      </c>
      <c r="D22" s="50">
        <v>42</v>
      </c>
      <c r="E22" s="50">
        <v>17</v>
      </c>
      <c r="F22" s="50">
        <v>42</v>
      </c>
      <c r="G22" s="50">
        <v>1</v>
      </c>
      <c r="H22" s="50">
        <v>0</v>
      </c>
      <c r="I22" s="50">
        <v>36</v>
      </c>
      <c r="J22" s="50">
        <v>11</v>
      </c>
      <c r="K22" s="50">
        <v>0</v>
      </c>
      <c r="L22" s="50">
        <v>0</v>
      </c>
      <c r="M22" s="50">
        <v>79</v>
      </c>
      <c r="N22" s="50">
        <v>0</v>
      </c>
      <c r="O22" s="15">
        <f t="shared" si="0"/>
        <v>226</v>
      </c>
      <c r="P22" s="15">
        <f t="shared" si="1"/>
        <v>305</v>
      </c>
      <c r="R22" s="36" t="s">
        <v>146</v>
      </c>
      <c r="S22" s="34">
        <f>SUM(C58:C61)</f>
        <v>86</v>
      </c>
      <c r="T22" s="34">
        <f t="shared" ref="T22:AF22" si="14">SUM(D58:D61)</f>
        <v>110</v>
      </c>
      <c r="U22" s="34">
        <f t="shared" si="14"/>
        <v>11</v>
      </c>
      <c r="V22" s="34">
        <f t="shared" si="14"/>
        <v>170</v>
      </c>
      <c r="W22" s="34">
        <f t="shared" si="14"/>
        <v>1</v>
      </c>
      <c r="X22" s="34">
        <f t="shared" si="14"/>
        <v>1</v>
      </c>
      <c r="Y22" s="34">
        <f t="shared" si="14"/>
        <v>5</v>
      </c>
      <c r="Z22" s="34">
        <f t="shared" si="14"/>
        <v>1</v>
      </c>
      <c r="AA22" s="34">
        <f t="shared" si="14"/>
        <v>1</v>
      </c>
      <c r="AB22" s="34">
        <f t="shared" si="14"/>
        <v>0</v>
      </c>
      <c r="AC22" s="34">
        <f t="shared" si="14"/>
        <v>210</v>
      </c>
      <c r="AD22" s="34">
        <f t="shared" si="14"/>
        <v>0</v>
      </c>
      <c r="AE22" s="31">
        <f t="shared" si="14"/>
        <v>386</v>
      </c>
      <c r="AF22" s="31">
        <f t="shared" si="14"/>
        <v>596</v>
      </c>
    </row>
    <row r="23" spans="2:32" ht="23.1" customHeight="1" x14ac:dyDescent="0.25">
      <c r="B23" s="45" t="s">
        <v>50</v>
      </c>
      <c r="C23" s="50">
        <v>41</v>
      </c>
      <c r="D23" s="50">
        <v>35</v>
      </c>
      <c r="E23" s="50">
        <v>36</v>
      </c>
      <c r="F23" s="50">
        <v>40</v>
      </c>
      <c r="G23" s="50">
        <v>3</v>
      </c>
      <c r="H23" s="50">
        <v>0</v>
      </c>
      <c r="I23" s="50">
        <v>45</v>
      </c>
      <c r="J23" s="50">
        <v>8</v>
      </c>
      <c r="K23" s="50">
        <v>3</v>
      </c>
      <c r="L23" s="50">
        <v>2</v>
      </c>
      <c r="M23" s="50">
        <v>41</v>
      </c>
      <c r="N23" s="50">
        <v>0</v>
      </c>
      <c r="O23" s="15">
        <f t="shared" si="0"/>
        <v>213</v>
      </c>
      <c r="P23" s="15">
        <f t="shared" si="1"/>
        <v>254</v>
      </c>
      <c r="R23" s="36" t="s">
        <v>147</v>
      </c>
      <c r="S23" s="34">
        <f>SUM(C62:C65)</f>
        <v>240</v>
      </c>
      <c r="T23" s="34">
        <f t="shared" ref="T23:AF23" si="15">SUM(D62:D65)</f>
        <v>265</v>
      </c>
      <c r="U23" s="34">
        <f t="shared" si="15"/>
        <v>47</v>
      </c>
      <c r="V23" s="34">
        <f t="shared" si="15"/>
        <v>275</v>
      </c>
      <c r="W23" s="34">
        <f t="shared" si="15"/>
        <v>8</v>
      </c>
      <c r="X23" s="34">
        <f t="shared" si="15"/>
        <v>10</v>
      </c>
      <c r="Y23" s="34">
        <f t="shared" si="15"/>
        <v>35</v>
      </c>
      <c r="Z23" s="34">
        <f t="shared" si="15"/>
        <v>1</v>
      </c>
      <c r="AA23" s="34">
        <f t="shared" si="15"/>
        <v>0</v>
      </c>
      <c r="AB23" s="34">
        <f t="shared" si="15"/>
        <v>1</v>
      </c>
      <c r="AC23" s="34">
        <f t="shared" si="15"/>
        <v>355</v>
      </c>
      <c r="AD23" s="34">
        <f t="shared" si="15"/>
        <v>0</v>
      </c>
      <c r="AE23" s="31">
        <f t="shared" si="15"/>
        <v>882</v>
      </c>
      <c r="AF23" s="31">
        <f t="shared" si="15"/>
        <v>1237</v>
      </c>
    </row>
    <row r="24" spans="2:32" ht="23.1" customHeight="1" x14ac:dyDescent="0.25">
      <c r="B24" s="45" t="s">
        <v>51</v>
      </c>
      <c r="C24" s="50">
        <v>56</v>
      </c>
      <c r="D24" s="50">
        <v>31</v>
      </c>
      <c r="E24" s="50">
        <v>42</v>
      </c>
      <c r="F24" s="50">
        <v>72</v>
      </c>
      <c r="G24" s="50">
        <v>0</v>
      </c>
      <c r="H24" s="50">
        <v>0</v>
      </c>
      <c r="I24" s="50">
        <v>20</v>
      </c>
      <c r="J24" s="50">
        <v>15</v>
      </c>
      <c r="K24" s="50">
        <v>0</v>
      </c>
      <c r="L24" s="50">
        <v>1</v>
      </c>
      <c r="M24" s="50">
        <v>64</v>
      </c>
      <c r="N24" s="50">
        <v>0</v>
      </c>
      <c r="O24" s="15">
        <f t="shared" si="0"/>
        <v>237</v>
      </c>
      <c r="P24" s="15">
        <f t="shared" si="1"/>
        <v>301</v>
      </c>
      <c r="R24" s="36" t="s">
        <v>148</v>
      </c>
      <c r="S24" s="34">
        <f>SUM(C66:C69)</f>
        <v>200</v>
      </c>
      <c r="T24" s="34">
        <f t="shared" ref="T24:AF24" si="16">SUM(D66:D69)</f>
        <v>200</v>
      </c>
      <c r="U24" s="34">
        <f t="shared" si="16"/>
        <v>17</v>
      </c>
      <c r="V24" s="34">
        <f t="shared" si="16"/>
        <v>300</v>
      </c>
      <c r="W24" s="34">
        <f t="shared" si="16"/>
        <v>5</v>
      </c>
      <c r="X24" s="34">
        <f t="shared" si="16"/>
        <v>0</v>
      </c>
      <c r="Y24" s="34">
        <f t="shared" si="16"/>
        <v>12</v>
      </c>
      <c r="Z24" s="34">
        <f t="shared" si="16"/>
        <v>0</v>
      </c>
      <c r="AA24" s="34">
        <f t="shared" si="16"/>
        <v>0</v>
      </c>
      <c r="AB24" s="34">
        <f t="shared" si="16"/>
        <v>3</v>
      </c>
      <c r="AC24" s="34">
        <f t="shared" si="16"/>
        <v>315</v>
      </c>
      <c r="AD24" s="34">
        <f t="shared" si="16"/>
        <v>0</v>
      </c>
      <c r="AE24" s="31">
        <f t="shared" si="16"/>
        <v>737</v>
      </c>
      <c r="AF24" s="31">
        <f t="shared" si="16"/>
        <v>1052</v>
      </c>
    </row>
    <row r="25" spans="2:32" ht="23.1" customHeight="1" x14ac:dyDescent="0.25">
      <c r="B25" s="45" t="s">
        <v>52</v>
      </c>
      <c r="C25" s="50">
        <v>73</v>
      </c>
      <c r="D25" s="50">
        <v>20</v>
      </c>
      <c r="E25" s="50">
        <v>18</v>
      </c>
      <c r="F25" s="50">
        <v>43</v>
      </c>
      <c r="G25" s="50">
        <v>1</v>
      </c>
      <c r="H25" s="50">
        <v>1</v>
      </c>
      <c r="I25" s="50">
        <v>9</v>
      </c>
      <c r="J25" s="50">
        <v>20</v>
      </c>
      <c r="K25" s="50">
        <v>2</v>
      </c>
      <c r="L25" s="50">
        <v>3</v>
      </c>
      <c r="M25" s="50">
        <v>117</v>
      </c>
      <c r="N25" s="50">
        <v>0</v>
      </c>
      <c r="O25" s="15">
        <f t="shared" si="0"/>
        <v>190</v>
      </c>
      <c r="P25" s="15">
        <f t="shared" si="1"/>
        <v>307</v>
      </c>
      <c r="R25" s="36" t="s">
        <v>149</v>
      </c>
      <c r="S25" s="34">
        <f>SUM(C70:C73)</f>
        <v>235</v>
      </c>
      <c r="T25" s="34">
        <f t="shared" ref="T25:AF25" si="17">SUM(D70:D73)</f>
        <v>225</v>
      </c>
      <c r="U25" s="34">
        <f t="shared" si="17"/>
        <v>15</v>
      </c>
      <c r="V25" s="34">
        <f t="shared" si="17"/>
        <v>200</v>
      </c>
      <c r="W25" s="34">
        <f t="shared" si="17"/>
        <v>4</v>
      </c>
      <c r="X25" s="34">
        <f t="shared" si="17"/>
        <v>0</v>
      </c>
      <c r="Y25" s="34">
        <f t="shared" si="17"/>
        <v>17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365</v>
      </c>
      <c r="AD25" s="34">
        <f t="shared" si="17"/>
        <v>0</v>
      </c>
      <c r="AE25" s="31">
        <f t="shared" si="17"/>
        <v>696</v>
      </c>
      <c r="AF25" s="31">
        <f t="shared" si="17"/>
        <v>1061</v>
      </c>
    </row>
    <row r="26" spans="2:32" ht="23.1" customHeight="1" x14ac:dyDescent="0.25">
      <c r="B26" s="45" t="s">
        <v>53</v>
      </c>
      <c r="C26" s="50">
        <v>54</v>
      </c>
      <c r="D26" s="50">
        <v>41</v>
      </c>
      <c r="E26" s="50">
        <v>24</v>
      </c>
      <c r="F26" s="50">
        <v>41</v>
      </c>
      <c r="G26" s="50">
        <v>0</v>
      </c>
      <c r="H26" s="50">
        <v>0</v>
      </c>
      <c r="I26" s="50">
        <v>7</v>
      </c>
      <c r="J26" s="50">
        <v>3</v>
      </c>
      <c r="K26" s="50">
        <v>0</v>
      </c>
      <c r="L26" s="50">
        <v>3</v>
      </c>
      <c r="M26" s="50">
        <v>81</v>
      </c>
      <c r="N26" s="50">
        <v>0</v>
      </c>
      <c r="O26" s="15">
        <f t="shared" si="0"/>
        <v>173</v>
      </c>
      <c r="P26" s="15">
        <f t="shared" si="1"/>
        <v>254</v>
      </c>
      <c r="R26" s="36" t="s">
        <v>150</v>
      </c>
      <c r="S26" s="34">
        <f>SUM(C74:C77)</f>
        <v>220</v>
      </c>
      <c r="T26" s="34">
        <f t="shared" ref="T26:AF26" si="18">SUM(D74:D77)</f>
        <v>222</v>
      </c>
      <c r="U26" s="34">
        <f t="shared" si="18"/>
        <v>18</v>
      </c>
      <c r="V26" s="34">
        <f t="shared" si="18"/>
        <v>210</v>
      </c>
      <c r="W26" s="34">
        <f t="shared" si="18"/>
        <v>0</v>
      </c>
      <c r="X26" s="34">
        <f t="shared" si="18"/>
        <v>0</v>
      </c>
      <c r="Y26" s="34">
        <f t="shared" si="18"/>
        <v>14</v>
      </c>
      <c r="Z26" s="34">
        <f t="shared" si="18"/>
        <v>7</v>
      </c>
      <c r="AA26" s="34">
        <f t="shared" si="18"/>
        <v>1</v>
      </c>
      <c r="AB26" s="34">
        <f t="shared" si="18"/>
        <v>0</v>
      </c>
      <c r="AC26" s="34">
        <f t="shared" si="18"/>
        <v>260</v>
      </c>
      <c r="AD26" s="34">
        <f t="shared" si="18"/>
        <v>0</v>
      </c>
      <c r="AE26" s="31">
        <f t="shared" si="18"/>
        <v>692</v>
      </c>
      <c r="AF26" s="31">
        <f t="shared" si="18"/>
        <v>952</v>
      </c>
    </row>
    <row r="27" spans="2:32" ht="23.1" customHeight="1" x14ac:dyDescent="0.25">
      <c r="B27" s="45" t="s">
        <v>54</v>
      </c>
      <c r="C27" s="50">
        <v>93</v>
      </c>
      <c r="D27" s="50">
        <v>23</v>
      </c>
      <c r="E27" s="50">
        <v>16</v>
      </c>
      <c r="F27" s="50">
        <v>60</v>
      </c>
      <c r="G27" s="50">
        <v>2</v>
      </c>
      <c r="H27" s="50">
        <v>0</v>
      </c>
      <c r="I27" s="50">
        <v>11</v>
      </c>
      <c r="J27" s="50">
        <v>5</v>
      </c>
      <c r="K27" s="50">
        <v>5</v>
      </c>
      <c r="L27" s="50">
        <v>1</v>
      </c>
      <c r="M27" s="50">
        <v>38</v>
      </c>
      <c r="N27" s="50">
        <v>0</v>
      </c>
      <c r="O27" s="15">
        <f t="shared" si="0"/>
        <v>216</v>
      </c>
      <c r="P27" s="15">
        <f t="shared" si="1"/>
        <v>254</v>
      </c>
      <c r="R27" s="36" t="s">
        <v>151</v>
      </c>
      <c r="S27" s="34">
        <f>SUM(C78:C81)</f>
        <v>100</v>
      </c>
      <c r="T27" s="34">
        <f t="shared" ref="T27:AF27" si="19">SUM(D78:D81)</f>
        <v>95</v>
      </c>
      <c r="U27" s="34">
        <f t="shared" si="19"/>
        <v>10</v>
      </c>
      <c r="V27" s="34">
        <f t="shared" si="19"/>
        <v>52</v>
      </c>
      <c r="W27" s="34">
        <f t="shared" si="19"/>
        <v>0</v>
      </c>
      <c r="X27" s="34">
        <f t="shared" si="19"/>
        <v>2</v>
      </c>
      <c r="Y27" s="34">
        <f t="shared" si="19"/>
        <v>5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172</v>
      </c>
      <c r="AD27" s="34">
        <f t="shared" si="19"/>
        <v>0</v>
      </c>
      <c r="AE27" s="31">
        <f t="shared" si="19"/>
        <v>265</v>
      </c>
      <c r="AF27" s="31">
        <f t="shared" si="19"/>
        <v>437</v>
      </c>
    </row>
    <row r="28" spans="2:32" ht="23.1" customHeight="1" x14ac:dyDescent="0.25">
      <c r="B28" s="45" t="s">
        <v>55</v>
      </c>
      <c r="C28" s="50">
        <v>41</v>
      </c>
      <c r="D28" s="50">
        <v>35</v>
      </c>
      <c r="E28" s="50">
        <v>20</v>
      </c>
      <c r="F28" s="50">
        <v>60</v>
      </c>
      <c r="G28" s="50">
        <v>0</v>
      </c>
      <c r="H28" s="50">
        <v>1</v>
      </c>
      <c r="I28" s="50">
        <v>4</v>
      </c>
      <c r="J28" s="50">
        <v>10</v>
      </c>
      <c r="K28" s="50">
        <v>1</v>
      </c>
      <c r="L28" s="50">
        <v>0</v>
      </c>
      <c r="M28" s="50">
        <v>60</v>
      </c>
      <c r="N28" s="50">
        <v>0</v>
      </c>
      <c r="O28" s="15">
        <f t="shared" si="0"/>
        <v>172</v>
      </c>
      <c r="P28" s="15">
        <f t="shared" si="1"/>
        <v>232</v>
      </c>
      <c r="R28" s="36" t="s">
        <v>152</v>
      </c>
      <c r="S28" s="34">
        <f>SUM(C82:C85)</f>
        <v>130</v>
      </c>
      <c r="T28" s="34">
        <f t="shared" ref="T28:AF28" si="20">SUM(D82:D85)</f>
        <v>78</v>
      </c>
      <c r="U28" s="34">
        <f t="shared" si="20"/>
        <v>17</v>
      </c>
      <c r="V28" s="34">
        <f t="shared" si="20"/>
        <v>83</v>
      </c>
      <c r="W28" s="34">
        <f t="shared" si="20"/>
        <v>3</v>
      </c>
      <c r="X28" s="34">
        <f t="shared" si="20"/>
        <v>0</v>
      </c>
      <c r="Y28" s="34">
        <f t="shared" si="20"/>
        <v>7</v>
      </c>
      <c r="Z28" s="34">
        <f t="shared" si="20"/>
        <v>1</v>
      </c>
      <c r="AA28" s="34">
        <f t="shared" si="20"/>
        <v>2</v>
      </c>
      <c r="AB28" s="34">
        <f t="shared" si="20"/>
        <v>0</v>
      </c>
      <c r="AC28" s="34">
        <f t="shared" si="20"/>
        <v>163</v>
      </c>
      <c r="AD28" s="34">
        <f t="shared" si="20"/>
        <v>0</v>
      </c>
      <c r="AE28" s="31">
        <f t="shared" si="20"/>
        <v>321</v>
      </c>
      <c r="AF28" s="31">
        <f t="shared" si="20"/>
        <v>484</v>
      </c>
    </row>
    <row r="29" spans="2:32" ht="23.1" customHeight="1" x14ac:dyDescent="0.25">
      <c r="B29" s="45" t="s">
        <v>56</v>
      </c>
      <c r="C29" s="50">
        <v>47</v>
      </c>
      <c r="D29" s="50">
        <v>30</v>
      </c>
      <c r="E29" s="50">
        <v>14</v>
      </c>
      <c r="F29" s="50">
        <v>24</v>
      </c>
      <c r="G29" s="50">
        <v>0</v>
      </c>
      <c r="H29" s="50">
        <v>0</v>
      </c>
      <c r="I29" s="50">
        <v>9</v>
      </c>
      <c r="J29" s="50">
        <v>19</v>
      </c>
      <c r="K29" s="50">
        <v>4</v>
      </c>
      <c r="L29" s="50">
        <v>1</v>
      </c>
      <c r="M29" s="50">
        <v>34</v>
      </c>
      <c r="N29" s="50">
        <v>0</v>
      </c>
      <c r="O29" s="15">
        <f t="shared" si="0"/>
        <v>148</v>
      </c>
      <c r="P29" s="15">
        <f t="shared" si="1"/>
        <v>182</v>
      </c>
      <c r="R29" s="36" t="s">
        <v>153</v>
      </c>
      <c r="S29" s="34">
        <f>SUM(C86:C89)</f>
        <v>65</v>
      </c>
      <c r="T29" s="34">
        <f t="shared" ref="T29:AF29" si="21">SUM(D86:D89)</f>
        <v>43</v>
      </c>
      <c r="U29" s="34">
        <f t="shared" si="21"/>
        <v>10</v>
      </c>
      <c r="V29" s="34">
        <f t="shared" si="21"/>
        <v>54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3</v>
      </c>
      <c r="AA29" s="34">
        <f t="shared" si="21"/>
        <v>0</v>
      </c>
      <c r="AB29" s="34">
        <f t="shared" si="21"/>
        <v>2</v>
      </c>
      <c r="AC29" s="34">
        <f t="shared" si="21"/>
        <v>143</v>
      </c>
      <c r="AD29" s="34">
        <f t="shared" si="21"/>
        <v>0</v>
      </c>
      <c r="AE29" s="31">
        <f t="shared" si="21"/>
        <v>180</v>
      </c>
      <c r="AF29" s="31">
        <f t="shared" si="21"/>
        <v>323</v>
      </c>
    </row>
    <row r="30" spans="2:32" ht="23.1" customHeight="1" x14ac:dyDescent="0.25">
      <c r="B30" s="45" t="s">
        <v>57</v>
      </c>
      <c r="C30" s="50">
        <v>42</v>
      </c>
      <c r="D30" s="50">
        <v>48</v>
      </c>
      <c r="E30" s="50">
        <v>27</v>
      </c>
      <c r="F30" s="50">
        <v>60</v>
      </c>
      <c r="G30" s="50">
        <v>0</v>
      </c>
      <c r="H30" s="50">
        <v>0</v>
      </c>
      <c r="I30" s="50">
        <v>45</v>
      </c>
      <c r="J30" s="50">
        <v>4</v>
      </c>
      <c r="K30" s="50">
        <v>0</v>
      </c>
      <c r="L30" s="50">
        <v>2</v>
      </c>
      <c r="M30" s="50">
        <v>43</v>
      </c>
      <c r="N30" s="50">
        <v>0</v>
      </c>
      <c r="O30" s="15">
        <f t="shared" si="0"/>
        <v>228</v>
      </c>
      <c r="P30" s="15">
        <f t="shared" si="1"/>
        <v>271</v>
      </c>
      <c r="R30" s="36" t="s">
        <v>154</v>
      </c>
      <c r="S30" s="34">
        <f>SUM(C90:C93)</f>
        <v>70</v>
      </c>
      <c r="T30" s="34">
        <f t="shared" ref="T30:AF30" si="22">SUM(D90:D93)</f>
        <v>55</v>
      </c>
      <c r="U30" s="34">
        <f t="shared" si="22"/>
        <v>7</v>
      </c>
      <c r="V30" s="34">
        <f t="shared" si="22"/>
        <v>33</v>
      </c>
      <c r="W30" s="34">
        <f t="shared" si="22"/>
        <v>0</v>
      </c>
      <c r="X30" s="34">
        <f t="shared" si="22"/>
        <v>0</v>
      </c>
      <c r="Y30" s="34">
        <f t="shared" si="22"/>
        <v>5</v>
      </c>
      <c r="Z30" s="34">
        <f t="shared" si="22"/>
        <v>0</v>
      </c>
      <c r="AA30" s="34">
        <f t="shared" si="22"/>
        <v>3</v>
      </c>
      <c r="AB30" s="34">
        <f t="shared" si="22"/>
        <v>0</v>
      </c>
      <c r="AC30" s="34">
        <f t="shared" si="22"/>
        <v>51</v>
      </c>
      <c r="AD30" s="34">
        <f t="shared" si="22"/>
        <v>0</v>
      </c>
      <c r="AE30" s="31">
        <f t="shared" si="22"/>
        <v>173</v>
      </c>
      <c r="AF30" s="31">
        <f t="shared" si="22"/>
        <v>224</v>
      </c>
    </row>
    <row r="31" spans="2:32" ht="23.1" customHeight="1" x14ac:dyDescent="0.25">
      <c r="B31" s="46" t="s">
        <v>58</v>
      </c>
      <c r="C31" s="50">
        <v>50</v>
      </c>
      <c r="D31" s="50">
        <v>22</v>
      </c>
      <c r="E31" s="50">
        <v>3</v>
      </c>
      <c r="F31" s="50">
        <v>33</v>
      </c>
      <c r="G31" s="50">
        <v>0</v>
      </c>
      <c r="H31" s="50">
        <v>0</v>
      </c>
      <c r="I31" s="50">
        <v>16</v>
      </c>
      <c r="J31" s="50">
        <v>0</v>
      </c>
      <c r="K31" s="50">
        <v>5</v>
      </c>
      <c r="L31" s="50">
        <v>0</v>
      </c>
      <c r="M31" s="50">
        <v>57</v>
      </c>
      <c r="N31" s="50">
        <v>0</v>
      </c>
      <c r="O31" s="15">
        <f t="shared" si="0"/>
        <v>129</v>
      </c>
      <c r="P31" s="15">
        <f t="shared" si="1"/>
        <v>186</v>
      </c>
      <c r="R31" s="36" t="s">
        <v>155</v>
      </c>
      <c r="S31" s="34">
        <f>SUM(C94:C97)</f>
        <v>23</v>
      </c>
      <c r="T31" s="34">
        <f t="shared" ref="T31:AF31" si="23">SUM(D94:D97)</f>
        <v>15</v>
      </c>
      <c r="U31" s="34">
        <f t="shared" si="23"/>
        <v>1</v>
      </c>
      <c r="V31" s="34">
        <f t="shared" si="23"/>
        <v>4</v>
      </c>
      <c r="W31" s="34">
        <f t="shared" si="23"/>
        <v>1</v>
      </c>
      <c r="X31" s="34">
        <f t="shared" si="23"/>
        <v>0</v>
      </c>
      <c r="Y31" s="34">
        <f t="shared" si="23"/>
        <v>5</v>
      </c>
      <c r="Z31" s="34">
        <f t="shared" si="23"/>
        <v>3</v>
      </c>
      <c r="AA31" s="34">
        <f t="shared" si="23"/>
        <v>0</v>
      </c>
      <c r="AB31" s="34">
        <f t="shared" si="23"/>
        <v>0</v>
      </c>
      <c r="AC31" s="34">
        <f t="shared" si="23"/>
        <v>69</v>
      </c>
      <c r="AD31" s="34">
        <f t="shared" si="23"/>
        <v>0</v>
      </c>
      <c r="AE31" s="31">
        <f t="shared" si="23"/>
        <v>52</v>
      </c>
      <c r="AF31" s="31">
        <f t="shared" si="23"/>
        <v>121</v>
      </c>
    </row>
    <row r="32" spans="2:32" ht="23.1" customHeight="1" x14ac:dyDescent="0.25">
      <c r="B32" s="46" t="s">
        <v>59</v>
      </c>
      <c r="C32" s="50">
        <v>54</v>
      </c>
      <c r="D32" s="50">
        <v>43</v>
      </c>
      <c r="E32" s="50">
        <v>39</v>
      </c>
      <c r="F32" s="50">
        <v>40</v>
      </c>
      <c r="G32" s="50">
        <v>0</v>
      </c>
      <c r="H32" s="50">
        <v>1</v>
      </c>
      <c r="I32" s="50">
        <v>12</v>
      </c>
      <c r="J32" s="50">
        <v>3</v>
      </c>
      <c r="K32" s="50">
        <v>0</v>
      </c>
      <c r="L32" s="50">
        <v>0</v>
      </c>
      <c r="M32" s="50">
        <v>40</v>
      </c>
      <c r="N32" s="50">
        <v>0</v>
      </c>
      <c r="O32" s="15">
        <f t="shared" si="0"/>
        <v>192</v>
      </c>
      <c r="P32" s="15">
        <f t="shared" si="1"/>
        <v>232</v>
      </c>
      <c r="R32" s="33" t="s">
        <v>156</v>
      </c>
      <c r="S32" s="34">
        <f>SUM(C98:C101)</f>
        <v>31</v>
      </c>
      <c r="T32" s="34">
        <f t="shared" ref="T32:AF32" si="24">SUM(D98:D101)</f>
        <v>14</v>
      </c>
      <c r="U32" s="34">
        <f t="shared" si="24"/>
        <v>8</v>
      </c>
      <c r="V32" s="34">
        <f t="shared" si="24"/>
        <v>40</v>
      </c>
      <c r="W32" s="34">
        <f t="shared" si="24"/>
        <v>1</v>
      </c>
      <c r="X32" s="34">
        <f t="shared" si="24"/>
        <v>2</v>
      </c>
      <c r="Y32" s="34">
        <f t="shared" si="24"/>
        <v>10</v>
      </c>
      <c r="Z32" s="34">
        <f t="shared" si="24"/>
        <v>2</v>
      </c>
      <c r="AA32" s="34">
        <f t="shared" si="24"/>
        <v>3</v>
      </c>
      <c r="AB32" s="34">
        <f t="shared" si="24"/>
        <v>1</v>
      </c>
      <c r="AC32" s="34">
        <f t="shared" si="24"/>
        <v>72</v>
      </c>
      <c r="AD32" s="34">
        <f t="shared" si="24"/>
        <v>0</v>
      </c>
      <c r="AE32" s="31">
        <f t="shared" si="24"/>
        <v>112</v>
      </c>
      <c r="AF32" s="31">
        <f t="shared" si="24"/>
        <v>184</v>
      </c>
    </row>
    <row r="33" spans="2:32" ht="23.1" customHeight="1" x14ac:dyDescent="0.25">
      <c r="B33" s="45" t="s">
        <v>60</v>
      </c>
      <c r="C33" s="50">
        <v>41</v>
      </c>
      <c r="D33" s="50">
        <v>20</v>
      </c>
      <c r="E33" s="50">
        <v>4</v>
      </c>
      <c r="F33" s="50">
        <v>23</v>
      </c>
      <c r="G33" s="50">
        <v>0</v>
      </c>
      <c r="H33" s="50">
        <v>0</v>
      </c>
      <c r="I33" s="50">
        <v>23</v>
      </c>
      <c r="J33" s="50">
        <v>2</v>
      </c>
      <c r="K33" s="50">
        <v>3</v>
      </c>
      <c r="L33" s="50">
        <v>0</v>
      </c>
      <c r="M33" s="50">
        <v>56</v>
      </c>
      <c r="N33" s="50">
        <v>0</v>
      </c>
      <c r="O33" s="15">
        <f t="shared" si="0"/>
        <v>116</v>
      </c>
      <c r="P33" s="15">
        <f t="shared" si="1"/>
        <v>172</v>
      </c>
      <c r="R33" s="33" t="s">
        <v>157</v>
      </c>
      <c r="S33" s="34">
        <f>SUM(C102:C105)</f>
        <v>52</v>
      </c>
      <c r="T33" s="34">
        <f t="shared" ref="T33:AF33" si="25">SUM(D102:D105)</f>
        <v>37</v>
      </c>
      <c r="U33" s="34">
        <f t="shared" si="25"/>
        <v>28</v>
      </c>
      <c r="V33" s="34">
        <f t="shared" si="25"/>
        <v>85</v>
      </c>
      <c r="W33" s="34">
        <f t="shared" si="25"/>
        <v>1</v>
      </c>
      <c r="X33" s="34">
        <f t="shared" si="25"/>
        <v>0</v>
      </c>
      <c r="Y33" s="34">
        <f t="shared" si="25"/>
        <v>12</v>
      </c>
      <c r="Z33" s="34">
        <f t="shared" si="25"/>
        <v>0</v>
      </c>
      <c r="AA33" s="34">
        <f t="shared" si="25"/>
        <v>0</v>
      </c>
      <c r="AB33" s="34">
        <f t="shared" si="25"/>
        <v>4</v>
      </c>
      <c r="AC33" s="34">
        <f t="shared" si="25"/>
        <v>167</v>
      </c>
      <c r="AD33" s="34">
        <f t="shared" si="25"/>
        <v>0</v>
      </c>
      <c r="AE33" s="31">
        <f t="shared" si="25"/>
        <v>219</v>
      </c>
      <c r="AF33" s="31">
        <f t="shared" si="25"/>
        <v>386</v>
      </c>
    </row>
    <row r="34" spans="2:32" ht="23.1" customHeight="1" x14ac:dyDescent="0.25">
      <c r="B34" s="46" t="s">
        <v>61</v>
      </c>
      <c r="C34" s="50">
        <v>41</v>
      </c>
      <c r="D34" s="50">
        <v>11</v>
      </c>
      <c r="E34" s="50">
        <v>5</v>
      </c>
      <c r="F34" s="50">
        <v>11</v>
      </c>
      <c r="G34" s="50">
        <v>1</v>
      </c>
      <c r="H34" s="50">
        <v>0</v>
      </c>
      <c r="I34" s="50">
        <v>2</v>
      </c>
      <c r="J34" s="50">
        <v>6</v>
      </c>
      <c r="K34" s="50">
        <v>3</v>
      </c>
      <c r="L34" s="50">
        <v>2</v>
      </c>
      <c r="M34" s="50">
        <v>62</v>
      </c>
      <c r="N34" s="50">
        <v>0</v>
      </c>
      <c r="O34" s="15">
        <f t="shared" si="0"/>
        <v>82</v>
      </c>
      <c r="P34" s="15">
        <f t="shared" si="1"/>
        <v>144</v>
      </c>
      <c r="R34" s="38" t="s">
        <v>90</v>
      </c>
      <c r="S34" s="39">
        <f t="shared" ref="S34:AF34" si="26">MAX(S10:S12)</f>
        <v>312</v>
      </c>
      <c r="T34" s="39">
        <f t="shared" si="26"/>
        <v>258</v>
      </c>
      <c r="U34" s="39">
        <f t="shared" si="26"/>
        <v>183</v>
      </c>
      <c r="V34" s="39">
        <f t="shared" si="26"/>
        <v>316</v>
      </c>
      <c r="W34" s="39">
        <f t="shared" si="26"/>
        <v>73</v>
      </c>
      <c r="X34" s="39">
        <f t="shared" si="26"/>
        <v>3</v>
      </c>
      <c r="Y34" s="39">
        <f t="shared" si="26"/>
        <v>201</v>
      </c>
      <c r="Z34" s="39">
        <f t="shared" si="26"/>
        <v>34</v>
      </c>
      <c r="AA34" s="39">
        <f t="shared" si="26"/>
        <v>37</v>
      </c>
      <c r="AB34" s="39">
        <f t="shared" si="26"/>
        <v>10</v>
      </c>
      <c r="AC34" s="39">
        <f t="shared" si="26"/>
        <v>349</v>
      </c>
      <c r="AD34" s="39">
        <f t="shared" si="26"/>
        <v>0</v>
      </c>
      <c r="AE34" s="40">
        <f t="shared" si="26"/>
        <v>1375</v>
      </c>
      <c r="AF34" s="40">
        <f t="shared" si="26"/>
        <v>1724</v>
      </c>
    </row>
    <row r="35" spans="2:32" ht="23.1" customHeight="1" x14ac:dyDescent="0.25">
      <c r="B35" s="46" t="s">
        <v>62</v>
      </c>
      <c r="C35" s="50">
        <v>54</v>
      </c>
      <c r="D35" s="50">
        <v>16</v>
      </c>
      <c r="E35" s="50">
        <v>18</v>
      </c>
      <c r="F35" s="50">
        <v>26</v>
      </c>
      <c r="G35" s="50">
        <v>0</v>
      </c>
      <c r="H35" s="50">
        <v>0</v>
      </c>
      <c r="I35" s="50">
        <v>6</v>
      </c>
      <c r="J35" s="50">
        <v>3</v>
      </c>
      <c r="K35" s="50">
        <v>1</v>
      </c>
      <c r="L35" s="50">
        <v>0</v>
      </c>
      <c r="M35" s="50">
        <v>73</v>
      </c>
      <c r="N35" s="50">
        <v>0</v>
      </c>
      <c r="O35" s="15">
        <f t="shared" si="0"/>
        <v>124</v>
      </c>
      <c r="P35" s="15">
        <f t="shared" si="1"/>
        <v>197</v>
      </c>
      <c r="R35" s="38" t="s">
        <v>91</v>
      </c>
      <c r="S35" s="39">
        <f t="shared" ref="S35:AF35" si="27">MAX(S13:S18)</f>
        <v>247</v>
      </c>
      <c r="T35" s="39">
        <f t="shared" si="27"/>
        <v>140</v>
      </c>
      <c r="U35" s="39">
        <f t="shared" si="27"/>
        <v>113</v>
      </c>
      <c r="V35" s="39">
        <f t="shared" si="27"/>
        <v>197</v>
      </c>
      <c r="W35" s="39">
        <f t="shared" si="27"/>
        <v>5</v>
      </c>
      <c r="X35" s="39">
        <f t="shared" si="27"/>
        <v>1</v>
      </c>
      <c r="Y35" s="39">
        <f t="shared" si="27"/>
        <v>110</v>
      </c>
      <c r="Z35" s="39">
        <f t="shared" si="27"/>
        <v>54</v>
      </c>
      <c r="AA35" s="39">
        <f t="shared" si="27"/>
        <v>10</v>
      </c>
      <c r="AB35" s="39">
        <f t="shared" si="27"/>
        <v>6</v>
      </c>
      <c r="AC35" s="39">
        <f t="shared" si="27"/>
        <v>353</v>
      </c>
      <c r="AD35" s="39">
        <f t="shared" si="27"/>
        <v>0</v>
      </c>
      <c r="AE35" s="40">
        <f t="shared" si="27"/>
        <v>866</v>
      </c>
      <c r="AF35" s="40">
        <f t="shared" si="27"/>
        <v>1167</v>
      </c>
    </row>
    <row r="36" spans="2:32" ht="23.1" customHeight="1" x14ac:dyDescent="0.25">
      <c r="B36" s="46" t="s">
        <v>63</v>
      </c>
      <c r="C36" s="50">
        <v>63</v>
      </c>
      <c r="D36" s="50">
        <v>18</v>
      </c>
      <c r="E36" s="50">
        <v>8</v>
      </c>
      <c r="F36" s="50">
        <v>68</v>
      </c>
      <c r="G36" s="50">
        <v>0</v>
      </c>
      <c r="H36" s="50">
        <v>1</v>
      </c>
      <c r="I36" s="50">
        <v>5</v>
      </c>
      <c r="J36" s="50">
        <v>2</v>
      </c>
      <c r="K36" s="50">
        <v>4</v>
      </c>
      <c r="L36" s="50">
        <v>1</v>
      </c>
      <c r="M36" s="50">
        <v>112</v>
      </c>
      <c r="N36" s="50">
        <v>0</v>
      </c>
      <c r="O36" s="15">
        <f t="shared" si="0"/>
        <v>170</v>
      </c>
      <c r="P36" s="15">
        <f t="shared" si="1"/>
        <v>282</v>
      </c>
      <c r="R36" s="38" t="s">
        <v>92</v>
      </c>
      <c r="S36" s="39">
        <f t="shared" ref="S36:AF36" si="28">MAX(S19:S21)</f>
        <v>300</v>
      </c>
      <c r="T36" s="39">
        <f t="shared" si="28"/>
        <v>211</v>
      </c>
      <c r="U36" s="39">
        <f t="shared" si="28"/>
        <v>209</v>
      </c>
      <c r="V36" s="39">
        <f t="shared" si="28"/>
        <v>234</v>
      </c>
      <c r="W36" s="39">
        <f t="shared" si="28"/>
        <v>10</v>
      </c>
      <c r="X36" s="39">
        <f t="shared" si="28"/>
        <v>1</v>
      </c>
      <c r="Y36" s="39">
        <f t="shared" si="28"/>
        <v>142</v>
      </c>
      <c r="Z36" s="39">
        <f t="shared" si="28"/>
        <v>93</v>
      </c>
      <c r="AA36" s="39">
        <f t="shared" si="28"/>
        <v>30</v>
      </c>
      <c r="AB36" s="39">
        <f t="shared" si="28"/>
        <v>17</v>
      </c>
      <c r="AC36" s="39">
        <f t="shared" si="28"/>
        <v>363</v>
      </c>
      <c r="AD36" s="39">
        <f t="shared" si="28"/>
        <v>0</v>
      </c>
      <c r="AE36" s="40">
        <f t="shared" si="28"/>
        <v>1197</v>
      </c>
      <c r="AF36" s="40">
        <f t="shared" si="28"/>
        <v>1560</v>
      </c>
    </row>
    <row r="37" spans="2:32" ht="23.1" customHeight="1" x14ac:dyDescent="0.25">
      <c r="B37" s="45" t="s">
        <v>64</v>
      </c>
      <c r="C37" s="50">
        <v>47</v>
      </c>
      <c r="D37" s="50">
        <v>10</v>
      </c>
      <c r="E37" s="50">
        <v>6</v>
      </c>
      <c r="F37" s="50">
        <v>35</v>
      </c>
      <c r="G37" s="50">
        <v>0</v>
      </c>
      <c r="H37" s="50">
        <v>0</v>
      </c>
      <c r="I37" s="50">
        <v>36</v>
      </c>
      <c r="J37" s="50">
        <v>7</v>
      </c>
      <c r="K37" s="50">
        <v>1</v>
      </c>
      <c r="L37" s="50">
        <v>2</v>
      </c>
      <c r="M37" s="50">
        <v>106</v>
      </c>
      <c r="N37" s="50">
        <v>0</v>
      </c>
      <c r="O37" s="15">
        <f t="shared" si="0"/>
        <v>144</v>
      </c>
      <c r="P37" s="15">
        <f t="shared" si="1"/>
        <v>250</v>
      </c>
      <c r="R37" s="37" t="s">
        <v>85</v>
      </c>
      <c r="S37" s="35">
        <f t="shared" ref="S37:AF37" si="29">SUM(S10:S12)</f>
        <v>836</v>
      </c>
      <c r="T37" s="16">
        <f t="shared" si="29"/>
        <v>573</v>
      </c>
      <c r="U37" s="16">
        <f t="shared" si="29"/>
        <v>359</v>
      </c>
      <c r="V37" s="16">
        <f t="shared" si="29"/>
        <v>598</v>
      </c>
      <c r="W37" s="16">
        <f t="shared" si="29"/>
        <v>135</v>
      </c>
      <c r="X37" s="16">
        <f t="shared" si="29"/>
        <v>6</v>
      </c>
      <c r="Y37" s="16">
        <f t="shared" si="29"/>
        <v>399</v>
      </c>
      <c r="Z37" s="16">
        <f t="shared" si="29"/>
        <v>58</v>
      </c>
      <c r="AA37" s="16">
        <f t="shared" si="29"/>
        <v>79</v>
      </c>
      <c r="AB37" s="16">
        <f t="shared" si="29"/>
        <v>17</v>
      </c>
      <c r="AC37" s="16">
        <f t="shared" si="29"/>
        <v>923</v>
      </c>
      <c r="AD37" s="16">
        <f t="shared" si="29"/>
        <v>0</v>
      </c>
      <c r="AE37" s="32">
        <f t="shared" si="29"/>
        <v>3060</v>
      </c>
      <c r="AF37" s="32">
        <f t="shared" si="29"/>
        <v>3983</v>
      </c>
    </row>
    <row r="38" spans="2:32" ht="23.1" customHeight="1" x14ac:dyDescent="0.25">
      <c r="B38" s="46" t="s">
        <v>65</v>
      </c>
      <c r="C38" s="50">
        <v>46</v>
      </c>
      <c r="D38" s="50">
        <v>35</v>
      </c>
      <c r="E38" s="50">
        <v>20</v>
      </c>
      <c r="F38" s="50">
        <v>38</v>
      </c>
      <c r="G38" s="50">
        <v>1</v>
      </c>
      <c r="H38" s="50">
        <v>0</v>
      </c>
      <c r="I38" s="50">
        <v>8</v>
      </c>
      <c r="J38" s="50">
        <v>6</v>
      </c>
      <c r="K38" s="50">
        <v>1</v>
      </c>
      <c r="L38" s="50">
        <v>2</v>
      </c>
      <c r="M38" s="50">
        <v>123</v>
      </c>
      <c r="N38" s="50">
        <v>0</v>
      </c>
      <c r="O38" s="15">
        <f t="shared" si="0"/>
        <v>157</v>
      </c>
      <c r="P38" s="15">
        <f t="shared" si="1"/>
        <v>280</v>
      </c>
      <c r="R38" s="28" t="s">
        <v>86</v>
      </c>
      <c r="S38" s="16">
        <f t="shared" ref="S38:AF38" si="30">SUM(S13:S18)</f>
        <v>1254</v>
      </c>
      <c r="T38" s="16">
        <f t="shared" si="30"/>
        <v>695</v>
      </c>
      <c r="U38" s="16">
        <f t="shared" si="30"/>
        <v>467</v>
      </c>
      <c r="V38" s="16">
        <f t="shared" si="30"/>
        <v>1014</v>
      </c>
      <c r="W38" s="16">
        <f t="shared" si="30"/>
        <v>10</v>
      </c>
      <c r="X38" s="16">
        <f t="shared" si="30"/>
        <v>6</v>
      </c>
      <c r="Y38" s="16">
        <f t="shared" si="30"/>
        <v>370</v>
      </c>
      <c r="Z38" s="16">
        <f t="shared" si="30"/>
        <v>185</v>
      </c>
      <c r="AA38" s="16">
        <f t="shared" si="30"/>
        <v>37</v>
      </c>
      <c r="AB38" s="16">
        <f t="shared" si="30"/>
        <v>28</v>
      </c>
      <c r="AC38" s="16">
        <f t="shared" si="30"/>
        <v>1761</v>
      </c>
      <c r="AD38" s="16">
        <f t="shared" si="30"/>
        <v>0</v>
      </c>
      <c r="AE38" s="32">
        <f t="shared" si="30"/>
        <v>4066</v>
      </c>
      <c r="AF38" s="32">
        <f t="shared" si="30"/>
        <v>5827</v>
      </c>
    </row>
    <row r="39" spans="2:32" ht="23.1" customHeight="1" x14ac:dyDescent="0.25">
      <c r="B39" s="46" t="s">
        <v>66</v>
      </c>
      <c r="C39" s="50">
        <v>30</v>
      </c>
      <c r="D39" s="50">
        <v>21</v>
      </c>
      <c r="E39" s="50">
        <v>23</v>
      </c>
      <c r="F39" s="50">
        <v>27</v>
      </c>
      <c r="G39" s="50">
        <v>1</v>
      </c>
      <c r="H39" s="50">
        <v>1</v>
      </c>
      <c r="I39" s="50">
        <v>23</v>
      </c>
      <c r="J39" s="50">
        <v>6</v>
      </c>
      <c r="K39" s="50">
        <v>1</v>
      </c>
      <c r="L39" s="50">
        <v>0</v>
      </c>
      <c r="M39" s="50">
        <v>73</v>
      </c>
      <c r="N39" s="50">
        <v>0</v>
      </c>
      <c r="O39" s="15">
        <f t="shared" si="0"/>
        <v>133</v>
      </c>
      <c r="P39" s="15">
        <f t="shared" si="1"/>
        <v>206</v>
      </c>
      <c r="R39" s="29" t="s">
        <v>87</v>
      </c>
      <c r="S39" s="16">
        <f t="shared" ref="S39:AF39" si="31">SUM(S19:S21)</f>
        <v>565</v>
      </c>
      <c r="T39" s="16">
        <f t="shared" si="31"/>
        <v>312</v>
      </c>
      <c r="U39" s="16">
        <f t="shared" si="31"/>
        <v>301</v>
      </c>
      <c r="V39" s="16">
        <f t="shared" si="31"/>
        <v>489</v>
      </c>
      <c r="W39" s="16">
        <f t="shared" si="31"/>
        <v>18</v>
      </c>
      <c r="X39" s="16">
        <f t="shared" si="31"/>
        <v>2</v>
      </c>
      <c r="Y39" s="16">
        <f t="shared" si="31"/>
        <v>298</v>
      </c>
      <c r="Z39" s="16">
        <f t="shared" si="31"/>
        <v>206</v>
      </c>
      <c r="AA39" s="16">
        <f t="shared" si="31"/>
        <v>56</v>
      </c>
      <c r="AB39" s="16">
        <f t="shared" si="31"/>
        <v>37</v>
      </c>
      <c r="AC39" s="16">
        <f t="shared" si="31"/>
        <v>846</v>
      </c>
      <c r="AD39" s="16">
        <f t="shared" si="31"/>
        <v>0</v>
      </c>
      <c r="AE39" s="32">
        <f t="shared" si="31"/>
        <v>2284</v>
      </c>
      <c r="AF39" s="32">
        <f t="shared" si="31"/>
        <v>3130</v>
      </c>
    </row>
    <row r="40" spans="2:32" ht="23.1" customHeight="1" x14ac:dyDescent="0.25">
      <c r="B40" s="46" t="s">
        <v>67</v>
      </c>
      <c r="C40" s="50">
        <v>57</v>
      </c>
      <c r="D40" s="50">
        <v>31</v>
      </c>
      <c r="E40" s="50">
        <v>18</v>
      </c>
      <c r="F40" s="50">
        <v>77</v>
      </c>
      <c r="G40" s="50">
        <v>0</v>
      </c>
      <c r="H40" s="50">
        <v>0</v>
      </c>
      <c r="I40" s="50">
        <v>12</v>
      </c>
      <c r="J40" s="50">
        <v>13</v>
      </c>
      <c r="K40" s="50">
        <v>2</v>
      </c>
      <c r="L40" s="50">
        <v>1</v>
      </c>
      <c r="M40" s="50">
        <v>87</v>
      </c>
      <c r="N40" s="50">
        <v>0</v>
      </c>
      <c r="O40" s="15">
        <f t="shared" si="0"/>
        <v>211</v>
      </c>
      <c r="P40" s="15">
        <f t="shared" si="1"/>
        <v>298</v>
      </c>
      <c r="R40" s="5" t="s">
        <v>17</v>
      </c>
      <c r="S40" s="16">
        <f t="shared" ref="S40:AF40" si="32">SUM(S10:S21)</f>
        <v>2655</v>
      </c>
      <c r="T40" s="16">
        <f t="shared" si="32"/>
        <v>1580</v>
      </c>
      <c r="U40" s="16">
        <f t="shared" si="32"/>
        <v>1127</v>
      </c>
      <c r="V40" s="16">
        <f t="shared" si="32"/>
        <v>2101</v>
      </c>
      <c r="W40" s="16">
        <f t="shared" si="32"/>
        <v>163</v>
      </c>
      <c r="X40" s="16">
        <f t="shared" si="32"/>
        <v>14</v>
      </c>
      <c r="Y40" s="16">
        <f t="shared" si="32"/>
        <v>1067</v>
      </c>
      <c r="Z40" s="16">
        <f t="shared" si="32"/>
        <v>449</v>
      </c>
      <c r="AA40" s="16">
        <f t="shared" si="32"/>
        <v>172</v>
      </c>
      <c r="AB40" s="16">
        <f t="shared" si="32"/>
        <v>82</v>
      </c>
      <c r="AC40" s="16">
        <f t="shared" si="32"/>
        <v>3530</v>
      </c>
      <c r="AD40" s="16">
        <f t="shared" si="32"/>
        <v>0</v>
      </c>
      <c r="AE40" s="32">
        <f t="shared" si="32"/>
        <v>9410</v>
      </c>
      <c r="AF40" s="32">
        <f t="shared" si="32"/>
        <v>12940</v>
      </c>
    </row>
    <row r="41" spans="2:32" ht="23.1" customHeight="1" x14ac:dyDescent="0.25">
      <c r="B41" s="45" t="s">
        <v>68</v>
      </c>
      <c r="C41" s="50">
        <v>65</v>
      </c>
      <c r="D41" s="50">
        <v>53</v>
      </c>
      <c r="E41" s="50">
        <v>23</v>
      </c>
      <c r="F41" s="50">
        <v>30</v>
      </c>
      <c r="G41" s="50">
        <v>0</v>
      </c>
      <c r="H41" s="50">
        <v>0</v>
      </c>
      <c r="I41" s="50">
        <v>4</v>
      </c>
      <c r="J41" s="50">
        <v>4</v>
      </c>
      <c r="K41" s="50">
        <v>0</v>
      </c>
      <c r="L41" s="50">
        <v>1</v>
      </c>
      <c r="M41" s="50">
        <v>65</v>
      </c>
      <c r="N41" s="50">
        <v>0</v>
      </c>
      <c r="O41" s="15">
        <f t="shared" si="0"/>
        <v>180</v>
      </c>
      <c r="P41" s="15">
        <f t="shared" si="1"/>
        <v>245</v>
      </c>
      <c r="R41" s="5" t="s">
        <v>159</v>
      </c>
      <c r="S41" s="16">
        <f>SUM(S10:S33)</f>
        <v>4107</v>
      </c>
      <c r="T41" s="16">
        <f t="shared" ref="T41:AF41" si="33">SUM(T10:T33)</f>
        <v>2939</v>
      </c>
      <c r="U41" s="16">
        <f t="shared" si="33"/>
        <v>1316</v>
      </c>
      <c r="V41" s="16">
        <f t="shared" si="33"/>
        <v>3607</v>
      </c>
      <c r="W41" s="16">
        <f t="shared" si="33"/>
        <v>187</v>
      </c>
      <c r="X41" s="16">
        <f t="shared" si="33"/>
        <v>29</v>
      </c>
      <c r="Y41" s="16">
        <f t="shared" si="33"/>
        <v>1197</v>
      </c>
      <c r="Z41" s="16">
        <f t="shared" si="33"/>
        <v>468</v>
      </c>
      <c r="AA41" s="16">
        <f t="shared" si="33"/>
        <v>182</v>
      </c>
      <c r="AB41" s="16">
        <f t="shared" si="33"/>
        <v>93</v>
      </c>
      <c r="AC41" s="16">
        <f t="shared" si="33"/>
        <v>5872</v>
      </c>
      <c r="AD41" s="16">
        <f t="shared" si="33"/>
        <v>0</v>
      </c>
      <c r="AE41" s="32">
        <f t="shared" si="33"/>
        <v>14125</v>
      </c>
      <c r="AF41" s="32">
        <f t="shared" si="33"/>
        <v>19997</v>
      </c>
    </row>
    <row r="42" spans="2:32" ht="23.1" customHeight="1" x14ac:dyDescent="0.25">
      <c r="B42" s="46" t="s">
        <v>69</v>
      </c>
      <c r="C42" s="50">
        <v>25</v>
      </c>
      <c r="D42" s="50">
        <v>16</v>
      </c>
      <c r="E42" s="50">
        <v>25</v>
      </c>
      <c r="F42" s="50">
        <v>34</v>
      </c>
      <c r="G42" s="50">
        <v>0</v>
      </c>
      <c r="H42" s="50">
        <v>0</v>
      </c>
      <c r="I42" s="50">
        <v>7</v>
      </c>
      <c r="J42" s="50">
        <v>8</v>
      </c>
      <c r="K42" s="50">
        <v>0</v>
      </c>
      <c r="L42" s="50">
        <v>0</v>
      </c>
      <c r="M42" s="50">
        <v>75</v>
      </c>
      <c r="N42" s="50">
        <v>0</v>
      </c>
      <c r="O42" s="15">
        <f t="shared" si="0"/>
        <v>115</v>
      </c>
      <c r="P42" s="15">
        <f t="shared" si="1"/>
        <v>190</v>
      </c>
      <c r="R42" s="5" t="s">
        <v>160</v>
      </c>
      <c r="S42" s="48">
        <f>S41/S40</f>
        <v>1.5468926553672315</v>
      </c>
      <c r="T42" s="48">
        <f t="shared" ref="T42:AF42" si="34">T41/T40</f>
        <v>1.8601265822784809</v>
      </c>
      <c r="U42" s="48">
        <f t="shared" si="34"/>
        <v>1.1677018633540373</v>
      </c>
      <c r="V42" s="48">
        <f t="shared" si="34"/>
        <v>1.7168015230842455</v>
      </c>
      <c r="W42" s="48">
        <f t="shared" si="34"/>
        <v>1.147239263803681</v>
      </c>
      <c r="X42" s="48">
        <f t="shared" si="34"/>
        <v>2.0714285714285716</v>
      </c>
      <c r="Y42" s="48">
        <f t="shared" si="34"/>
        <v>1.1218369259606373</v>
      </c>
      <c r="Z42" s="48">
        <f t="shared" si="34"/>
        <v>1.042316258351893</v>
      </c>
      <c r="AA42" s="48">
        <f t="shared" si="34"/>
        <v>1.058139534883721</v>
      </c>
      <c r="AB42" s="48">
        <f t="shared" si="34"/>
        <v>1.1341463414634145</v>
      </c>
      <c r="AC42" s="48">
        <f t="shared" si="34"/>
        <v>1.6634560906515581</v>
      </c>
      <c r="AD42" s="48" t="e">
        <f t="shared" si="34"/>
        <v>#DIV/0!</v>
      </c>
      <c r="AE42" s="48">
        <f t="shared" si="34"/>
        <v>1.5010626992561105</v>
      </c>
      <c r="AF42" s="48">
        <f t="shared" si="34"/>
        <v>1.5453632148377126</v>
      </c>
    </row>
    <row r="43" spans="2:32" ht="23.1" customHeight="1" x14ac:dyDescent="0.25">
      <c r="B43" s="45" t="s">
        <v>70</v>
      </c>
      <c r="C43" s="50">
        <v>42</v>
      </c>
      <c r="D43" s="50">
        <v>7</v>
      </c>
      <c r="E43" s="50">
        <v>8</v>
      </c>
      <c r="F43" s="50">
        <v>22</v>
      </c>
      <c r="G43" s="50">
        <v>0</v>
      </c>
      <c r="H43" s="50">
        <v>0</v>
      </c>
      <c r="I43" s="50">
        <v>1</v>
      </c>
      <c r="J43" s="50">
        <v>4</v>
      </c>
      <c r="K43" s="50">
        <v>0</v>
      </c>
      <c r="L43" s="50">
        <v>1</v>
      </c>
      <c r="M43" s="50">
        <v>95</v>
      </c>
      <c r="N43" s="50">
        <v>0</v>
      </c>
      <c r="O43" s="15">
        <f t="shared" si="0"/>
        <v>85</v>
      </c>
      <c r="P43" s="15">
        <f t="shared" si="1"/>
        <v>180</v>
      </c>
    </row>
    <row r="44" spans="2:32" ht="23.1" customHeight="1" x14ac:dyDescent="0.25">
      <c r="B44" s="47" t="s">
        <v>71</v>
      </c>
      <c r="C44" s="50">
        <v>75</v>
      </c>
      <c r="D44" s="50">
        <v>67</v>
      </c>
      <c r="E44" s="50">
        <v>46</v>
      </c>
      <c r="F44" s="50">
        <v>32</v>
      </c>
      <c r="G44" s="50">
        <v>0</v>
      </c>
      <c r="H44" s="50">
        <v>1</v>
      </c>
      <c r="I44" s="50">
        <v>7</v>
      </c>
      <c r="J44" s="50">
        <v>24</v>
      </c>
      <c r="K44" s="50">
        <v>1</v>
      </c>
      <c r="L44" s="50">
        <v>4</v>
      </c>
      <c r="M44" s="50">
        <v>115</v>
      </c>
      <c r="N44" s="50">
        <v>0</v>
      </c>
      <c r="O44" s="15">
        <f t="shared" si="0"/>
        <v>257</v>
      </c>
      <c r="P44" s="15">
        <f t="shared" si="1"/>
        <v>372</v>
      </c>
    </row>
    <row r="45" spans="2:32" ht="23.1" customHeight="1" x14ac:dyDescent="0.25">
      <c r="B45" s="45" t="s">
        <v>72</v>
      </c>
      <c r="C45" s="50">
        <v>40</v>
      </c>
      <c r="D45" s="50">
        <v>20</v>
      </c>
      <c r="E45" s="50">
        <v>7</v>
      </c>
      <c r="F45" s="50">
        <v>76</v>
      </c>
      <c r="G45" s="50">
        <v>0</v>
      </c>
      <c r="H45" s="50">
        <v>0</v>
      </c>
      <c r="I45" s="50">
        <v>22</v>
      </c>
      <c r="J45" s="50">
        <v>2</v>
      </c>
      <c r="K45" s="50">
        <v>0</v>
      </c>
      <c r="L45" s="50">
        <v>1</v>
      </c>
      <c r="M45" s="50">
        <v>65</v>
      </c>
      <c r="N45" s="50">
        <v>0</v>
      </c>
      <c r="O45" s="15">
        <f t="shared" si="0"/>
        <v>168</v>
      </c>
      <c r="P45" s="15">
        <f t="shared" si="1"/>
        <v>233</v>
      </c>
    </row>
    <row r="46" spans="2:32" ht="23.1" customHeight="1" x14ac:dyDescent="0.25">
      <c r="B46" s="46" t="s">
        <v>73</v>
      </c>
      <c r="C46" s="50">
        <v>67</v>
      </c>
      <c r="D46" s="50">
        <v>42</v>
      </c>
      <c r="E46" s="50">
        <v>33</v>
      </c>
      <c r="F46" s="50">
        <v>68</v>
      </c>
      <c r="G46" s="50">
        <v>0</v>
      </c>
      <c r="H46" s="50">
        <v>0</v>
      </c>
      <c r="I46" s="50">
        <v>18</v>
      </c>
      <c r="J46" s="50">
        <v>22</v>
      </c>
      <c r="K46" s="50">
        <v>0</v>
      </c>
      <c r="L46" s="50">
        <v>2</v>
      </c>
      <c r="M46" s="50">
        <v>125</v>
      </c>
      <c r="N46" s="50">
        <v>0</v>
      </c>
      <c r="O46" s="15">
        <f t="shared" si="0"/>
        <v>252</v>
      </c>
      <c r="P46" s="15">
        <f t="shared" si="1"/>
        <v>377</v>
      </c>
      <c r="R46" s="8"/>
      <c r="T46"/>
    </row>
    <row r="47" spans="2:32" ht="23.1" customHeight="1" x14ac:dyDescent="0.25">
      <c r="B47" s="46" t="s">
        <v>74</v>
      </c>
      <c r="C47" s="50">
        <v>60</v>
      </c>
      <c r="D47" s="50">
        <v>55</v>
      </c>
      <c r="E47" s="50">
        <v>56</v>
      </c>
      <c r="F47" s="50">
        <v>74</v>
      </c>
      <c r="G47" s="50">
        <v>0</v>
      </c>
      <c r="H47" s="50">
        <v>1</v>
      </c>
      <c r="I47" s="50">
        <v>41</v>
      </c>
      <c r="J47" s="50">
        <v>3</v>
      </c>
      <c r="K47" s="50">
        <v>0</v>
      </c>
      <c r="L47" s="50">
        <v>0</v>
      </c>
      <c r="M47" s="50">
        <v>103</v>
      </c>
      <c r="N47" s="50">
        <v>0</v>
      </c>
      <c r="O47" s="15">
        <f t="shared" si="0"/>
        <v>290</v>
      </c>
      <c r="P47" s="15">
        <f t="shared" si="1"/>
        <v>393</v>
      </c>
      <c r="R47" s="8"/>
      <c r="T47"/>
    </row>
    <row r="48" spans="2:32" ht="23.1" customHeight="1" x14ac:dyDescent="0.25">
      <c r="B48" s="46" t="s">
        <v>75</v>
      </c>
      <c r="C48" s="50">
        <v>93</v>
      </c>
      <c r="D48" s="50">
        <v>49</v>
      </c>
      <c r="E48" s="50">
        <v>75</v>
      </c>
      <c r="F48" s="50">
        <v>51</v>
      </c>
      <c r="G48" s="50">
        <v>0</v>
      </c>
      <c r="H48" s="50">
        <v>0</v>
      </c>
      <c r="I48" s="50">
        <v>40</v>
      </c>
      <c r="J48" s="50">
        <v>51</v>
      </c>
      <c r="K48" s="50">
        <v>1</v>
      </c>
      <c r="L48" s="50">
        <v>1</v>
      </c>
      <c r="M48" s="50">
        <v>65</v>
      </c>
      <c r="N48" s="50">
        <v>0</v>
      </c>
      <c r="O48" s="15">
        <f t="shared" si="0"/>
        <v>361</v>
      </c>
      <c r="P48" s="15">
        <f t="shared" si="1"/>
        <v>426</v>
      </c>
      <c r="R48" s="8"/>
      <c r="T48"/>
    </row>
    <row r="49" spans="2:20" ht="23.1" customHeight="1" x14ac:dyDescent="0.25">
      <c r="B49" s="45" t="s">
        <v>76</v>
      </c>
      <c r="C49" s="50">
        <v>80</v>
      </c>
      <c r="D49" s="50">
        <v>65</v>
      </c>
      <c r="E49" s="50">
        <v>45</v>
      </c>
      <c r="F49" s="50">
        <v>41</v>
      </c>
      <c r="G49" s="50">
        <v>1</v>
      </c>
      <c r="H49" s="50">
        <v>0</v>
      </c>
      <c r="I49" s="50">
        <v>43</v>
      </c>
      <c r="J49" s="50">
        <v>17</v>
      </c>
      <c r="K49" s="50">
        <v>0</v>
      </c>
      <c r="L49" s="50">
        <v>2</v>
      </c>
      <c r="M49" s="50">
        <v>70</v>
      </c>
      <c r="N49" s="50">
        <v>0</v>
      </c>
      <c r="O49" s="15">
        <f t="shared" si="0"/>
        <v>294</v>
      </c>
      <c r="P49" s="15">
        <f t="shared" si="1"/>
        <v>364</v>
      </c>
      <c r="R49" s="8"/>
      <c r="T49"/>
    </row>
    <row r="50" spans="2:20" ht="23.1" customHeight="1" x14ac:dyDescent="0.25">
      <c r="B50" s="46" t="s">
        <v>77</v>
      </c>
      <c r="C50" s="50">
        <v>53</v>
      </c>
      <c r="D50" s="50">
        <v>15</v>
      </c>
      <c r="E50" s="50">
        <v>5</v>
      </c>
      <c r="F50" s="50">
        <v>10</v>
      </c>
      <c r="G50" s="50">
        <v>0</v>
      </c>
      <c r="H50" s="50">
        <v>0</v>
      </c>
      <c r="I50" s="50">
        <v>3</v>
      </c>
      <c r="J50" s="50">
        <v>2</v>
      </c>
      <c r="K50" s="50">
        <v>0</v>
      </c>
      <c r="L50" s="50">
        <v>0</v>
      </c>
      <c r="M50" s="50">
        <v>75</v>
      </c>
      <c r="N50" s="50">
        <v>0</v>
      </c>
      <c r="O50" s="15">
        <f t="shared" si="0"/>
        <v>88</v>
      </c>
      <c r="P50" s="15">
        <f t="shared" si="1"/>
        <v>163</v>
      </c>
      <c r="R50" s="8"/>
      <c r="T50"/>
    </row>
    <row r="51" spans="2:20" ht="23.1" customHeight="1" x14ac:dyDescent="0.25">
      <c r="B51" s="46" t="s">
        <v>78</v>
      </c>
      <c r="C51" s="50">
        <v>37</v>
      </c>
      <c r="D51" s="50">
        <v>29</v>
      </c>
      <c r="E51" s="50">
        <v>3</v>
      </c>
      <c r="F51" s="50">
        <v>67</v>
      </c>
      <c r="G51" s="50">
        <v>0</v>
      </c>
      <c r="H51" s="50">
        <v>0</v>
      </c>
      <c r="I51" s="50">
        <v>8</v>
      </c>
      <c r="J51" s="50">
        <v>4</v>
      </c>
      <c r="K51" s="50">
        <v>1</v>
      </c>
      <c r="L51" s="50">
        <v>3</v>
      </c>
      <c r="M51" s="50">
        <v>103</v>
      </c>
      <c r="N51" s="50">
        <v>0</v>
      </c>
      <c r="O51" s="15">
        <f t="shared" si="0"/>
        <v>152</v>
      </c>
      <c r="P51" s="15">
        <f t="shared" si="1"/>
        <v>255</v>
      </c>
      <c r="R51" s="8"/>
      <c r="T51"/>
    </row>
    <row r="52" spans="2:20" ht="23.1" customHeight="1" x14ac:dyDescent="0.25">
      <c r="B52" s="46" t="s">
        <v>79</v>
      </c>
      <c r="C52" s="50">
        <v>60</v>
      </c>
      <c r="D52" s="50">
        <v>13</v>
      </c>
      <c r="E52" s="50">
        <v>14</v>
      </c>
      <c r="F52" s="50">
        <v>31</v>
      </c>
      <c r="G52" s="50">
        <v>1</v>
      </c>
      <c r="H52" s="50">
        <v>0</v>
      </c>
      <c r="I52" s="50">
        <v>27</v>
      </c>
      <c r="J52" s="50">
        <v>10</v>
      </c>
      <c r="K52" s="50">
        <v>21</v>
      </c>
      <c r="L52" s="50">
        <v>4</v>
      </c>
      <c r="M52" s="50">
        <v>60</v>
      </c>
      <c r="N52" s="50">
        <v>0</v>
      </c>
      <c r="O52" s="15">
        <f t="shared" si="0"/>
        <v>181</v>
      </c>
      <c r="P52" s="15">
        <f t="shared" si="1"/>
        <v>241</v>
      </c>
      <c r="R52" s="8"/>
      <c r="T52"/>
    </row>
    <row r="53" spans="2:20" ht="23.1" customHeight="1" x14ac:dyDescent="0.25">
      <c r="B53" s="45" t="s">
        <v>80</v>
      </c>
      <c r="C53" s="50">
        <v>48</v>
      </c>
      <c r="D53" s="50">
        <v>12</v>
      </c>
      <c r="E53" s="50">
        <v>16</v>
      </c>
      <c r="F53" s="50">
        <v>50</v>
      </c>
      <c r="G53" s="50">
        <v>6</v>
      </c>
      <c r="H53" s="50">
        <v>0</v>
      </c>
      <c r="I53" s="50">
        <v>12</v>
      </c>
      <c r="J53" s="50">
        <v>17</v>
      </c>
      <c r="K53" s="50">
        <v>3</v>
      </c>
      <c r="L53" s="50">
        <v>8</v>
      </c>
      <c r="M53" s="50">
        <v>45</v>
      </c>
      <c r="N53" s="50">
        <v>0</v>
      </c>
      <c r="O53" s="15">
        <f t="shared" si="0"/>
        <v>172</v>
      </c>
      <c r="P53" s="15">
        <f t="shared" si="1"/>
        <v>217</v>
      </c>
      <c r="R53" s="8"/>
      <c r="T53"/>
    </row>
    <row r="54" spans="2:20" ht="23.1" customHeight="1" x14ac:dyDescent="0.25">
      <c r="B54" s="45" t="s">
        <v>81</v>
      </c>
      <c r="C54" s="50">
        <v>21</v>
      </c>
      <c r="D54" s="50">
        <v>3</v>
      </c>
      <c r="E54" s="50">
        <v>15</v>
      </c>
      <c r="F54" s="50">
        <v>32</v>
      </c>
      <c r="G54" s="50">
        <v>2</v>
      </c>
      <c r="H54" s="50">
        <v>1</v>
      </c>
      <c r="I54" s="50">
        <v>30</v>
      </c>
      <c r="J54" s="50">
        <v>20</v>
      </c>
      <c r="K54" s="50">
        <v>7</v>
      </c>
      <c r="L54" s="50">
        <v>3</v>
      </c>
      <c r="M54" s="50">
        <v>60</v>
      </c>
      <c r="N54" s="50">
        <v>0</v>
      </c>
      <c r="O54" s="15">
        <f t="shared" si="0"/>
        <v>134</v>
      </c>
      <c r="P54" s="15">
        <f t="shared" si="1"/>
        <v>194</v>
      </c>
      <c r="R54" s="8"/>
      <c r="T54"/>
    </row>
    <row r="55" spans="2:20" ht="23.1" customHeight="1" x14ac:dyDescent="0.25">
      <c r="B55" s="45" t="s">
        <v>82</v>
      </c>
      <c r="C55" s="50">
        <v>11</v>
      </c>
      <c r="D55" s="50">
        <v>13</v>
      </c>
      <c r="E55" s="50">
        <v>23</v>
      </c>
      <c r="F55" s="50">
        <v>30</v>
      </c>
      <c r="G55" s="50">
        <v>7</v>
      </c>
      <c r="H55" s="50">
        <v>0</v>
      </c>
      <c r="I55" s="50">
        <v>33</v>
      </c>
      <c r="J55" s="50">
        <v>23</v>
      </c>
      <c r="K55" s="50">
        <v>4</v>
      </c>
      <c r="L55" s="50">
        <v>2</v>
      </c>
      <c r="M55" s="50">
        <v>35</v>
      </c>
      <c r="N55" s="50">
        <v>0</v>
      </c>
      <c r="O55" s="15">
        <f t="shared" si="0"/>
        <v>146</v>
      </c>
      <c r="P55" s="15">
        <f t="shared" si="1"/>
        <v>181</v>
      </c>
      <c r="R55" s="8"/>
      <c r="T55"/>
    </row>
    <row r="56" spans="2:20" ht="23.1" customHeight="1" x14ac:dyDescent="0.25">
      <c r="B56" s="45" t="s">
        <v>83</v>
      </c>
      <c r="C56" s="50">
        <v>9</v>
      </c>
      <c r="D56" s="50">
        <v>6</v>
      </c>
      <c r="E56" s="50">
        <v>10</v>
      </c>
      <c r="F56" s="50">
        <v>15</v>
      </c>
      <c r="G56" s="50">
        <v>0</v>
      </c>
      <c r="H56" s="50">
        <v>0</v>
      </c>
      <c r="I56" s="50">
        <v>27</v>
      </c>
      <c r="J56" s="50">
        <v>20</v>
      </c>
      <c r="K56" s="50">
        <v>11</v>
      </c>
      <c r="L56" s="50">
        <v>4</v>
      </c>
      <c r="M56" s="50">
        <v>32</v>
      </c>
      <c r="N56" s="50">
        <v>0</v>
      </c>
      <c r="O56" s="15">
        <f t="shared" si="0"/>
        <v>102</v>
      </c>
      <c r="P56" s="15">
        <f t="shared" si="1"/>
        <v>134</v>
      </c>
      <c r="R56" s="8"/>
      <c r="T56"/>
    </row>
    <row r="57" spans="2:20" ht="23.1" customHeight="1" x14ac:dyDescent="0.25">
      <c r="B57" s="45" t="s">
        <v>84</v>
      </c>
      <c r="C57" s="50">
        <v>26</v>
      </c>
      <c r="D57" s="50">
        <v>10</v>
      </c>
      <c r="E57" s="50">
        <v>6</v>
      </c>
      <c r="F57" s="50">
        <v>20</v>
      </c>
      <c r="G57" s="50">
        <v>1</v>
      </c>
      <c r="H57" s="50">
        <v>0</v>
      </c>
      <c r="I57" s="50">
        <v>16</v>
      </c>
      <c r="J57" s="50">
        <v>17</v>
      </c>
      <c r="K57" s="50">
        <v>8</v>
      </c>
      <c r="L57" s="50">
        <v>8</v>
      </c>
      <c r="M57" s="50">
        <v>73</v>
      </c>
      <c r="N57" s="50">
        <v>0</v>
      </c>
      <c r="O57" s="15">
        <f t="shared" si="0"/>
        <v>112</v>
      </c>
      <c r="P57" s="15">
        <f t="shared" si="1"/>
        <v>185</v>
      </c>
      <c r="R57" s="8"/>
      <c r="T57"/>
    </row>
    <row r="58" spans="2:20" ht="23.1" customHeight="1" x14ac:dyDescent="0.25">
      <c r="B58" s="45" t="s">
        <v>99</v>
      </c>
      <c r="C58" s="50">
        <v>30</v>
      </c>
      <c r="D58" s="50">
        <v>20</v>
      </c>
      <c r="E58" s="50">
        <v>1</v>
      </c>
      <c r="F58" s="50">
        <v>40</v>
      </c>
      <c r="G58" s="50">
        <v>1</v>
      </c>
      <c r="H58" s="50">
        <v>1</v>
      </c>
      <c r="I58" s="50">
        <v>1</v>
      </c>
      <c r="J58" s="50">
        <v>1</v>
      </c>
      <c r="K58" s="50">
        <v>1</v>
      </c>
      <c r="L58" s="50">
        <v>0</v>
      </c>
      <c r="M58" s="50">
        <v>45</v>
      </c>
      <c r="N58" s="50">
        <v>0</v>
      </c>
      <c r="O58" s="15">
        <f t="shared" si="0"/>
        <v>96</v>
      </c>
      <c r="P58" s="15">
        <f t="shared" si="1"/>
        <v>141</v>
      </c>
      <c r="R58" s="8"/>
      <c r="T58"/>
    </row>
    <row r="59" spans="2:20" ht="23.1" customHeight="1" x14ac:dyDescent="0.25">
      <c r="B59" s="45" t="s">
        <v>100</v>
      </c>
      <c r="C59" s="50">
        <v>11</v>
      </c>
      <c r="D59" s="50">
        <v>10</v>
      </c>
      <c r="E59" s="50">
        <v>3</v>
      </c>
      <c r="F59" s="50">
        <v>45</v>
      </c>
      <c r="G59" s="50">
        <v>0</v>
      </c>
      <c r="H59" s="50">
        <v>0</v>
      </c>
      <c r="I59" s="50">
        <v>4</v>
      </c>
      <c r="J59" s="50">
        <v>0</v>
      </c>
      <c r="K59" s="50">
        <v>0</v>
      </c>
      <c r="L59" s="50">
        <v>0</v>
      </c>
      <c r="M59" s="50">
        <v>60</v>
      </c>
      <c r="N59" s="50">
        <v>0</v>
      </c>
      <c r="O59" s="15">
        <f t="shared" si="0"/>
        <v>73</v>
      </c>
      <c r="P59" s="15">
        <f t="shared" si="1"/>
        <v>133</v>
      </c>
      <c r="R59" s="8"/>
      <c r="T59"/>
    </row>
    <row r="60" spans="2:20" ht="23.1" customHeight="1" x14ac:dyDescent="0.25">
      <c r="B60" s="45" t="s">
        <v>101</v>
      </c>
      <c r="C60" s="50">
        <v>20</v>
      </c>
      <c r="D60" s="50">
        <v>40</v>
      </c>
      <c r="E60" s="50">
        <v>4</v>
      </c>
      <c r="F60" s="50">
        <v>45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45</v>
      </c>
      <c r="N60" s="50">
        <v>0</v>
      </c>
      <c r="O60" s="15">
        <f t="shared" si="0"/>
        <v>109</v>
      </c>
      <c r="P60" s="15">
        <f t="shared" si="1"/>
        <v>154</v>
      </c>
      <c r="R60" s="8"/>
      <c r="T60"/>
    </row>
    <row r="61" spans="2:20" ht="23.1" customHeight="1" x14ac:dyDescent="0.25">
      <c r="B61" s="45" t="s">
        <v>102</v>
      </c>
      <c r="C61" s="50">
        <v>25</v>
      </c>
      <c r="D61" s="50">
        <v>40</v>
      </c>
      <c r="E61" s="50">
        <v>3</v>
      </c>
      <c r="F61" s="50">
        <v>40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60</v>
      </c>
      <c r="N61" s="50">
        <v>0</v>
      </c>
      <c r="O61" s="15">
        <f t="shared" si="0"/>
        <v>108</v>
      </c>
      <c r="P61" s="15">
        <f t="shared" si="1"/>
        <v>168</v>
      </c>
      <c r="R61" s="8"/>
      <c r="T61"/>
    </row>
    <row r="62" spans="2:20" ht="23.1" customHeight="1" x14ac:dyDescent="0.25">
      <c r="B62" s="45" t="s">
        <v>107</v>
      </c>
      <c r="C62" s="50">
        <v>45</v>
      </c>
      <c r="D62" s="50">
        <v>55</v>
      </c>
      <c r="E62" s="50">
        <v>10</v>
      </c>
      <c r="F62" s="50">
        <v>45</v>
      </c>
      <c r="G62" s="50">
        <v>0</v>
      </c>
      <c r="H62" s="50">
        <v>5</v>
      </c>
      <c r="I62" s="50">
        <v>5</v>
      </c>
      <c r="J62" s="50">
        <v>0</v>
      </c>
      <c r="K62" s="50">
        <v>0</v>
      </c>
      <c r="L62" s="50">
        <v>0</v>
      </c>
      <c r="M62" s="50">
        <v>75</v>
      </c>
      <c r="N62" s="50">
        <v>0</v>
      </c>
      <c r="O62" s="15">
        <f t="shared" si="0"/>
        <v>165</v>
      </c>
      <c r="P62" s="15">
        <f t="shared" si="1"/>
        <v>240</v>
      </c>
      <c r="R62" s="8"/>
      <c r="T62"/>
    </row>
    <row r="63" spans="2:20" ht="23.1" customHeight="1" x14ac:dyDescent="0.25">
      <c r="B63" s="45" t="s">
        <v>108</v>
      </c>
      <c r="C63" s="50">
        <v>55</v>
      </c>
      <c r="D63" s="50">
        <v>50</v>
      </c>
      <c r="E63" s="50">
        <v>8</v>
      </c>
      <c r="F63" s="50">
        <v>55</v>
      </c>
      <c r="G63" s="50">
        <v>2</v>
      </c>
      <c r="H63" s="50">
        <v>0</v>
      </c>
      <c r="I63" s="50">
        <v>15</v>
      </c>
      <c r="J63" s="50">
        <v>1</v>
      </c>
      <c r="K63" s="50">
        <v>0</v>
      </c>
      <c r="L63" s="50">
        <v>0</v>
      </c>
      <c r="M63" s="50">
        <v>80</v>
      </c>
      <c r="N63" s="50">
        <v>0</v>
      </c>
      <c r="O63" s="15">
        <f t="shared" si="0"/>
        <v>186</v>
      </c>
      <c r="P63" s="15">
        <f t="shared" si="1"/>
        <v>266</v>
      </c>
      <c r="R63" s="8"/>
      <c r="T63"/>
    </row>
    <row r="64" spans="2:20" ht="23.1" customHeight="1" x14ac:dyDescent="0.25">
      <c r="B64" s="45" t="s">
        <v>109</v>
      </c>
      <c r="C64" s="50">
        <v>65</v>
      </c>
      <c r="D64" s="50">
        <v>70</v>
      </c>
      <c r="E64" s="50">
        <v>19</v>
      </c>
      <c r="F64" s="50">
        <v>85</v>
      </c>
      <c r="G64" s="50">
        <v>5</v>
      </c>
      <c r="H64" s="50">
        <v>5</v>
      </c>
      <c r="I64" s="50">
        <v>0</v>
      </c>
      <c r="J64" s="50">
        <v>0</v>
      </c>
      <c r="K64" s="50">
        <v>0</v>
      </c>
      <c r="L64" s="50">
        <v>0</v>
      </c>
      <c r="M64" s="50">
        <v>100</v>
      </c>
      <c r="N64" s="50">
        <v>0</v>
      </c>
      <c r="O64" s="15">
        <f t="shared" si="0"/>
        <v>249</v>
      </c>
      <c r="P64" s="15">
        <f t="shared" si="1"/>
        <v>349</v>
      </c>
      <c r="R64" s="8"/>
      <c r="T64"/>
    </row>
    <row r="65" spans="2:20" ht="23.1" customHeight="1" x14ac:dyDescent="0.25">
      <c r="B65" s="45" t="s">
        <v>158</v>
      </c>
      <c r="C65" s="50">
        <v>75</v>
      </c>
      <c r="D65" s="50">
        <v>90</v>
      </c>
      <c r="E65" s="50">
        <v>10</v>
      </c>
      <c r="F65" s="50">
        <v>90</v>
      </c>
      <c r="G65" s="50">
        <v>1</v>
      </c>
      <c r="H65" s="50">
        <v>0</v>
      </c>
      <c r="I65" s="50">
        <v>15</v>
      </c>
      <c r="J65" s="50">
        <v>0</v>
      </c>
      <c r="K65" s="50">
        <v>0</v>
      </c>
      <c r="L65" s="50">
        <v>1</v>
      </c>
      <c r="M65" s="50">
        <v>100</v>
      </c>
      <c r="N65" s="50">
        <v>0</v>
      </c>
      <c r="O65" s="15">
        <f t="shared" si="0"/>
        <v>282</v>
      </c>
      <c r="P65" s="15">
        <f t="shared" si="1"/>
        <v>382</v>
      </c>
      <c r="R65" s="8"/>
      <c r="T65"/>
    </row>
    <row r="66" spans="2:20" ht="23.1" customHeight="1" x14ac:dyDescent="0.25">
      <c r="B66" s="45" t="s">
        <v>103</v>
      </c>
      <c r="C66" s="50">
        <v>40</v>
      </c>
      <c r="D66" s="50">
        <v>45</v>
      </c>
      <c r="E66" s="50">
        <v>4</v>
      </c>
      <c r="F66" s="50">
        <v>65</v>
      </c>
      <c r="G66" s="50">
        <v>1</v>
      </c>
      <c r="H66" s="50">
        <v>0</v>
      </c>
      <c r="I66" s="50">
        <v>5</v>
      </c>
      <c r="J66" s="50">
        <v>0</v>
      </c>
      <c r="K66" s="50">
        <v>0</v>
      </c>
      <c r="L66" s="50">
        <v>1</v>
      </c>
      <c r="M66" s="50">
        <v>75</v>
      </c>
      <c r="N66" s="50">
        <v>0</v>
      </c>
      <c r="O66" s="15">
        <f t="shared" si="0"/>
        <v>161</v>
      </c>
      <c r="P66" s="15">
        <f t="shared" si="1"/>
        <v>236</v>
      </c>
      <c r="R66" s="8"/>
      <c r="T66"/>
    </row>
    <row r="67" spans="2:20" ht="23.1" customHeight="1" x14ac:dyDescent="0.25">
      <c r="B67" s="45" t="s">
        <v>104</v>
      </c>
      <c r="C67" s="50">
        <v>65</v>
      </c>
      <c r="D67" s="50">
        <v>55</v>
      </c>
      <c r="E67" s="50">
        <v>3</v>
      </c>
      <c r="F67" s="50">
        <v>75</v>
      </c>
      <c r="G67" s="50">
        <v>1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90</v>
      </c>
      <c r="N67" s="50">
        <v>0</v>
      </c>
      <c r="O67" s="15">
        <f t="shared" si="0"/>
        <v>199</v>
      </c>
      <c r="P67" s="15">
        <f t="shared" si="1"/>
        <v>289</v>
      </c>
      <c r="R67" s="8"/>
      <c r="T67"/>
    </row>
    <row r="68" spans="2:20" ht="23.1" customHeight="1" x14ac:dyDescent="0.25">
      <c r="B68" s="45" t="s">
        <v>105</v>
      </c>
      <c r="C68" s="50">
        <v>30</v>
      </c>
      <c r="D68" s="50">
        <v>40</v>
      </c>
      <c r="E68" s="50">
        <v>3</v>
      </c>
      <c r="F68" s="50">
        <v>90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0</v>
      </c>
      <c r="M68" s="50">
        <v>80</v>
      </c>
      <c r="N68" s="50">
        <v>0</v>
      </c>
      <c r="O68" s="15">
        <f t="shared" si="0"/>
        <v>166</v>
      </c>
      <c r="P68" s="15">
        <f t="shared" si="1"/>
        <v>246</v>
      </c>
      <c r="R68" s="8"/>
      <c r="T68"/>
    </row>
    <row r="69" spans="2:20" ht="23.1" customHeight="1" x14ac:dyDescent="0.25">
      <c r="B69" s="45" t="s">
        <v>106</v>
      </c>
      <c r="C69" s="50">
        <v>65</v>
      </c>
      <c r="D69" s="50">
        <v>60</v>
      </c>
      <c r="E69" s="50">
        <v>7</v>
      </c>
      <c r="F69" s="50">
        <v>70</v>
      </c>
      <c r="G69" s="50">
        <v>3</v>
      </c>
      <c r="H69" s="50">
        <v>0</v>
      </c>
      <c r="I69" s="50">
        <v>4</v>
      </c>
      <c r="J69" s="50">
        <v>0</v>
      </c>
      <c r="K69" s="50">
        <v>0</v>
      </c>
      <c r="L69" s="50">
        <v>2</v>
      </c>
      <c r="M69" s="50">
        <v>70</v>
      </c>
      <c r="N69" s="50">
        <v>0</v>
      </c>
      <c r="O69" s="15">
        <f t="shared" si="0"/>
        <v>211</v>
      </c>
      <c r="P69" s="15">
        <f t="shared" si="1"/>
        <v>281</v>
      </c>
      <c r="R69" s="8"/>
      <c r="T69"/>
    </row>
    <row r="70" spans="2:20" ht="23.1" customHeight="1" x14ac:dyDescent="0.25">
      <c r="B70" s="45" t="s">
        <v>110</v>
      </c>
      <c r="C70" s="50">
        <v>50</v>
      </c>
      <c r="D70" s="50">
        <v>45</v>
      </c>
      <c r="E70" s="50">
        <v>2</v>
      </c>
      <c r="F70" s="50">
        <v>20</v>
      </c>
      <c r="G70" s="50">
        <v>2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95</v>
      </c>
      <c r="N70" s="50">
        <v>0</v>
      </c>
      <c r="O70" s="15">
        <f t="shared" si="0"/>
        <v>119</v>
      </c>
      <c r="P70" s="15">
        <f t="shared" si="1"/>
        <v>214</v>
      </c>
      <c r="R70" s="8"/>
      <c r="T70"/>
    </row>
    <row r="71" spans="2:20" ht="23.1" customHeight="1" x14ac:dyDescent="0.25">
      <c r="B71" s="45" t="s">
        <v>111</v>
      </c>
      <c r="C71" s="50">
        <v>75</v>
      </c>
      <c r="D71" s="50">
        <v>70</v>
      </c>
      <c r="E71" s="50">
        <v>4</v>
      </c>
      <c r="F71" s="50">
        <v>75</v>
      </c>
      <c r="G71" s="50">
        <v>1</v>
      </c>
      <c r="H71" s="50">
        <v>0</v>
      </c>
      <c r="I71" s="50">
        <v>5</v>
      </c>
      <c r="J71" s="50">
        <v>0</v>
      </c>
      <c r="K71" s="50">
        <v>0</v>
      </c>
      <c r="L71" s="50">
        <v>0</v>
      </c>
      <c r="M71" s="50">
        <v>100</v>
      </c>
      <c r="N71" s="50">
        <v>0</v>
      </c>
      <c r="O71" s="15">
        <f t="shared" si="0"/>
        <v>230</v>
      </c>
      <c r="P71" s="15">
        <f t="shared" si="1"/>
        <v>330</v>
      </c>
      <c r="R71" s="8"/>
      <c r="T71"/>
    </row>
    <row r="72" spans="2:20" ht="23.1" customHeight="1" x14ac:dyDescent="0.25">
      <c r="B72" s="45" t="s">
        <v>112</v>
      </c>
      <c r="C72" s="50">
        <v>55</v>
      </c>
      <c r="D72" s="50">
        <v>45</v>
      </c>
      <c r="E72" s="50">
        <v>3</v>
      </c>
      <c r="F72" s="50">
        <v>75</v>
      </c>
      <c r="G72" s="50">
        <v>0</v>
      </c>
      <c r="H72" s="50">
        <v>0</v>
      </c>
      <c r="I72" s="50">
        <v>6</v>
      </c>
      <c r="J72" s="50">
        <v>0</v>
      </c>
      <c r="K72" s="50">
        <v>0</v>
      </c>
      <c r="L72" s="50">
        <v>0</v>
      </c>
      <c r="M72" s="50">
        <v>100</v>
      </c>
      <c r="N72" s="50">
        <v>0</v>
      </c>
      <c r="O72" s="15">
        <f t="shared" si="0"/>
        <v>184</v>
      </c>
      <c r="P72" s="15">
        <f t="shared" si="1"/>
        <v>284</v>
      </c>
      <c r="R72" s="8"/>
      <c r="T72"/>
    </row>
    <row r="73" spans="2:20" ht="23.1" customHeight="1" x14ac:dyDescent="0.25">
      <c r="B73" s="45" t="s">
        <v>113</v>
      </c>
      <c r="C73" s="50">
        <v>55</v>
      </c>
      <c r="D73" s="50">
        <v>65</v>
      </c>
      <c r="E73" s="50">
        <v>6</v>
      </c>
      <c r="F73" s="50">
        <v>30</v>
      </c>
      <c r="G73" s="50">
        <v>1</v>
      </c>
      <c r="H73" s="50">
        <v>0</v>
      </c>
      <c r="I73" s="50">
        <v>6</v>
      </c>
      <c r="J73" s="50">
        <v>0</v>
      </c>
      <c r="K73" s="50">
        <v>0</v>
      </c>
      <c r="L73" s="50">
        <v>0</v>
      </c>
      <c r="M73" s="50">
        <v>70</v>
      </c>
      <c r="N73" s="50">
        <v>0</v>
      </c>
      <c r="O73" s="15">
        <f t="shared" si="0"/>
        <v>163</v>
      </c>
      <c r="P73" s="15">
        <f t="shared" si="1"/>
        <v>233</v>
      </c>
      <c r="R73" s="8"/>
      <c r="T73"/>
    </row>
    <row r="74" spans="2:20" ht="23.1" customHeight="1" x14ac:dyDescent="0.25">
      <c r="B74" s="45" t="s">
        <v>114</v>
      </c>
      <c r="C74" s="50">
        <v>60</v>
      </c>
      <c r="D74" s="50">
        <v>62</v>
      </c>
      <c r="E74" s="50">
        <v>7</v>
      </c>
      <c r="F74" s="50">
        <v>70</v>
      </c>
      <c r="G74" s="50">
        <v>0</v>
      </c>
      <c r="H74" s="50">
        <v>0</v>
      </c>
      <c r="I74" s="50">
        <v>6</v>
      </c>
      <c r="J74" s="50">
        <v>5</v>
      </c>
      <c r="K74" s="50">
        <v>1</v>
      </c>
      <c r="L74" s="50">
        <v>0</v>
      </c>
      <c r="M74" s="50">
        <v>80</v>
      </c>
      <c r="N74" s="50">
        <v>0</v>
      </c>
      <c r="O74" s="15">
        <f t="shared" ref="O74:O105" si="35">SUM(C74:L74,N74)</f>
        <v>211</v>
      </c>
      <c r="P74" s="15">
        <f t="shared" ref="P74:P105" si="36">SUM(C74:N74)</f>
        <v>291</v>
      </c>
      <c r="R74" s="8"/>
      <c r="T74"/>
    </row>
    <row r="75" spans="2:20" ht="23.1" customHeight="1" x14ac:dyDescent="0.25">
      <c r="B75" s="45" t="s">
        <v>115</v>
      </c>
      <c r="C75" s="50">
        <v>60</v>
      </c>
      <c r="D75" s="50">
        <v>60</v>
      </c>
      <c r="E75" s="50">
        <v>3</v>
      </c>
      <c r="F75" s="50">
        <v>65</v>
      </c>
      <c r="G75" s="50">
        <v>0</v>
      </c>
      <c r="H75" s="50">
        <v>0</v>
      </c>
      <c r="I75" s="50">
        <v>3</v>
      </c>
      <c r="J75" s="50">
        <v>1</v>
      </c>
      <c r="K75" s="50">
        <v>0</v>
      </c>
      <c r="L75" s="50">
        <v>0</v>
      </c>
      <c r="M75" s="50">
        <v>60</v>
      </c>
      <c r="N75" s="50">
        <v>0</v>
      </c>
      <c r="O75" s="15">
        <f t="shared" si="35"/>
        <v>192</v>
      </c>
      <c r="P75" s="15">
        <f t="shared" si="36"/>
        <v>252</v>
      </c>
      <c r="R75" s="8"/>
      <c r="T75"/>
    </row>
    <row r="76" spans="2:20" ht="23.1" customHeight="1" x14ac:dyDescent="0.25">
      <c r="B76" s="45" t="s">
        <v>116</v>
      </c>
      <c r="C76" s="50">
        <v>60</v>
      </c>
      <c r="D76" s="50">
        <v>55</v>
      </c>
      <c r="E76" s="50">
        <v>5</v>
      </c>
      <c r="F76" s="50">
        <v>50</v>
      </c>
      <c r="G76" s="50">
        <v>0</v>
      </c>
      <c r="H76" s="50">
        <v>0</v>
      </c>
      <c r="I76" s="50">
        <v>3</v>
      </c>
      <c r="J76" s="50">
        <v>1</v>
      </c>
      <c r="K76" s="50">
        <v>0</v>
      </c>
      <c r="L76" s="50">
        <v>0</v>
      </c>
      <c r="M76" s="50">
        <v>60</v>
      </c>
      <c r="N76" s="50">
        <v>0</v>
      </c>
      <c r="O76" s="15">
        <f t="shared" si="35"/>
        <v>174</v>
      </c>
      <c r="P76" s="15">
        <f t="shared" si="36"/>
        <v>234</v>
      </c>
      <c r="R76" s="8"/>
      <c r="T76"/>
    </row>
    <row r="77" spans="2:20" ht="23.1" customHeight="1" x14ac:dyDescent="0.25">
      <c r="B77" s="45" t="s">
        <v>117</v>
      </c>
      <c r="C77" s="50">
        <v>40</v>
      </c>
      <c r="D77" s="50">
        <v>45</v>
      </c>
      <c r="E77" s="50">
        <v>3</v>
      </c>
      <c r="F77" s="50">
        <v>25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60</v>
      </c>
      <c r="N77" s="50">
        <v>0</v>
      </c>
      <c r="O77" s="15">
        <f t="shared" si="35"/>
        <v>115</v>
      </c>
      <c r="P77" s="15">
        <f t="shared" si="36"/>
        <v>175</v>
      </c>
      <c r="R77" s="8"/>
      <c r="T77"/>
    </row>
    <row r="78" spans="2:20" ht="23.1" customHeight="1" x14ac:dyDescent="0.25">
      <c r="B78" s="46" t="s">
        <v>118</v>
      </c>
      <c r="C78" s="50">
        <v>17</v>
      </c>
      <c r="D78" s="50">
        <v>19</v>
      </c>
      <c r="E78" s="50">
        <v>1</v>
      </c>
      <c r="F78" s="50">
        <v>20</v>
      </c>
      <c r="G78" s="50">
        <v>0</v>
      </c>
      <c r="H78" s="50">
        <v>0</v>
      </c>
      <c r="I78" s="50">
        <v>2</v>
      </c>
      <c r="J78" s="50">
        <v>1</v>
      </c>
      <c r="K78" s="50">
        <v>0</v>
      </c>
      <c r="L78" s="50">
        <v>0</v>
      </c>
      <c r="M78" s="50">
        <v>35</v>
      </c>
      <c r="N78" s="50">
        <v>0</v>
      </c>
      <c r="O78" s="15">
        <f t="shared" si="35"/>
        <v>60</v>
      </c>
      <c r="P78" s="15">
        <f t="shared" si="36"/>
        <v>95</v>
      </c>
      <c r="R78" s="8"/>
      <c r="T78"/>
    </row>
    <row r="79" spans="2:20" ht="23.1" customHeight="1" x14ac:dyDescent="0.25">
      <c r="B79" s="45" t="s">
        <v>119</v>
      </c>
      <c r="C79" s="50">
        <v>38</v>
      </c>
      <c r="D79" s="50">
        <v>38</v>
      </c>
      <c r="E79" s="50">
        <v>6</v>
      </c>
      <c r="F79" s="50">
        <v>3</v>
      </c>
      <c r="G79" s="50">
        <v>0</v>
      </c>
      <c r="H79" s="50">
        <v>1</v>
      </c>
      <c r="I79" s="50">
        <v>0</v>
      </c>
      <c r="J79" s="50">
        <v>0</v>
      </c>
      <c r="K79" s="50">
        <v>0</v>
      </c>
      <c r="L79" s="50">
        <v>0</v>
      </c>
      <c r="M79" s="50">
        <v>45</v>
      </c>
      <c r="N79" s="50">
        <v>0</v>
      </c>
      <c r="O79" s="15">
        <f t="shared" si="35"/>
        <v>86</v>
      </c>
      <c r="P79" s="15">
        <f t="shared" si="36"/>
        <v>131</v>
      </c>
      <c r="R79" s="8"/>
      <c r="T79"/>
    </row>
    <row r="80" spans="2:20" ht="23.1" customHeight="1" x14ac:dyDescent="0.25">
      <c r="B80" s="47" t="s">
        <v>120</v>
      </c>
      <c r="C80" s="50">
        <v>25</v>
      </c>
      <c r="D80" s="50">
        <v>10</v>
      </c>
      <c r="E80" s="50">
        <v>0</v>
      </c>
      <c r="F80" s="50">
        <v>9</v>
      </c>
      <c r="G80" s="50">
        <v>0</v>
      </c>
      <c r="H80" s="50">
        <v>1</v>
      </c>
      <c r="I80" s="50">
        <v>2</v>
      </c>
      <c r="J80" s="50">
        <v>0</v>
      </c>
      <c r="K80" s="50">
        <v>0</v>
      </c>
      <c r="L80" s="50">
        <v>0</v>
      </c>
      <c r="M80" s="50">
        <v>35</v>
      </c>
      <c r="N80" s="50">
        <v>0</v>
      </c>
      <c r="O80" s="15">
        <f t="shared" si="35"/>
        <v>47</v>
      </c>
      <c r="P80" s="15">
        <f t="shared" si="36"/>
        <v>82</v>
      </c>
      <c r="R80" s="8"/>
      <c r="T80"/>
    </row>
    <row r="81" spans="2:20" ht="23.1" customHeight="1" x14ac:dyDescent="0.25">
      <c r="B81" s="45" t="s">
        <v>121</v>
      </c>
      <c r="C81" s="50">
        <v>20</v>
      </c>
      <c r="D81" s="50">
        <v>28</v>
      </c>
      <c r="E81" s="50">
        <v>3</v>
      </c>
      <c r="F81" s="50">
        <v>20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57</v>
      </c>
      <c r="N81" s="50">
        <v>0</v>
      </c>
      <c r="O81" s="15">
        <f t="shared" si="35"/>
        <v>72</v>
      </c>
      <c r="P81" s="15">
        <f t="shared" si="36"/>
        <v>129</v>
      </c>
      <c r="R81" s="8"/>
      <c r="T81"/>
    </row>
    <row r="82" spans="2:20" ht="23.1" customHeight="1" x14ac:dyDescent="0.25">
      <c r="B82" s="46" t="s">
        <v>122</v>
      </c>
      <c r="C82" s="50">
        <v>55</v>
      </c>
      <c r="D82" s="50">
        <v>32</v>
      </c>
      <c r="E82" s="50">
        <v>3</v>
      </c>
      <c r="F82" s="50">
        <v>23</v>
      </c>
      <c r="G82" s="50">
        <v>0</v>
      </c>
      <c r="H82" s="50">
        <v>0</v>
      </c>
      <c r="I82" s="50">
        <v>3</v>
      </c>
      <c r="J82" s="50">
        <v>1</v>
      </c>
      <c r="K82" s="50">
        <v>0</v>
      </c>
      <c r="L82" s="50">
        <v>0</v>
      </c>
      <c r="M82" s="50">
        <v>50</v>
      </c>
      <c r="N82" s="50">
        <v>0</v>
      </c>
      <c r="O82" s="15">
        <f t="shared" si="35"/>
        <v>117</v>
      </c>
      <c r="P82" s="15">
        <f t="shared" si="36"/>
        <v>167</v>
      </c>
      <c r="R82" s="8"/>
      <c r="T82"/>
    </row>
    <row r="83" spans="2:20" ht="23.1" customHeight="1" x14ac:dyDescent="0.25">
      <c r="B83" s="45" t="s">
        <v>123</v>
      </c>
      <c r="C83" s="50">
        <v>30</v>
      </c>
      <c r="D83" s="50">
        <v>15</v>
      </c>
      <c r="E83" s="50">
        <v>1</v>
      </c>
      <c r="F83" s="50">
        <v>5</v>
      </c>
      <c r="G83" s="50">
        <v>0</v>
      </c>
      <c r="H83" s="50">
        <v>0</v>
      </c>
      <c r="I83" s="50">
        <v>1</v>
      </c>
      <c r="J83" s="50">
        <v>0</v>
      </c>
      <c r="K83" s="50">
        <v>2</v>
      </c>
      <c r="L83" s="50">
        <v>0</v>
      </c>
      <c r="M83" s="50">
        <v>45</v>
      </c>
      <c r="N83" s="50">
        <v>0</v>
      </c>
      <c r="O83" s="15">
        <f t="shared" si="35"/>
        <v>54</v>
      </c>
      <c r="P83" s="15">
        <f t="shared" si="36"/>
        <v>99</v>
      </c>
      <c r="R83" s="8"/>
      <c r="T83"/>
    </row>
    <row r="84" spans="2:20" ht="23.1" customHeight="1" x14ac:dyDescent="0.25">
      <c r="B84" s="47" t="s">
        <v>124</v>
      </c>
      <c r="C84" s="50">
        <v>25</v>
      </c>
      <c r="D84" s="50">
        <v>26</v>
      </c>
      <c r="E84" s="50">
        <v>10</v>
      </c>
      <c r="F84" s="50">
        <v>25</v>
      </c>
      <c r="G84" s="50">
        <v>1</v>
      </c>
      <c r="H84" s="50">
        <v>0</v>
      </c>
      <c r="I84" s="50">
        <v>3</v>
      </c>
      <c r="J84" s="50">
        <v>0</v>
      </c>
      <c r="K84" s="50">
        <v>0</v>
      </c>
      <c r="L84" s="50">
        <v>0</v>
      </c>
      <c r="M84" s="50">
        <v>33</v>
      </c>
      <c r="N84" s="50">
        <v>0</v>
      </c>
      <c r="O84" s="15">
        <f t="shared" si="35"/>
        <v>90</v>
      </c>
      <c r="P84" s="15">
        <f t="shared" si="36"/>
        <v>123</v>
      </c>
      <c r="R84" s="8"/>
      <c r="T84"/>
    </row>
    <row r="85" spans="2:20" ht="23.1" customHeight="1" x14ac:dyDescent="0.25">
      <c r="B85" s="45" t="s">
        <v>125</v>
      </c>
      <c r="C85" s="50">
        <v>20</v>
      </c>
      <c r="D85" s="50">
        <v>5</v>
      </c>
      <c r="E85" s="50">
        <v>3</v>
      </c>
      <c r="F85" s="50">
        <v>30</v>
      </c>
      <c r="G85" s="50">
        <v>2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35</v>
      </c>
      <c r="N85" s="50">
        <v>0</v>
      </c>
      <c r="O85" s="15">
        <f t="shared" si="35"/>
        <v>60</v>
      </c>
      <c r="P85" s="15">
        <f t="shared" si="36"/>
        <v>95</v>
      </c>
      <c r="R85" s="8"/>
      <c r="T85"/>
    </row>
    <row r="86" spans="2:20" ht="23.1" customHeight="1" x14ac:dyDescent="0.25">
      <c r="B86" s="46" t="s">
        <v>126</v>
      </c>
      <c r="C86" s="50">
        <v>12</v>
      </c>
      <c r="D86" s="50">
        <v>10</v>
      </c>
      <c r="E86" s="50">
        <v>1</v>
      </c>
      <c r="F86" s="50">
        <v>8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</v>
      </c>
      <c r="M86" s="50">
        <v>31</v>
      </c>
      <c r="N86" s="50">
        <v>0</v>
      </c>
      <c r="O86" s="15">
        <f t="shared" si="35"/>
        <v>32</v>
      </c>
      <c r="P86" s="15">
        <f t="shared" si="36"/>
        <v>63</v>
      </c>
      <c r="R86" s="8"/>
      <c r="T86"/>
    </row>
    <row r="87" spans="2:20" ht="23.1" customHeight="1" x14ac:dyDescent="0.25">
      <c r="B87" s="45" t="s">
        <v>127</v>
      </c>
      <c r="C87" s="50">
        <v>13</v>
      </c>
      <c r="D87" s="50">
        <v>11</v>
      </c>
      <c r="E87" s="50">
        <v>2</v>
      </c>
      <c r="F87" s="50">
        <v>7</v>
      </c>
      <c r="G87" s="50">
        <v>0</v>
      </c>
      <c r="H87" s="50">
        <v>0</v>
      </c>
      <c r="I87" s="50">
        <v>0</v>
      </c>
      <c r="J87" s="50">
        <v>2</v>
      </c>
      <c r="K87" s="50">
        <v>0</v>
      </c>
      <c r="L87" s="50">
        <v>0</v>
      </c>
      <c r="M87" s="50">
        <v>22</v>
      </c>
      <c r="N87" s="50">
        <v>0</v>
      </c>
      <c r="O87" s="15">
        <f t="shared" si="35"/>
        <v>35</v>
      </c>
      <c r="P87" s="15">
        <f t="shared" si="36"/>
        <v>57</v>
      </c>
      <c r="R87" s="8"/>
      <c r="T87"/>
    </row>
    <row r="88" spans="2:20" ht="23.1" customHeight="1" x14ac:dyDescent="0.25">
      <c r="B88" s="47" t="s">
        <v>128</v>
      </c>
      <c r="C88" s="50">
        <v>20</v>
      </c>
      <c r="D88" s="50">
        <v>12</v>
      </c>
      <c r="E88" s="50">
        <v>3</v>
      </c>
      <c r="F88" s="50">
        <v>21</v>
      </c>
      <c r="G88" s="50">
        <v>0</v>
      </c>
      <c r="H88" s="50">
        <v>0</v>
      </c>
      <c r="I88" s="50">
        <v>3</v>
      </c>
      <c r="J88" s="50">
        <v>1</v>
      </c>
      <c r="K88" s="50">
        <v>0</v>
      </c>
      <c r="L88" s="50">
        <v>1</v>
      </c>
      <c r="M88" s="50">
        <v>45</v>
      </c>
      <c r="N88" s="50">
        <v>0</v>
      </c>
      <c r="O88" s="15">
        <f t="shared" si="35"/>
        <v>61</v>
      </c>
      <c r="P88" s="15">
        <f t="shared" si="36"/>
        <v>106</v>
      </c>
      <c r="R88" s="8"/>
      <c r="T88"/>
    </row>
    <row r="89" spans="2:20" ht="23.1" customHeight="1" x14ac:dyDescent="0.25">
      <c r="B89" s="45" t="s">
        <v>129</v>
      </c>
      <c r="C89" s="50">
        <v>20</v>
      </c>
      <c r="D89" s="50">
        <v>10</v>
      </c>
      <c r="E89" s="50">
        <v>4</v>
      </c>
      <c r="F89" s="50">
        <v>18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45</v>
      </c>
      <c r="N89" s="50">
        <v>0</v>
      </c>
      <c r="O89" s="15">
        <f t="shared" si="35"/>
        <v>52</v>
      </c>
      <c r="P89" s="15">
        <f t="shared" si="36"/>
        <v>97</v>
      </c>
      <c r="R89" s="8"/>
      <c r="T89"/>
    </row>
    <row r="90" spans="2:20" ht="23.1" customHeight="1" x14ac:dyDescent="0.25">
      <c r="B90" s="46" t="s">
        <v>130</v>
      </c>
      <c r="C90" s="50">
        <v>27</v>
      </c>
      <c r="D90" s="50">
        <v>25</v>
      </c>
      <c r="E90" s="50">
        <v>2</v>
      </c>
      <c r="F90" s="50">
        <v>20</v>
      </c>
      <c r="G90" s="50">
        <v>0</v>
      </c>
      <c r="H90" s="50">
        <v>0</v>
      </c>
      <c r="I90" s="50">
        <v>2</v>
      </c>
      <c r="J90" s="50">
        <v>0</v>
      </c>
      <c r="K90" s="50">
        <v>1</v>
      </c>
      <c r="L90" s="50">
        <v>0</v>
      </c>
      <c r="M90" s="50">
        <v>7</v>
      </c>
      <c r="N90" s="50">
        <v>0</v>
      </c>
      <c r="O90" s="15">
        <f t="shared" si="35"/>
        <v>77</v>
      </c>
      <c r="P90" s="15">
        <f t="shared" si="36"/>
        <v>84</v>
      </c>
      <c r="R90" s="8"/>
      <c r="T90"/>
    </row>
    <row r="91" spans="2:20" ht="23.1" customHeight="1" x14ac:dyDescent="0.25">
      <c r="B91" s="45" t="s">
        <v>131</v>
      </c>
      <c r="C91" s="50">
        <v>21</v>
      </c>
      <c r="D91" s="50">
        <v>12</v>
      </c>
      <c r="E91" s="50">
        <v>1</v>
      </c>
      <c r="F91" s="50">
        <v>11</v>
      </c>
      <c r="G91" s="50">
        <v>0</v>
      </c>
      <c r="H91" s="50">
        <v>0</v>
      </c>
      <c r="I91" s="50">
        <v>0</v>
      </c>
      <c r="J91" s="50">
        <v>0</v>
      </c>
      <c r="K91" s="50">
        <v>2</v>
      </c>
      <c r="L91" s="50">
        <v>0</v>
      </c>
      <c r="M91" s="50">
        <v>11</v>
      </c>
      <c r="N91" s="50">
        <v>0</v>
      </c>
      <c r="O91" s="15">
        <f t="shared" si="35"/>
        <v>47</v>
      </c>
      <c r="P91" s="15">
        <f t="shared" si="36"/>
        <v>58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12</v>
      </c>
      <c r="E92" s="50">
        <v>4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13</v>
      </c>
      <c r="N92" s="50">
        <v>0</v>
      </c>
      <c r="O92" s="15">
        <f t="shared" si="35"/>
        <v>23</v>
      </c>
      <c r="P92" s="15">
        <f t="shared" si="36"/>
        <v>36</v>
      </c>
      <c r="R92" s="8"/>
      <c r="T92"/>
    </row>
    <row r="93" spans="2:20" ht="23.1" customHeight="1" x14ac:dyDescent="0.25">
      <c r="B93" s="45" t="s">
        <v>133</v>
      </c>
      <c r="C93" s="50">
        <v>15</v>
      </c>
      <c r="D93" s="50">
        <v>6</v>
      </c>
      <c r="E93" s="50">
        <v>0</v>
      </c>
      <c r="F93" s="50">
        <v>2</v>
      </c>
      <c r="G93" s="50">
        <v>0</v>
      </c>
      <c r="H93" s="50">
        <v>0</v>
      </c>
      <c r="I93" s="50">
        <v>3</v>
      </c>
      <c r="J93" s="50">
        <v>0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26</v>
      </c>
      <c r="P93" s="15">
        <f t="shared" si="36"/>
        <v>46</v>
      </c>
      <c r="R93" s="8"/>
      <c r="T93"/>
    </row>
    <row r="94" spans="2:20" ht="23.1" customHeight="1" x14ac:dyDescent="0.25">
      <c r="B94" s="46" t="s">
        <v>134</v>
      </c>
      <c r="C94" s="50">
        <v>7</v>
      </c>
      <c r="D94" s="50">
        <v>5</v>
      </c>
      <c r="E94" s="50">
        <v>1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10</v>
      </c>
      <c r="N94" s="50">
        <v>0</v>
      </c>
      <c r="O94" s="15">
        <f t="shared" si="35"/>
        <v>14</v>
      </c>
      <c r="P94" s="15">
        <f t="shared" si="36"/>
        <v>24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7</v>
      </c>
      <c r="E95" s="50">
        <v>0</v>
      </c>
      <c r="F95" s="50">
        <v>2</v>
      </c>
      <c r="G95" s="50">
        <v>0</v>
      </c>
      <c r="H95" s="50">
        <v>0</v>
      </c>
      <c r="I95" s="50">
        <v>1</v>
      </c>
      <c r="J95" s="50">
        <v>3</v>
      </c>
      <c r="K95" s="50">
        <v>0</v>
      </c>
      <c r="L95" s="50">
        <v>0</v>
      </c>
      <c r="M95" s="50">
        <v>21</v>
      </c>
      <c r="N95" s="50">
        <v>0</v>
      </c>
      <c r="O95" s="15">
        <f t="shared" si="35"/>
        <v>20</v>
      </c>
      <c r="P95" s="15">
        <f t="shared" si="36"/>
        <v>41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3</v>
      </c>
      <c r="E96" s="50">
        <v>0</v>
      </c>
      <c r="F96" s="50">
        <v>2</v>
      </c>
      <c r="G96" s="50">
        <v>0</v>
      </c>
      <c r="H96" s="50">
        <v>0</v>
      </c>
      <c r="I96" s="50">
        <v>2</v>
      </c>
      <c r="J96" s="50">
        <v>0</v>
      </c>
      <c r="K96" s="50">
        <v>0</v>
      </c>
      <c r="L96" s="50">
        <v>0</v>
      </c>
      <c r="M96" s="50">
        <v>20</v>
      </c>
      <c r="N96" s="50">
        <v>0</v>
      </c>
      <c r="O96" s="15">
        <f t="shared" si="35"/>
        <v>12</v>
      </c>
      <c r="P96" s="15">
        <f t="shared" si="36"/>
        <v>32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0</v>
      </c>
      <c r="G97" s="50">
        <v>1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18</v>
      </c>
      <c r="N97" s="50">
        <v>0</v>
      </c>
      <c r="O97" s="15">
        <f t="shared" si="35"/>
        <v>6</v>
      </c>
      <c r="P97" s="15">
        <f t="shared" si="36"/>
        <v>24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7</v>
      </c>
      <c r="E98" s="50">
        <v>0</v>
      </c>
      <c r="F98" s="50">
        <v>3</v>
      </c>
      <c r="G98" s="50">
        <v>0</v>
      </c>
      <c r="H98" s="50">
        <v>1</v>
      </c>
      <c r="I98" s="50">
        <v>0</v>
      </c>
      <c r="J98" s="50">
        <v>0</v>
      </c>
      <c r="K98" s="50">
        <v>1</v>
      </c>
      <c r="L98" s="50">
        <v>1</v>
      </c>
      <c r="M98" s="50">
        <v>8</v>
      </c>
      <c r="N98" s="50">
        <v>0</v>
      </c>
      <c r="O98" s="15">
        <f t="shared" si="35"/>
        <v>18</v>
      </c>
      <c r="P98" s="15">
        <f t="shared" si="36"/>
        <v>26</v>
      </c>
      <c r="R98" s="8"/>
      <c r="T98"/>
    </row>
    <row r="99" spans="2:20" ht="23.1" customHeight="1" x14ac:dyDescent="0.25">
      <c r="B99" s="45" t="s">
        <v>139</v>
      </c>
      <c r="C99" s="50">
        <v>6</v>
      </c>
      <c r="D99" s="50">
        <v>2</v>
      </c>
      <c r="E99" s="50">
        <v>2</v>
      </c>
      <c r="F99" s="50">
        <v>19</v>
      </c>
      <c r="G99" s="50">
        <v>0</v>
      </c>
      <c r="H99" s="50">
        <v>1</v>
      </c>
      <c r="I99" s="50">
        <v>3</v>
      </c>
      <c r="J99" s="50">
        <v>0</v>
      </c>
      <c r="K99" s="50">
        <v>0</v>
      </c>
      <c r="L99" s="50">
        <v>0</v>
      </c>
      <c r="M99" s="50">
        <v>16</v>
      </c>
      <c r="N99" s="50">
        <v>0</v>
      </c>
      <c r="O99" s="15">
        <f t="shared" si="35"/>
        <v>33</v>
      </c>
      <c r="P99" s="15">
        <f t="shared" si="36"/>
        <v>49</v>
      </c>
      <c r="R99" s="8"/>
      <c r="T99"/>
    </row>
    <row r="100" spans="2:20" ht="23.1" customHeight="1" x14ac:dyDescent="0.25">
      <c r="B100" s="47" t="s">
        <v>140</v>
      </c>
      <c r="C100" s="50">
        <v>13</v>
      </c>
      <c r="D100" s="50">
        <v>3</v>
      </c>
      <c r="E100" s="50">
        <v>4</v>
      </c>
      <c r="F100" s="50">
        <v>8</v>
      </c>
      <c r="G100" s="50">
        <v>1</v>
      </c>
      <c r="H100" s="50">
        <v>0</v>
      </c>
      <c r="I100" s="50">
        <v>5</v>
      </c>
      <c r="J100" s="50">
        <v>0</v>
      </c>
      <c r="K100" s="50">
        <v>2</v>
      </c>
      <c r="L100" s="50">
        <v>0</v>
      </c>
      <c r="M100" s="50">
        <v>15</v>
      </c>
      <c r="N100" s="50">
        <v>0</v>
      </c>
      <c r="O100" s="15">
        <f t="shared" si="35"/>
        <v>36</v>
      </c>
      <c r="P100" s="15">
        <f t="shared" si="36"/>
        <v>51</v>
      </c>
      <c r="R100" s="8"/>
      <c r="T100"/>
    </row>
    <row r="101" spans="2:20" ht="23.1" customHeight="1" x14ac:dyDescent="0.25">
      <c r="B101" s="45" t="s">
        <v>141</v>
      </c>
      <c r="C101" s="50">
        <v>7</v>
      </c>
      <c r="D101" s="50">
        <v>2</v>
      </c>
      <c r="E101" s="50">
        <v>2</v>
      </c>
      <c r="F101" s="50">
        <v>10</v>
      </c>
      <c r="G101" s="50">
        <v>0</v>
      </c>
      <c r="H101" s="50">
        <v>0</v>
      </c>
      <c r="I101" s="50">
        <v>2</v>
      </c>
      <c r="J101" s="50">
        <v>2</v>
      </c>
      <c r="K101" s="50">
        <v>0</v>
      </c>
      <c r="L101" s="50">
        <v>0</v>
      </c>
      <c r="M101" s="50">
        <v>33</v>
      </c>
      <c r="N101" s="50">
        <v>0</v>
      </c>
      <c r="O101" s="15">
        <f t="shared" si="35"/>
        <v>25</v>
      </c>
      <c r="P101" s="15">
        <f t="shared" si="36"/>
        <v>58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5</v>
      </c>
      <c r="E102" s="50">
        <v>3</v>
      </c>
      <c r="F102" s="50">
        <v>25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1</v>
      </c>
      <c r="M102" s="50">
        <v>20</v>
      </c>
      <c r="N102" s="50">
        <v>0</v>
      </c>
      <c r="O102" s="15">
        <f t="shared" si="35"/>
        <v>42</v>
      </c>
      <c r="P102" s="15">
        <f t="shared" si="36"/>
        <v>62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5</v>
      </c>
      <c r="E103" s="50">
        <v>15</v>
      </c>
      <c r="F103" s="50">
        <v>9</v>
      </c>
      <c r="G103" s="50">
        <v>1</v>
      </c>
      <c r="H103" s="50">
        <v>0</v>
      </c>
      <c r="I103" s="50">
        <v>3</v>
      </c>
      <c r="J103" s="50">
        <v>0</v>
      </c>
      <c r="K103" s="50">
        <v>0</v>
      </c>
      <c r="L103" s="50">
        <v>2</v>
      </c>
      <c r="M103" s="50">
        <v>32</v>
      </c>
      <c r="N103" s="50">
        <v>0</v>
      </c>
      <c r="O103" s="15">
        <f t="shared" si="35"/>
        <v>39</v>
      </c>
      <c r="P103" s="15">
        <f t="shared" si="36"/>
        <v>71</v>
      </c>
      <c r="R103" s="8"/>
      <c r="T103"/>
    </row>
    <row r="104" spans="2:20" ht="23.1" customHeight="1" x14ac:dyDescent="0.25">
      <c r="B104" s="47" t="s">
        <v>144</v>
      </c>
      <c r="C104" s="50">
        <v>16</v>
      </c>
      <c r="D104" s="50">
        <v>7</v>
      </c>
      <c r="E104" s="50">
        <v>5</v>
      </c>
      <c r="F104" s="50">
        <v>23</v>
      </c>
      <c r="G104" s="50">
        <v>0</v>
      </c>
      <c r="H104" s="50">
        <v>0</v>
      </c>
      <c r="I104" s="50">
        <v>3</v>
      </c>
      <c r="J104" s="50">
        <v>0</v>
      </c>
      <c r="K104" s="50">
        <v>0</v>
      </c>
      <c r="L104" s="50">
        <v>1</v>
      </c>
      <c r="M104" s="50">
        <v>55</v>
      </c>
      <c r="N104" s="50">
        <v>0</v>
      </c>
      <c r="O104" s="15">
        <f t="shared" si="35"/>
        <v>55</v>
      </c>
      <c r="P104" s="15">
        <f t="shared" si="36"/>
        <v>110</v>
      </c>
      <c r="R104" s="8"/>
      <c r="T104"/>
    </row>
    <row r="105" spans="2:20" ht="23.1" customHeight="1" x14ac:dyDescent="0.25">
      <c r="B105" s="45" t="s">
        <v>145</v>
      </c>
      <c r="C105" s="50">
        <v>25</v>
      </c>
      <c r="D105" s="50">
        <v>20</v>
      </c>
      <c r="E105" s="50">
        <v>5</v>
      </c>
      <c r="F105" s="50">
        <v>28</v>
      </c>
      <c r="G105" s="50">
        <v>0</v>
      </c>
      <c r="H105" s="50">
        <v>0</v>
      </c>
      <c r="I105" s="50">
        <v>5</v>
      </c>
      <c r="J105" s="50">
        <v>0</v>
      </c>
      <c r="K105" s="50">
        <v>0</v>
      </c>
      <c r="L105" s="50">
        <v>0</v>
      </c>
      <c r="M105" s="50">
        <v>60</v>
      </c>
      <c r="N105" s="50">
        <v>0</v>
      </c>
      <c r="O105" s="15">
        <f t="shared" si="35"/>
        <v>83</v>
      </c>
      <c r="P105" s="15">
        <f t="shared" si="36"/>
        <v>143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4107</v>
      </c>
      <c r="D106" s="16">
        <f t="shared" ref="D106:P106" si="37">SUM(D10:D105)</f>
        <v>2939</v>
      </c>
      <c r="E106" s="16">
        <f t="shared" si="37"/>
        <v>1316</v>
      </c>
      <c r="F106" s="16">
        <f t="shared" si="37"/>
        <v>3607</v>
      </c>
      <c r="G106" s="16">
        <f t="shared" si="37"/>
        <v>187</v>
      </c>
      <c r="H106" s="16">
        <f t="shared" si="37"/>
        <v>29</v>
      </c>
      <c r="I106" s="16">
        <f t="shared" si="37"/>
        <v>1197</v>
      </c>
      <c r="J106" s="16">
        <f t="shared" si="37"/>
        <v>468</v>
      </c>
      <c r="K106" s="16">
        <f t="shared" si="37"/>
        <v>182</v>
      </c>
      <c r="L106" s="16">
        <f t="shared" si="37"/>
        <v>93</v>
      </c>
      <c r="M106" s="16">
        <f t="shared" si="37"/>
        <v>5872</v>
      </c>
      <c r="N106" s="16">
        <f t="shared" si="37"/>
        <v>0</v>
      </c>
      <c r="O106" s="16">
        <f t="shared" si="37"/>
        <v>14125</v>
      </c>
      <c r="P106" s="16">
        <f t="shared" si="37"/>
        <v>19997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0.20538080712106815</v>
      </c>
      <c r="D107" s="43">
        <f t="shared" si="38"/>
        <v>0.14697204580687104</v>
      </c>
      <c r="E107" s="43">
        <f t="shared" si="38"/>
        <v>6.5809871480722107E-2</v>
      </c>
      <c r="F107" s="43">
        <f t="shared" si="38"/>
        <v>0.18037705655848377</v>
      </c>
      <c r="G107" s="43">
        <f t="shared" si="38"/>
        <v>9.3514027104065617E-3</v>
      </c>
      <c r="H107" s="43">
        <f t="shared" si="38"/>
        <v>1.4502175326298946E-3</v>
      </c>
      <c r="I107" s="43">
        <f t="shared" si="38"/>
        <v>5.9858978846827025E-2</v>
      </c>
      <c r="J107" s="43">
        <f t="shared" si="38"/>
        <v>2.3403510526578988E-2</v>
      </c>
      <c r="K107" s="43">
        <f t="shared" si="38"/>
        <v>9.1013652047807168E-3</v>
      </c>
      <c r="L107" s="43">
        <f t="shared" si="38"/>
        <v>4.6506976046406965E-3</v>
      </c>
      <c r="M107" s="43">
        <f t="shared" si="38"/>
        <v>0.29364404660699106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0.29076106194690265</v>
      </c>
      <c r="D108" s="44">
        <f t="shared" ref="D108:N108" si="39">D106/$O$106</f>
        <v>0.20807079646017698</v>
      </c>
      <c r="E108" s="44">
        <f t="shared" si="39"/>
        <v>9.3168141592920348E-2</v>
      </c>
      <c r="F108" s="44">
        <f t="shared" si="39"/>
        <v>0.25536283185840708</v>
      </c>
      <c r="G108" s="44">
        <f t="shared" si="39"/>
        <v>1.3238938053097345E-2</v>
      </c>
      <c r="H108" s="44">
        <f t="shared" si="39"/>
        <v>2.0530973451327434E-3</v>
      </c>
      <c r="I108" s="44">
        <f t="shared" si="39"/>
        <v>8.4743362831858404E-2</v>
      </c>
      <c r="J108" s="44">
        <f t="shared" si="39"/>
        <v>3.3132743362831861E-2</v>
      </c>
      <c r="K108" s="44">
        <f t="shared" si="39"/>
        <v>1.288495575221239E-2</v>
      </c>
      <c r="L108" s="44">
        <f t="shared" si="39"/>
        <v>6.5840707964601774E-3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S98" sqref="S9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Kampala-Wakiso-24h'!D5</f>
        <v>27.07.19</v>
      </c>
      <c r="E5" s="3"/>
      <c r="F5" s="41" t="s">
        <v>1</v>
      </c>
      <c r="G5" s="66" t="str">
        <f>'27.07 Kampala-Wakiso-24h'!G5:H5</f>
        <v>AFTER STABEX NANSANA</v>
      </c>
      <c r="H5" s="67"/>
      <c r="I5" s="14"/>
      <c r="J5" s="2" t="s">
        <v>5</v>
      </c>
      <c r="K5" s="66" t="str">
        <f>'27.07 Kampala-Wakiso-24h'!K5:L5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Wakiso-Kampala'!D6:E6</f>
        <v>Wakiso</v>
      </c>
      <c r="E6" s="67"/>
      <c r="F6" s="2" t="s">
        <v>2</v>
      </c>
      <c r="G6" s="66" t="str">
        <f>'22.07 Wakiso-Kampala'!G6:H6</f>
        <v>Kampala</v>
      </c>
      <c r="H6" s="67"/>
      <c r="J6" s="2" t="s">
        <v>21</v>
      </c>
      <c r="K6" s="66" t="str">
        <f>'27.07 Kampala-Wakiso-24h'!K6:L6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16</v>
      </c>
      <c r="D10" s="50">
        <v>4</v>
      </c>
      <c r="E10" s="50">
        <v>6</v>
      </c>
      <c r="F10" s="50">
        <v>17</v>
      </c>
      <c r="G10" s="50">
        <v>0</v>
      </c>
      <c r="H10" s="50">
        <v>0</v>
      </c>
      <c r="I10" s="50">
        <v>4</v>
      </c>
      <c r="J10" s="50">
        <v>3</v>
      </c>
      <c r="K10" s="50">
        <v>0</v>
      </c>
      <c r="L10" s="50">
        <v>0</v>
      </c>
      <c r="M10" s="50">
        <v>50</v>
      </c>
      <c r="N10" s="50">
        <v>0</v>
      </c>
      <c r="O10" s="15">
        <f t="shared" ref="O10:O73" si="0">SUM(C10:L10,N10)</f>
        <v>50</v>
      </c>
      <c r="P10" s="15">
        <f t="shared" ref="P10:P73" si="1">SUM(C10:N10)</f>
        <v>100</v>
      </c>
      <c r="R10" s="1" t="s">
        <v>6</v>
      </c>
      <c r="S10" s="17">
        <f t="shared" ref="S10:AF10" si="2">SUM(C10:C13)</f>
        <v>163</v>
      </c>
      <c r="T10" s="17">
        <f t="shared" si="2"/>
        <v>45</v>
      </c>
      <c r="U10" s="17">
        <f t="shared" si="2"/>
        <v>19</v>
      </c>
      <c r="V10" s="17">
        <f t="shared" si="2"/>
        <v>153</v>
      </c>
      <c r="W10" s="17">
        <f t="shared" si="2"/>
        <v>6</v>
      </c>
      <c r="X10" s="17">
        <f t="shared" si="2"/>
        <v>3</v>
      </c>
      <c r="Y10" s="17">
        <f t="shared" si="2"/>
        <v>21</v>
      </c>
      <c r="Z10" s="17">
        <f t="shared" si="2"/>
        <v>21</v>
      </c>
      <c r="AA10" s="17">
        <f t="shared" si="2"/>
        <v>2</v>
      </c>
      <c r="AB10" s="17">
        <f t="shared" si="2"/>
        <v>0</v>
      </c>
      <c r="AC10" s="17">
        <f t="shared" si="2"/>
        <v>275</v>
      </c>
      <c r="AD10" s="17">
        <f t="shared" si="2"/>
        <v>0</v>
      </c>
      <c r="AE10" s="31">
        <f t="shared" si="2"/>
        <v>433</v>
      </c>
      <c r="AF10" s="31">
        <f t="shared" si="2"/>
        <v>708</v>
      </c>
    </row>
    <row r="11" spans="2:32" s="6" customFormat="1" ht="23.1" customHeight="1" x14ac:dyDescent="0.25">
      <c r="B11" s="45" t="s">
        <v>38</v>
      </c>
      <c r="C11" s="50">
        <v>25</v>
      </c>
      <c r="D11" s="50">
        <v>10</v>
      </c>
      <c r="E11" s="50">
        <v>3</v>
      </c>
      <c r="F11" s="50">
        <v>35</v>
      </c>
      <c r="G11" s="50">
        <v>2</v>
      </c>
      <c r="H11" s="50">
        <v>3</v>
      </c>
      <c r="I11" s="50">
        <v>3</v>
      </c>
      <c r="J11" s="50">
        <v>3</v>
      </c>
      <c r="K11" s="50">
        <v>0</v>
      </c>
      <c r="L11" s="50">
        <v>0</v>
      </c>
      <c r="M11" s="50">
        <v>40</v>
      </c>
      <c r="N11" s="50">
        <v>0</v>
      </c>
      <c r="O11" s="15">
        <f t="shared" si="0"/>
        <v>84</v>
      </c>
      <c r="P11" s="15">
        <f t="shared" si="1"/>
        <v>124</v>
      </c>
      <c r="R11" s="1" t="s">
        <v>7</v>
      </c>
      <c r="S11" s="17">
        <f t="shared" ref="S11:AF11" si="3">SUM(C14:C17)</f>
        <v>183</v>
      </c>
      <c r="T11" s="17">
        <f t="shared" si="3"/>
        <v>88</v>
      </c>
      <c r="U11" s="17">
        <f t="shared" si="3"/>
        <v>75</v>
      </c>
      <c r="V11" s="17">
        <f t="shared" si="3"/>
        <v>78</v>
      </c>
      <c r="W11" s="17">
        <f t="shared" si="3"/>
        <v>0</v>
      </c>
      <c r="X11" s="17">
        <f t="shared" si="3"/>
        <v>12</v>
      </c>
      <c r="Y11" s="17">
        <f t="shared" si="3"/>
        <v>34</v>
      </c>
      <c r="Z11" s="17">
        <f t="shared" si="3"/>
        <v>45</v>
      </c>
      <c r="AA11" s="17">
        <f t="shared" si="3"/>
        <v>1</v>
      </c>
      <c r="AB11" s="17">
        <f t="shared" si="3"/>
        <v>1</v>
      </c>
      <c r="AC11" s="17">
        <f t="shared" si="3"/>
        <v>295</v>
      </c>
      <c r="AD11" s="17">
        <f t="shared" si="3"/>
        <v>0</v>
      </c>
      <c r="AE11" s="31">
        <f t="shared" si="3"/>
        <v>517</v>
      </c>
      <c r="AF11" s="31">
        <f t="shared" si="3"/>
        <v>812</v>
      </c>
    </row>
    <row r="12" spans="2:32" ht="23.1" customHeight="1" x14ac:dyDescent="0.25">
      <c r="B12" s="45" t="s">
        <v>39</v>
      </c>
      <c r="C12" s="50">
        <v>75</v>
      </c>
      <c r="D12" s="50">
        <v>21</v>
      </c>
      <c r="E12" s="50">
        <v>6</v>
      </c>
      <c r="F12" s="50">
        <v>61</v>
      </c>
      <c r="G12" s="50">
        <v>2</v>
      </c>
      <c r="H12" s="50">
        <v>0</v>
      </c>
      <c r="I12" s="50">
        <v>7</v>
      </c>
      <c r="J12" s="50">
        <v>10</v>
      </c>
      <c r="K12" s="50">
        <v>0</v>
      </c>
      <c r="L12" s="50">
        <v>0</v>
      </c>
      <c r="M12" s="50">
        <v>115</v>
      </c>
      <c r="N12" s="50">
        <v>0</v>
      </c>
      <c r="O12" s="15">
        <f t="shared" si="0"/>
        <v>182</v>
      </c>
      <c r="P12" s="15">
        <f t="shared" si="1"/>
        <v>297</v>
      </c>
      <c r="R12" s="1" t="s">
        <v>8</v>
      </c>
      <c r="S12" s="17">
        <f t="shared" ref="S12:AF12" si="4">SUM(C18:C21)</f>
        <v>252</v>
      </c>
      <c r="T12" s="17">
        <f t="shared" si="4"/>
        <v>128</v>
      </c>
      <c r="U12" s="17">
        <f t="shared" si="4"/>
        <v>94</v>
      </c>
      <c r="V12" s="17">
        <f t="shared" si="4"/>
        <v>214</v>
      </c>
      <c r="W12" s="17">
        <f t="shared" si="4"/>
        <v>8</v>
      </c>
      <c r="X12" s="17">
        <f t="shared" si="4"/>
        <v>4</v>
      </c>
      <c r="Y12" s="17">
        <f t="shared" si="4"/>
        <v>42</v>
      </c>
      <c r="Z12" s="17">
        <f t="shared" si="4"/>
        <v>57</v>
      </c>
      <c r="AA12" s="17">
        <f t="shared" si="4"/>
        <v>4</v>
      </c>
      <c r="AB12" s="17">
        <f t="shared" si="4"/>
        <v>4</v>
      </c>
      <c r="AC12" s="17">
        <f t="shared" si="4"/>
        <v>302</v>
      </c>
      <c r="AD12" s="17">
        <f t="shared" si="4"/>
        <v>0</v>
      </c>
      <c r="AE12" s="31">
        <f t="shared" si="4"/>
        <v>807</v>
      </c>
      <c r="AF12" s="31">
        <f t="shared" si="4"/>
        <v>1109</v>
      </c>
    </row>
    <row r="13" spans="2:32" ht="23.1" customHeight="1" x14ac:dyDescent="0.25">
      <c r="B13" s="45" t="s">
        <v>40</v>
      </c>
      <c r="C13" s="50">
        <v>47</v>
      </c>
      <c r="D13" s="50">
        <v>10</v>
      </c>
      <c r="E13" s="50">
        <v>4</v>
      </c>
      <c r="F13" s="50">
        <v>40</v>
      </c>
      <c r="G13" s="50">
        <v>2</v>
      </c>
      <c r="H13" s="50">
        <v>0</v>
      </c>
      <c r="I13" s="50">
        <v>7</v>
      </c>
      <c r="J13" s="50">
        <v>5</v>
      </c>
      <c r="K13" s="50">
        <v>2</v>
      </c>
      <c r="L13" s="50">
        <v>0</v>
      </c>
      <c r="M13" s="50">
        <v>70</v>
      </c>
      <c r="N13" s="50">
        <v>0</v>
      </c>
      <c r="O13" s="15">
        <f t="shared" si="0"/>
        <v>117</v>
      </c>
      <c r="P13" s="15">
        <f t="shared" si="1"/>
        <v>187</v>
      </c>
      <c r="R13" s="1" t="s">
        <v>9</v>
      </c>
      <c r="S13" s="17">
        <f t="shared" ref="S13:AF13" si="5">SUM(C22:C25)</f>
        <v>250</v>
      </c>
      <c r="T13" s="17">
        <f t="shared" si="5"/>
        <v>156</v>
      </c>
      <c r="U13" s="17">
        <f t="shared" si="5"/>
        <v>36</v>
      </c>
      <c r="V13" s="17">
        <f t="shared" si="5"/>
        <v>143</v>
      </c>
      <c r="W13" s="17">
        <f t="shared" si="5"/>
        <v>7</v>
      </c>
      <c r="X13" s="17">
        <f t="shared" si="5"/>
        <v>8</v>
      </c>
      <c r="Y13" s="17">
        <f t="shared" si="5"/>
        <v>50</v>
      </c>
      <c r="Z13" s="17">
        <f t="shared" si="5"/>
        <v>51</v>
      </c>
      <c r="AA13" s="17">
        <f t="shared" si="5"/>
        <v>2</v>
      </c>
      <c r="AB13" s="17">
        <f t="shared" si="5"/>
        <v>2</v>
      </c>
      <c r="AC13" s="17">
        <f t="shared" si="5"/>
        <v>311</v>
      </c>
      <c r="AD13" s="17">
        <f t="shared" si="5"/>
        <v>0</v>
      </c>
      <c r="AE13" s="31">
        <f t="shared" si="5"/>
        <v>705</v>
      </c>
      <c r="AF13" s="31">
        <f t="shared" si="5"/>
        <v>1016</v>
      </c>
    </row>
    <row r="14" spans="2:32" ht="23.1" customHeight="1" x14ac:dyDescent="0.25">
      <c r="B14" s="45" t="s">
        <v>41</v>
      </c>
      <c r="C14" s="50">
        <v>35</v>
      </c>
      <c r="D14" s="50">
        <v>20</v>
      </c>
      <c r="E14" s="50">
        <v>1</v>
      </c>
      <c r="F14" s="50">
        <v>25</v>
      </c>
      <c r="G14" s="50">
        <v>0</v>
      </c>
      <c r="H14" s="50">
        <v>0</v>
      </c>
      <c r="I14" s="50">
        <v>9</v>
      </c>
      <c r="J14" s="50">
        <v>10</v>
      </c>
      <c r="K14" s="50">
        <v>0</v>
      </c>
      <c r="L14" s="50">
        <v>0</v>
      </c>
      <c r="M14" s="50">
        <v>60</v>
      </c>
      <c r="N14" s="50">
        <v>0</v>
      </c>
      <c r="O14" s="15">
        <f t="shared" si="0"/>
        <v>100</v>
      </c>
      <c r="P14" s="15">
        <f t="shared" si="1"/>
        <v>160</v>
      </c>
      <c r="R14" s="1" t="s">
        <v>10</v>
      </c>
      <c r="S14" s="17">
        <f t="shared" ref="S14:AF14" si="6">SUM(C26:C29)</f>
        <v>242</v>
      </c>
      <c r="T14" s="17">
        <f t="shared" si="6"/>
        <v>125</v>
      </c>
      <c r="U14" s="17">
        <f t="shared" si="6"/>
        <v>84</v>
      </c>
      <c r="V14" s="17">
        <f t="shared" si="6"/>
        <v>182</v>
      </c>
      <c r="W14" s="17">
        <f t="shared" si="6"/>
        <v>3</v>
      </c>
      <c r="X14" s="17">
        <f t="shared" si="6"/>
        <v>1</v>
      </c>
      <c r="Y14" s="17">
        <f t="shared" si="6"/>
        <v>23</v>
      </c>
      <c r="Z14" s="17">
        <f t="shared" si="6"/>
        <v>56</v>
      </c>
      <c r="AA14" s="17">
        <f t="shared" si="6"/>
        <v>4</v>
      </c>
      <c r="AB14" s="17">
        <f t="shared" si="6"/>
        <v>2</v>
      </c>
      <c r="AC14" s="17">
        <f t="shared" si="6"/>
        <v>252</v>
      </c>
      <c r="AD14" s="17">
        <f t="shared" si="6"/>
        <v>0</v>
      </c>
      <c r="AE14" s="31">
        <f t="shared" si="6"/>
        <v>722</v>
      </c>
      <c r="AF14" s="31">
        <f t="shared" si="6"/>
        <v>974</v>
      </c>
    </row>
    <row r="15" spans="2:32" ht="23.1" customHeight="1" x14ac:dyDescent="0.25">
      <c r="B15" s="45" t="s">
        <v>42</v>
      </c>
      <c r="C15" s="50">
        <v>45</v>
      </c>
      <c r="D15" s="50">
        <v>13</v>
      </c>
      <c r="E15" s="50">
        <v>4</v>
      </c>
      <c r="F15" s="50">
        <v>51</v>
      </c>
      <c r="G15" s="50">
        <v>0</v>
      </c>
      <c r="H15" s="50">
        <v>0</v>
      </c>
      <c r="I15" s="50">
        <v>0</v>
      </c>
      <c r="J15" s="50">
        <v>17</v>
      </c>
      <c r="K15" s="50">
        <v>0</v>
      </c>
      <c r="L15" s="50">
        <v>0</v>
      </c>
      <c r="M15" s="50">
        <v>95</v>
      </c>
      <c r="N15" s="50">
        <v>0</v>
      </c>
      <c r="O15" s="15">
        <f t="shared" si="0"/>
        <v>130</v>
      </c>
      <c r="P15" s="15">
        <f t="shared" si="1"/>
        <v>225</v>
      </c>
      <c r="R15" s="1" t="s">
        <v>11</v>
      </c>
      <c r="S15" s="17">
        <f t="shared" ref="S15:AF15" si="7">SUM(C30:C33)</f>
        <v>163</v>
      </c>
      <c r="T15" s="17">
        <f t="shared" si="7"/>
        <v>48</v>
      </c>
      <c r="U15" s="17">
        <f t="shared" si="7"/>
        <v>12</v>
      </c>
      <c r="V15" s="17">
        <f t="shared" si="7"/>
        <v>96</v>
      </c>
      <c r="W15" s="17">
        <f t="shared" si="7"/>
        <v>0</v>
      </c>
      <c r="X15" s="17">
        <f t="shared" si="7"/>
        <v>1</v>
      </c>
      <c r="Y15" s="17">
        <f t="shared" si="7"/>
        <v>18</v>
      </c>
      <c r="Z15" s="17">
        <f t="shared" si="7"/>
        <v>34</v>
      </c>
      <c r="AA15" s="17">
        <f t="shared" si="7"/>
        <v>5</v>
      </c>
      <c r="AB15" s="17">
        <f t="shared" si="7"/>
        <v>1</v>
      </c>
      <c r="AC15" s="17">
        <f t="shared" si="7"/>
        <v>248</v>
      </c>
      <c r="AD15" s="17">
        <f t="shared" si="7"/>
        <v>0</v>
      </c>
      <c r="AE15" s="31">
        <f t="shared" si="7"/>
        <v>378</v>
      </c>
      <c r="AF15" s="31">
        <f t="shared" si="7"/>
        <v>626</v>
      </c>
    </row>
    <row r="16" spans="2:32" ht="23.1" customHeight="1" x14ac:dyDescent="0.25">
      <c r="B16" s="45" t="s">
        <v>43</v>
      </c>
      <c r="C16" s="50">
        <v>60</v>
      </c>
      <c r="D16" s="50">
        <v>33</v>
      </c>
      <c r="E16" s="50">
        <v>36</v>
      </c>
      <c r="F16" s="50">
        <v>2</v>
      </c>
      <c r="G16" s="50">
        <v>0</v>
      </c>
      <c r="H16" s="50">
        <v>1</v>
      </c>
      <c r="I16" s="50">
        <v>8</v>
      </c>
      <c r="J16" s="50">
        <v>17</v>
      </c>
      <c r="K16" s="50">
        <v>0</v>
      </c>
      <c r="L16" s="50">
        <v>0</v>
      </c>
      <c r="M16" s="50">
        <v>58</v>
      </c>
      <c r="N16" s="50">
        <v>0</v>
      </c>
      <c r="O16" s="15">
        <f t="shared" si="0"/>
        <v>157</v>
      </c>
      <c r="P16" s="15">
        <f t="shared" si="1"/>
        <v>215</v>
      </c>
      <c r="R16" s="1" t="s">
        <v>12</v>
      </c>
      <c r="S16" s="17">
        <f t="shared" ref="S16:AF16" si="8">SUM(C34:C37)</f>
        <v>212</v>
      </c>
      <c r="T16" s="17">
        <f t="shared" si="8"/>
        <v>118</v>
      </c>
      <c r="U16" s="17">
        <f t="shared" si="8"/>
        <v>7</v>
      </c>
      <c r="V16" s="17">
        <f t="shared" si="8"/>
        <v>170</v>
      </c>
      <c r="W16" s="17">
        <f t="shared" si="8"/>
        <v>0</v>
      </c>
      <c r="X16" s="17">
        <f t="shared" si="8"/>
        <v>2</v>
      </c>
      <c r="Y16" s="17">
        <f t="shared" si="8"/>
        <v>30</v>
      </c>
      <c r="Z16" s="17">
        <f t="shared" si="8"/>
        <v>44</v>
      </c>
      <c r="AA16" s="17">
        <f t="shared" si="8"/>
        <v>4</v>
      </c>
      <c r="AB16" s="17">
        <f t="shared" si="8"/>
        <v>3</v>
      </c>
      <c r="AC16" s="17">
        <f t="shared" si="8"/>
        <v>256</v>
      </c>
      <c r="AD16" s="17">
        <f t="shared" si="8"/>
        <v>0</v>
      </c>
      <c r="AE16" s="31">
        <f t="shared" si="8"/>
        <v>590</v>
      </c>
      <c r="AF16" s="31">
        <f t="shared" si="8"/>
        <v>846</v>
      </c>
    </row>
    <row r="17" spans="2:32" ht="23.1" customHeight="1" x14ac:dyDescent="0.25">
      <c r="B17" s="45" t="s">
        <v>44</v>
      </c>
      <c r="C17" s="50">
        <v>43</v>
      </c>
      <c r="D17" s="50">
        <v>22</v>
      </c>
      <c r="E17" s="50">
        <v>34</v>
      </c>
      <c r="F17" s="50">
        <v>0</v>
      </c>
      <c r="G17" s="50">
        <v>0</v>
      </c>
      <c r="H17" s="50">
        <v>11</v>
      </c>
      <c r="I17" s="50">
        <v>17</v>
      </c>
      <c r="J17" s="50">
        <v>1</v>
      </c>
      <c r="K17" s="50">
        <v>1</v>
      </c>
      <c r="L17" s="50">
        <v>1</v>
      </c>
      <c r="M17" s="50">
        <v>82</v>
      </c>
      <c r="N17" s="50">
        <v>0</v>
      </c>
      <c r="O17" s="15">
        <f t="shared" si="0"/>
        <v>130</v>
      </c>
      <c r="P17" s="15">
        <f t="shared" si="1"/>
        <v>212</v>
      </c>
      <c r="R17" s="1" t="s">
        <v>13</v>
      </c>
      <c r="S17" s="17">
        <f t="shared" ref="S17:AF17" si="9">SUM(C38:C41)</f>
        <v>178</v>
      </c>
      <c r="T17" s="17">
        <f t="shared" si="9"/>
        <v>134</v>
      </c>
      <c r="U17" s="17">
        <f t="shared" si="9"/>
        <v>7</v>
      </c>
      <c r="V17" s="17">
        <f t="shared" si="9"/>
        <v>173</v>
      </c>
      <c r="W17" s="17">
        <f t="shared" si="9"/>
        <v>0</v>
      </c>
      <c r="X17" s="17">
        <f t="shared" si="9"/>
        <v>0</v>
      </c>
      <c r="Y17" s="17">
        <f t="shared" si="9"/>
        <v>28</v>
      </c>
      <c r="Z17" s="17">
        <f t="shared" si="9"/>
        <v>41</v>
      </c>
      <c r="AA17" s="17">
        <f t="shared" si="9"/>
        <v>4</v>
      </c>
      <c r="AB17" s="17">
        <f t="shared" si="9"/>
        <v>1</v>
      </c>
      <c r="AC17" s="17">
        <f t="shared" si="9"/>
        <v>190</v>
      </c>
      <c r="AD17" s="17">
        <f t="shared" si="9"/>
        <v>0</v>
      </c>
      <c r="AE17" s="31">
        <f t="shared" si="9"/>
        <v>566</v>
      </c>
      <c r="AF17" s="31">
        <f t="shared" si="9"/>
        <v>756</v>
      </c>
    </row>
    <row r="18" spans="2:32" ht="23.1" customHeight="1" x14ac:dyDescent="0.25">
      <c r="B18" s="45" t="s">
        <v>45</v>
      </c>
      <c r="C18" s="50">
        <v>68</v>
      </c>
      <c r="D18" s="50">
        <v>24</v>
      </c>
      <c r="E18" s="50">
        <v>4</v>
      </c>
      <c r="F18" s="50">
        <v>59</v>
      </c>
      <c r="G18" s="50">
        <v>2</v>
      </c>
      <c r="H18" s="50">
        <v>2</v>
      </c>
      <c r="I18" s="50">
        <v>12</v>
      </c>
      <c r="J18" s="50">
        <v>16</v>
      </c>
      <c r="K18" s="50">
        <v>1</v>
      </c>
      <c r="L18" s="50">
        <v>1</v>
      </c>
      <c r="M18" s="50">
        <v>75</v>
      </c>
      <c r="N18" s="50">
        <v>0</v>
      </c>
      <c r="O18" s="15">
        <f t="shared" si="0"/>
        <v>189</v>
      </c>
      <c r="P18" s="15">
        <f t="shared" si="1"/>
        <v>264</v>
      </c>
      <c r="R18" s="1" t="s">
        <v>14</v>
      </c>
      <c r="S18" s="17">
        <f t="shared" ref="S18:AF18" si="10">SUM(C42:C45)</f>
        <v>151</v>
      </c>
      <c r="T18" s="17">
        <f t="shared" si="10"/>
        <v>62</v>
      </c>
      <c r="U18" s="17">
        <f t="shared" si="10"/>
        <v>12</v>
      </c>
      <c r="V18" s="17">
        <f t="shared" si="10"/>
        <v>134</v>
      </c>
      <c r="W18" s="17">
        <f t="shared" si="10"/>
        <v>1</v>
      </c>
      <c r="X18" s="17">
        <f t="shared" si="10"/>
        <v>0</v>
      </c>
      <c r="Y18" s="17">
        <f t="shared" si="10"/>
        <v>28</v>
      </c>
      <c r="Z18" s="17">
        <f t="shared" si="10"/>
        <v>21</v>
      </c>
      <c r="AA18" s="17">
        <f t="shared" si="10"/>
        <v>8</v>
      </c>
      <c r="AB18" s="17">
        <f t="shared" si="10"/>
        <v>1</v>
      </c>
      <c r="AC18" s="17">
        <f t="shared" si="10"/>
        <v>187</v>
      </c>
      <c r="AD18" s="17">
        <f t="shared" si="10"/>
        <v>0</v>
      </c>
      <c r="AE18" s="31">
        <f t="shared" si="10"/>
        <v>418</v>
      </c>
      <c r="AF18" s="31">
        <f t="shared" si="10"/>
        <v>605</v>
      </c>
    </row>
    <row r="19" spans="2:32" ht="23.1" customHeight="1" x14ac:dyDescent="0.25">
      <c r="B19" s="45" t="s">
        <v>46</v>
      </c>
      <c r="C19" s="50">
        <v>55</v>
      </c>
      <c r="D19" s="50">
        <v>32</v>
      </c>
      <c r="E19" s="50">
        <v>64</v>
      </c>
      <c r="F19" s="50">
        <v>62</v>
      </c>
      <c r="G19" s="50">
        <v>2</v>
      </c>
      <c r="H19" s="50">
        <v>1</v>
      </c>
      <c r="I19" s="50">
        <v>14</v>
      </c>
      <c r="J19" s="50">
        <v>13</v>
      </c>
      <c r="K19" s="50">
        <v>1</v>
      </c>
      <c r="L19" s="50">
        <v>1</v>
      </c>
      <c r="M19" s="50">
        <v>70</v>
      </c>
      <c r="N19" s="50">
        <v>0</v>
      </c>
      <c r="O19" s="15">
        <f t="shared" si="0"/>
        <v>245</v>
      </c>
      <c r="P19" s="15">
        <f t="shared" si="1"/>
        <v>315</v>
      </c>
      <c r="R19" s="1" t="s">
        <v>15</v>
      </c>
      <c r="S19" s="17">
        <f t="shared" ref="S19:AF19" si="11">SUM(C46:C49)</f>
        <v>145</v>
      </c>
      <c r="T19" s="17">
        <f t="shared" si="11"/>
        <v>51</v>
      </c>
      <c r="U19" s="17">
        <f t="shared" si="11"/>
        <v>4</v>
      </c>
      <c r="V19" s="17">
        <f t="shared" si="11"/>
        <v>132</v>
      </c>
      <c r="W19" s="17">
        <f t="shared" si="11"/>
        <v>2</v>
      </c>
      <c r="X19" s="17">
        <f t="shared" si="11"/>
        <v>0</v>
      </c>
      <c r="Y19" s="17">
        <f t="shared" si="11"/>
        <v>22</v>
      </c>
      <c r="Z19" s="17">
        <f t="shared" si="11"/>
        <v>22</v>
      </c>
      <c r="AA19" s="17">
        <f t="shared" si="11"/>
        <v>4</v>
      </c>
      <c r="AB19" s="17">
        <f t="shared" si="11"/>
        <v>4</v>
      </c>
      <c r="AC19" s="17">
        <f t="shared" si="11"/>
        <v>214</v>
      </c>
      <c r="AD19" s="17">
        <f t="shared" si="11"/>
        <v>0</v>
      </c>
      <c r="AE19" s="31">
        <f t="shared" si="11"/>
        <v>386</v>
      </c>
      <c r="AF19" s="31">
        <f t="shared" si="11"/>
        <v>600</v>
      </c>
    </row>
    <row r="20" spans="2:32" ht="23.1" customHeight="1" x14ac:dyDescent="0.25">
      <c r="B20" s="45" t="s">
        <v>47</v>
      </c>
      <c r="C20" s="50">
        <v>72</v>
      </c>
      <c r="D20" s="50">
        <v>33</v>
      </c>
      <c r="E20" s="50">
        <v>24</v>
      </c>
      <c r="F20" s="50">
        <v>34</v>
      </c>
      <c r="G20" s="50">
        <v>2</v>
      </c>
      <c r="H20" s="50">
        <v>1</v>
      </c>
      <c r="I20" s="50">
        <v>9</v>
      </c>
      <c r="J20" s="50">
        <v>13</v>
      </c>
      <c r="K20" s="50">
        <v>1</v>
      </c>
      <c r="L20" s="50">
        <v>1</v>
      </c>
      <c r="M20" s="50">
        <v>75</v>
      </c>
      <c r="N20" s="50">
        <v>0</v>
      </c>
      <c r="O20" s="15">
        <f t="shared" si="0"/>
        <v>190</v>
      </c>
      <c r="P20" s="15">
        <f t="shared" si="1"/>
        <v>265</v>
      </c>
      <c r="R20" s="1" t="s">
        <v>16</v>
      </c>
      <c r="S20" s="17">
        <f t="shared" ref="S20:AF20" si="12">SUM(C50:C53)</f>
        <v>110</v>
      </c>
      <c r="T20" s="17">
        <f t="shared" si="12"/>
        <v>84</v>
      </c>
      <c r="U20" s="17">
        <f t="shared" si="12"/>
        <v>1</v>
      </c>
      <c r="V20" s="17">
        <f t="shared" si="12"/>
        <v>181</v>
      </c>
      <c r="W20" s="17">
        <f t="shared" si="12"/>
        <v>6</v>
      </c>
      <c r="X20" s="17">
        <f t="shared" si="12"/>
        <v>0</v>
      </c>
      <c r="Y20" s="17">
        <f t="shared" si="12"/>
        <v>26</v>
      </c>
      <c r="Z20" s="17">
        <f t="shared" si="12"/>
        <v>33</v>
      </c>
      <c r="AA20" s="17">
        <f t="shared" si="12"/>
        <v>7</v>
      </c>
      <c r="AB20" s="17">
        <f t="shared" si="12"/>
        <v>1</v>
      </c>
      <c r="AC20" s="17">
        <f t="shared" si="12"/>
        <v>227</v>
      </c>
      <c r="AD20" s="17">
        <f t="shared" si="12"/>
        <v>0</v>
      </c>
      <c r="AE20" s="31">
        <f t="shared" si="12"/>
        <v>449</v>
      </c>
      <c r="AF20" s="31">
        <f t="shared" si="12"/>
        <v>676</v>
      </c>
    </row>
    <row r="21" spans="2:32" ht="23.1" customHeight="1" x14ac:dyDescent="0.25">
      <c r="B21" s="45" t="s">
        <v>48</v>
      </c>
      <c r="C21" s="50">
        <v>57</v>
      </c>
      <c r="D21" s="50">
        <v>39</v>
      </c>
      <c r="E21" s="50">
        <v>2</v>
      </c>
      <c r="F21" s="50">
        <v>59</v>
      </c>
      <c r="G21" s="50">
        <v>2</v>
      </c>
      <c r="H21" s="50">
        <v>0</v>
      </c>
      <c r="I21" s="50">
        <v>7</v>
      </c>
      <c r="J21" s="50">
        <v>15</v>
      </c>
      <c r="K21" s="50">
        <v>1</v>
      </c>
      <c r="L21" s="50">
        <v>1</v>
      </c>
      <c r="M21" s="50">
        <v>82</v>
      </c>
      <c r="N21" s="50">
        <v>0</v>
      </c>
      <c r="O21" s="15">
        <f t="shared" si="0"/>
        <v>183</v>
      </c>
      <c r="P21" s="15">
        <f t="shared" si="1"/>
        <v>265</v>
      </c>
      <c r="R21" s="36" t="s">
        <v>20</v>
      </c>
      <c r="S21" s="34">
        <f t="shared" ref="S21:AF21" si="13">SUM(C54:C57)</f>
        <v>93</v>
      </c>
      <c r="T21" s="17">
        <f t="shared" si="13"/>
        <v>46</v>
      </c>
      <c r="U21" s="17">
        <f t="shared" si="13"/>
        <v>2</v>
      </c>
      <c r="V21" s="17">
        <f t="shared" si="13"/>
        <v>154</v>
      </c>
      <c r="W21" s="17">
        <f t="shared" si="13"/>
        <v>2</v>
      </c>
      <c r="X21" s="17">
        <f t="shared" si="13"/>
        <v>7</v>
      </c>
      <c r="Y21" s="17">
        <f t="shared" si="13"/>
        <v>22</v>
      </c>
      <c r="Z21" s="17">
        <f t="shared" si="13"/>
        <v>13</v>
      </c>
      <c r="AA21" s="17">
        <f t="shared" si="13"/>
        <v>0</v>
      </c>
      <c r="AB21" s="17">
        <f t="shared" si="13"/>
        <v>5</v>
      </c>
      <c r="AC21" s="17">
        <f t="shared" si="13"/>
        <v>188</v>
      </c>
      <c r="AD21" s="17">
        <f t="shared" si="13"/>
        <v>0</v>
      </c>
      <c r="AE21" s="31">
        <f t="shared" si="13"/>
        <v>344</v>
      </c>
      <c r="AF21" s="31">
        <f t="shared" si="13"/>
        <v>532</v>
      </c>
    </row>
    <row r="22" spans="2:32" ht="23.1" customHeight="1" x14ac:dyDescent="0.25">
      <c r="B22" s="45" t="s">
        <v>49</v>
      </c>
      <c r="C22" s="50">
        <v>62</v>
      </c>
      <c r="D22" s="50">
        <v>37</v>
      </c>
      <c r="E22" s="50">
        <v>5</v>
      </c>
      <c r="F22" s="50">
        <v>53</v>
      </c>
      <c r="G22" s="50">
        <v>2</v>
      </c>
      <c r="H22" s="50">
        <v>1</v>
      </c>
      <c r="I22" s="50">
        <v>15</v>
      </c>
      <c r="J22" s="50">
        <v>16</v>
      </c>
      <c r="K22" s="50">
        <v>1</v>
      </c>
      <c r="L22" s="50">
        <v>1</v>
      </c>
      <c r="M22" s="50">
        <v>80</v>
      </c>
      <c r="N22" s="50">
        <v>0</v>
      </c>
      <c r="O22" s="15">
        <f t="shared" si="0"/>
        <v>193</v>
      </c>
      <c r="P22" s="15">
        <f t="shared" si="1"/>
        <v>273</v>
      </c>
      <c r="R22" s="36" t="s">
        <v>146</v>
      </c>
      <c r="S22" s="34">
        <f>SUM(C58:C61)</f>
        <v>155</v>
      </c>
      <c r="T22" s="34">
        <f t="shared" ref="T22:AF22" si="14">SUM(D58:D61)</f>
        <v>63</v>
      </c>
      <c r="U22" s="34">
        <f t="shared" si="14"/>
        <v>30</v>
      </c>
      <c r="V22" s="34">
        <f t="shared" si="14"/>
        <v>170</v>
      </c>
      <c r="W22" s="34">
        <f t="shared" si="14"/>
        <v>10</v>
      </c>
      <c r="X22" s="34">
        <f t="shared" si="14"/>
        <v>1</v>
      </c>
      <c r="Y22" s="34">
        <f t="shared" si="14"/>
        <v>35</v>
      </c>
      <c r="Z22" s="34">
        <f t="shared" si="14"/>
        <v>11</v>
      </c>
      <c r="AA22" s="34">
        <f t="shared" si="14"/>
        <v>5</v>
      </c>
      <c r="AB22" s="34">
        <f t="shared" si="14"/>
        <v>3</v>
      </c>
      <c r="AC22" s="34">
        <f t="shared" si="14"/>
        <v>330</v>
      </c>
      <c r="AD22" s="34">
        <f t="shared" si="14"/>
        <v>0</v>
      </c>
      <c r="AE22" s="31">
        <f t="shared" si="14"/>
        <v>483</v>
      </c>
      <c r="AF22" s="31">
        <f t="shared" si="14"/>
        <v>813</v>
      </c>
    </row>
    <row r="23" spans="2:32" ht="23.1" customHeight="1" x14ac:dyDescent="0.25">
      <c r="B23" s="45" t="s">
        <v>50</v>
      </c>
      <c r="C23" s="50">
        <v>58</v>
      </c>
      <c r="D23" s="50">
        <v>35</v>
      </c>
      <c r="E23" s="50">
        <v>12</v>
      </c>
      <c r="F23" s="50">
        <v>2</v>
      </c>
      <c r="G23" s="50">
        <v>1</v>
      </c>
      <c r="H23" s="50">
        <v>7</v>
      </c>
      <c r="I23" s="50">
        <v>13</v>
      </c>
      <c r="J23" s="50">
        <v>12</v>
      </c>
      <c r="K23" s="50">
        <v>1</v>
      </c>
      <c r="L23" s="50">
        <v>1</v>
      </c>
      <c r="M23" s="50">
        <v>73</v>
      </c>
      <c r="N23" s="50">
        <v>0</v>
      </c>
      <c r="O23" s="15">
        <f t="shared" si="0"/>
        <v>142</v>
      </c>
      <c r="P23" s="15">
        <f t="shared" si="1"/>
        <v>215</v>
      </c>
      <c r="R23" s="36" t="s">
        <v>147</v>
      </c>
      <c r="S23" s="34">
        <f>SUM(C62:C65)</f>
        <v>203</v>
      </c>
      <c r="T23" s="34">
        <f t="shared" ref="T23:AF23" si="15">SUM(D62:D65)</f>
        <v>67</v>
      </c>
      <c r="U23" s="34">
        <f t="shared" si="15"/>
        <v>26</v>
      </c>
      <c r="V23" s="34">
        <f t="shared" si="15"/>
        <v>265</v>
      </c>
      <c r="W23" s="34">
        <f t="shared" si="15"/>
        <v>3</v>
      </c>
      <c r="X23" s="34">
        <f t="shared" si="15"/>
        <v>2</v>
      </c>
      <c r="Y23" s="34">
        <f t="shared" si="15"/>
        <v>27</v>
      </c>
      <c r="Z23" s="34">
        <f t="shared" si="15"/>
        <v>4</v>
      </c>
      <c r="AA23" s="34">
        <f t="shared" si="15"/>
        <v>4</v>
      </c>
      <c r="AB23" s="34">
        <f t="shared" si="15"/>
        <v>3</v>
      </c>
      <c r="AC23" s="34">
        <f t="shared" si="15"/>
        <v>375</v>
      </c>
      <c r="AD23" s="34">
        <f t="shared" si="15"/>
        <v>0</v>
      </c>
      <c r="AE23" s="31">
        <f t="shared" si="15"/>
        <v>604</v>
      </c>
      <c r="AF23" s="31">
        <f t="shared" si="15"/>
        <v>979</v>
      </c>
    </row>
    <row r="24" spans="2:32" ht="23.1" customHeight="1" x14ac:dyDescent="0.25">
      <c r="B24" s="45" t="s">
        <v>51</v>
      </c>
      <c r="C24" s="50">
        <v>60</v>
      </c>
      <c r="D24" s="50">
        <v>44</v>
      </c>
      <c r="E24" s="50">
        <v>7</v>
      </c>
      <c r="F24" s="50">
        <v>55</v>
      </c>
      <c r="G24" s="50">
        <v>2</v>
      </c>
      <c r="H24" s="50">
        <v>0</v>
      </c>
      <c r="I24" s="50">
        <v>12</v>
      </c>
      <c r="J24" s="50">
        <v>10</v>
      </c>
      <c r="K24" s="50">
        <v>0</v>
      </c>
      <c r="L24" s="50">
        <v>0</v>
      </c>
      <c r="M24" s="50">
        <v>78</v>
      </c>
      <c r="N24" s="50">
        <v>0</v>
      </c>
      <c r="O24" s="15">
        <f t="shared" si="0"/>
        <v>190</v>
      </c>
      <c r="P24" s="15">
        <f t="shared" si="1"/>
        <v>268</v>
      </c>
      <c r="R24" s="36" t="s">
        <v>148</v>
      </c>
      <c r="S24" s="34">
        <f>SUM(C66:C69)</f>
        <v>240</v>
      </c>
      <c r="T24" s="34">
        <f t="shared" ref="T24:AF24" si="16">SUM(D66:D69)</f>
        <v>58</v>
      </c>
      <c r="U24" s="34">
        <f t="shared" si="16"/>
        <v>31</v>
      </c>
      <c r="V24" s="34">
        <f t="shared" si="16"/>
        <v>200</v>
      </c>
      <c r="W24" s="34">
        <f t="shared" si="16"/>
        <v>2</v>
      </c>
      <c r="X24" s="34">
        <f t="shared" si="16"/>
        <v>1</v>
      </c>
      <c r="Y24" s="34">
        <f t="shared" si="16"/>
        <v>17</v>
      </c>
      <c r="Z24" s="34">
        <f t="shared" si="16"/>
        <v>3</v>
      </c>
      <c r="AA24" s="34">
        <f t="shared" si="16"/>
        <v>2</v>
      </c>
      <c r="AB24" s="34">
        <f t="shared" si="16"/>
        <v>3</v>
      </c>
      <c r="AC24" s="34">
        <f t="shared" si="16"/>
        <v>360</v>
      </c>
      <c r="AD24" s="34">
        <f t="shared" si="16"/>
        <v>0</v>
      </c>
      <c r="AE24" s="31">
        <f t="shared" si="16"/>
        <v>557</v>
      </c>
      <c r="AF24" s="31">
        <f t="shared" si="16"/>
        <v>917</v>
      </c>
    </row>
    <row r="25" spans="2:32" ht="23.1" customHeight="1" x14ac:dyDescent="0.25">
      <c r="B25" s="45" t="s">
        <v>52</v>
      </c>
      <c r="C25" s="50">
        <v>70</v>
      </c>
      <c r="D25" s="50">
        <v>40</v>
      </c>
      <c r="E25" s="50">
        <v>12</v>
      </c>
      <c r="F25" s="50">
        <v>33</v>
      </c>
      <c r="G25" s="50">
        <v>2</v>
      </c>
      <c r="H25" s="50">
        <v>0</v>
      </c>
      <c r="I25" s="50">
        <v>10</v>
      </c>
      <c r="J25" s="50">
        <v>13</v>
      </c>
      <c r="K25" s="50">
        <v>0</v>
      </c>
      <c r="L25" s="50">
        <v>0</v>
      </c>
      <c r="M25" s="50">
        <v>80</v>
      </c>
      <c r="N25" s="50">
        <v>0</v>
      </c>
      <c r="O25" s="15">
        <f t="shared" si="0"/>
        <v>180</v>
      </c>
      <c r="P25" s="15">
        <f t="shared" si="1"/>
        <v>260</v>
      </c>
      <c r="R25" s="36" t="s">
        <v>149</v>
      </c>
      <c r="S25" s="34">
        <f>SUM(C70:C73)</f>
        <v>210</v>
      </c>
      <c r="T25" s="34">
        <f t="shared" ref="T25:AF25" si="17">SUM(D70:D73)</f>
        <v>41</v>
      </c>
      <c r="U25" s="34">
        <f t="shared" si="17"/>
        <v>17</v>
      </c>
      <c r="V25" s="34">
        <f t="shared" si="17"/>
        <v>99</v>
      </c>
      <c r="W25" s="34">
        <f t="shared" si="17"/>
        <v>5</v>
      </c>
      <c r="X25" s="34">
        <f t="shared" si="17"/>
        <v>1</v>
      </c>
      <c r="Y25" s="34">
        <f t="shared" si="17"/>
        <v>25</v>
      </c>
      <c r="Z25" s="34">
        <f t="shared" si="17"/>
        <v>4</v>
      </c>
      <c r="AA25" s="34">
        <f t="shared" si="17"/>
        <v>0</v>
      </c>
      <c r="AB25" s="34">
        <f t="shared" si="17"/>
        <v>4</v>
      </c>
      <c r="AC25" s="34">
        <f t="shared" si="17"/>
        <v>315</v>
      </c>
      <c r="AD25" s="34">
        <f t="shared" si="17"/>
        <v>0</v>
      </c>
      <c r="AE25" s="31">
        <f t="shared" si="17"/>
        <v>406</v>
      </c>
      <c r="AF25" s="31">
        <f t="shared" si="17"/>
        <v>721</v>
      </c>
    </row>
    <row r="26" spans="2:32" ht="23.1" customHeight="1" x14ac:dyDescent="0.25">
      <c r="B26" s="45" t="s">
        <v>53</v>
      </c>
      <c r="C26" s="50">
        <v>57</v>
      </c>
      <c r="D26" s="50">
        <v>25</v>
      </c>
      <c r="E26" s="50">
        <v>7</v>
      </c>
      <c r="F26" s="50">
        <v>45</v>
      </c>
      <c r="G26" s="50">
        <v>2</v>
      </c>
      <c r="H26" s="50">
        <v>0</v>
      </c>
      <c r="I26" s="50">
        <v>7</v>
      </c>
      <c r="J26" s="50">
        <v>12</v>
      </c>
      <c r="K26" s="50">
        <v>2</v>
      </c>
      <c r="L26" s="50">
        <v>1</v>
      </c>
      <c r="M26" s="50">
        <v>60</v>
      </c>
      <c r="N26" s="50">
        <v>0</v>
      </c>
      <c r="O26" s="15">
        <f t="shared" si="0"/>
        <v>158</v>
      </c>
      <c r="P26" s="15">
        <f t="shared" si="1"/>
        <v>218</v>
      </c>
      <c r="R26" s="36" t="s">
        <v>150</v>
      </c>
      <c r="S26" s="34">
        <f>SUM(C74:C77)</f>
        <v>169</v>
      </c>
      <c r="T26" s="34">
        <f t="shared" ref="T26:AF26" si="18">SUM(D74:D77)</f>
        <v>59</v>
      </c>
      <c r="U26" s="34">
        <f t="shared" si="18"/>
        <v>26</v>
      </c>
      <c r="V26" s="34">
        <f t="shared" si="18"/>
        <v>103</v>
      </c>
      <c r="W26" s="34">
        <f t="shared" si="18"/>
        <v>3</v>
      </c>
      <c r="X26" s="34">
        <f t="shared" si="18"/>
        <v>1</v>
      </c>
      <c r="Y26" s="34">
        <f t="shared" si="18"/>
        <v>16</v>
      </c>
      <c r="Z26" s="34">
        <f t="shared" si="18"/>
        <v>4</v>
      </c>
      <c r="AA26" s="34">
        <f t="shared" si="18"/>
        <v>0</v>
      </c>
      <c r="AB26" s="34">
        <f t="shared" si="18"/>
        <v>3</v>
      </c>
      <c r="AC26" s="34">
        <f t="shared" si="18"/>
        <v>243</v>
      </c>
      <c r="AD26" s="34">
        <f t="shared" si="18"/>
        <v>0</v>
      </c>
      <c r="AE26" s="31">
        <f t="shared" si="18"/>
        <v>384</v>
      </c>
      <c r="AF26" s="31">
        <f t="shared" si="18"/>
        <v>627</v>
      </c>
    </row>
    <row r="27" spans="2:32" ht="23.1" customHeight="1" x14ac:dyDescent="0.25">
      <c r="B27" s="45" t="s">
        <v>54</v>
      </c>
      <c r="C27" s="50">
        <v>60</v>
      </c>
      <c r="D27" s="50">
        <v>25</v>
      </c>
      <c r="E27" s="50">
        <v>50</v>
      </c>
      <c r="F27" s="50">
        <v>40</v>
      </c>
      <c r="G27" s="50">
        <v>1</v>
      </c>
      <c r="H27" s="50">
        <v>0</v>
      </c>
      <c r="I27" s="50">
        <v>8</v>
      </c>
      <c r="J27" s="50">
        <v>10</v>
      </c>
      <c r="K27" s="50">
        <v>1</v>
      </c>
      <c r="L27" s="50">
        <v>1</v>
      </c>
      <c r="M27" s="50">
        <v>65</v>
      </c>
      <c r="N27" s="50">
        <v>0</v>
      </c>
      <c r="O27" s="15">
        <f t="shared" si="0"/>
        <v>196</v>
      </c>
      <c r="P27" s="15">
        <f t="shared" si="1"/>
        <v>261</v>
      </c>
      <c r="R27" s="36" t="s">
        <v>151</v>
      </c>
      <c r="S27" s="34">
        <f>SUM(C78:C81)</f>
        <v>76</v>
      </c>
      <c r="T27" s="34">
        <f t="shared" ref="T27:AF27" si="19">SUM(D78:D81)</f>
        <v>50</v>
      </c>
      <c r="U27" s="34">
        <f t="shared" si="19"/>
        <v>15</v>
      </c>
      <c r="V27" s="34">
        <f t="shared" si="19"/>
        <v>24</v>
      </c>
      <c r="W27" s="34">
        <f t="shared" si="19"/>
        <v>2</v>
      </c>
      <c r="X27" s="34">
        <f t="shared" si="19"/>
        <v>6</v>
      </c>
      <c r="Y27" s="34">
        <f t="shared" si="19"/>
        <v>14</v>
      </c>
      <c r="Z27" s="34">
        <f t="shared" si="19"/>
        <v>7</v>
      </c>
      <c r="AA27" s="34">
        <f t="shared" si="19"/>
        <v>1</v>
      </c>
      <c r="AB27" s="34">
        <f t="shared" si="19"/>
        <v>0</v>
      </c>
      <c r="AC27" s="34">
        <f t="shared" si="19"/>
        <v>113</v>
      </c>
      <c r="AD27" s="34">
        <f t="shared" si="19"/>
        <v>0</v>
      </c>
      <c r="AE27" s="31">
        <f t="shared" si="19"/>
        <v>195</v>
      </c>
      <c r="AF27" s="31">
        <f t="shared" si="19"/>
        <v>308</v>
      </c>
    </row>
    <row r="28" spans="2:32" ht="23.1" customHeight="1" x14ac:dyDescent="0.25">
      <c r="B28" s="45" t="s">
        <v>55</v>
      </c>
      <c r="C28" s="50">
        <v>60</v>
      </c>
      <c r="D28" s="50">
        <v>35</v>
      </c>
      <c r="E28" s="50">
        <v>12</v>
      </c>
      <c r="F28" s="50">
        <v>52</v>
      </c>
      <c r="G28" s="50">
        <v>0</v>
      </c>
      <c r="H28" s="50">
        <v>1</v>
      </c>
      <c r="I28" s="50">
        <v>5</v>
      </c>
      <c r="J28" s="50">
        <v>15</v>
      </c>
      <c r="K28" s="50">
        <v>1</v>
      </c>
      <c r="L28" s="50">
        <v>0</v>
      </c>
      <c r="M28" s="50">
        <v>60</v>
      </c>
      <c r="N28" s="50">
        <v>0</v>
      </c>
      <c r="O28" s="15">
        <f t="shared" si="0"/>
        <v>181</v>
      </c>
      <c r="P28" s="15">
        <f t="shared" si="1"/>
        <v>241</v>
      </c>
      <c r="R28" s="36" t="s">
        <v>152</v>
      </c>
      <c r="S28" s="34">
        <f>SUM(C82:C85)</f>
        <v>44</v>
      </c>
      <c r="T28" s="34">
        <f t="shared" ref="T28:AF28" si="20">SUM(D82:D85)</f>
        <v>16</v>
      </c>
      <c r="U28" s="34">
        <f t="shared" si="20"/>
        <v>9</v>
      </c>
      <c r="V28" s="34">
        <f t="shared" si="20"/>
        <v>11</v>
      </c>
      <c r="W28" s="34">
        <f t="shared" si="20"/>
        <v>1</v>
      </c>
      <c r="X28" s="34">
        <f t="shared" si="20"/>
        <v>0</v>
      </c>
      <c r="Y28" s="34">
        <f t="shared" si="20"/>
        <v>14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67</v>
      </c>
      <c r="AD28" s="34">
        <f t="shared" si="20"/>
        <v>0</v>
      </c>
      <c r="AE28" s="31">
        <f t="shared" si="20"/>
        <v>98</v>
      </c>
      <c r="AF28" s="31">
        <f t="shared" si="20"/>
        <v>165</v>
      </c>
    </row>
    <row r="29" spans="2:32" ht="23.1" customHeight="1" x14ac:dyDescent="0.25">
      <c r="B29" s="45" t="s">
        <v>56</v>
      </c>
      <c r="C29" s="50">
        <v>65</v>
      </c>
      <c r="D29" s="50">
        <v>40</v>
      </c>
      <c r="E29" s="50">
        <v>15</v>
      </c>
      <c r="F29" s="50">
        <v>45</v>
      </c>
      <c r="G29" s="50">
        <v>0</v>
      </c>
      <c r="H29" s="50">
        <v>0</v>
      </c>
      <c r="I29" s="50">
        <v>3</v>
      </c>
      <c r="J29" s="50">
        <v>19</v>
      </c>
      <c r="K29" s="50">
        <v>0</v>
      </c>
      <c r="L29" s="50">
        <v>0</v>
      </c>
      <c r="M29" s="50">
        <v>67</v>
      </c>
      <c r="N29" s="50">
        <v>0</v>
      </c>
      <c r="O29" s="15">
        <f t="shared" si="0"/>
        <v>187</v>
      </c>
      <c r="P29" s="15">
        <f t="shared" si="1"/>
        <v>254</v>
      </c>
      <c r="R29" s="36" t="s">
        <v>153</v>
      </c>
      <c r="S29" s="34">
        <f>SUM(C86:C89)</f>
        <v>40</v>
      </c>
      <c r="T29" s="34">
        <f t="shared" ref="T29:AF29" si="21">SUM(D86:D89)</f>
        <v>26</v>
      </c>
      <c r="U29" s="34">
        <f t="shared" si="21"/>
        <v>9</v>
      </c>
      <c r="V29" s="34">
        <f t="shared" si="21"/>
        <v>18</v>
      </c>
      <c r="W29" s="34">
        <f t="shared" si="21"/>
        <v>2</v>
      </c>
      <c r="X29" s="34">
        <f t="shared" si="21"/>
        <v>0</v>
      </c>
      <c r="Y29" s="34">
        <f t="shared" si="21"/>
        <v>40</v>
      </c>
      <c r="Z29" s="34">
        <f t="shared" si="21"/>
        <v>6</v>
      </c>
      <c r="AA29" s="34">
        <f t="shared" si="21"/>
        <v>0</v>
      </c>
      <c r="AB29" s="34">
        <f t="shared" si="21"/>
        <v>10</v>
      </c>
      <c r="AC29" s="34">
        <f t="shared" si="21"/>
        <v>102</v>
      </c>
      <c r="AD29" s="34">
        <f t="shared" si="21"/>
        <v>0</v>
      </c>
      <c r="AE29" s="31">
        <f t="shared" si="21"/>
        <v>151</v>
      </c>
      <c r="AF29" s="31">
        <f t="shared" si="21"/>
        <v>253</v>
      </c>
    </row>
    <row r="30" spans="2:32" ht="23.1" customHeight="1" x14ac:dyDescent="0.25">
      <c r="B30" s="45" t="s">
        <v>57</v>
      </c>
      <c r="C30" s="50">
        <v>37</v>
      </c>
      <c r="D30" s="50">
        <v>7</v>
      </c>
      <c r="E30" s="50">
        <v>3</v>
      </c>
      <c r="F30" s="50">
        <v>17</v>
      </c>
      <c r="G30" s="50">
        <v>0</v>
      </c>
      <c r="H30" s="50">
        <v>0</v>
      </c>
      <c r="I30" s="50">
        <v>6</v>
      </c>
      <c r="J30" s="50">
        <v>8</v>
      </c>
      <c r="K30" s="50">
        <v>1</v>
      </c>
      <c r="L30" s="50">
        <v>0</v>
      </c>
      <c r="M30" s="50">
        <v>60</v>
      </c>
      <c r="N30" s="50">
        <v>0</v>
      </c>
      <c r="O30" s="15">
        <f t="shared" si="0"/>
        <v>79</v>
      </c>
      <c r="P30" s="15">
        <f t="shared" si="1"/>
        <v>139</v>
      </c>
      <c r="R30" s="36" t="s">
        <v>154</v>
      </c>
      <c r="S30" s="34">
        <f>SUM(C90:C93)</f>
        <v>23</v>
      </c>
      <c r="T30" s="34">
        <f t="shared" ref="T30:AF30" si="22">SUM(D90:D93)</f>
        <v>14</v>
      </c>
      <c r="U30" s="34">
        <f t="shared" si="22"/>
        <v>18</v>
      </c>
      <c r="V30" s="34">
        <f t="shared" si="22"/>
        <v>11</v>
      </c>
      <c r="W30" s="34">
        <f t="shared" si="22"/>
        <v>0</v>
      </c>
      <c r="X30" s="34">
        <f t="shared" si="22"/>
        <v>0</v>
      </c>
      <c r="Y30" s="34">
        <f t="shared" si="22"/>
        <v>5</v>
      </c>
      <c r="Z30" s="34">
        <f t="shared" si="22"/>
        <v>7</v>
      </c>
      <c r="AA30" s="34">
        <f t="shared" si="22"/>
        <v>5</v>
      </c>
      <c r="AB30" s="34">
        <f t="shared" si="22"/>
        <v>4</v>
      </c>
      <c r="AC30" s="34">
        <f t="shared" si="22"/>
        <v>42</v>
      </c>
      <c r="AD30" s="34">
        <f t="shared" si="22"/>
        <v>0</v>
      </c>
      <c r="AE30" s="31">
        <f t="shared" si="22"/>
        <v>87</v>
      </c>
      <c r="AF30" s="31">
        <f t="shared" si="22"/>
        <v>129</v>
      </c>
    </row>
    <row r="31" spans="2:32" ht="23.1" customHeight="1" x14ac:dyDescent="0.25">
      <c r="B31" s="46" t="s">
        <v>58</v>
      </c>
      <c r="C31" s="50">
        <v>40</v>
      </c>
      <c r="D31" s="50">
        <v>6</v>
      </c>
      <c r="E31" s="50">
        <v>2</v>
      </c>
      <c r="F31" s="50">
        <v>15</v>
      </c>
      <c r="G31" s="50">
        <v>0</v>
      </c>
      <c r="H31" s="50">
        <v>1</v>
      </c>
      <c r="I31" s="50">
        <v>8</v>
      </c>
      <c r="J31" s="50">
        <v>7</v>
      </c>
      <c r="K31" s="50">
        <v>0</v>
      </c>
      <c r="L31" s="50">
        <v>0</v>
      </c>
      <c r="M31" s="50">
        <v>55</v>
      </c>
      <c r="N31" s="50">
        <v>0</v>
      </c>
      <c r="O31" s="15">
        <f t="shared" si="0"/>
        <v>79</v>
      </c>
      <c r="P31" s="15">
        <f t="shared" si="1"/>
        <v>134</v>
      </c>
      <c r="R31" s="36" t="s">
        <v>155</v>
      </c>
      <c r="S31" s="34">
        <f>SUM(C94:C97)</f>
        <v>33</v>
      </c>
      <c r="T31" s="34">
        <f t="shared" ref="T31:AF31" si="23">SUM(D94:D97)</f>
        <v>16</v>
      </c>
      <c r="U31" s="34">
        <f t="shared" si="23"/>
        <v>8</v>
      </c>
      <c r="V31" s="34">
        <f t="shared" si="23"/>
        <v>36</v>
      </c>
      <c r="W31" s="34">
        <f t="shared" si="23"/>
        <v>1</v>
      </c>
      <c r="X31" s="34">
        <f t="shared" si="23"/>
        <v>0</v>
      </c>
      <c r="Y31" s="34">
        <f t="shared" si="23"/>
        <v>19</v>
      </c>
      <c r="Z31" s="34">
        <f t="shared" si="23"/>
        <v>4</v>
      </c>
      <c r="AA31" s="34">
        <f t="shared" si="23"/>
        <v>2</v>
      </c>
      <c r="AB31" s="34">
        <f t="shared" si="23"/>
        <v>4</v>
      </c>
      <c r="AC31" s="34">
        <f t="shared" si="23"/>
        <v>91</v>
      </c>
      <c r="AD31" s="34">
        <f t="shared" si="23"/>
        <v>0</v>
      </c>
      <c r="AE31" s="31">
        <f t="shared" si="23"/>
        <v>123</v>
      </c>
      <c r="AF31" s="31">
        <f t="shared" si="23"/>
        <v>214</v>
      </c>
    </row>
    <row r="32" spans="2:32" ht="23.1" customHeight="1" x14ac:dyDescent="0.25">
      <c r="B32" s="46" t="s">
        <v>59</v>
      </c>
      <c r="C32" s="50">
        <v>41</v>
      </c>
      <c r="D32" s="50">
        <v>12</v>
      </c>
      <c r="E32" s="50">
        <v>4</v>
      </c>
      <c r="F32" s="50">
        <v>31</v>
      </c>
      <c r="G32" s="50">
        <v>0</v>
      </c>
      <c r="H32" s="50">
        <v>0</v>
      </c>
      <c r="I32" s="50">
        <v>1</v>
      </c>
      <c r="J32" s="50">
        <v>8</v>
      </c>
      <c r="K32" s="50">
        <v>2</v>
      </c>
      <c r="L32" s="50">
        <v>1</v>
      </c>
      <c r="M32" s="50">
        <v>53</v>
      </c>
      <c r="N32" s="50">
        <v>0</v>
      </c>
      <c r="O32" s="15">
        <f t="shared" si="0"/>
        <v>100</v>
      </c>
      <c r="P32" s="15">
        <f t="shared" si="1"/>
        <v>153</v>
      </c>
      <c r="R32" s="33" t="s">
        <v>156</v>
      </c>
      <c r="S32" s="34">
        <f>SUM(C98:C101)</f>
        <v>61</v>
      </c>
      <c r="T32" s="34">
        <f t="shared" ref="T32:AF32" si="24">SUM(D98:D101)</f>
        <v>18</v>
      </c>
      <c r="U32" s="34">
        <f t="shared" si="24"/>
        <v>8</v>
      </c>
      <c r="V32" s="34">
        <f t="shared" si="24"/>
        <v>107</v>
      </c>
      <c r="W32" s="34">
        <f t="shared" si="24"/>
        <v>1</v>
      </c>
      <c r="X32" s="34">
        <f t="shared" si="24"/>
        <v>1</v>
      </c>
      <c r="Y32" s="34">
        <f t="shared" si="24"/>
        <v>42</v>
      </c>
      <c r="Z32" s="34">
        <f t="shared" si="24"/>
        <v>5</v>
      </c>
      <c r="AA32" s="34">
        <f t="shared" si="24"/>
        <v>7</v>
      </c>
      <c r="AB32" s="34">
        <f t="shared" si="24"/>
        <v>1</v>
      </c>
      <c r="AC32" s="34">
        <f t="shared" si="24"/>
        <v>120</v>
      </c>
      <c r="AD32" s="34">
        <f t="shared" si="24"/>
        <v>0</v>
      </c>
      <c r="AE32" s="31">
        <f t="shared" si="24"/>
        <v>251</v>
      </c>
      <c r="AF32" s="31">
        <f t="shared" si="24"/>
        <v>371</v>
      </c>
    </row>
    <row r="33" spans="2:32" ht="23.1" customHeight="1" x14ac:dyDescent="0.25">
      <c r="B33" s="45" t="s">
        <v>60</v>
      </c>
      <c r="C33" s="50">
        <v>45</v>
      </c>
      <c r="D33" s="50">
        <v>23</v>
      </c>
      <c r="E33" s="50">
        <v>3</v>
      </c>
      <c r="F33" s="50">
        <v>33</v>
      </c>
      <c r="G33" s="50">
        <v>0</v>
      </c>
      <c r="H33" s="50">
        <v>0</v>
      </c>
      <c r="I33" s="50">
        <v>3</v>
      </c>
      <c r="J33" s="50">
        <v>11</v>
      </c>
      <c r="K33" s="50">
        <v>2</v>
      </c>
      <c r="L33" s="50">
        <v>0</v>
      </c>
      <c r="M33" s="50">
        <v>80</v>
      </c>
      <c r="N33" s="50">
        <v>0</v>
      </c>
      <c r="O33" s="15">
        <f t="shared" si="0"/>
        <v>120</v>
      </c>
      <c r="P33" s="15">
        <f t="shared" si="1"/>
        <v>200</v>
      </c>
      <c r="R33" s="33" t="s">
        <v>157</v>
      </c>
      <c r="S33" s="34">
        <f>SUM(C102:C105)</f>
        <v>122</v>
      </c>
      <c r="T33" s="34">
        <f t="shared" ref="T33:AF33" si="25">SUM(D102:D105)</f>
        <v>27</v>
      </c>
      <c r="U33" s="34">
        <f t="shared" si="25"/>
        <v>15</v>
      </c>
      <c r="V33" s="34">
        <f t="shared" si="25"/>
        <v>290</v>
      </c>
      <c r="W33" s="34">
        <f t="shared" si="25"/>
        <v>2</v>
      </c>
      <c r="X33" s="34">
        <f t="shared" si="25"/>
        <v>1</v>
      </c>
      <c r="Y33" s="34">
        <f t="shared" si="25"/>
        <v>22</v>
      </c>
      <c r="Z33" s="34">
        <f t="shared" si="25"/>
        <v>1</v>
      </c>
      <c r="AA33" s="34">
        <f t="shared" si="25"/>
        <v>1</v>
      </c>
      <c r="AB33" s="34">
        <f t="shared" si="25"/>
        <v>0</v>
      </c>
      <c r="AC33" s="34">
        <f t="shared" si="25"/>
        <v>185</v>
      </c>
      <c r="AD33" s="34">
        <f t="shared" si="25"/>
        <v>0</v>
      </c>
      <c r="AE33" s="31">
        <f t="shared" si="25"/>
        <v>481</v>
      </c>
      <c r="AF33" s="31">
        <f t="shared" si="25"/>
        <v>666</v>
      </c>
    </row>
    <row r="34" spans="2:32" ht="23.1" customHeight="1" x14ac:dyDescent="0.25">
      <c r="B34" s="46" t="s">
        <v>61</v>
      </c>
      <c r="C34" s="50">
        <v>57</v>
      </c>
      <c r="D34" s="50">
        <v>23</v>
      </c>
      <c r="E34" s="50">
        <v>4</v>
      </c>
      <c r="F34" s="50">
        <v>42</v>
      </c>
      <c r="G34" s="50">
        <v>0</v>
      </c>
      <c r="H34" s="50">
        <v>0</v>
      </c>
      <c r="I34" s="50">
        <v>8</v>
      </c>
      <c r="J34" s="50">
        <v>14</v>
      </c>
      <c r="K34" s="50">
        <v>2</v>
      </c>
      <c r="L34" s="50">
        <v>2</v>
      </c>
      <c r="M34" s="50">
        <v>71</v>
      </c>
      <c r="N34" s="50">
        <v>0</v>
      </c>
      <c r="O34" s="15">
        <f t="shared" si="0"/>
        <v>152</v>
      </c>
      <c r="P34" s="15">
        <f t="shared" si="1"/>
        <v>223</v>
      </c>
      <c r="R34" s="38" t="s">
        <v>90</v>
      </c>
      <c r="S34" s="39">
        <f t="shared" ref="S34:AF34" si="26">MAX(S10:S12)</f>
        <v>252</v>
      </c>
      <c r="T34" s="39">
        <f t="shared" si="26"/>
        <v>128</v>
      </c>
      <c r="U34" s="39">
        <f t="shared" si="26"/>
        <v>94</v>
      </c>
      <c r="V34" s="39">
        <f t="shared" si="26"/>
        <v>214</v>
      </c>
      <c r="W34" s="39">
        <f t="shared" si="26"/>
        <v>8</v>
      </c>
      <c r="X34" s="39">
        <f t="shared" si="26"/>
        <v>12</v>
      </c>
      <c r="Y34" s="39">
        <f t="shared" si="26"/>
        <v>42</v>
      </c>
      <c r="Z34" s="39">
        <f t="shared" si="26"/>
        <v>57</v>
      </c>
      <c r="AA34" s="39">
        <f t="shared" si="26"/>
        <v>4</v>
      </c>
      <c r="AB34" s="39">
        <f t="shared" si="26"/>
        <v>4</v>
      </c>
      <c r="AC34" s="39">
        <f t="shared" si="26"/>
        <v>302</v>
      </c>
      <c r="AD34" s="39">
        <f t="shared" si="26"/>
        <v>0</v>
      </c>
      <c r="AE34" s="40">
        <f t="shared" si="26"/>
        <v>807</v>
      </c>
      <c r="AF34" s="40">
        <f t="shared" si="26"/>
        <v>1109</v>
      </c>
    </row>
    <row r="35" spans="2:32" ht="23.1" customHeight="1" x14ac:dyDescent="0.25">
      <c r="B35" s="46" t="s">
        <v>62</v>
      </c>
      <c r="C35" s="50">
        <v>50</v>
      </c>
      <c r="D35" s="50">
        <v>20</v>
      </c>
      <c r="E35" s="50">
        <v>0</v>
      </c>
      <c r="F35" s="50">
        <v>39</v>
      </c>
      <c r="G35" s="50">
        <v>0</v>
      </c>
      <c r="H35" s="50">
        <v>1</v>
      </c>
      <c r="I35" s="50">
        <v>5</v>
      </c>
      <c r="J35" s="50">
        <v>9</v>
      </c>
      <c r="K35" s="50">
        <v>1</v>
      </c>
      <c r="L35" s="50">
        <v>1</v>
      </c>
      <c r="M35" s="50">
        <v>52</v>
      </c>
      <c r="N35" s="50">
        <v>0</v>
      </c>
      <c r="O35" s="15">
        <f t="shared" si="0"/>
        <v>126</v>
      </c>
      <c r="P35" s="15">
        <f t="shared" si="1"/>
        <v>178</v>
      </c>
      <c r="R35" s="38" t="s">
        <v>91</v>
      </c>
      <c r="S35" s="39">
        <f t="shared" ref="S35:AF35" si="27">MAX(S13:S18)</f>
        <v>250</v>
      </c>
      <c r="T35" s="39">
        <f t="shared" si="27"/>
        <v>156</v>
      </c>
      <c r="U35" s="39">
        <f t="shared" si="27"/>
        <v>84</v>
      </c>
      <c r="V35" s="39">
        <f t="shared" si="27"/>
        <v>182</v>
      </c>
      <c r="W35" s="39">
        <f t="shared" si="27"/>
        <v>7</v>
      </c>
      <c r="X35" s="39">
        <f t="shared" si="27"/>
        <v>8</v>
      </c>
      <c r="Y35" s="39">
        <f t="shared" si="27"/>
        <v>50</v>
      </c>
      <c r="Z35" s="39">
        <f t="shared" si="27"/>
        <v>56</v>
      </c>
      <c r="AA35" s="39">
        <f t="shared" si="27"/>
        <v>8</v>
      </c>
      <c r="AB35" s="39">
        <f t="shared" si="27"/>
        <v>3</v>
      </c>
      <c r="AC35" s="39">
        <f t="shared" si="27"/>
        <v>311</v>
      </c>
      <c r="AD35" s="39">
        <f t="shared" si="27"/>
        <v>0</v>
      </c>
      <c r="AE35" s="40">
        <f t="shared" si="27"/>
        <v>722</v>
      </c>
      <c r="AF35" s="40">
        <f t="shared" si="27"/>
        <v>1016</v>
      </c>
    </row>
    <row r="36" spans="2:32" ht="23.1" customHeight="1" x14ac:dyDescent="0.25">
      <c r="B36" s="46" t="s">
        <v>63</v>
      </c>
      <c r="C36" s="50">
        <v>57</v>
      </c>
      <c r="D36" s="50">
        <v>25</v>
      </c>
      <c r="E36" s="50">
        <v>0</v>
      </c>
      <c r="F36" s="50">
        <v>51</v>
      </c>
      <c r="G36" s="50">
        <v>0</v>
      </c>
      <c r="H36" s="50">
        <v>1</v>
      </c>
      <c r="I36" s="50">
        <v>8</v>
      </c>
      <c r="J36" s="50">
        <v>10</v>
      </c>
      <c r="K36" s="50">
        <v>0</v>
      </c>
      <c r="L36" s="50">
        <v>0</v>
      </c>
      <c r="M36" s="50">
        <v>64</v>
      </c>
      <c r="N36" s="50">
        <v>0</v>
      </c>
      <c r="O36" s="15">
        <f t="shared" si="0"/>
        <v>152</v>
      </c>
      <c r="P36" s="15">
        <f t="shared" si="1"/>
        <v>216</v>
      </c>
      <c r="R36" s="38" t="s">
        <v>92</v>
      </c>
      <c r="S36" s="39">
        <f t="shared" ref="S36:AF36" si="28">MAX(S19:S21)</f>
        <v>145</v>
      </c>
      <c r="T36" s="39">
        <f t="shared" si="28"/>
        <v>84</v>
      </c>
      <c r="U36" s="39">
        <f t="shared" si="28"/>
        <v>4</v>
      </c>
      <c r="V36" s="39">
        <f t="shared" si="28"/>
        <v>181</v>
      </c>
      <c r="W36" s="39">
        <f t="shared" si="28"/>
        <v>6</v>
      </c>
      <c r="X36" s="39">
        <f t="shared" si="28"/>
        <v>7</v>
      </c>
      <c r="Y36" s="39">
        <f t="shared" si="28"/>
        <v>26</v>
      </c>
      <c r="Z36" s="39">
        <f t="shared" si="28"/>
        <v>33</v>
      </c>
      <c r="AA36" s="39">
        <f t="shared" si="28"/>
        <v>7</v>
      </c>
      <c r="AB36" s="39">
        <f t="shared" si="28"/>
        <v>5</v>
      </c>
      <c r="AC36" s="39">
        <f t="shared" si="28"/>
        <v>227</v>
      </c>
      <c r="AD36" s="39">
        <f t="shared" si="28"/>
        <v>0</v>
      </c>
      <c r="AE36" s="40">
        <f t="shared" si="28"/>
        <v>449</v>
      </c>
      <c r="AF36" s="40">
        <f t="shared" si="28"/>
        <v>676</v>
      </c>
    </row>
    <row r="37" spans="2:32" ht="23.1" customHeight="1" x14ac:dyDescent="0.25">
      <c r="B37" s="45" t="s">
        <v>64</v>
      </c>
      <c r="C37" s="50">
        <v>48</v>
      </c>
      <c r="D37" s="50">
        <v>50</v>
      </c>
      <c r="E37" s="50">
        <v>3</v>
      </c>
      <c r="F37" s="50">
        <v>38</v>
      </c>
      <c r="G37" s="50">
        <v>0</v>
      </c>
      <c r="H37" s="50">
        <v>0</v>
      </c>
      <c r="I37" s="50">
        <v>9</v>
      </c>
      <c r="J37" s="50">
        <v>11</v>
      </c>
      <c r="K37" s="50">
        <v>1</v>
      </c>
      <c r="L37" s="50">
        <v>0</v>
      </c>
      <c r="M37" s="50">
        <v>69</v>
      </c>
      <c r="N37" s="50">
        <v>0</v>
      </c>
      <c r="O37" s="15">
        <f t="shared" si="0"/>
        <v>160</v>
      </c>
      <c r="P37" s="15">
        <f t="shared" si="1"/>
        <v>229</v>
      </c>
      <c r="R37" s="37" t="s">
        <v>85</v>
      </c>
      <c r="S37" s="35">
        <f t="shared" ref="S37:AF37" si="29">SUM(S10:S12)</f>
        <v>598</v>
      </c>
      <c r="T37" s="16">
        <f t="shared" si="29"/>
        <v>261</v>
      </c>
      <c r="U37" s="16">
        <f t="shared" si="29"/>
        <v>188</v>
      </c>
      <c r="V37" s="16">
        <f t="shared" si="29"/>
        <v>445</v>
      </c>
      <c r="W37" s="16">
        <f t="shared" si="29"/>
        <v>14</v>
      </c>
      <c r="X37" s="16">
        <f t="shared" si="29"/>
        <v>19</v>
      </c>
      <c r="Y37" s="16">
        <f t="shared" si="29"/>
        <v>97</v>
      </c>
      <c r="Z37" s="16">
        <f t="shared" si="29"/>
        <v>123</v>
      </c>
      <c r="AA37" s="16">
        <f t="shared" si="29"/>
        <v>7</v>
      </c>
      <c r="AB37" s="16">
        <f t="shared" si="29"/>
        <v>5</v>
      </c>
      <c r="AC37" s="16">
        <f t="shared" si="29"/>
        <v>872</v>
      </c>
      <c r="AD37" s="16">
        <f t="shared" si="29"/>
        <v>0</v>
      </c>
      <c r="AE37" s="32">
        <f t="shared" si="29"/>
        <v>1757</v>
      </c>
      <c r="AF37" s="32">
        <f t="shared" si="29"/>
        <v>2629</v>
      </c>
    </row>
    <row r="38" spans="2:32" ht="23.1" customHeight="1" x14ac:dyDescent="0.25">
      <c r="B38" s="46" t="s">
        <v>65</v>
      </c>
      <c r="C38" s="50">
        <v>51</v>
      </c>
      <c r="D38" s="50">
        <v>25</v>
      </c>
      <c r="E38" s="50">
        <v>4</v>
      </c>
      <c r="F38" s="50">
        <v>50</v>
      </c>
      <c r="G38" s="50">
        <v>0</v>
      </c>
      <c r="H38" s="50">
        <v>0</v>
      </c>
      <c r="I38" s="50">
        <v>7</v>
      </c>
      <c r="J38" s="50">
        <v>16</v>
      </c>
      <c r="K38" s="50">
        <v>1</v>
      </c>
      <c r="L38" s="50">
        <v>1</v>
      </c>
      <c r="M38" s="50">
        <v>65</v>
      </c>
      <c r="N38" s="50">
        <v>0</v>
      </c>
      <c r="O38" s="15">
        <f t="shared" si="0"/>
        <v>155</v>
      </c>
      <c r="P38" s="15">
        <f t="shared" si="1"/>
        <v>220</v>
      </c>
      <c r="R38" s="28" t="s">
        <v>86</v>
      </c>
      <c r="S38" s="16">
        <f t="shared" ref="S38:AF38" si="30">SUM(S13:S18)</f>
        <v>1196</v>
      </c>
      <c r="T38" s="16">
        <f t="shared" si="30"/>
        <v>643</v>
      </c>
      <c r="U38" s="16">
        <f t="shared" si="30"/>
        <v>158</v>
      </c>
      <c r="V38" s="16">
        <f t="shared" si="30"/>
        <v>898</v>
      </c>
      <c r="W38" s="16">
        <f t="shared" si="30"/>
        <v>11</v>
      </c>
      <c r="X38" s="16">
        <f t="shared" si="30"/>
        <v>12</v>
      </c>
      <c r="Y38" s="16">
        <f t="shared" si="30"/>
        <v>177</v>
      </c>
      <c r="Z38" s="16">
        <f t="shared" si="30"/>
        <v>247</v>
      </c>
      <c r="AA38" s="16">
        <f t="shared" si="30"/>
        <v>27</v>
      </c>
      <c r="AB38" s="16">
        <f t="shared" si="30"/>
        <v>10</v>
      </c>
      <c r="AC38" s="16">
        <f t="shared" si="30"/>
        <v>1444</v>
      </c>
      <c r="AD38" s="16">
        <f t="shared" si="30"/>
        <v>0</v>
      </c>
      <c r="AE38" s="32">
        <f t="shared" si="30"/>
        <v>3379</v>
      </c>
      <c r="AF38" s="32">
        <f t="shared" si="30"/>
        <v>4823</v>
      </c>
    </row>
    <row r="39" spans="2:32" ht="23.1" customHeight="1" x14ac:dyDescent="0.25">
      <c r="B39" s="46" t="s">
        <v>66</v>
      </c>
      <c r="C39" s="50">
        <v>37</v>
      </c>
      <c r="D39" s="50">
        <v>39</v>
      </c>
      <c r="E39" s="50">
        <v>1</v>
      </c>
      <c r="F39" s="50">
        <v>37</v>
      </c>
      <c r="G39" s="50">
        <v>0</v>
      </c>
      <c r="H39" s="50">
        <v>0</v>
      </c>
      <c r="I39" s="50">
        <v>7</v>
      </c>
      <c r="J39" s="50">
        <v>4</v>
      </c>
      <c r="K39" s="50">
        <v>0</v>
      </c>
      <c r="L39" s="50">
        <v>0</v>
      </c>
      <c r="M39" s="50">
        <v>45</v>
      </c>
      <c r="N39" s="50">
        <v>0</v>
      </c>
      <c r="O39" s="15">
        <f t="shared" si="0"/>
        <v>125</v>
      </c>
      <c r="P39" s="15">
        <f t="shared" si="1"/>
        <v>170</v>
      </c>
      <c r="R39" s="29" t="s">
        <v>87</v>
      </c>
      <c r="S39" s="16">
        <f t="shared" ref="S39:AF39" si="31">SUM(S19:S21)</f>
        <v>348</v>
      </c>
      <c r="T39" s="16">
        <f t="shared" si="31"/>
        <v>181</v>
      </c>
      <c r="U39" s="16">
        <f t="shared" si="31"/>
        <v>7</v>
      </c>
      <c r="V39" s="16">
        <f t="shared" si="31"/>
        <v>467</v>
      </c>
      <c r="W39" s="16">
        <f t="shared" si="31"/>
        <v>10</v>
      </c>
      <c r="X39" s="16">
        <f t="shared" si="31"/>
        <v>7</v>
      </c>
      <c r="Y39" s="16">
        <f t="shared" si="31"/>
        <v>70</v>
      </c>
      <c r="Z39" s="16">
        <f t="shared" si="31"/>
        <v>68</v>
      </c>
      <c r="AA39" s="16">
        <f t="shared" si="31"/>
        <v>11</v>
      </c>
      <c r="AB39" s="16">
        <f t="shared" si="31"/>
        <v>10</v>
      </c>
      <c r="AC39" s="16">
        <f t="shared" si="31"/>
        <v>629</v>
      </c>
      <c r="AD39" s="16">
        <f t="shared" si="31"/>
        <v>0</v>
      </c>
      <c r="AE39" s="32">
        <f t="shared" si="31"/>
        <v>1179</v>
      </c>
      <c r="AF39" s="32">
        <f t="shared" si="31"/>
        <v>1808</v>
      </c>
    </row>
    <row r="40" spans="2:32" ht="23.1" customHeight="1" x14ac:dyDescent="0.25">
      <c r="B40" s="46" t="s">
        <v>67</v>
      </c>
      <c r="C40" s="50">
        <v>40</v>
      </c>
      <c r="D40" s="50">
        <v>40</v>
      </c>
      <c r="E40" s="50">
        <v>1</v>
      </c>
      <c r="F40" s="50">
        <v>45</v>
      </c>
      <c r="G40" s="50">
        <v>0</v>
      </c>
      <c r="H40" s="50">
        <v>0</v>
      </c>
      <c r="I40" s="50">
        <v>8</v>
      </c>
      <c r="J40" s="50">
        <v>11</v>
      </c>
      <c r="K40" s="50">
        <v>2</v>
      </c>
      <c r="L40" s="50">
        <v>0</v>
      </c>
      <c r="M40" s="50">
        <v>40</v>
      </c>
      <c r="N40" s="50">
        <v>0</v>
      </c>
      <c r="O40" s="15">
        <f t="shared" si="0"/>
        <v>147</v>
      </c>
      <c r="P40" s="15">
        <f t="shared" si="1"/>
        <v>187</v>
      </c>
      <c r="R40" s="5" t="s">
        <v>17</v>
      </c>
      <c r="S40" s="16">
        <f t="shared" ref="S40:AF40" si="32">SUM(S10:S21)</f>
        <v>2142</v>
      </c>
      <c r="T40" s="16">
        <f t="shared" si="32"/>
        <v>1085</v>
      </c>
      <c r="U40" s="16">
        <f t="shared" si="32"/>
        <v>353</v>
      </c>
      <c r="V40" s="16">
        <f t="shared" si="32"/>
        <v>1810</v>
      </c>
      <c r="W40" s="16">
        <f t="shared" si="32"/>
        <v>35</v>
      </c>
      <c r="X40" s="16">
        <f t="shared" si="32"/>
        <v>38</v>
      </c>
      <c r="Y40" s="16">
        <f t="shared" si="32"/>
        <v>344</v>
      </c>
      <c r="Z40" s="16">
        <f t="shared" si="32"/>
        <v>438</v>
      </c>
      <c r="AA40" s="16">
        <f t="shared" si="32"/>
        <v>45</v>
      </c>
      <c r="AB40" s="16">
        <f t="shared" si="32"/>
        <v>25</v>
      </c>
      <c r="AC40" s="16">
        <f t="shared" si="32"/>
        <v>2945</v>
      </c>
      <c r="AD40" s="16">
        <f t="shared" si="32"/>
        <v>0</v>
      </c>
      <c r="AE40" s="32">
        <f t="shared" si="32"/>
        <v>6315</v>
      </c>
      <c r="AF40" s="32">
        <f t="shared" si="32"/>
        <v>9260</v>
      </c>
    </row>
    <row r="41" spans="2:32" ht="23.1" customHeight="1" x14ac:dyDescent="0.25">
      <c r="B41" s="45" t="s">
        <v>68</v>
      </c>
      <c r="C41" s="50">
        <v>50</v>
      </c>
      <c r="D41" s="50">
        <v>30</v>
      </c>
      <c r="E41" s="50">
        <v>1</v>
      </c>
      <c r="F41" s="50">
        <v>41</v>
      </c>
      <c r="G41" s="50">
        <v>0</v>
      </c>
      <c r="H41" s="50">
        <v>0</v>
      </c>
      <c r="I41" s="50">
        <v>6</v>
      </c>
      <c r="J41" s="50">
        <v>10</v>
      </c>
      <c r="K41" s="50">
        <v>1</v>
      </c>
      <c r="L41" s="50">
        <v>0</v>
      </c>
      <c r="M41" s="50">
        <v>40</v>
      </c>
      <c r="N41" s="50">
        <v>0</v>
      </c>
      <c r="O41" s="15">
        <f t="shared" si="0"/>
        <v>139</v>
      </c>
      <c r="P41" s="15">
        <f t="shared" si="1"/>
        <v>179</v>
      </c>
      <c r="R41" s="5" t="s">
        <v>159</v>
      </c>
      <c r="S41" s="16">
        <f>SUM(S10:S33)</f>
        <v>3518</v>
      </c>
      <c r="T41" s="16">
        <f t="shared" ref="T41:AF41" si="33">SUM(T10:T33)</f>
        <v>1540</v>
      </c>
      <c r="U41" s="16">
        <f t="shared" si="33"/>
        <v>565</v>
      </c>
      <c r="V41" s="16">
        <f t="shared" si="33"/>
        <v>3144</v>
      </c>
      <c r="W41" s="16">
        <f t="shared" si="33"/>
        <v>67</v>
      </c>
      <c r="X41" s="16">
        <f t="shared" si="33"/>
        <v>52</v>
      </c>
      <c r="Y41" s="16">
        <f t="shared" si="33"/>
        <v>620</v>
      </c>
      <c r="Z41" s="16">
        <f t="shared" si="33"/>
        <v>497</v>
      </c>
      <c r="AA41" s="16">
        <f t="shared" si="33"/>
        <v>72</v>
      </c>
      <c r="AB41" s="16">
        <f t="shared" si="33"/>
        <v>60</v>
      </c>
      <c r="AC41" s="16">
        <f t="shared" si="33"/>
        <v>5288</v>
      </c>
      <c r="AD41" s="16">
        <f t="shared" si="33"/>
        <v>0</v>
      </c>
      <c r="AE41" s="32">
        <f t="shared" si="33"/>
        <v>10135</v>
      </c>
      <c r="AF41" s="32">
        <f t="shared" si="33"/>
        <v>15423</v>
      </c>
    </row>
    <row r="42" spans="2:32" ht="23.1" customHeight="1" x14ac:dyDescent="0.25">
      <c r="B42" s="46" t="s">
        <v>69</v>
      </c>
      <c r="C42" s="50">
        <v>32</v>
      </c>
      <c r="D42" s="50">
        <v>21</v>
      </c>
      <c r="E42" s="50">
        <v>1</v>
      </c>
      <c r="F42" s="50">
        <v>49</v>
      </c>
      <c r="G42" s="50">
        <v>0</v>
      </c>
      <c r="H42" s="50">
        <v>0</v>
      </c>
      <c r="I42" s="50">
        <v>8</v>
      </c>
      <c r="J42" s="50">
        <v>10</v>
      </c>
      <c r="K42" s="50">
        <v>3</v>
      </c>
      <c r="L42" s="50">
        <v>1</v>
      </c>
      <c r="M42" s="50">
        <v>41</v>
      </c>
      <c r="N42" s="50">
        <v>0</v>
      </c>
      <c r="O42" s="15">
        <f t="shared" si="0"/>
        <v>125</v>
      </c>
      <c r="P42" s="15">
        <f t="shared" si="1"/>
        <v>166</v>
      </c>
      <c r="R42" s="5" t="s">
        <v>160</v>
      </c>
      <c r="S42" s="48">
        <f>S41/S40</f>
        <v>1.6423902894491129</v>
      </c>
      <c r="T42" s="48">
        <f t="shared" ref="T42:AF42" si="34">T41/T40</f>
        <v>1.4193548387096775</v>
      </c>
      <c r="U42" s="48">
        <f t="shared" si="34"/>
        <v>1.6005665722379603</v>
      </c>
      <c r="V42" s="48">
        <f t="shared" si="34"/>
        <v>1.7370165745856354</v>
      </c>
      <c r="W42" s="48">
        <f t="shared" si="34"/>
        <v>1.9142857142857144</v>
      </c>
      <c r="X42" s="48">
        <f t="shared" si="34"/>
        <v>1.368421052631579</v>
      </c>
      <c r="Y42" s="48">
        <f t="shared" si="34"/>
        <v>1.8023255813953489</v>
      </c>
      <c r="Z42" s="48">
        <f t="shared" si="34"/>
        <v>1.134703196347032</v>
      </c>
      <c r="AA42" s="48">
        <f t="shared" si="34"/>
        <v>1.6</v>
      </c>
      <c r="AB42" s="48">
        <f t="shared" si="34"/>
        <v>2.4</v>
      </c>
      <c r="AC42" s="48">
        <f t="shared" si="34"/>
        <v>1.7955857385398981</v>
      </c>
      <c r="AD42" s="48" t="e">
        <f t="shared" si="34"/>
        <v>#DIV/0!</v>
      </c>
      <c r="AE42" s="48">
        <f t="shared" si="34"/>
        <v>1.6049089469517024</v>
      </c>
      <c r="AF42" s="48">
        <f t="shared" si="34"/>
        <v>1.6655507559395248</v>
      </c>
    </row>
    <row r="43" spans="2:32" ht="23.1" customHeight="1" x14ac:dyDescent="0.25">
      <c r="B43" s="45" t="s">
        <v>70</v>
      </c>
      <c r="C43" s="50">
        <v>53</v>
      </c>
      <c r="D43" s="50">
        <v>9</v>
      </c>
      <c r="E43" s="50">
        <v>4</v>
      </c>
      <c r="F43" s="50">
        <v>24</v>
      </c>
      <c r="G43" s="50">
        <v>1</v>
      </c>
      <c r="H43" s="50">
        <v>0</v>
      </c>
      <c r="I43" s="50">
        <v>5</v>
      </c>
      <c r="J43" s="50">
        <v>8</v>
      </c>
      <c r="K43" s="50">
        <v>0</v>
      </c>
      <c r="L43" s="50">
        <v>0</v>
      </c>
      <c r="M43" s="50">
        <v>34</v>
      </c>
      <c r="N43" s="50">
        <v>0</v>
      </c>
      <c r="O43" s="15">
        <f t="shared" si="0"/>
        <v>104</v>
      </c>
      <c r="P43" s="15">
        <f t="shared" si="1"/>
        <v>138</v>
      </c>
    </row>
    <row r="44" spans="2:32" ht="23.1" customHeight="1" x14ac:dyDescent="0.25">
      <c r="B44" s="47" t="s">
        <v>71</v>
      </c>
      <c r="C44" s="50">
        <v>30</v>
      </c>
      <c r="D44" s="50">
        <v>17</v>
      </c>
      <c r="E44" s="50">
        <v>3</v>
      </c>
      <c r="F44" s="50">
        <v>28</v>
      </c>
      <c r="G44" s="50">
        <v>0</v>
      </c>
      <c r="H44" s="50">
        <v>0</v>
      </c>
      <c r="I44" s="50">
        <v>7</v>
      </c>
      <c r="J44" s="50">
        <v>2</v>
      </c>
      <c r="K44" s="50">
        <v>3</v>
      </c>
      <c r="L44" s="50">
        <v>0</v>
      </c>
      <c r="M44" s="50">
        <v>52</v>
      </c>
      <c r="N44" s="50">
        <v>0</v>
      </c>
      <c r="O44" s="15">
        <f t="shared" si="0"/>
        <v>90</v>
      </c>
      <c r="P44" s="15">
        <f t="shared" si="1"/>
        <v>142</v>
      </c>
    </row>
    <row r="45" spans="2:32" ht="23.1" customHeight="1" x14ac:dyDescent="0.25">
      <c r="B45" s="45" t="s">
        <v>72</v>
      </c>
      <c r="C45" s="50">
        <v>36</v>
      </c>
      <c r="D45" s="50">
        <v>15</v>
      </c>
      <c r="E45" s="50">
        <v>4</v>
      </c>
      <c r="F45" s="50">
        <v>33</v>
      </c>
      <c r="G45" s="50">
        <v>0</v>
      </c>
      <c r="H45" s="50">
        <v>0</v>
      </c>
      <c r="I45" s="50">
        <v>8</v>
      </c>
      <c r="J45" s="50">
        <v>1</v>
      </c>
      <c r="K45" s="50">
        <v>2</v>
      </c>
      <c r="L45" s="50">
        <v>0</v>
      </c>
      <c r="M45" s="50">
        <v>60</v>
      </c>
      <c r="N45" s="50">
        <v>0</v>
      </c>
      <c r="O45" s="15">
        <f t="shared" si="0"/>
        <v>99</v>
      </c>
      <c r="P45" s="15">
        <f t="shared" si="1"/>
        <v>159</v>
      </c>
    </row>
    <row r="46" spans="2:32" ht="23.1" customHeight="1" x14ac:dyDescent="0.25">
      <c r="B46" s="46" t="s">
        <v>73</v>
      </c>
      <c r="C46" s="50">
        <v>48</v>
      </c>
      <c r="D46" s="50">
        <v>16</v>
      </c>
      <c r="E46" s="50">
        <v>2</v>
      </c>
      <c r="F46" s="50">
        <v>39</v>
      </c>
      <c r="G46" s="50">
        <v>2</v>
      </c>
      <c r="H46" s="50">
        <v>0</v>
      </c>
      <c r="I46" s="50">
        <v>7</v>
      </c>
      <c r="J46" s="50">
        <v>4</v>
      </c>
      <c r="K46" s="50">
        <v>2</v>
      </c>
      <c r="L46" s="50">
        <v>1</v>
      </c>
      <c r="M46" s="50">
        <v>39</v>
      </c>
      <c r="N46" s="50">
        <v>0</v>
      </c>
      <c r="O46" s="15">
        <f t="shared" si="0"/>
        <v>121</v>
      </c>
      <c r="P46" s="15">
        <f t="shared" si="1"/>
        <v>160</v>
      </c>
      <c r="R46" s="8"/>
      <c r="T46"/>
    </row>
    <row r="47" spans="2:32" ht="23.1" customHeight="1" x14ac:dyDescent="0.25">
      <c r="B47" s="46" t="s">
        <v>74</v>
      </c>
      <c r="C47" s="50">
        <v>37</v>
      </c>
      <c r="D47" s="50">
        <v>10</v>
      </c>
      <c r="E47" s="50">
        <v>1</v>
      </c>
      <c r="F47" s="50">
        <v>26</v>
      </c>
      <c r="G47" s="50">
        <v>0</v>
      </c>
      <c r="H47" s="50">
        <v>0</v>
      </c>
      <c r="I47" s="50">
        <v>3</v>
      </c>
      <c r="J47" s="50">
        <v>6</v>
      </c>
      <c r="K47" s="50">
        <v>1</v>
      </c>
      <c r="L47" s="50">
        <v>0</v>
      </c>
      <c r="M47" s="50">
        <v>50</v>
      </c>
      <c r="N47" s="50">
        <v>0</v>
      </c>
      <c r="O47" s="15">
        <f t="shared" si="0"/>
        <v>84</v>
      </c>
      <c r="P47" s="15">
        <f t="shared" si="1"/>
        <v>134</v>
      </c>
      <c r="R47" s="8"/>
      <c r="T47"/>
    </row>
    <row r="48" spans="2:32" ht="23.1" customHeight="1" x14ac:dyDescent="0.25">
      <c r="B48" s="46" t="s">
        <v>75</v>
      </c>
      <c r="C48" s="50">
        <v>30</v>
      </c>
      <c r="D48" s="50">
        <v>13</v>
      </c>
      <c r="E48" s="50">
        <v>0</v>
      </c>
      <c r="F48" s="50">
        <v>36</v>
      </c>
      <c r="G48" s="50">
        <v>0</v>
      </c>
      <c r="H48" s="50">
        <v>0</v>
      </c>
      <c r="I48" s="50">
        <v>2</v>
      </c>
      <c r="J48" s="50">
        <v>7</v>
      </c>
      <c r="K48" s="50">
        <v>1</v>
      </c>
      <c r="L48" s="50">
        <v>2</v>
      </c>
      <c r="M48" s="50">
        <v>62</v>
      </c>
      <c r="N48" s="50">
        <v>0</v>
      </c>
      <c r="O48" s="15">
        <f t="shared" si="0"/>
        <v>91</v>
      </c>
      <c r="P48" s="15">
        <f t="shared" si="1"/>
        <v>153</v>
      </c>
      <c r="R48" s="8"/>
      <c r="T48"/>
    </row>
    <row r="49" spans="2:20" ht="23.1" customHeight="1" x14ac:dyDescent="0.25">
      <c r="B49" s="45" t="s">
        <v>76</v>
      </c>
      <c r="C49" s="50">
        <v>30</v>
      </c>
      <c r="D49" s="50">
        <v>12</v>
      </c>
      <c r="E49" s="50">
        <v>1</v>
      </c>
      <c r="F49" s="50">
        <v>31</v>
      </c>
      <c r="G49" s="50">
        <v>0</v>
      </c>
      <c r="H49" s="50">
        <v>0</v>
      </c>
      <c r="I49" s="50">
        <v>10</v>
      </c>
      <c r="J49" s="50">
        <v>5</v>
      </c>
      <c r="K49" s="50">
        <v>0</v>
      </c>
      <c r="L49" s="50">
        <v>1</v>
      </c>
      <c r="M49" s="50">
        <v>63</v>
      </c>
      <c r="N49" s="50">
        <v>0</v>
      </c>
      <c r="O49" s="15">
        <f t="shared" si="0"/>
        <v>90</v>
      </c>
      <c r="P49" s="15">
        <f t="shared" si="1"/>
        <v>153</v>
      </c>
      <c r="R49" s="8"/>
      <c r="T49"/>
    </row>
    <row r="50" spans="2:20" ht="23.1" customHeight="1" x14ac:dyDescent="0.25">
      <c r="B50" s="46" t="s">
        <v>77</v>
      </c>
      <c r="C50" s="50">
        <v>21</v>
      </c>
      <c r="D50" s="50">
        <v>16</v>
      </c>
      <c r="E50" s="50">
        <v>1</v>
      </c>
      <c r="F50" s="50">
        <v>41</v>
      </c>
      <c r="G50" s="50">
        <v>0</v>
      </c>
      <c r="H50" s="50">
        <v>0</v>
      </c>
      <c r="I50" s="50">
        <v>2</v>
      </c>
      <c r="J50" s="50">
        <v>8</v>
      </c>
      <c r="K50" s="50">
        <v>2</v>
      </c>
      <c r="L50" s="50">
        <v>0</v>
      </c>
      <c r="M50" s="50">
        <v>65</v>
      </c>
      <c r="N50" s="50">
        <v>0</v>
      </c>
      <c r="O50" s="15">
        <f t="shared" si="0"/>
        <v>91</v>
      </c>
      <c r="P50" s="15">
        <f t="shared" si="1"/>
        <v>156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15</v>
      </c>
      <c r="E51" s="50">
        <v>0</v>
      </c>
      <c r="F51" s="50">
        <v>51</v>
      </c>
      <c r="G51" s="50">
        <v>3</v>
      </c>
      <c r="H51" s="50">
        <v>0</v>
      </c>
      <c r="I51" s="50">
        <v>7</v>
      </c>
      <c r="J51" s="50">
        <v>6</v>
      </c>
      <c r="K51" s="50">
        <v>0</v>
      </c>
      <c r="L51" s="50">
        <v>1</v>
      </c>
      <c r="M51" s="50">
        <v>55</v>
      </c>
      <c r="N51" s="50">
        <v>0</v>
      </c>
      <c r="O51" s="15">
        <f t="shared" si="0"/>
        <v>101</v>
      </c>
      <c r="P51" s="15">
        <f t="shared" si="1"/>
        <v>156</v>
      </c>
      <c r="R51" s="8"/>
      <c r="T51"/>
    </row>
    <row r="52" spans="2:20" ht="23.1" customHeight="1" x14ac:dyDescent="0.25">
      <c r="B52" s="46" t="s">
        <v>79</v>
      </c>
      <c r="C52" s="50">
        <v>37</v>
      </c>
      <c r="D52" s="50">
        <v>28</v>
      </c>
      <c r="E52" s="50">
        <v>0</v>
      </c>
      <c r="F52" s="50">
        <v>45</v>
      </c>
      <c r="G52" s="50">
        <v>2</v>
      </c>
      <c r="H52" s="50">
        <v>0</v>
      </c>
      <c r="I52" s="50">
        <v>13</v>
      </c>
      <c r="J52" s="50">
        <v>11</v>
      </c>
      <c r="K52" s="50">
        <v>3</v>
      </c>
      <c r="L52" s="50">
        <v>0</v>
      </c>
      <c r="M52" s="50">
        <v>55</v>
      </c>
      <c r="N52" s="50">
        <v>0</v>
      </c>
      <c r="O52" s="15">
        <f t="shared" si="0"/>
        <v>139</v>
      </c>
      <c r="P52" s="15">
        <f t="shared" si="1"/>
        <v>194</v>
      </c>
      <c r="R52" s="8"/>
      <c r="T52"/>
    </row>
    <row r="53" spans="2:20" ht="23.1" customHeight="1" x14ac:dyDescent="0.25">
      <c r="B53" s="45" t="s">
        <v>80</v>
      </c>
      <c r="C53" s="50">
        <v>34</v>
      </c>
      <c r="D53" s="50">
        <v>25</v>
      </c>
      <c r="E53" s="50">
        <v>0</v>
      </c>
      <c r="F53" s="50">
        <v>44</v>
      </c>
      <c r="G53" s="50">
        <v>1</v>
      </c>
      <c r="H53" s="50">
        <v>0</v>
      </c>
      <c r="I53" s="50">
        <v>4</v>
      </c>
      <c r="J53" s="50">
        <v>8</v>
      </c>
      <c r="K53" s="50">
        <v>2</v>
      </c>
      <c r="L53" s="50">
        <v>0</v>
      </c>
      <c r="M53" s="50">
        <v>52</v>
      </c>
      <c r="N53" s="50">
        <v>0</v>
      </c>
      <c r="O53" s="15">
        <f t="shared" si="0"/>
        <v>118</v>
      </c>
      <c r="P53" s="15">
        <f t="shared" si="1"/>
        <v>170</v>
      </c>
      <c r="R53" s="8"/>
      <c r="T53"/>
    </row>
    <row r="54" spans="2:20" ht="23.1" customHeight="1" x14ac:dyDescent="0.25">
      <c r="B54" s="45" t="s">
        <v>81</v>
      </c>
      <c r="C54" s="50">
        <v>27</v>
      </c>
      <c r="D54" s="50">
        <v>10</v>
      </c>
      <c r="E54" s="50">
        <v>1</v>
      </c>
      <c r="F54" s="50">
        <v>35</v>
      </c>
      <c r="G54" s="50">
        <v>1</v>
      </c>
      <c r="H54" s="50">
        <v>7</v>
      </c>
      <c r="I54" s="50">
        <v>6</v>
      </c>
      <c r="J54" s="50">
        <v>0</v>
      </c>
      <c r="K54" s="50">
        <v>0</v>
      </c>
      <c r="L54" s="50">
        <v>1</v>
      </c>
      <c r="M54" s="50">
        <v>45</v>
      </c>
      <c r="N54" s="50">
        <v>0</v>
      </c>
      <c r="O54" s="15">
        <f t="shared" si="0"/>
        <v>88</v>
      </c>
      <c r="P54" s="15">
        <f t="shared" si="1"/>
        <v>133</v>
      </c>
      <c r="R54" s="8"/>
      <c r="T54"/>
    </row>
    <row r="55" spans="2:20" ht="23.1" customHeight="1" x14ac:dyDescent="0.25">
      <c r="B55" s="45" t="s">
        <v>82</v>
      </c>
      <c r="C55" s="50">
        <v>30</v>
      </c>
      <c r="D55" s="50">
        <v>18</v>
      </c>
      <c r="E55" s="50">
        <v>1</v>
      </c>
      <c r="F55" s="50">
        <v>38</v>
      </c>
      <c r="G55" s="50">
        <v>0</v>
      </c>
      <c r="H55" s="50">
        <v>0</v>
      </c>
      <c r="I55" s="50">
        <v>8</v>
      </c>
      <c r="J55" s="50">
        <v>3</v>
      </c>
      <c r="K55" s="50">
        <v>0</v>
      </c>
      <c r="L55" s="50">
        <v>2</v>
      </c>
      <c r="M55" s="50">
        <v>53</v>
      </c>
      <c r="N55" s="50">
        <v>0</v>
      </c>
      <c r="O55" s="15">
        <f t="shared" si="0"/>
        <v>100</v>
      </c>
      <c r="P55" s="15">
        <f t="shared" si="1"/>
        <v>153</v>
      </c>
      <c r="R55" s="8"/>
      <c r="T55"/>
    </row>
    <row r="56" spans="2:20" ht="23.1" customHeight="1" x14ac:dyDescent="0.25">
      <c r="B56" s="45" t="s">
        <v>83</v>
      </c>
      <c r="C56" s="50">
        <v>19</v>
      </c>
      <c r="D56" s="50">
        <v>16</v>
      </c>
      <c r="E56" s="50">
        <v>0</v>
      </c>
      <c r="F56" s="50">
        <v>45</v>
      </c>
      <c r="G56" s="50">
        <v>1</v>
      </c>
      <c r="H56" s="50">
        <v>0</v>
      </c>
      <c r="I56" s="50">
        <v>4</v>
      </c>
      <c r="J56" s="50">
        <v>6</v>
      </c>
      <c r="K56" s="50">
        <v>0</v>
      </c>
      <c r="L56" s="50">
        <v>2</v>
      </c>
      <c r="M56" s="50">
        <v>40</v>
      </c>
      <c r="N56" s="50">
        <v>0</v>
      </c>
      <c r="O56" s="15">
        <f t="shared" si="0"/>
        <v>93</v>
      </c>
      <c r="P56" s="15">
        <f t="shared" si="1"/>
        <v>133</v>
      </c>
      <c r="R56" s="8"/>
      <c r="T56"/>
    </row>
    <row r="57" spans="2:20" ht="23.1" customHeight="1" x14ac:dyDescent="0.25">
      <c r="B57" s="45" t="s">
        <v>84</v>
      </c>
      <c r="C57" s="50">
        <v>17</v>
      </c>
      <c r="D57" s="50">
        <v>2</v>
      </c>
      <c r="E57" s="50">
        <v>0</v>
      </c>
      <c r="F57" s="50">
        <v>36</v>
      </c>
      <c r="G57" s="50">
        <v>0</v>
      </c>
      <c r="H57" s="50">
        <v>0</v>
      </c>
      <c r="I57" s="50">
        <v>4</v>
      </c>
      <c r="J57" s="50">
        <v>4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63</v>
      </c>
      <c r="P57" s="15">
        <f t="shared" si="1"/>
        <v>113</v>
      </c>
      <c r="R57" s="8"/>
      <c r="T57"/>
    </row>
    <row r="58" spans="2:20" ht="23.1" customHeight="1" x14ac:dyDescent="0.25">
      <c r="B58" s="45" t="s">
        <v>99</v>
      </c>
      <c r="C58" s="50">
        <v>15</v>
      </c>
      <c r="D58" s="50">
        <v>15</v>
      </c>
      <c r="E58" s="50">
        <v>20</v>
      </c>
      <c r="F58" s="50">
        <v>70</v>
      </c>
      <c r="G58" s="50">
        <v>7</v>
      </c>
      <c r="H58" s="50">
        <v>1</v>
      </c>
      <c r="I58" s="50">
        <v>10</v>
      </c>
      <c r="J58" s="50">
        <v>3</v>
      </c>
      <c r="K58" s="50">
        <v>4</v>
      </c>
      <c r="L58" s="50">
        <v>2</v>
      </c>
      <c r="M58" s="50">
        <v>87</v>
      </c>
      <c r="N58" s="50">
        <v>0</v>
      </c>
      <c r="O58" s="15">
        <f t="shared" si="0"/>
        <v>147</v>
      </c>
      <c r="P58" s="15">
        <f t="shared" si="1"/>
        <v>234</v>
      </c>
      <c r="R58" s="8"/>
      <c r="T58"/>
    </row>
    <row r="59" spans="2:20" ht="23.1" customHeight="1" x14ac:dyDescent="0.25">
      <c r="B59" s="45" t="s">
        <v>100</v>
      </c>
      <c r="C59" s="50">
        <v>55</v>
      </c>
      <c r="D59" s="50">
        <v>28</v>
      </c>
      <c r="E59" s="50">
        <v>0</v>
      </c>
      <c r="F59" s="50">
        <v>50</v>
      </c>
      <c r="G59" s="50">
        <v>1</v>
      </c>
      <c r="H59" s="50">
        <v>0</v>
      </c>
      <c r="I59" s="50">
        <v>16</v>
      </c>
      <c r="J59" s="50">
        <v>8</v>
      </c>
      <c r="K59" s="50">
        <v>1</v>
      </c>
      <c r="L59" s="50">
        <v>0</v>
      </c>
      <c r="M59" s="50">
        <v>80</v>
      </c>
      <c r="N59" s="50">
        <v>0</v>
      </c>
      <c r="O59" s="15">
        <f t="shared" si="0"/>
        <v>159</v>
      </c>
      <c r="P59" s="15">
        <f t="shared" si="1"/>
        <v>239</v>
      </c>
      <c r="R59" s="8"/>
      <c r="T59"/>
    </row>
    <row r="60" spans="2:20" ht="23.1" customHeight="1" x14ac:dyDescent="0.25">
      <c r="B60" s="45" t="s">
        <v>101</v>
      </c>
      <c r="C60" s="50">
        <v>55</v>
      </c>
      <c r="D60" s="50">
        <v>8</v>
      </c>
      <c r="E60" s="50">
        <v>6</v>
      </c>
      <c r="F60" s="50">
        <v>30</v>
      </c>
      <c r="G60" s="50">
        <v>2</v>
      </c>
      <c r="H60" s="50">
        <v>0</v>
      </c>
      <c r="I60" s="50">
        <v>7</v>
      </c>
      <c r="J60" s="50">
        <v>0</v>
      </c>
      <c r="K60" s="50">
        <v>0</v>
      </c>
      <c r="L60" s="50">
        <v>1</v>
      </c>
      <c r="M60" s="50">
        <v>80</v>
      </c>
      <c r="N60" s="50">
        <v>0</v>
      </c>
      <c r="O60" s="15">
        <f t="shared" si="0"/>
        <v>109</v>
      </c>
      <c r="P60" s="15">
        <f t="shared" si="1"/>
        <v>189</v>
      </c>
      <c r="R60" s="8"/>
      <c r="T60"/>
    </row>
    <row r="61" spans="2:20" ht="23.1" customHeight="1" x14ac:dyDescent="0.25">
      <c r="B61" s="45" t="s">
        <v>102</v>
      </c>
      <c r="C61" s="50">
        <v>30</v>
      </c>
      <c r="D61" s="50">
        <v>12</v>
      </c>
      <c r="E61" s="50">
        <v>4</v>
      </c>
      <c r="F61" s="50">
        <v>20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0</v>
      </c>
      <c r="M61" s="50">
        <v>83</v>
      </c>
      <c r="N61" s="50">
        <v>0</v>
      </c>
      <c r="O61" s="15">
        <f t="shared" si="0"/>
        <v>68</v>
      </c>
      <c r="P61" s="15">
        <f t="shared" si="1"/>
        <v>151</v>
      </c>
      <c r="R61" s="8"/>
      <c r="T61"/>
    </row>
    <row r="62" spans="2:20" ht="23.1" customHeight="1" x14ac:dyDescent="0.25">
      <c r="B62" s="45" t="s">
        <v>107</v>
      </c>
      <c r="C62" s="50">
        <v>18</v>
      </c>
      <c r="D62" s="50">
        <v>12</v>
      </c>
      <c r="E62" s="50">
        <v>2</v>
      </c>
      <c r="F62" s="50">
        <v>15</v>
      </c>
      <c r="G62" s="50">
        <v>0</v>
      </c>
      <c r="H62" s="50">
        <v>0</v>
      </c>
      <c r="I62" s="50">
        <v>6</v>
      </c>
      <c r="J62" s="50">
        <v>2</v>
      </c>
      <c r="K62" s="50">
        <v>0</v>
      </c>
      <c r="L62" s="50">
        <v>0</v>
      </c>
      <c r="M62" s="50">
        <v>75</v>
      </c>
      <c r="N62" s="50">
        <v>0</v>
      </c>
      <c r="O62" s="15">
        <f t="shared" si="0"/>
        <v>55</v>
      </c>
      <c r="P62" s="15">
        <f t="shared" si="1"/>
        <v>130</v>
      </c>
      <c r="R62" s="8"/>
      <c r="T62"/>
    </row>
    <row r="63" spans="2:20" ht="23.1" customHeight="1" x14ac:dyDescent="0.25">
      <c r="B63" s="45" t="s">
        <v>108</v>
      </c>
      <c r="C63" s="50">
        <v>45</v>
      </c>
      <c r="D63" s="50">
        <v>17</v>
      </c>
      <c r="E63" s="50">
        <v>5</v>
      </c>
      <c r="F63" s="50">
        <v>80</v>
      </c>
      <c r="G63" s="50">
        <v>0</v>
      </c>
      <c r="H63" s="50">
        <v>2</v>
      </c>
      <c r="I63" s="50">
        <v>3</v>
      </c>
      <c r="J63" s="50">
        <v>0</v>
      </c>
      <c r="K63" s="50">
        <v>1</v>
      </c>
      <c r="L63" s="50">
        <v>0</v>
      </c>
      <c r="M63" s="50">
        <v>95</v>
      </c>
      <c r="N63" s="50">
        <v>0</v>
      </c>
      <c r="O63" s="15">
        <f t="shared" si="0"/>
        <v>153</v>
      </c>
      <c r="P63" s="15">
        <f t="shared" si="1"/>
        <v>248</v>
      </c>
      <c r="R63" s="8"/>
      <c r="T63"/>
    </row>
    <row r="64" spans="2:20" ht="23.1" customHeight="1" x14ac:dyDescent="0.25">
      <c r="B64" s="45" t="s">
        <v>109</v>
      </c>
      <c r="C64" s="50">
        <v>80</v>
      </c>
      <c r="D64" s="50">
        <v>25</v>
      </c>
      <c r="E64" s="50">
        <v>8</v>
      </c>
      <c r="F64" s="50">
        <v>90</v>
      </c>
      <c r="G64" s="50">
        <v>2</v>
      </c>
      <c r="H64" s="50">
        <v>0</v>
      </c>
      <c r="I64" s="50">
        <v>8</v>
      </c>
      <c r="J64" s="50">
        <v>0</v>
      </c>
      <c r="K64" s="50">
        <v>2</v>
      </c>
      <c r="L64" s="50">
        <v>0</v>
      </c>
      <c r="M64" s="50">
        <v>100</v>
      </c>
      <c r="N64" s="50">
        <v>0</v>
      </c>
      <c r="O64" s="15">
        <f t="shared" si="0"/>
        <v>215</v>
      </c>
      <c r="P64" s="15">
        <f t="shared" si="1"/>
        <v>315</v>
      </c>
      <c r="R64" s="8"/>
      <c r="T64"/>
    </row>
    <row r="65" spans="2:20" ht="23.1" customHeight="1" x14ac:dyDescent="0.25">
      <c r="B65" s="45" t="s">
        <v>158</v>
      </c>
      <c r="C65" s="50">
        <v>60</v>
      </c>
      <c r="D65" s="50">
        <v>13</v>
      </c>
      <c r="E65" s="50">
        <v>11</v>
      </c>
      <c r="F65" s="50">
        <v>80</v>
      </c>
      <c r="G65" s="50">
        <v>1</v>
      </c>
      <c r="H65" s="50">
        <v>0</v>
      </c>
      <c r="I65" s="50">
        <v>10</v>
      </c>
      <c r="J65" s="50">
        <v>2</v>
      </c>
      <c r="K65" s="50">
        <v>1</v>
      </c>
      <c r="L65" s="50">
        <v>3</v>
      </c>
      <c r="M65" s="50">
        <v>105</v>
      </c>
      <c r="N65" s="50">
        <v>0</v>
      </c>
      <c r="O65" s="15">
        <f t="shared" si="0"/>
        <v>181</v>
      </c>
      <c r="P65" s="15">
        <f t="shared" si="1"/>
        <v>286</v>
      </c>
      <c r="R65" s="8"/>
      <c r="T65"/>
    </row>
    <row r="66" spans="2:20" ht="23.1" customHeight="1" x14ac:dyDescent="0.25">
      <c r="B66" s="45" t="s">
        <v>103</v>
      </c>
      <c r="C66" s="50">
        <v>90</v>
      </c>
      <c r="D66" s="50">
        <v>22</v>
      </c>
      <c r="E66" s="50">
        <v>6</v>
      </c>
      <c r="F66" s="50">
        <v>65</v>
      </c>
      <c r="G66" s="50">
        <v>1</v>
      </c>
      <c r="H66" s="50">
        <v>0</v>
      </c>
      <c r="I66" s="50">
        <v>2</v>
      </c>
      <c r="J66" s="50">
        <v>0</v>
      </c>
      <c r="K66" s="50">
        <v>1</v>
      </c>
      <c r="L66" s="50">
        <v>0</v>
      </c>
      <c r="M66" s="50">
        <v>115</v>
      </c>
      <c r="N66" s="50">
        <v>0</v>
      </c>
      <c r="O66" s="15">
        <f t="shared" si="0"/>
        <v>187</v>
      </c>
      <c r="P66" s="15">
        <f t="shared" si="1"/>
        <v>302</v>
      </c>
      <c r="R66" s="8"/>
      <c r="T66"/>
    </row>
    <row r="67" spans="2:20" ht="23.1" customHeight="1" x14ac:dyDescent="0.25">
      <c r="B67" s="45" t="s">
        <v>104</v>
      </c>
      <c r="C67" s="50">
        <v>50</v>
      </c>
      <c r="D67" s="50">
        <v>8</v>
      </c>
      <c r="E67" s="50">
        <v>3</v>
      </c>
      <c r="F67" s="50">
        <v>60</v>
      </c>
      <c r="G67" s="50">
        <v>0</v>
      </c>
      <c r="H67" s="50">
        <v>0</v>
      </c>
      <c r="I67" s="50">
        <v>3</v>
      </c>
      <c r="J67" s="50">
        <v>0</v>
      </c>
      <c r="K67" s="50">
        <v>1</v>
      </c>
      <c r="L67" s="50">
        <v>1</v>
      </c>
      <c r="M67" s="50">
        <v>80</v>
      </c>
      <c r="N67" s="50">
        <v>0</v>
      </c>
      <c r="O67" s="15">
        <f t="shared" si="0"/>
        <v>126</v>
      </c>
      <c r="P67" s="15">
        <f t="shared" si="1"/>
        <v>206</v>
      </c>
      <c r="R67" s="8"/>
      <c r="T67"/>
    </row>
    <row r="68" spans="2:20" ht="23.1" customHeight="1" x14ac:dyDescent="0.25">
      <c r="B68" s="45" t="s">
        <v>105</v>
      </c>
      <c r="C68" s="50">
        <v>45</v>
      </c>
      <c r="D68" s="50">
        <v>17</v>
      </c>
      <c r="E68" s="50">
        <v>7</v>
      </c>
      <c r="F68" s="50">
        <v>40</v>
      </c>
      <c r="G68" s="50">
        <v>0</v>
      </c>
      <c r="H68" s="50">
        <v>0</v>
      </c>
      <c r="I68" s="50">
        <v>8</v>
      </c>
      <c r="J68" s="50">
        <v>1</v>
      </c>
      <c r="K68" s="50">
        <v>0</v>
      </c>
      <c r="L68" s="50">
        <v>0</v>
      </c>
      <c r="M68" s="50">
        <v>90</v>
      </c>
      <c r="N68" s="50">
        <v>0</v>
      </c>
      <c r="O68" s="15">
        <f t="shared" si="0"/>
        <v>118</v>
      </c>
      <c r="P68" s="15">
        <f t="shared" si="1"/>
        <v>208</v>
      </c>
      <c r="R68" s="8"/>
      <c r="T68"/>
    </row>
    <row r="69" spans="2:20" ht="23.1" customHeight="1" x14ac:dyDescent="0.25">
      <c r="B69" s="45" t="s">
        <v>106</v>
      </c>
      <c r="C69" s="50">
        <v>55</v>
      </c>
      <c r="D69" s="50">
        <v>11</v>
      </c>
      <c r="E69" s="50">
        <v>15</v>
      </c>
      <c r="F69" s="50">
        <v>35</v>
      </c>
      <c r="G69" s="50">
        <v>1</v>
      </c>
      <c r="H69" s="50">
        <v>1</v>
      </c>
      <c r="I69" s="50">
        <v>4</v>
      </c>
      <c r="J69" s="50">
        <v>2</v>
      </c>
      <c r="K69" s="50">
        <v>0</v>
      </c>
      <c r="L69" s="50">
        <v>2</v>
      </c>
      <c r="M69" s="50">
        <v>75</v>
      </c>
      <c r="N69" s="50">
        <v>0</v>
      </c>
      <c r="O69" s="15">
        <f t="shared" si="0"/>
        <v>126</v>
      </c>
      <c r="P69" s="15">
        <f t="shared" si="1"/>
        <v>201</v>
      </c>
      <c r="R69" s="8"/>
      <c r="T69"/>
    </row>
    <row r="70" spans="2:20" ht="23.1" customHeight="1" x14ac:dyDescent="0.25">
      <c r="B70" s="45" t="s">
        <v>110</v>
      </c>
      <c r="C70" s="50">
        <v>65</v>
      </c>
      <c r="D70" s="50">
        <v>16</v>
      </c>
      <c r="E70" s="50">
        <v>3</v>
      </c>
      <c r="F70" s="50">
        <v>35</v>
      </c>
      <c r="G70" s="50">
        <v>4</v>
      </c>
      <c r="H70" s="50">
        <v>1</v>
      </c>
      <c r="I70" s="50">
        <v>2</v>
      </c>
      <c r="J70" s="50">
        <v>2</v>
      </c>
      <c r="K70" s="50">
        <v>0</v>
      </c>
      <c r="L70" s="50">
        <v>1</v>
      </c>
      <c r="M70" s="50">
        <v>100</v>
      </c>
      <c r="N70" s="50">
        <v>0</v>
      </c>
      <c r="O70" s="15">
        <f t="shared" si="0"/>
        <v>129</v>
      </c>
      <c r="P70" s="15">
        <f t="shared" si="1"/>
        <v>229</v>
      </c>
      <c r="R70" s="8"/>
      <c r="T70"/>
    </row>
    <row r="71" spans="2:20" ht="23.1" customHeight="1" x14ac:dyDescent="0.25">
      <c r="B71" s="45" t="s">
        <v>111</v>
      </c>
      <c r="C71" s="50">
        <v>55</v>
      </c>
      <c r="D71" s="50">
        <v>11</v>
      </c>
      <c r="E71" s="50">
        <v>7</v>
      </c>
      <c r="F71" s="50">
        <v>18</v>
      </c>
      <c r="G71" s="50">
        <v>1</v>
      </c>
      <c r="H71" s="50">
        <v>0</v>
      </c>
      <c r="I71" s="50">
        <v>13</v>
      </c>
      <c r="J71" s="50">
        <v>2</v>
      </c>
      <c r="K71" s="50">
        <v>0</v>
      </c>
      <c r="L71" s="50">
        <v>1</v>
      </c>
      <c r="M71" s="50">
        <v>70</v>
      </c>
      <c r="N71" s="50">
        <v>0</v>
      </c>
      <c r="O71" s="15">
        <f t="shared" si="0"/>
        <v>108</v>
      </c>
      <c r="P71" s="15">
        <f t="shared" si="1"/>
        <v>178</v>
      </c>
      <c r="R71" s="8"/>
      <c r="T71"/>
    </row>
    <row r="72" spans="2:20" ht="23.1" customHeight="1" x14ac:dyDescent="0.25">
      <c r="B72" s="45" t="s">
        <v>112</v>
      </c>
      <c r="C72" s="50">
        <v>60</v>
      </c>
      <c r="D72" s="50">
        <v>3</v>
      </c>
      <c r="E72" s="50">
        <v>2</v>
      </c>
      <c r="F72" s="50">
        <v>25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2</v>
      </c>
      <c r="M72" s="50">
        <v>60</v>
      </c>
      <c r="N72" s="50">
        <v>0</v>
      </c>
      <c r="O72" s="15">
        <f t="shared" si="0"/>
        <v>95</v>
      </c>
      <c r="P72" s="15">
        <f t="shared" si="1"/>
        <v>155</v>
      </c>
      <c r="R72" s="8"/>
      <c r="T72"/>
    </row>
    <row r="73" spans="2:20" ht="23.1" customHeight="1" x14ac:dyDescent="0.25">
      <c r="B73" s="45" t="s">
        <v>113</v>
      </c>
      <c r="C73" s="50">
        <v>30</v>
      </c>
      <c r="D73" s="50">
        <v>11</v>
      </c>
      <c r="E73" s="50">
        <v>5</v>
      </c>
      <c r="F73" s="50">
        <v>21</v>
      </c>
      <c r="G73" s="50">
        <v>0</v>
      </c>
      <c r="H73" s="50">
        <v>0</v>
      </c>
      <c r="I73" s="50">
        <v>7</v>
      </c>
      <c r="J73" s="50">
        <v>0</v>
      </c>
      <c r="K73" s="50">
        <v>0</v>
      </c>
      <c r="L73" s="50">
        <v>0</v>
      </c>
      <c r="M73" s="50">
        <v>85</v>
      </c>
      <c r="N73" s="50">
        <v>0</v>
      </c>
      <c r="O73" s="15">
        <f t="shared" si="0"/>
        <v>74</v>
      </c>
      <c r="P73" s="15">
        <f t="shared" si="1"/>
        <v>159</v>
      </c>
      <c r="R73" s="8"/>
      <c r="T73"/>
    </row>
    <row r="74" spans="2:20" ht="23.1" customHeight="1" x14ac:dyDescent="0.25">
      <c r="B74" s="45" t="s">
        <v>114</v>
      </c>
      <c r="C74" s="50">
        <v>37</v>
      </c>
      <c r="D74" s="50">
        <v>26</v>
      </c>
      <c r="E74" s="50">
        <v>10</v>
      </c>
      <c r="F74" s="50">
        <v>47</v>
      </c>
      <c r="G74" s="50">
        <v>2</v>
      </c>
      <c r="H74" s="50">
        <v>1</v>
      </c>
      <c r="I74" s="50">
        <v>4</v>
      </c>
      <c r="J74" s="50">
        <v>1</v>
      </c>
      <c r="K74" s="50">
        <v>0</v>
      </c>
      <c r="L74" s="50">
        <v>1</v>
      </c>
      <c r="M74" s="50">
        <v>65</v>
      </c>
      <c r="N74" s="50">
        <v>0</v>
      </c>
      <c r="O74" s="15">
        <f t="shared" ref="O74:O105" si="35">SUM(C74:L74,N74)</f>
        <v>129</v>
      </c>
      <c r="P74" s="15">
        <f t="shared" ref="P74:P105" si="36">SUM(C74:N74)</f>
        <v>194</v>
      </c>
      <c r="R74" s="8"/>
      <c r="T74"/>
    </row>
    <row r="75" spans="2:20" ht="23.1" customHeight="1" x14ac:dyDescent="0.25">
      <c r="B75" s="45" t="s">
        <v>115</v>
      </c>
      <c r="C75" s="50">
        <v>55</v>
      </c>
      <c r="D75" s="50">
        <v>15</v>
      </c>
      <c r="E75" s="50">
        <v>6</v>
      </c>
      <c r="F75" s="50">
        <v>24</v>
      </c>
      <c r="G75" s="50">
        <v>0</v>
      </c>
      <c r="H75" s="50">
        <v>0</v>
      </c>
      <c r="I75" s="50">
        <v>6</v>
      </c>
      <c r="J75" s="50">
        <v>2</v>
      </c>
      <c r="K75" s="50">
        <v>0</v>
      </c>
      <c r="L75" s="50">
        <v>1</v>
      </c>
      <c r="M75" s="50">
        <v>70</v>
      </c>
      <c r="N75" s="50">
        <v>0</v>
      </c>
      <c r="O75" s="15">
        <f t="shared" si="35"/>
        <v>109</v>
      </c>
      <c r="P75" s="15">
        <f t="shared" si="36"/>
        <v>179</v>
      </c>
      <c r="R75" s="8"/>
      <c r="T75"/>
    </row>
    <row r="76" spans="2:20" ht="23.1" customHeight="1" x14ac:dyDescent="0.25">
      <c r="B76" s="45" t="s">
        <v>116</v>
      </c>
      <c r="C76" s="50">
        <v>50</v>
      </c>
      <c r="D76" s="50">
        <v>11</v>
      </c>
      <c r="E76" s="50">
        <v>7</v>
      </c>
      <c r="F76" s="50">
        <v>25</v>
      </c>
      <c r="G76" s="50">
        <v>1</v>
      </c>
      <c r="H76" s="50">
        <v>0</v>
      </c>
      <c r="I76" s="50">
        <v>6</v>
      </c>
      <c r="J76" s="50">
        <v>1</v>
      </c>
      <c r="K76" s="50">
        <v>0</v>
      </c>
      <c r="L76" s="50">
        <v>1</v>
      </c>
      <c r="M76" s="50">
        <v>70</v>
      </c>
      <c r="N76" s="50">
        <v>0</v>
      </c>
      <c r="O76" s="15">
        <f t="shared" si="35"/>
        <v>102</v>
      </c>
      <c r="P76" s="15">
        <f t="shared" si="36"/>
        <v>172</v>
      </c>
      <c r="R76" s="8"/>
      <c r="T76"/>
    </row>
    <row r="77" spans="2:20" ht="23.1" customHeight="1" x14ac:dyDescent="0.25">
      <c r="B77" s="45" t="s">
        <v>117</v>
      </c>
      <c r="C77" s="50">
        <v>27</v>
      </c>
      <c r="D77" s="50">
        <v>7</v>
      </c>
      <c r="E77" s="50">
        <v>3</v>
      </c>
      <c r="F77" s="50">
        <v>7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38</v>
      </c>
      <c r="N77" s="50">
        <v>0</v>
      </c>
      <c r="O77" s="15">
        <f t="shared" si="35"/>
        <v>44</v>
      </c>
      <c r="P77" s="15">
        <f t="shared" si="36"/>
        <v>82</v>
      </c>
      <c r="R77" s="8"/>
      <c r="T77"/>
    </row>
    <row r="78" spans="2:20" ht="23.1" customHeight="1" x14ac:dyDescent="0.25">
      <c r="B78" s="46" t="s">
        <v>118</v>
      </c>
      <c r="C78" s="50">
        <v>27</v>
      </c>
      <c r="D78" s="50">
        <v>21</v>
      </c>
      <c r="E78" s="50">
        <v>3</v>
      </c>
      <c r="F78" s="50">
        <v>6</v>
      </c>
      <c r="G78" s="50">
        <v>0</v>
      </c>
      <c r="H78" s="50">
        <v>0</v>
      </c>
      <c r="I78" s="50">
        <v>9</v>
      </c>
      <c r="J78" s="50">
        <v>1</v>
      </c>
      <c r="K78" s="50">
        <v>0</v>
      </c>
      <c r="L78" s="50">
        <v>0</v>
      </c>
      <c r="M78" s="50">
        <v>52</v>
      </c>
      <c r="N78" s="50">
        <v>0</v>
      </c>
      <c r="O78" s="15">
        <f t="shared" si="35"/>
        <v>67</v>
      </c>
      <c r="P78" s="15">
        <f t="shared" si="36"/>
        <v>119</v>
      </c>
      <c r="R78" s="8"/>
      <c r="T78"/>
    </row>
    <row r="79" spans="2:20" ht="23.1" customHeight="1" x14ac:dyDescent="0.25">
      <c r="B79" s="45" t="s">
        <v>119</v>
      </c>
      <c r="C79" s="50">
        <v>24</v>
      </c>
      <c r="D79" s="50">
        <v>20</v>
      </c>
      <c r="E79" s="50">
        <v>5</v>
      </c>
      <c r="F79" s="50">
        <v>6</v>
      </c>
      <c r="G79" s="50">
        <v>1</v>
      </c>
      <c r="H79" s="50">
        <v>0</v>
      </c>
      <c r="I79" s="50">
        <v>3</v>
      </c>
      <c r="J79" s="50">
        <v>0</v>
      </c>
      <c r="K79" s="50">
        <v>1</v>
      </c>
      <c r="L79" s="50">
        <v>0</v>
      </c>
      <c r="M79" s="50">
        <v>14</v>
      </c>
      <c r="N79" s="50">
        <v>0</v>
      </c>
      <c r="O79" s="15">
        <f t="shared" si="35"/>
        <v>60</v>
      </c>
      <c r="P79" s="15">
        <f t="shared" si="36"/>
        <v>74</v>
      </c>
      <c r="R79" s="8"/>
      <c r="T79"/>
    </row>
    <row r="80" spans="2:20" ht="23.1" customHeight="1" x14ac:dyDescent="0.25">
      <c r="B80" s="47" t="s">
        <v>120</v>
      </c>
      <c r="C80" s="50">
        <v>19</v>
      </c>
      <c r="D80" s="50">
        <v>4</v>
      </c>
      <c r="E80" s="50">
        <v>6</v>
      </c>
      <c r="F80" s="50">
        <v>9</v>
      </c>
      <c r="G80" s="50">
        <v>0</v>
      </c>
      <c r="H80" s="50">
        <v>6</v>
      </c>
      <c r="I80" s="50">
        <v>0</v>
      </c>
      <c r="J80" s="50">
        <v>6</v>
      </c>
      <c r="K80" s="50">
        <v>0</v>
      </c>
      <c r="L80" s="50">
        <v>0</v>
      </c>
      <c r="M80" s="50">
        <v>31</v>
      </c>
      <c r="N80" s="50">
        <v>0</v>
      </c>
      <c r="O80" s="15">
        <f t="shared" si="35"/>
        <v>50</v>
      </c>
      <c r="P80" s="15">
        <f t="shared" si="36"/>
        <v>81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5</v>
      </c>
      <c r="E81" s="50">
        <v>1</v>
      </c>
      <c r="F81" s="50">
        <v>3</v>
      </c>
      <c r="G81" s="50">
        <v>1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16</v>
      </c>
      <c r="N81" s="50">
        <v>0</v>
      </c>
      <c r="O81" s="15">
        <f t="shared" si="35"/>
        <v>18</v>
      </c>
      <c r="P81" s="15">
        <f t="shared" si="36"/>
        <v>34</v>
      </c>
      <c r="R81" s="8"/>
      <c r="T81"/>
    </row>
    <row r="82" spans="2:20" ht="23.1" customHeight="1" x14ac:dyDescent="0.25">
      <c r="B82" s="46" t="s">
        <v>122</v>
      </c>
      <c r="C82" s="50">
        <v>20</v>
      </c>
      <c r="D82" s="50">
        <v>1</v>
      </c>
      <c r="E82" s="50">
        <v>2</v>
      </c>
      <c r="F82" s="50">
        <v>6</v>
      </c>
      <c r="G82" s="50">
        <v>0</v>
      </c>
      <c r="H82" s="50">
        <v>0</v>
      </c>
      <c r="I82" s="50">
        <v>2</v>
      </c>
      <c r="J82" s="50">
        <v>2</v>
      </c>
      <c r="K82" s="50">
        <v>0</v>
      </c>
      <c r="L82" s="50">
        <v>0</v>
      </c>
      <c r="M82" s="50">
        <v>21</v>
      </c>
      <c r="N82" s="50">
        <v>0</v>
      </c>
      <c r="O82" s="15">
        <f t="shared" si="35"/>
        <v>33</v>
      </c>
      <c r="P82" s="15">
        <f t="shared" si="36"/>
        <v>54</v>
      </c>
      <c r="R82" s="8"/>
      <c r="T82"/>
    </row>
    <row r="83" spans="2:20" ht="23.1" customHeight="1" x14ac:dyDescent="0.25">
      <c r="B83" s="45" t="s">
        <v>123</v>
      </c>
      <c r="C83" s="50">
        <v>6</v>
      </c>
      <c r="D83" s="50">
        <v>10</v>
      </c>
      <c r="E83" s="50">
        <v>3</v>
      </c>
      <c r="F83" s="50">
        <v>1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11</v>
      </c>
      <c r="N83" s="50">
        <v>0</v>
      </c>
      <c r="O83" s="15">
        <f t="shared" si="35"/>
        <v>21</v>
      </c>
      <c r="P83" s="15">
        <f t="shared" si="36"/>
        <v>32</v>
      </c>
      <c r="R83" s="8"/>
      <c r="T83"/>
    </row>
    <row r="84" spans="2:20" ht="23.1" customHeight="1" x14ac:dyDescent="0.25">
      <c r="B84" s="47" t="s">
        <v>124</v>
      </c>
      <c r="C84" s="50">
        <v>16</v>
      </c>
      <c r="D84" s="50">
        <v>4</v>
      </c>
      <c r="E84" s="50">
        <v>3</v>
      </c>
      <c r="F84" s="50">
        <v>1</v>
      </c>
      <c r="G84" s="50">
        <v>1</v>
      </c>
      <c r="H84" s="50">
        <v>0</v>
      </c>
      <c r="I84" s="50">
        <v>6</v>
      </c>
      <c r="J84" s="50">
        <v>0</v>
      </c>
      <c r="K84" s="50">
        <v>0</v>
      </c>
      <c r="L84" s="50">
        <v>0</v>
      </c>
      <c r="M84" s="50">
        <v>27</v>
      </c>
      <c r="N84" s="50">
        <v>0</v>
      </c>
      <c r="O84" s="15">
        <f t="shared" si="35"/>
        <v>31</v>
      </c>
      <c r="P84" s="15">
        <f t="shared" si="36"/>
        <v>58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1</v>
      </c>
      <c r="E85" s="50">
        <v>1</v>
      </c>
      <c r="F85" s="50">
        <v>3</v>
      </c>
      <c r="G85" s="50">
        <v>0</v>
      </c>
      <c r="H85" s="50">
        <v>0</v>
      </c>
      <c r="I85" s="50">
        <v>5</v>
      </c>
      <c r="J85" s="50">
        <v>1</v>
      </c>
      <c r="K85" s="50">
        <v>0</v>
      </c>
      <c r="L85" s="50">
        <v>0</v>
      </c>
      <c r="M85" s="50">
        <v>8</v>
      </c>
      <c r="N85" s="50">
        <v>0</v>
      </c>
      <c r="O85" s="15">
        <f t="shared" si="35"/>
        <v>13</v>
      </c>
      <c r="P85" s="15">
        <f t="shared" si="36"/>
        <v>21</v>
      </c>
      <c r="R85" s="8"/>
      <c r="T85"/>
    </row>
    <row r="86" spans="2:20" ht="23.1" customHeight="1" x14ac:dyDescent="0.25">
      <c r="B86" s="46" t="s">
        <v>126</v>
      </c>
      <c r="C86" s="50">
        <v>15</v>
      </c>
      <c r="D86" s="50">
        <v>10</v>
      </c>
      <c r="E86" s="50">
        <v>5</v>
      </c>
      <c r="F86" s="50">
        <v>0</v>
      </c>
      <c r="G86" s="50">
        <v>0</v>
      </c>
      <c r="H86" s="50">
        <v>0</v>
      </c>
      <c r="I86" s="50">
        <v>4</v>
      </c>
      <c r="J86" s="50">
        <v>2</v>
      </c>
      <c r="K86" s="50">
        <v>0</v>
      </c>
      <c r="L86" s="50">
        <v>1</v>
      </c>
      <c r="M86" s="50">
        <v>30</v>
      </c>
      <c r="N86" s="50">
        <v>0</v>
      </c>
      <c r="O86" s="15">
        <f t="shared" si="35"/>
        <v>37</v>
      </c>
      <c r="P86" s="15">
        <f t="shared" si="36"/>
        <v>67</v>
      </c>
      <c r="R86" s="8"/>
      <c r="T86"/>
    </row>
    <row r="87" spans="2:20" ht="23.1" customHeight="1" x14ac:dyDescent="0.25">
      <c r="B87" s="45" t="s">
        <v>127</v>
      </c>
      <c r="C87" s="50">
        <v>11</v>
      </c>
      <c r="D87" s="50">
        <v>4</v>
      </c>
      <c r="E87" s="50">
        <v>1</v>
      </c>
      <c r="F87" s="50">
        <v>2</v>
      </c>
      <c r="G87" s="50">
        <v>2</v>
      </c>
      <c r="H87" s="50">
        <v>0</v>
      </c>
      <c r="I87" s="50">
        <v>8</v>
      </c>
      <c r="J87" s="50">
        <v>4</v>
      </c>
      <c r="K87" s="50">
        <v>0</v>
      </c>
      <c r="L87" s="50">
        <v>0</v>
      </c>
      <c r="M87" s="50">
        <v>43</v>
      </c>
      <c r="N87" s="50">
        <v>0</v>
      </c>
      <c r="O87" s="15">
        <f t="shared" si="35"/>
        <v>32</v>
      </c>
      <c r="P87" s="15">
        <f t="shared" si="36"/>
        <v>75</v>
      </c>
      <c r="R87" s="8"/>
      <c r="T87"/>
    </row>
    <row r="88" spans="2:20" ht="23.1" customHeight="1" x14ac:dyDescent="0.25">
      <c r="B88" s="47" t="s">
        <v>128</v>
      </c>
      <c r="C88" s="50">
        <v>9</v>
      </c>
      <c r="D88" s="50">
        <v>8</v>
      </c>
      <c r="E88" s="50">
        <v>3</v>
      </c>
      <c r="F88" s="50">
        <v>6</v>
      </c>
      <c r="G88" s="50">
        <v>0</v>
      </c>
      <c r="H88" s="50">
        <v>0</v>
      </c>
      <c r="I88" s="50">
        <v>15</v>
      </c>
      <c r="J88" s="50">
        <v>0</v>
      </c>
      <c r="K88" s="50">
        <v>0</v>
      </c>
      <c r="L88" s="50">
        <v>3</v>
      </c>
      <c r="M88" s="50">
        <v>17</v>
      </c>
      <c r="N88" s="50">
        <v>0</v>
      </c>
      <c r="O88" s="15">
        <f t="shared" si="35"/>
        <v>44</v>
      </c>
      <c r="P88" s="15">
        <f t="shared" si="36"/>
        <v>61</v>
      </c>
      <c r="R88" s="8"/>
      <c r="T88"/>
    </row>
    <row r="89" spans="2:20" ht="23.1" customHeight="1" x14ac:dyDescent="0.25">
      <c r="B89" s="45" t="s">
        <v>129</v>
      </c>
      <c r="C89" s="50">
        <v>5</v>
      </c>
      <c r="D89" s="50">
        <v>4</v>
      </c>
      <c r="E89" s="50">
        <v>0</v>
      </c>
      <c r="F89" s="50">
        <v>10</v>
      </c>
      <c r="G89" s="50">
        <v>0</v>
      </c>
      <c r="H89" s="50">
        <v>0</v>
      </c>
      <c r="I89" s="50">
        <v>13</v>
      </c>
      <c r="J89" s="50">
        <v>0</v>
      </c>
      <c r="K89" s="50">
        <v>0</v>
      </c>
      <c r="L89" s="50">
        <v>6</v>
      </c>
      <c r="M89" s="50">
        <v>12</v>
      </c>
      <c r="N89" s="50">
        <v>0</v>
      </c>
      <c r="O89" s="15">
        <f t="shared" si="35"/>
        <v>38</v>
      </c>
      <c r="P89" s="15">
        <f t="shared" si="36"/>
        <v>50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7</v>
      </c>
      <c r="E90" s="50">
        <v>2</v>
      </c>
      <c r="F90" s="50">
        <v>6</v>
      </c>
      <c r="G90" s="50">
        <v>0</v>
      </c>
      <c r="H90" s="50">
        <v>0</v>
      </c>
      <c r="I90" s="50">
        <v>2</v>
      </c>
      <c r="J90" s="50">
        <v>3</v>
      </c>
      <c r="K90" s="50">
        <v>3</v>
      </c>
      <c r="L90" s="50">
        <v>0</v>
      </c>
      <c r="M90" s="50">
        <v>8</v>
      </c>
      <c r="N90" s="50">
        <v>0</v>
      </c>
      <c r="O90" s="15">
        <f t="shared" si="35"/>
        <v>28</v>
      </c>
      <c r="P90" s="15">
        <f t="shared" si="36"/>
        <v>36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5</v>
      </c>
      <c r="E91" s="50">
        <v>10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2</v>
      </c>
      <c r="M91" s="50">
        <v>20</v>
      </c>
      <c r="N91" s="50">
        <v>0</v>
      </c>
      <c r="O91" s="15">
        <f t="shared" si="35"/>
        <v>20</v>
      </c>
      <c r="P91" s="15">
        <f t="shared" si="36"/>
        <v>40</v>
      </c>
      <c r="R91" s="8"/>
      <c r="T91"/>
    </row>
    <row r="92" spans="2:20" ht="23.1" customHeight="1" x14ac:dyDescent="0.25">
      <c r="B92" s="47" t="s">
        <v>132</v>
      </c>
      <c r="C92" s="50">
        <v>9</v>
      </c>
      <c r="D92" s="50">
        <v>1</v>
      </c>
      <c r="E92" s="50">
        <v>5</v>
      </c>
      <c r="F92" s="50">
        <v>0</v>
      </c>
      <c r="G92" s="50">
        <v>0</v>
      </c>
      <c r="H92" s="50">
        <v>0</v>
      </c>
      <c r="I92" s="50">
        <v>3</v>
      </c>
      <c r="J92" s="50">
        <v>0</v>
      </c>
      <c r="K92" s="50">
        <v>0</v>
      </c>
      <c r="L92" s="50">
        <v>0</v>
      </c>
      <c r="M92" s="50">
        <v>6</v>
      </c>
      <c r="N92" s="50">
        <v>0</v>
      </c>
      <c r="O92" s="15">
        <f t="shared" si="35"/>
        <v>18</v>
      </c>
      <c r="P92" s="15">
        <f t="shared" si="36"/>
        <v>24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1</v>
      </c>
      <c r="E93" s="50">
        <v>1</v>
      </c>
      <c r="F93" s="50">
        <v>5</v>
      </c>
      <c r="G93" s="50">
        <v>0</v>
      </c>
      <c r="H93" s="50">
        <v>0</v>
      </c>
      <c r="I93" s="50">
        <v>0</v>
      </c>
      <c r="J93" s="50">
        <v>4</v>
      </c>
      <c r="K93" s="50">
        <v>2</v>
      </c>
      <c r="L93" s="50">
        <v>2</v>
      </c>
      <c r="M93" s="50">
        <v>8</v>
      </c>
      <c r="N93" s="50">
        <v>0</v>
      </c>
      <c r="O93" s="15">
        <f t="shared" si="35"/>
        <v>21</v>
      </c>
      <c r="P93" s="15">
        <f t="shared" si="36"/>
        <v>29</v>
      </c>
      <c r="R93" s="8"/>
      <c r="T93"/>
    </row>
    <row r="94" spans="2:20" ht="23.1" customHeight="1" x14ac:dyDescent="0.25">
      <c r="B94" s="46" t="s">
        <v>134</v>
      </c>
      <c r="C94" s="50">
        <v>7</v>
      </c>
      <c r="D94" s="50">
        <v>0</v>
      </c>
      <c r="E94" s="50">
        <v>3</v>
      </c>
      <c r="F94" s="50">
        <v>3</v>
      </c>
      <c r="G94" s="50">
        <v>1</v>
      </c>
      <c r="H94" s="50">
        <v>0</v>
      </c>
      <c r="I94" s="50">
        <v>0</v>
      </c>
      <c r="J94" s="50">
        <v>1</v>
      </c>
      <c r="K94" s="50">
        <v>0</v>
      </c>
      <c r="L94" s="50">
        <v>1</v>
      </c>
      <c r="M94" s="50">
        <v>15</v>
      </c>
      <c r="N94" s="50">
        <v>0</v>
      </c>
      <c r="O94" s="15">
        <f t="shared" si="35"/>
        <v>16</v>
      </c>
      <c r="P94" s="15">
        <f t="shared" si="36"/>
        <v>31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8</v>
      </c>
      <c r="E95" s="50">
        <v>2</v>
      </c>
      <c r="F95" s="50">
        <v>8</v>
      </c>
      <c r="G95" s="50">
        <v>0</v>
      </c>
      <c r="H95" s="50">
        <v>0</v>
      </c>
      <c r="I95" s="50">
        <v>11</v>
      </c>
      <c r="J95" s="50">
        <v>0</v>
      </c>
      <c r="K95" s="50">
        <v>0</v>
      </c>
      <c r="L95" s="50">
        <v>2</v>
      </c>
      <c r="M95" s="50">
        <v>27</v>
      </c>
      <c r="N95" s="50">
        <v>0</v>
      </c>
      <c r="O95" s="15">
        <f t="shared" si="35"/>
        <v>38</v>
      </c>
      <c r="P95" s="15">
        <f t="shared" si="36"/>
        <v>65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5</v>
      </c>
      <c r="E96" s="50">
        <v>2</v>
      </c>
      <c r="F96" s="50">
        <v>10</v>
      </c>
      <c r="G96" s="50">
        <v>0</v>
      </c>
      <c r="H96" s="50">
        <v>0</v>
      </c>
      <c r="I96" s="50">
        <v>5</v>
      </c>
      <c r="J96" s="50">
        <v>2</v>
      </c>
      <c r="K96" s="50">
        <v>1</v>
      </c>
      <c r="L96" s="50">
        <v>1</v>
      </c>
      <c r="M96" s="50">
        <v>36</v>
      </c>
      <c r="N96" s="50">
        <v>0</v>
      </c>
      <c r="O96" s="15">
        <f t="shared" si="35"/>
        <v>34</v>
      </c>
      <c r="P96" s="15">
        <f t="shared" si="36"/>
        <v>70</v>
      </c>
      <c r="R96" s="8"/>
      <c r="T96"/>
    </row>
    <row r="97" spans="2:20" ht="23.1" customHeight="1" x14ac:dyDescent="0.25">
      <c r="B97" s="45" t="s">
        <v>137</v>
      </c>
      <c r="C97" s="50">
        <v>11</v>
      </c>
      <c r="D97" s="50">
        <v>3</v>
      </c>
      <c r="E97" s="50">
        <v>1</v>
      </c>
      <c r="F97" s="50">
        <v>15</v>
      </c>
      <c r="G97" s="50">
        <v>0</v>
      </c>
      <c r="H97" s="50">
        <v>0</v>
      </c>
      <c r="I97" s="50">
        <v>3</v>
      </c>
      <c r="J97" s="50">
        <v>1</v>
      </c>
      <c r="K97" s="50">
        <v>1</v>
      </c>
      <c r="L97" s="50">
        <v>0</v>
      </c>
      <c r="M97" s="50">
        <v>13</v>
      </c>
      <c r="N97" s="50">
        <v>0</v>
      </c>
      <c r="O97" s="15">
        <f t="shared" si="35"/>
        <v>35</v>
      </c>
      <c r="P97" s="15">
        <f t="shared" si="36"/>
        <v>48</v>
      </c>
      <c r="R97" s="8"/>
      <c r="T97"/>
    </row>
    <row r="98" spans="2:20" ht="23.1" customHeight="1" x14ac:dyDescent="0.25">
      <c r="B98" s="46" t="s">
        <v>138</v>
      </c>
      <c r="C98" s="50">
        <v>8</v>
      </c>
      <c r="D98" s="50">
        <v>7</v>
      </c>
      <c r="E98" s="50">
        <v>3</v>
      </c>
      <c r="F98" s="50">
        <v>16</v>
      </c>
      <c r="G98" s="50">
        <v>0</v>
      </c>
      <c r="H98" s="50">
        <v>0</v>
      </c>
      <c r="I98" s="50">
        <v>7</v>
      </c>
      <c r="J98" s="50">
        <v>3</v>
      </c>
      <c r="K98" s="50">
        <v>6</v>
      </c>
      <c r="L98" s="50">
        <v>0</v>
      </c>
      <c r="M98" s="50">
        <v>20</v>
      </c>
      <c r="N98" s="50">
        <v>0</v>
      </c>
      <c r="O98" s="15">
        <f t="shared" si="35"/>
        <v>50</v>
      </c>
      <c r="P98" s="15">
        <f t="shared" si="36"/>
        <v>70</v>
      </c>
      <c r="R98" s="8"/>
      <c r="T98"/>
    </row>
    <row r="99" spans="2:20" ht="23.1" customHeight="1" x14ac:dyDescent="0.25">
      <c r="B99" s="45" t="s">
        <v>139</v>
      </c>
      <c r="C99" s="50">
        <v>11</v>
      </c>
      <c r="D99" s="50">
        <v>1</v>
      </c>
      <c r="E99" s="50">
        <v>1</v>
      </c>
      <c r="F99" s="50">
        <v>26</v>
      </c>
      <c r="G99" s="50">
        <v>0</v>
      </c>
      <c r="H99" s="50">
        <v>0</v>
      </c>
      <c r="I99" s="50">
        <v>5</v>
      </c>
      <c r="J99" s="50">
        <v>0</v>
      </c>
      <c r="K99" s="50">
        <v>0</v>
      </c>
      <c r="L99" s="50">
        <v>0</v>
      </c>
      <c r="M99" s="50">
        <v>20</v>
      </c>
      <c r="N99" s="50">
        <v>0</v>
      </c>
      <c r="O99" s="15">
        <f t="shared" si="35"/>
        <v>44</v>
      </c>
      <c r="P99" s="15">
        <f t="shared" si="36"/>
        <v>64</v>
      </c>
      <c r="R99" s="8"/>
      <c r="T99"/>
    </row>
    <row r="100" spans="2:20" ht="23.1" customHeight="1" x14ac:dyDescent="0.25">
      <c r="B100" s="47" t="s">
        <v>140</v>
      </c>
      <c r="C100" s="50">
        <v>7</v>
      </c>
      <c r="D100" s="50">
        <v>3</v>
      </c>
      <c r="E100" s="50">
        <v>1</v>
      </c>
      <c r="F100" s="50">
        <v>25</v>
      </c>
      <c r="G100" s="50">
        <v>1</v>
      </c>
      <c r="H100" s="50">
        <v>1</v>
      </c>
      <c r="I100" s="50">
        <v>7</v>
      </c>
      <c r="J100" s="50">
        <v>0</v>
      </c>
      <c r="K100" s="50">
        <v>0</v>
      </c>
      <c r="L100" s="50">
        <v>1</v>
      </c>
      <c r="M100" s="50">
        <v>30</v>
      </c>
      <c r="N100" s="50">
        <v>0</v>
      </c>
      <c r="O100" s="15">
        <f t="shared" si="35"/>
        <v>46</v>
      </c>
      <c r="P100" s="15">
        <f t="shared" si="36"/>
        <v>76</v>
      </c>
      <c r="R100" s="8"/>
      <c r="T100"/>
    </row>
    <row r="101" spans="2:20" ht="23.1" customHeight="1" x14ac:dyDescent="0.25">
      <c r="B101" s="45" t="s">
        <v>141</v>
      </c>
      <c r="C101" s="50">
        <v>35</v>
      </c>
      <c r="D101" s="50">
        <v>7</v>
      </c>
      <c r="E101" s="50">
        <v>3</v>
      </c>
      <c r="F101" s="50">
        <v>40</v>
      </c>
      <c r="G101" s="50">
        <v>0</v>
      </c>
      <c r="H101" s="50">
        <v>0</v>
      </c>
      <c r="I101" s="50">
        <v>23</v>
      </c>
      <c r="J101" s="50">
        <v>2</v>
      </c>
      <c r="K101" s="50">
        <v>1</v>
      </c>
      <c r="L101" s="50">
        <v>0</v>
      </c>
      <c r="M101" s="50">
        <v>50</v>
      </c>
      <c r="N101" s="50">
        <v>0</v>
      </c>
      <c r="O101" s="15">
        <f t="shared" si="35"/>
        <v>111</v>
      </c>
      <c r="P101" s="15">
        <f t="shared" si="36"/>
        <v>161</v>
      </c>
      <c r="R101" s="8"/>
      <c r="T101"/>
    </row>
    <row r="102" spans="2:20" ht="23.1" customHeight="1" x14ac:dyDescent="0.25">
      <c r="B102" s="46" t="s">
        <v>142</v>
      </c>
      <c r="C102" s="50">
        <v>35</v>
      </c>
      <c r="D102" s="50">
        <v>5</v>
      </c>
      <c r="E102" s="50">
        <v>2</v>
      </c>
      <c r="F102" s="50">
        <v>45</v>
      </c>
      <c r="G102" s="50">
        <v>1</v>
      </c>
      <c r="H102" s="50">
        <v>1</v>
      </c>
      <c r="I102" s="50">
        <v>7</v>
      </c>
      <c r="J102" s="50">
        <v>0</v>
      </c>
      <c r="K102" s="50">
        <v>0</v>
      </c>
      <c r="L102" s="50">
        <v>0</v>
      </c>
      <c r="M102" s="50">
        <v>25</v>
      </c>
      <c r="N102" s="50">
        <v>0</v>
      </c>
      <c r="O102" s="15">
        <f t="shared" si="35"/>
        <v>96</v>
      </c>
      <c r="P102" s="15">
        <f t="shared" si="36"/>
        <v>121</v>
      </c>
      <c r="R102" s="8"/>
      <c r="T102"/>
    </row>
    <row r="103" spans="2:20" ht="23.1" customHeight="1" x14ac:dyDescent="0.25">
      <c r="B103" s="45" t="s">
        <v>143</v>
      </c>
      <c r="C103" s="50">
        <v>31</v>
      </c>
      <c r="D103" s="50">
        <v>11</v>
      </c>
      <c r="E103" s="50">
        <v>3</v>
      </c>
      <c r="F103" s="50">
        <v>75</v>
      </c>
      <c r="G103" s="50">
        <v>0</v>
      </c>
      <c r="H103" s="50">
        <v>0</v>
      </c>
      <c r="I103" s="50">
        <v>5</v>
      </c>
      <c r="J103" s="50">
        <v>1</v>
      </c>
      <c r="K103" s="50">
        <v>1</v>
      </c>
      <c r="L103" s="50">
        <v>0</v>
      </c>
      <c r="M103" s="50">
        <v>55</v>
      </c>
      <c r="N103" s="50">
        <v>0</v>
      </c>
      <c r="O103" s="15">
        <f t="shared" si="35"/>
        <v>127</v>
      </c>
      <c r="P103" s="15">
        <f t="shared" si="36"/>
        <v>182</v>
      </c>
      <c r="R103" s="8"/>
      <c r="T103"/>
    </row>
    <row r="104" spans="2:20" ht="23.1" customHeight="1" x14ac:dyDescent="0.25">
      <c r="B104" s="47" t="s">
        <v>144</v>
      </c>
      <c r="C104" s="50">
        <v>16</v>
      </c>
      <c r="D104" s="50">
        <v>5</v>
      </c>
      <c r="E104" s="50">
        <v>3</v>
      </c>
      <c r="F104" s="50">
        <v>80</v>
      </c>
      <c r="G104" s="50">
        <v>0</v>
      </c>
      <c r="H104" s="50">
        <v>0</v>
      </c>
      <c r="I104" s="50">
        <v>10</v>
      </c>
      <c r="J104" s="50">
        <v>0</v>
      </c>
      <c r="K104" s="50">
        <v>0</v>
      </c>
      <c r="L104" s="50">
        <v>0</v>
      </c>
      <c r="M104" s="50">
        <v>45</v>
      </c>
      <c r="N104" s="50">
        <v>0</v>
      </c>
      <c r="O104" s="15">
        <f t="shared" si="35"/>
        <v>114</v>
      </c>
      <c r="P104" s="15">
        <f t="shared" si="36"/>
        <v>159</v>
      </c>
      <c r="R104" s="8"/>
      <c r="T104"/>
    </row>
    <row r="105" spans="2:20" ht="23.1" customHeight="1" x14ac:dyDescent="0.25">
      <c r="B105" s="45" t="s">
        <v>145</v>
      </c>
      <c r="C105" s="50">
        <v>40</v>
      </c>
      <c r="D105" s="50">
        <v>6</v>
      </c>
      <c r="E105" s="50">
        <v>7</v>
      </c>
      <c r="F105" s="50">
        <v>90</v>
      </c>
      <c r="G105" s="50">
        <v>1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60</v>
      </c>
      <c r="N105" s="50">
        <v>0</v>
      </c>
      <c r="O105" s="15">
        <f t="shared" si="35"/>
        <v>144</v>
      </c>
      <c r="P105" s="15">
        <f t="shared" si="36"/>
        <v>204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3518</v>
      </c>
      <c r="D106" s="16">
        <f t="shared" ref="D106:P106" si="37">SUM(D10:D105)</f>
        <v>1540</v>
      </c>
      <c r="E106" s="16">
        <f t="shared" si="37"/>
        <v>565</v>
      </c>
      <c r="F106" s="16">
        <f t="shared" si="37"/>
        <v>3144</v>
      </c>
      <c r="G106" s="16">
        <f t="shared" si="37"/>
        <v>67</v>
      </c>
      <c r="H106" s="16">
        <f t="shared" si="37"/>
        <v>52</v>
      </c>
      <c r="I106" s="16">
        <f t="shared" si="37"/>
        <v>620</v>
      </c>
      <c r="J106" s="16">
        <f t="shared" si="37"/>
        <v>497</v>
      </c>
      <c r="K106" s="16">
        <f t="shared" si="37"/>
        <v>72</v>
      </c>
      <c r="L106" s="16">
        <f t="shared" si="37"/>
        <v>60</v>
      </c>
      <c r="M106" s="16">
        <f t="shared" si="37"/>
        <v>5288</v>
      </c>
      <c r="N106" s="16">
        <f t="shared" si="37"/>
        <v>0</v>
      </c>
      <c r="O106" s="16">
        <f t="shared" si="37"/>
        <v>10135</v>
      </c>
      <c r="P106" s="16">
        <f t="shared" si="37"/>
        <v>15423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0.2281008882837321</v>
      </c>
      <c r="D107" s="43">
        <f t="shared" si="38"/>
        <v>9.9850872074174937E-2</v>
      </c>
      <c r="E107" s="43">
        <f t="shared" si="38"/>
        <v>3.6633599170070676E-2</v>
      </c>
      <c r="F107" s="43">
        <f t="shared" si="38"/>
        <v>0.20385139078000389</v>
      </c>
      <c r="G107" s="43">
        <f t="shared" si="38"/>
        <v>4.3441613175128051E-3</v>
      </c>
      <c r="H107" s="43">
        <f t="shared" si="38"/>
        <v>3.3715878882188939E-3</v>
      </c>
      <c r="I107" s="43">
        <f t="shared" si="38"/>
        <v>4.0199701744148351E-2</v>
      </c>
      <c r="J107" s="43">
        <f t="shared" si="38"/>
        <v>3.2224599623938276E-2</v>
      </c>
      <c r="K107" s="43">
        <f t="shared" si="38"/>
        <v>4.6683524606107758E-3</v>
      </c>
      <c r="L107" s="43">
        <f t="shared" si="38"/>
        <v>3.890293717175647E-3</v>
      </c>
      <c r="M107" s="43">
        <f t="shared" si="38"/>
        <v>0.34286455294041368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0.34711396151948692</v>
      </c>
      <c r="D108" s="44">
        <f t="shared" ref="D108:N108" si="39">D106/$O$106</f>
        <v>0.15194869264923533</v>
      </c>
      <c r="E108" s="44">
        <f t="shared" si="39"/>
        <v>5.5747409965466205E-2</v>
      </c>
      <c r="F108" s="44">
        <f t="shared" si="39"/>
        <v>0.31021213616181548</v>
      </c>
      <c r="G108" s="44">
        <f t="shared" si="39"/>
        <v>6.6107548100641338E-3</v>
      </c>
      <c r="H108" s="44">
        <f t="shared" si="39"/>
        <v>5.1307350764676863E-3</v>
      </c>
      <c r="I108" s="44">
        <f t="shared" si="39"/>
        <v>6.1174148988653185E-2</v>
      </c>
      <c r="J108" s="44">
        <f t="shared" si="39"/>
        <v>4.9037987173162309E-2</v>
      </c>
      <c r="K108" s="44">
        <f t="shared" si="39"/>
        <v>7.1040947212629504E-3</v>
      </c>
      <c r="L108" s="44">
        <f t="shared" si="39"/>
        <v>5.9200789343857915E-3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Kampala-Wakiso'!C3:G3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6" t="str">
        <f>'27.07 Wakiso-Kampala-24h'!G5:H5</f>
        <v>AFTER STABEX NANSANA</v>
      </c>
      <c r="H5" s="67"/>
      <c r="I5" s="14"/>
      <c r="J5" s="2" t="s">
        <v>5</v>
      </c>
      <c r="K5" s="66" t="str">
        <f>'27.07 Wakiso-Kampala-24h'!K5:L5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Kampala-Wakiso'!D6:E6</f>
        <v>KAMPALA</v>
      </c>
      <c r="E6" s="67"/>
      <c r="F6" s="2" t="s">
        <v>2</v>
      </c>
      <c r="G6" s="66" t="str">
        <f>'22.07 Kampala-Wakiso'!G6:H6</f>
        <v>WAKISO</v>
      </c>
      <c r="H6" s="67"/>
      <c r="J6" s="2" t="s">
        <v>21</v>
      </c>
      <c r="K6" s="66" t="str">
        <f>'27.07 Wakiso-Kampala-24h'!K6:L6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11</v>
      </c>
      <c r="E10" s="50">
        <v>2</v>
      </c>
      <c r="F10" s="50">
        <v>29</v>
      </c>
      <c r="G10" s="50">
        <v>1</v>
      </c>
      <c r="H10" s="50">
        <v>1</v>
      </c>
      <c r="I10" s="50">
        <v>3</v>
      </c>
      <c r="J10" s="50">
        <v>1</v>
      </c>
      <c r="K10" s="50">
        <v>1</v>
      </c>
      <c r="L10" s="50">
        <v>0</v>
      </c>
      <c r="M10" s="50">
        <v>28</v>
      </c>
      <c r="N10" s="50">
        <v>0</v>
      </c>
      <c r="O10" s="15">
        <f t="shared" ref="O10:O57" si="0">SUM(C10:L10,N10)</f>
        <v>57</v>
      </c>
      <c r="P10" s="15">
        <f t="shared" ref="P10:P57" si="1">SUM(C10:N10)</f>
        <v>85</v>
      </c>
      <c r="R10" s="1" t="s">
        <v>6</v>
      </c>
      <c r="S10" s="17">
        <f t="shared" ref="S10:AF10" si="2">SUM(C10:C13)</f>
        <v>110</v>
      </c>
      <c r="T10" s="17">
        <f t="shared" si="2"/>
        <v>104</v>
      </c>
      <c r="U10" s="17">
        <f t="shared" si="2"/>
        <v>12</v>
      </c>
      <c r="V10" s="17">
        <f t="shared" si="2"/>
        <v>184</v>
      </c>
      <c r="W10" s="17">
        <f t="shared" si="2"/>
        <v>7</v>
      </c>
      <c r="X10" s="17">
        <f t="shared" si="2"/>
        <v>13</v>
      </c>
      <c r="Y10" s="17">
        <f t="shared" si="2"/>
        <v>18</v>
      </c>
      <c r="Z10" s="17">
        <f t="shared" si="2"/>
        <v>6</v>
      </c>
      <c r="AA10" s="17">
        <f t="shared" si="2"/>
        <v>3</v>
      </c>
      <c r="AB10" s="17">
        <f t="shared" si="2"/>
        <v>2</v>
      </c>
      <c r="AC10" s="17">
        <f t="shared" si="2"/>
        <v>233</v>
      </c>
      <c r="AD10" s="17">
        <f t="shared" si="2"/>
        <v>0</v>
      </c>
      <c r="AE10" s="31">
        <f t="shared" si="2"/>
        <v>459</v>
      </c>
      <c r="AF10" s="31">
        <f t="shared" si="2"/>
        <v>692</v>
      </c>
    </row>
    <row r="11" spans="2:32" s="6" customFormat="1" ht="23.1" customHeight="1" x14ac:dyDescent="0.25">
      <c r="B11" s="23" t="s">
        <v>38</v>
      </c>
      <c r="C11" s="50">
        <v>25</v>
      </c>
      <c r="D11" s="50">
        <v>25</v>
      </c>
      <c r="E11" s="50">
        <v>3</v>
      </c>
      <c r="F11" s="50">
        <v>30</v>
      </c>
      <c r="G11" s="50">
        <v>2</v>
      </c>
      <c r="H11" s="50">
        <v>0</v>
      </c>
      <c r="I11" s="50">
        <v>7</v>
      </c>
      <c r="J11" s="50">
        <v>3</v>
      </c>
      <c r="K11" s="50">
        <v>1</v>
      </c>
      <c r="L11" s="50">
        <v>1</v>
      </c>
      <c r="M11" s="50">
        <v>70</v>
      </c>
      <c r="N11" s="50">
        <v>0</v>
      </c>
      <c r="O11" s="15">
        <f t="shared" si="0"/>
        <v>97</v>
      </c>
      <c r="P11" s="15">
        <f t="shared" si="1"/>
        <v>167</v>
      </c>
      <c r="R11" s="1" t="s">
        <v>7</v>
      </c>
      <c r="S11" s="17">
        <f t="shared" ref="S11:AF11" si="3">SUM(C14:C17)</f>
        <v>165</v>
      </c>
      <c r="T11" s="17">
        <f t="shared" si="3"/>
        <v>180</v>
      </c>
      <c r="U11" s="17">
        <f t="shared" si="3"/>
        <v>10</v>
      </c>
      <c r="V11" s="17">
        <f t="shared" si="3"/>
        <v>230</v>
      </c>
      <c r="W11" s="17">
        <f t="shared" si="3"/>
        <v>5</v>
      </c>
      <c r="X11" s="17">
        <f t="shared" si="3"/>
        <v>0</v>
      </c>
      <c r="Y11" s="17">
        <f t="shared" si="3"/>
        <v>10</v>
      </c>
      <c r="Z11" s="17">
        <f t="shared" si="3"/>
        <v>7</v>
      </c>
      <c r="AA11" s="17">
        <f t="shared" si="3"/>
        <v>1</v>
      </c>
      <c r="AB11" s="17">
        <f t="shared" si="3"/>
        <v>5</v>
      </c>
      <c r="AC11" s="17">
        <f t="shared" si="3"/>
        <v>305</v>
      </c>
      <c r="AD11" s="17">
        <f t="shared" si="3"/>
        <v>0</v>
      </c>
      <c r="AE11" s="31">
        <f t="shared" si="3"/>
        <v>613</v>
      </c>
      <c r="AF11" s="31">
        <f t="shared" si="3"/>
        <v>918</v>
      </c>
    </row>
    <row r="12" spans="2:32" ht="23.1" customHeight="1" x14ac:dyDescent="0.25">
      <c r="B12" s="23" t="s">
        <v>39</v>
      </c>
      <c r="C12" s="50">
        <v>30</v>
      </c>
      <c r="D12" s="50">
        <v>22</v>
      </c>
      <c r="E12" s="50">
        <v>3</v>
      </c>
      <c r="F12" s="50">
        <v>60</v>
      </c>
      <c r="G12" s="50">
        <v>2</v>
      </c>
      <c r="H12" s="50">
        <v>11</v>
      </c>
      <c r="I12" s="50">
        <v>6</v>
      </c>
      <c r="J12" s="50">
        <v>2</v>
      </c>
      <c r="K12" s="50">
        <v>1</v>
      </c>
      <c r="L12" s="50">
        <v>0</v>
      </c>
      <c r="M12" s="50">
        <v>50</v>
      </c>
      <c r="N12" s="50">
        <v>0</v>
      </c>
      <c r="O12" s="15">
        <f t="shared" si="0"/>
        <v>137</v>
      </c>
      <c r="P12" s="15">
        <f t="shared" si="1"/>
        <v>187</v>
      </c>
      <c r="R12" s="1" t="s">
        <v>8</v>
      </c>
      <c r="S12" s="17">
        <f t="shared" ref="S12:AF12" si="4">SUM(C18:C21)</f>
        <v>205</v>
      </c>
      <c r="T12" s="17">
        <f t="shared" si="4"/>
        <v>240</v>
      </c>
      <c r="U12" s="17">
        <f t="shared" si="4"/>
        <v>24</v>
      </c>
      <c r="V12" s="17">
        <f t="shared" si="4"/>
        <v>220</v>
      </c>
      <c r="W12" s="17">
        <f t="shared" si="4"/>
        <v>3</v>
      </c>
      <c r="X12" s="17">
        <f t="shared" si="4"/>
        <v>2</v>
      </c>
      <c r="Y12" s="17">
        <f t="shared" si="4"/>
        <v>11</v>
      </c>
      <c r="Z12" s="17">
        <f t="shared" si="4"/>
        <v>7</v>
      </c>
      <c r="AA12" s="17">
        <f t="shared" si="4"/>
        <v>4</v>
      </c>
      <c r="AB12" s="17">
        <f t="shared" si="4"/>
        <v>8</v>
      </c>
      <c r="AC12" s="17">
        <f t="shared" si="4"/>
        <v>340</v>
      </c>
      <c r="AD12" s="17">
        <f t="shared" si="4"/>
        <v>0</v>
      </c>
      <c r="AE12" s="31">
        <f t="shared" si="4"/>
        <v>724</v>
      </c>
      <c r="AF12" s="31">
        <f t="shared" si="4"/>
        <v>1064</v>
      </c>
    </row>
    <row r="13" spans="2:32" ht="23.1" customHeight="1" x14ac:dyDescent="0.25">
      <c r="B13" s="23" t="s">
        <v>40</v>
      </c>
      <c r="C13" s="50">
        <v>47</v>
      </c>
      <c r="D13" s="50">
        <v>46</v>
      </c>
      <c r="E13" s="50">
        <v>4</v>
      </c>
      <c r="F13" s="50">
        <v>65</v>
      </c>
      <c r="G13" s="50">
        <v>2</v>
      </c>
      <c r="H13" s="50">
        <v>1</v>
      </c>
      <c r="I13" s="50">
        <v>2</v>
      </c>
      <c r="J13" s="50">
        <v>0</v>
      </c>
      <c r="K13" s="50">
        <v>0</v>
      </c>
      <c r="L13" s="50">
        <v>1</v>
      </c>
      <c r="M13" s="50">
        <v>85</v>
      </c>
      <c r="N13" s="50">
        <v>0</v>
      </c>
      <c r="O13" s="15">
        <f t="shared" si="0"/>
        <v>168</v>
      </c>
      <c r="P13" s="15">
        <f t="shared" si="1"/>
        <v>253</v>
      </c>
      <c r="R13" s="1" t="s">
        <v>9</v>
      </c>
      <c r="S13" s="17">
        <f t="shared" ref="S13:AF13" si="5">SUM(C22:C25)</f>
        <v>197</v>
      </c>
      <c r="T13" s="17">
        <f t="shared" si="5"/>
        <v>245</v>
      </c>
      <c r="U13" s="17">
        <f t="shared" si="5"/>
        <v>16</v>
      </c>
      <c r="V13" s="17">
        <f t="shared" si="5"/>
        <v>260</v>
      </c>
      <c r="W13" s="17">
        <f t="shared" si="5"/>
        <v>1</v>
      </c>
      <c r="X13" s="17">
        <f t="shared" si="5"/>
        <v>0</v>
      </c>
      <c r="Y13" s="17">
        <f t="shared" si="5"/>
        <v>28</v>
      </c>
      <c r="Z13" s="17">
        <f t="shared" si="5"/>
        <v>6</v>
      </c>
      <c r="AA13" s="17">
        <f t="shared" si="5"/>
        <v>0</v>
      </c>
      <c r="AB13" s="17">
        <f t="shared" si="5"/>
        <v>2</v>
      </c>
      <c r="AC13" s="17">
        <f t="shared" si="5"/>
        <v>350</v>
      </c>
      <c r="AD13" s="17">
        <f t="shared" si="5"/>
        <v>0</v>
      </c>
      <c r="AE13" s="31">
        <f t="shared" si="5"/>
        <v>755</v>
      </c>
      <c r="AF13" s="31">
        <f t="shared" si="5"/>
        <v>1105</v>
      </c>
    </row>
    <row r="14" spans="2:32" ht="23.1" customHeight="1" x14ac:dyDescent="0.25">
      <c r="B14" s="23" t="s">
        <v>41</v>
      </c>
      <c r="C14" s="50">
        <v>45</v>
      </c>
      <c r="D14" s="50">
        <v>30</v>
      </c>
      <c r="E14" s="50">
        <v>3</v>
      </c>
      <c r="F14" s="50">
        <v>50</v>
      </c>
      <c r="G14" s="50">
        <v>0</v>
      </c>
      <c r="H14" s="50">
        <v>0</v>
      </c>
      <c r="I14" s="50">
        <v>2</v>
      </c>
      <c r="J14" s="50">
        <v>3</v>
      </c>
      <c r="K14" s="50">
        <v>0</v>
      </c>
      <c r="L14" s="50">
        <v>2</v>
      </c>
      <c r="M14" s="50">
        <v>60</v>
      </c>
      <c r="N14" s="50">
        <v>0</v>
      </c>
      <c r="O14" s="15">
        <f t="shared" si="0"/>
        <v>135</v>
      </c>
      <c r="P14" s="15">
        <f t="shared" si="1"/>
        <v>195</v>
      </c>
      <c r="R14" s="1" t="s">
        <v>10</v>
      </c>
      <c r="S14" s="17">
        <f t="shared" ref="S14:AF14" si="6">SUM(C26:C29)</f>
        <v>210</v>
      </c>
      <c r="T14" s="17">
        <f t="shared" si="6"/>
        <v>252</v>
      </c>
      <c r="U14" s="17">
        <f t="shared" si="6"/>
        <v>20</v>
      </c>
      <c r="V14" s="17">
        <f t="shared" si="6"/>
        <v>255</v>
      </c>
      <c r="W14" s="17">
        <f t="shared" si="6"/>
        <v>1</v>
      </c>
      <c r="X14" s="17">
        <f t="shared" si="6"/>
        <v>0</v>
      </c>
      <c r="Y14" s="17">
        <f t="shared" si="6"/>
        <v>9</v>
      </c>
      <c r="Z14" s="17">
        <f t="shared" si="6"/>
        <v>5</v>
      </c>
      <c r="AA14" s="17">
        <f t="shared" si="6"/>
        <v>7</v>
      </c>
      <c r="AB14" s="17">
        <f t="shared" si="6"/>
        <v>91</v>
      </c>
      <c r="AC14" s="17">
        <f t="shared" si="6"/>
        <v>310</v>
      </c>
      <c r="AD14" s="17">
        <f t="shared" si="6"/>
        <v>0</v>
      </c>
      <c r="AE14" s="31">
        <f t="shared" si="6"/>
        <v>850</v>
      </c>
      <c r="AF14" s="31">
        <f t="shared" si="6"/>
        <v>1160</v>
      </c>
    </row>
    <row r="15" spans="2:32" ht="23.1" customHeight="1" x14ac:dyDescent="0.25">
      <c r="B15" s="23" t="s">
        <v>42</v>
      </c>
      <c r="C15" s="50">
        <v>30</v>
      </c>
      <c r="D15" s="50">
        <v>50</v>
      </c>
      <c r="E15" s="50">
        <v>3</v>
      </c>
      <c r="F15" s="50">
        <v>60</v>
      </c>
      <c r="G15" s="50">
        <v>0</v>
      </c>
      <c r="H15" s="50">
        <v>0</v>
      </c>
      <c r="I15" s="50">
        <v>5</v>
      </c>
      <c r="J15" s="50">
        <v>3</v>
      </c>
      <c r="K15" s="50">
        <v>1</v>
      </c>
      <c r="L15" s="50">
        <v>0</v>
      </c>
      <c r="M15" s="50">
        <v>70</v>
      </c>
      <c r="N15" s="50">
        <v>0</v>
      </c>
      <c r="O15" s="15">
        <f t="shared" si="0"/>
        <v>152</v>
      </c>
      <c r="P15" s="15">
        <f t="shared" si="1"/>
        <v>222</v>
      </c>
      <c r="R15" s="1" t="s">
        <v>11</v>
      </c>
      <c r="S15" s="17">
        <f t="shared" ref="S15:AF15" si="7">SUM(C30:C33)</f>
        <v>215</v>
      </c>
      <c r="T15" s="17">
        <f t="shared" si="7"/>
        <v>200</v>
      </c>
      <c r="U15" s="17">
        <f t="shared" si="7"/>
        <v>30</v>
      </c>
      <c r="V15" s="17">
        <f t="shared" si="7"/>
        <v>185</v>
      </c>
      <c r="W15" s="17">
        <f t="shared" si="7"/>
        <v>1</v>
      </c>
      <c r="X15" s="17">
        <f t="shared" si="7"/>
        <v>1</v>
      </c>
      <c r="Y15" s="17">
        <f t="shared" si="7"/>
        <v>12</v>
      </c>
      <c r="Z15" s="17">
        <f t="shared" si="7"/>
        <v>0</v>
      </c>
      <c r="AA15" s="17">
        <f t="shared" si="7"/>
        <v>0</v>
      </c>
      <c r="AB15" s="17">
        <f t="shared" si="7"/>
        <v>9</v>
      </c>
      <c r="AC15" s="17">
        <f t="shared" si="7"/>
        <v>345</v>
      </c>
      <c r="AD15" s="17">
        <f t="shared" si="7"/>
        <v>0</v>
      </c>
      <c r="AE15" s="31">
        <f t="shared" si="7"/>
        <v>653</v>
      </c>
      <c r="AF15" s="31">
        <f t="shared" si="7"/>
        <v>998</v>
      </c>
    </row>
    <row r="16" spans="2:32" ht="23.1" customHeight="1" x14ac:dyDescent="0.25">
      <c r="B16" s="23" t="s">
        <v>43</v>
      </c>
      <c r="C16" s="50">
        <v>50</v>
      </c>
      <c r="D16" s="50">
        <v>45</v>
      </c>
      <c r="E16" s="50">
        <v>4</v>
      </c>
      <c r="F16" s="50">
        <v>60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3</v>
      </c>
      <c r="M16" s="50">
        <v>100</v>
      </c>
      <c r="N16" s="50">
        <v>0</v>
      </c>
      <c r="O16" s="15">
        <f t="shared" si="0"/>
        <v>165</v>
      </c>
      <c r="P16" s="15">
        <f t="shared" si="1"/>
        <v>265</v>
      </c>
      <c r="R16" s="1" t="s">
        <v>12</v>
      </c>
      <c r="S16" s="17">
        <f t="shared" ref="S16:AF16" si="8">SUM(C34:C37)</f>
        <v>220</v>
      </c>
      <c r="T16" s="17">
        <f t="shared" si="8"/>
        <v>220</v>
      </c>
      <c r="U16" s="17">
        <f t="shared" si="8"/>
        <v>17</v>
      </c>
      <c r="V16" s="17">
        <f t="shared" si="8"/>
        <v>254</v>
      </c>
      <c r="W16" s="17">
        <f t="shared" si="8"/>
        <v>0</v>
      </c>
      <c r="X16" s="17">
        <f t="shared" si="8"/>
        <v>8</v>
      </c>
      <c r="Y16" s="17">
        <f t="shared" si="8"/>
        <v>12</v>
      </c>
      <c r="Z16" s="17">
        <f t="shared" si="8"/>
        <v>1</v>
      </c>
      <c r="AA16" s="17">
        <f t="shared" si="8"/>
        <v>0</v>
      </c>
      <c r="AB16" s="17">
        <f t="shared" si="8"/>
        <v>2</v>
      </c>
      <c r="AC16" s="17">
        <f t="shared" si="8"/>
        <v>495</v>
      </c>
      <c r="AD16" s="17">
        <f t="shared" si="8"/>
        <v>0</v>
      </c>
      <c r="AE16" s="31">
        <f t="shared" si="8"/>
        <v>734</v>
      </c>
      <c r="AF16" s="31">
        <f t="shared" si="8"/>
        <v>1229</v>
      </c>
    </row>
    <row r="17" spans="2:32" ht="23.1" customHeight="1" x14ac:dyDescent="0.25">
      <c r="B17" s="23" t="s">
        <v>44</v>
      </c>
      <c r="C17" s="50">
        <v>40</v>
      </c>
      <c r="D17" s="50">
        <v>55</v>
      </c>
      <c r="E17" s="50">
        <v>0</v>
      </c>
      <c r="F17" s="50">
        <v>60</v>
      </c>
      <c r="G17" s="50">
        <v>5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75</v>
      </c>
      <c r="N17" s="50">
        <v>0</v>
      </c>
      <c r="O17" s="15">
        <f t="shared" si="0"/>
        <v>161</v>
      </c>
      <c r="P17" s="15">
        <f t="shared" si="1"/>
        <v>236</v>
      </c>
      <c r="R17" s="1" t="s">
        <v>13</v>
      </c>
      <c r="S17" s="17">
        <f t="shared" ref="S17:AF17" si="9">SUM(C38:C41)</f>
        <v>135</v>
      </c>
      <c r="T17" s="17">
        <f t="shared" si="9"/>
        <v>170</v>
      </c>
      <c r="U17" s="17">
        <f t="shared" si="9"/>
        <v>37</v>
      </c>
      <c r="V17" s="17">
        <f t="shared" si="9"/>
        <v>120</v>
      </c>
      <c r="W17" s="17">
        <f t="shared" si="9"/>
        <v>0</v>
      </c>
      <c r="X17" s="17">
        <f t="shared" si="9"/>
        <v>2</v>
      </c>
      <c r="Y17" s="17">
        <f t="shared" si="9"/>
        <v>17</v>
      </c>
      <c r="Z17" s="17">
        <f t="shared" si="9"/>
        <v>3</v>
      </c>
      <c r="AA17" s="17">
        <f t="shared" si="9"/>
        <v>0</v>
      </c>
      <c r="AB17" s="17">
        <f t="shared" si="9"/>
        <v>5</v>
      </c>
      <c r="AC17" s="17">
        <f t="shared" si="9"/>
        <v>275</v>
      </c>
      <c r="AD17" s="17">
        <f t="shared" si="9"/>
        <v>0</v>
      </c>
      <c r="AE17" s="31">
        <f t="shared" si="9"/>
        <v>489</v>
      </c>
      <c r="AF17" s="31">
        <f t="shared" si="9"/>
        <v>764</v>
      </c>
    </row>
    <row r="18" spans="2:32" ht="23.1" customHeight="1" x14ac:dyDescent="0.25">
      <c r="B18" s="23" t="s">
        <v>45</v>
      </c>
      <c r="C18" s="50">
        <v>45</v>
      </c>
      <c r="D18" s="50">
        <v>60</v>
      </c>
      <c r="E18" s="50">
        <v>4</v>
      </c>
      <c r="F18" s="50">
        <v>60</v>
      </c>
      <c r="G18" s="50">
        <v>0</v>
      </c>
      <c r="H18" s="50">
        <v>0</v>
      </c>
      <c r="I18" s="50">
        <v>5</v>
      </c>
      <c r="J18" s="50">
        <v>2</v>
      </c>
      <c r="K18" s="50">
        <v>0</v>
      </c>
      <c r="L18" s="50">
        <v>2</v>
      </c>
      <c r="M18" s="50">
        <v>100</v>
      </c>
      <c r="N18" s="50">
        <v>0</v>
      </c>
      <c r="O18" s="15">
        <f t="shared" si="0"/>
        <v>178</v>
      </c>
      <c r="P18" s="15">
        <f t="shared" si="1"/>
        <v>278</v>
      </c>
      <c r="R18" s="1" t="s">
        <v>14</v>
      </c>
      <c r="S18" s="17">
        <f t="shared" ref="S18:AF18" si="10">SUM(C42:C45)</f>
        <v>180</v>
      </c>
      <c r="T18" s="17">
        <f t="shared" si="10"/>
        <v>200</v>
      </c>
      <c r="U18" s="17">
        <f t="shared" si="10"/>
        <v>11</v>
      </c>
      <c r="V18" s="17">
        <f t="shared" si="10"/>
        <v>230</v>
      </c>
      <c r="W18" s="17">
        <f t="shared" si="10"/>
        <v>2</v>
      </c>
      <c r="X18" s="17">
        <f t="shared" si="10"/>
        <v>6</v>
      </c>
      <c r="Y18" s="17">
        <f t="shared" si="10"/>
        <v>24</v>
      </c>
      <c r="Z18" s="17">
        <f t="shared" si="10"/>
        <v>8</v>
      </c>
      <c r="AA18" s="17">
        <f t="shared" si="10"/>
        <v>2</v>
      </c>
      <c r="AB18" s="17">
        <f t="shared" si="10"/>
        <v>2</v>
      </c>
      <c r="AC18" s="17">
        <f t="shared" si="10"/>
        <v>340</v>
      </c>
      <c r="AD18" s="17">
        <f t="shared" si="10"/>
        <v>0</v>
      </c>
      <c r="AE18" s="31">
        <f t="shared" si="10"/>
        <v>665</v>
      </c>
      <c r="AF18" s="31">
        <f t="shared" si="10"/>
        <v>1005</v>
      </c>
    </row>
    <row r="19" spans="2:32" ht="23.1" customHeight="1" x14ac:dyDescent="0.25">
      <c r="B19" s="23" t="s">
        <v>46</v>
      </c>
      <c r="C19" s="50">
        <v>60</v>
      </c>
      <c r="D19" s="50">
        <v>65</v>
      </c>
      <c r="E19" s="50">
        <v>5</v>
      </c>
      <c r="F19" s="50">
        <v>60</v>
      </c>
      <c r="G19" s="50">
        <v>0</v>
      </c>
      <c r="H19" s="50">
        <v>1</v>
      </c>
      <c r="I19" s="50">
        <v>3</v>
      </c>
      <c r="J19" s="50">
        <v>2</v>
      </c>
      <c r="K19" s="50">
        <v>0</v>
      </c>
      <c r="L19" s="50">
        <v>3</v>
      </c>
      <c r="M19" s="50">
        <v>105</v>
      </c>
      <c r="N19" s="50">
        <v>0</v>
      </c>
      <c r="O19" s="15">
        <f t="shared" si="0"/>
        <v>199</v>
      </c>
      <c r="P19" s="15">
        <f t="shared" si="1"/>
        <v>304</v>
      </c>
      <c r="R19" s="1" t="s">
        <v>15</v>
      </c>
      <c r="S19" s="17">
        <f t="shared" ref="S19:AF19" si="11">SUM(C46:C49)</f>
        <v>210</v>
      </c>
      <c r="T19" s="17">
        <f t="shared" si="11"/>
        <v>215</v>
      </c>
      <c r="U19" s="17">
        <f t="shared" si="11"/>
        <v>17</v>
      </c>
      <c r="V19" s="17">
        <f t="shared" si="11"/>
        <v>210</v>
      </c>
      <c r="W19" s="17">
        <f t="shared" si="11"/>
        <v>3</v>
      </c>
      <c r="X19" s="17">
        <f t="shared" si="11"/>
        <v>0</v>
      </c>
      <c r="Y19" s="17">
        <f t="shared" si="11"/>
        <v>28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335</v>
      </c>
      <c r="AD19" s="17">
        <f t="shared" si="11"/>
        <v>0</v>
      </c>
      <c r="AE19" s="31">
        <f t="shared" si="11"/>
        <v>685</v>
      </c>
      <c r="AF19" s="31">
        <f t="shared" si="11"/>
        <v>1020</v>
      </c>
    </row>
    <row r="20" spans="2:32" ht="23.1" customHeight="1" x14ac:dyDescent="0.25">
      <c r="B20" s="23" t="s">
        <v>47</v>
      </c>
      <c r="C20" s="50">
        <v>60</v>
      </c>
      <c r="D20" s="50">
        <v>70</v>
      </c>
      <c r="E20" s="50">
        <v>5</v>
      </c>
      <c r="F20" s="50">
        <v>50</v>
      </c>
      <c r="G20" s="50">
        <v>1</v>
      </c>
      <c r="H20" s="50">
        <v>0</v>
      </c>
      <c r="I20" s="50">
        <v>3</v>
      </c>
      <c r="J20" s="50">
        <v>0</v>
      </c>
      <c r="K20" s="50">
        <v>3</v>
      </c>
      <c r="L20" s="50">
        <v>2</v>
      </c>
      <c r="M20" s="50">
        <v>75</v>
      </c>
      <c r="N20" s="50">
        <v>0</v>
      </c>
      <c r="O20" s="15">
        <f t="shared" si="0"/>
        <v>194</v>
      </c>
      <c r="P20" s="15">
        <f t="shared" si="1"/>
        <v>269</v>
      </c>
      <c r="R20" s="1" t="s">
        <v>16</v>
      </c>
      <c r="S20" s="17">
        <f t="shared" ref="S20:AF20" si="12">SUM(C50:C53)</f>
        <v>225</v>
      </c>
      <c r="T20" s="17">
        <f t="shared" si="12"/>
        <v>260</v>
      </c>
      <c r="U20" s="17">
        <f t="shared" si="12"/>
        <v>55</v>
      </c>
      <c r="V20" s="17">
        <f t="shared" si="12"/>
        <v>230</v>
      </c>
      <c r="W20" s="17">
        <f t="shared" si="12"/>
        <v>1</v>
      </c>
      <c r="X20" s="17">
        <f t="shared" si="12"/>
        <v>2</v>
      </c>
      <c r="Y20" s="17">
        <f t="shared" si="12"/>
        <v>20</v>
      </c>
      <c r="Z20" s="17">
        <f t="shared" si="12"/>
        <v>10</v>
      </c>
      <c r="AA20" s="17">
        <f t="shared" si="12"/>
        <v>2</v>
      </c>
      <c r="AB20" s="17">
        <f t="shared" si="12"/>
        <v>12</v>
      </c>
      <c r="AC20" s="17">
        <f t="shared" si="12"/>
        <v>485</v>
      </c>
      <c r="AD20" s="17">
        <f t="shared" si="12"/>
        <v>0</v>
      </c>
      <c r="AE20" s="31">
        <f t="shared" si="12"/>
        <v>817</v>
      </c>
      <c r="AF20" s="31">
        <f t="shared" si="12"/>
        <v>1302</v>
      </c>
    </row>
    <row r="21" spans="2:32" ht="23.1" customHeight="1" x14ac:dyDescent="0.25">
      <c r="B21" s="23" t="s">
        <v>48</v>
      </c>
      <c r="C21" s="50">
        <v>40</v>
      </c>
      <c r="D21" s="50">
        <v>45</v>
      </c>
      <c r="E21" s="50">
        <v>10</v>
      </c>
      <c r="F21" s="50">
        <v>50</v>
      </c>
      <c r="G21" s="50">
        <v>2</v>
      </c>
      <c r="H21" s="50">
        <v>1</v>
      </c>
      <c r="I21" s="50">
        <v>0</v>
      </c>
      <c r="J21" s="50">
        <v>3</v>
      </c>
      <c r="K21" s="50">
        <v>1</v>
      </c>
      <c r="L21" s="50">
        <v>1</v>
      </c>
      <c r="M21" s="50">
        <v>60</v>
      </c>
      <c r="N21" s="50">
        <v>0</v>
      </c>
      <c r="O21" s="15">
        <f t="shared" si="0"/>
        <v>153</v>
      </c>
      <c r="P21" s="15">
        <f t="shared" si="1"/>
        <v>213</v>
      </c>
      <c r="R21" s="36" t="s">
        <v>20</v>
      </c>
      <c r="S21" s="34">
        <f t="shared" ref="S21:AF21" si="13">SUM(C54:C57)</f>
        <v>170</v>
      </c>
      <c r="T21" s="17">
        <f t="shared" si="13"/>
        <v>225</v>
      </c>
      <c r="U21" s="17">
        <f t="shared" si="13"/>
        <v>26</v>
      </c>
      <c r="V21" s="17">
        <f t="shared" si="13"/>
        <v>245</v>
      </c>
      <c r="W21" s="17">
        <f t="shared" si="13"/>
        <v>3</v>
      </c>
      <c r="X21" s="17">
        <f t="shared" si="13"/>
        <v>0</v>
      </c>
      <c r="Y21" s="17">
        <f t="shared" si="13"/>
        <v>16</v>
      </c>
      <c r="Z21" s="17">
        <f t="shared" si="13"/>
        <v>9</v>
      </c>
      <c r="AA21" s="17">
        <f t="shared" si="13"/>
        <v>8</v>
      </c>
      <c r="AB21" s="17">
        <f t="shared" si="13"/>
        <v>1</v>
      </c>
      <c r="AC21" s="17">
        <f t="shared" si="13"/>
        <v>304</v>
      </c>
      <c r="AD21" s="17">
        <f t="shared" si="13"/>
        <v>0</v>
      </c>
      <c r="AE21" s="31">
        <f t="shared" si="13"/>
        <v>703</v>
      </c>
      <c r="AF21" s="31">
        <f t="shared" si="13"/>
        <v>1007</v>
      </c>
    </row>
    <row r="22" spans="2:32" ht="23.1" customHeight="1" x14ac:dyDescent="0.25">
      <c r="B22" s="23" t="s">
        <v>49</v>
      </c>
      <c r="C22" s="50">
        <v>50</v>
      </c>
      <c r="D22" s="50">
        <v>65</v>
      </c>
      <c r="E22" s="50">
        <v>5</v>
      </c>
      <c r="F22" s="50">
        <v>80</v>
      </c>
      <c r="G22" s="50">
        <v>0</v>
      </c>
      <c r="H22" s="50">
        <v>0</v>
      </c>
      <c r="I22" s="50">
        <v>8</v>
      </c>
      <c r="J22" s="50">
        <v>3</v>
      </c>
      <c r="K22" s="50">
        <v>0</v>
      </c>
      <c r="L22" s="50">
        <v>2</v>
      </c>
      <c r="M22" s="50">
        <v>90</v>
      </c>
      <c r="N22" s="50">
        <v>0</v>
      </c>
      <c r="O22" s="15">
        <f t="shared" si="0"/>
        <v>213</v>
      </c>
      <c r="P22" s="15">
        <f t="shared" si="1"/>
        <v>303</v>
      </c>
      <c r="R22" s="38" t="s">
        <v>90</v>
      </c>
      <c r="S22" s="39">
        <f>MAX(S10:S12)</f>
        <v>205</v>
      </c>
      <c r="T22" s="39">
        <f t="shared" ref="T22:AF22" si="14">MAX(T10:T12)</f>
        <v>240</v>
      </c>
      <c r="U22" s="39">
        <f t="shared" si="14"/>
        <v>24</v>
      </c>
      <c r="V22" s="39">
        <f t="shared" si="14"/>
        <v>230</v>
      </c>
      <c r="W22" s="39">
        <f t="shared" si="14"/>
        <v>7</v>
      </c>
      <c r="X22" s="39">
        <f t="shared" si="14"/>
        <v>13</v>
      </c>
      <c r="Y22" s="39">
        <f t="shared" si="14"/>
        <v>18</v>
      </c>
      <c r="Z22" s="39">
        <f t="shared" si="14"/>
        <v>7</v>
      </c>
      <c r="AA22" s="39">
        <f t="shared" si="14"/>
        <v>4</v>
      </c>
      <c r="AB22" s="39">
        <f t="shared" si="14"/>
        <v>8</v>
      </c>
      <c r="AC22" s="39">
        <f t="shared" si="14"/>
        <v>340</v>
      </c>
      <c r="AD22" s="39">
        <f t="shared" si="14"/>
        <v>0</v>
      </c>
      <c r="AE22" s="40">
        <f t="shared" si="14"/>
        <v>724</v>
      </c>
      <c r="AF22" s="40">
        <f t="shared" si="14"/>
        <v>1064</v>
      </c>
    </row>
    <row r="23" spans="2:32" ht="23.1" customHeight="1" x14ac:dyDescent="0.25">
      <c r="B23" s="23" t="s">
        <v>50</v>
      </c>
      <c r="C23" s="50">
        <v>55</v>
      </c>
      <c r="D23" s="50">
        <v>75</v>
      </c>
      <c r="E23" s="50">
        <v>2</v>
      </c>
      <c r="F23" s="50">
        <v>75</v>
      </c>
      <c r="G23" s="50">
        <v>1</v>
      </c>
      <c r="H23" s="50">
        <v>0</v>
      </c>
      <c r="I23" s="50">
        <v>11</v>
      </c>
      <c r="J23" s="50">
        <v>1</v>
      </c>
      <c r="K23" s="50">
        <v>0</v>
      </c>
      <c r="L23" s="50">
        <v>0</v>
      </c>
      <c r="M23" s="50">
        <v>93</v>
      </c>
      <c r="N23" s="50">
        <v>0</v>
      </c>
      <c r="O23" s="15">
        <f t="shared" si="0"/>
        <v>220</v>
      </c>
      <c r="P23" s="15">
        <f t="shared" si="1"/>
        <v>313</v>
      </c>
      <c r="R23" s="38" t="s">
        <v>91</v>
      </c>
      <c r="S23" s="39">
        <f>MAX(S13:S18)</f>
        <v>220</v>
      </c>
      <c r="T23" s="39">
        <f t="shared" ref="T23:AF23" si="15">MAX(T13:T18)</f>
        <v>252</v>
      </c>
      <c r="U23" s="39">
        <f t="shared" si="15"/>
        <v>37</v>
      </c>
      <c r="V23" s="39">
        <f t="shared" si="15"/>
        <v>260</v>
      </c>
      <c r="W23" s="39">
        <f t="shared" si="15"/>
        <v>2</v>
      </c>
      <c r="X23" s="39">
        <f t="shared" si="15"/>
        <v>8</v>
      </c>
      <c r="Y23" s="39">
        <f t="shared" si="15"/>
        <v>28</v>
      </c>
      <c r="Z23" s="39">
        <f t="shared" si="15"/>
        <v>8</v>
      </c>
      <c r="AA23" s="39">
        <f t="shared" si="15"/>
        <v>7</v>
      </c>
      <c r="AB23" s="39">
        <f t="shared" si="15"/>
        <v>91</v>
      </c>
      <c r="AC23" s="39">
        <f t="shared" si="15"/>
        <v>495</v>
      </c>
      <c r="AD23" s="39">
        <f t="shared" si="15"/>
        <v>0</v>
      </c>
      <c r="AE23" s="40">
        <f t="shared" si="15"/>
        <v>850</v>
      </c>
      <c r="AF23" s="40">
        <f t="shared" si="15"/>
        <v>1229</v>
      </c>
    </row>
    <row r="24" spans="2:32" ht="23.1" customHeight="1" x14ac:dyDescent="0.25">
      <c r="B24" s="23" t="s">
        <v>51</v>
      </c>
      <c r="C24" s="50">
        <v>47</v>
      </c>
      <c r="D24" s="50">
        <v>50</v>
      </c>
      <c r="E24" s="50">
        <v>2</v>
      </c>
      <c r="F24" s="50">
        <v>60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72</v>
      </c>
      <c r="N24" s="50">
        <v>0</v>
      </c>
      <c r="O24" s="15">
        <f t="shared" si="0"/>
        <v>163</v>
      </c>
      <c r="P24" s="15">
        <f t="shared" si="1"/>
        <v>235</v>
      </c>
      <c r="R24" s="38" t="s">
        <v>92</v>
      </c>
      <c r="S24" s="39">
        <f>MAX(S19:S21)</f>
        <v>225</v>
      </c>
      <c r="T24" s="39">
        <f t="shared" ref="T24:AF24" si="16">MAX(T19:T21)</f>
        <v>260</v>
      </c>
      <c r="U24" s="39">
        <f t="shared" si="16"/>
        <v>55</v>
      </c>
      <c r="V24" s="39">
        <f t="shared" si="16"/>
        <v>245</v>
      </c>
      <c r="W24" s="39">
        <f t="shared" si="16"/>
        <v>3</v>
      </c>
      <c r="X24" s="39">
        <f t="shared" si="16"/>
        <v>2</v>
      </c>
      <c r="Y24" s="39">
        <f t="shared" si="16"/>
        <v>28</v>
      </c>
      <c r="Z24" s="39">
        <f t="shared" si="16"/>
        <v>10</v>
      </c>
      <c r="AA24" s="39">
        <f t="shared" si="16"/>
        <v>8</v>
      </c>
      <c r="AB24" s="39">
        <f t="shared" si="16"/>
        <v>12</v>
      </c>
      <c r="AC24" s="39">
        <f t="shared" si="16"/>
        <v>485</v>
      </c>
      <c r="AD24" s="39">
        <f t="shared" si="16"/>
        <v>0</v>
      </c>
      <c r="AE24" s="40">
        <f t="shared" si="16"/>
        <v>817</v>
      </c>
      <c r="AF24" s="40">
        <f t="shared" si="16"/>
        <v>1302</v>
      </c>
    </row>
    <row r="25" spans="2:32" ht="23.1" customHeight="1" x14ac:dyDescent="0.25">
      <c r="B25" s="23" t="s">
        <v>52</v>
      </c>
      <c r="C25" s="50">
        <v>45</v>
      </c>
      <c r="D25" s="50">
        <v>55</v>
      </c>
      <c r="E25" s="50">
        <v>7</v>
      </c>
      <c r="F25" s="50">
        <v>45</v>
      </c>
      <c r="G25" s="50">
        <v>0</v>
      </c>
      <c r="H25" s="50">
        <v>0</v>
      </c>
      <c r="I25" s="50">
        <v>7</v>
      </c>
      <c r="J25" s="50">
        <v>0</v>
      </c>
      <c r="K25" s="50">
        <v>0</v>
      </c>
      <c r="L25" s="50">
        <v>0</v>
      </c>
      <c r="M25" s="50">
        <v>95</v>
      </c>
      <c r="N25" s="50">
        <v>0</v>
      </c>
      <c r="O25" s="15">
        <f t="shared" si="0"/>
        <v>159</v>
      </c>
      <c r="P25" s="15">
        <f t="shared" si="1"/>
        <v>254</v>
      </c>
      <c r="R25" s="37" t="s">
        <v>85</v>
      </c>
      <c r="S25" s="35">
        <f t="shared" ref="S25:AF25" si="17">SUM(S10:S12)</f>
        <v>480</v>
      </c>
      <c r="T25" s="16">
        <f t="shared" si="17"/>
        <v>524</v>
      </c>
      <c r="U25" s="16">
        <f t="shared" si="17"/>
        <v>46</v>
      </c>
      <c r="V25" s="16">
        <f t="shared" si="17"/>
        <v>634</v>
      </c>
      <c r="W25" s="16">
        <f t="shared" si="17"/>
        <v>15</v>
      </c>
      <c r="X25" s="16">
        <f t="shared" si="17"/>
        <v>15</v>
      </c>
      <c r="Y25" s="16">
        <f t="shared" si="17"/>
        <v>39</v>
      </c>
      <c r="Z25" s="16">
        <f t="shared" si="17"/>
        <v>20</v>
      </c>
      <c r="AA25" s="16">
        <f t="shared" si="17"/>
        <v>8</v>
      </c>
      <c r="AB25" s="16">
        <f t="shared" si="17"/>
        <v>15</v>
      </c>
      <c r="AC25" s="16">
        <f t="shared" si="17"/>
        <v>878</v>
      </c>
      <c r="AD25" s="16">
        <f t="shared" si="17"/>
        <v>0</v>
      </c>
      <c r="AE25" s="32">
        <f t="shared" si="17"/>
        <v>1796</v>
      </c>
      <c r="AF25" s="32">
        <f t="shared" si="17"/>
        <v>2674</v>
      </c>
    </row>
    <row r="26" spans="2:32" ht="23.1" customHeight="1" x14ac:dyDescent="0.25">
      <c r="B26" s="23" t="s">
        <v>53</v>
      </c>
      <c r="C26" s="50">
        <v>60</v>
      </c>
      <c r="D26" s="50">
        <v>60</v>
      </c>
      <c r="E26" s="50">
        <v>4</v>
      </c>
      <c r="F26" s="50">
        <v>70</v>
      </c>
      <c r="G26" s="50">
        <v>1</v>
      </c>
      <c r="H26" s="50">
        <v>0</v>
      </c>
      <c r="I26" s="50">
        <v>3</v>
      </c>
      <c r="J26" s="50">
        <v>2</v>
      </c>
      <c r="K26" s="50">
        <v>2</v>
      </c>
      <c r="L26" s="50">
        <v>0</v>
      </c>
      <c r="M26" s="50">
        <v>100</v>
      </c>
      <c r="N26" s="50">
        <v>0</v>
      </c>
      <c r="O26" s="15">
        <f t="shared" si="0"/>
        <v>202</v>
      </c>
      <c r="P26" s="15">
        <f t="shared" si="1"/>
        <v>302</v>
      </c>
      <c r="R26" s="28" t="s">
        <v>86</v>
      </c>
      <c r="S26" s="16">
        <f t="shared" ref="S26:AF26" si="18">SUM(S13:S18)</f>
        <v>1157</v>
      </c>
      <c r="T26" s="16">
        <f t="shared" si="18"/>
        <v>1287</v>
      </c>
      <c r="U26" s="16">
        <f t="shared" si="18"/>
        <v>131</v>
      </c>
      <c r="V26" s="16">
        <f t="shared" si="18"/>
        <v>1304</v>
      </c>
      <c r="W26" s="16">
        <f t="shared" si="18"/>
        <v>5</v>
      </c>
      <c r="X26" s="16">
        <f t="shared" si="18"/>
        <v>17</v>
      </c>
      <c r="Y26" s="16">
        <f t="shared" si="18"/>
        <v>102</v>
      </c>
      <c r="Z26" s="16">
        <f t="shared" si="18"/>
        <v>23</v>
      </c>
      <c r="AA26" s="16">
        <f t="shared" si="18"/>
        <v>9</v>
      </c>
      <c r="AB26" s="16">
        <f t="shared" si="18"/>
        <v>111</v>
      </c>
      <c r="AC26" s="16">
        <f t="shared" si="18"/>
        <v>2115</v>
      </c>
      <c r="AD26" s="16">
        <f t="shared" si="18"/>
        <v>0</v>
      </c>
      <c r="AE26" s="32">
        <f t="shared" si="18"/>
        <v>4146</v>
      </c>
      <c r="AF26" s="32">
        <f t="shared" si="18"/>
        <v>6261</v>
      </c>
    </row>
    <row r="27" spans="2:32" ht="23.1" customHeight="1" x14ac:dyDescent="0.25">
      <c r="B27" s="23" t="s">
        <v>54</v>
      </c>
      <c r="C27" s="50">
        <v>50</v>
      </c>
      <c r="D27" s="50">
        <v>60</v>
      </c>
      <c r="E27" s="50">
        <v>4</v>
      </c>
      <c r="F27" s="50">
        <v>75</v>
      </c>
      <c r="G27" s="50">
        <v>0</v>
      </c>
      <c r="H27" s="50">
        <v>0</v>
      </c>
      <c r="I27" s="50">
        <v>6</v>
      </c>
      <c r="J27" s="50">
        <v>0</v>
      </c>
      <c r="K27" s="50">
        <v>1</v>
      </c>
      <c r="L27" s="50">
        <v>0</v>
      </c>
      <c r="M27" s="50">
        <v>110</v>
      </c>
      <c r="N27" s="50">
        <v>0</v>
      </c>
      <c r="O27" s="15">
        <f t="shared" si="0"/>
        <v>196</v>
      </c>
      <c r="P27" s="15">
        <f t="shared" si="1"/>
        <v>306</v>
      </c>
      <c r="R27" s="29" t="s">
        <v>87</v>
      </c>
      <c r="S27" s="16">
        <f t="shared" ref="S27:AF27" si="19">SUM(S19:S21)</f>
        <v>605</v>
      </c>
      <c r="T27" s="16">
        <f t="shared" si="19"/>
        <v>700</v>
      </c>
      <c r="U27" s="16">
        <f t="shared" si="19"/>
        <v>98</v>
      </c>
      <c r="V27" s="16">
        <f t="shared" si="19"/>
        <v>685</v>
      </c>
      <c r="W27" s="16">
        <f t="shared" si="19"/>
        <v>7</v>
      </c>
      <c r="X27" s="16">
        <f t="shared" si="19"/>
        <v>2</v>
      </c>
      <c r="Y27" s="16">
        <f t="shared" si="19"/>
        <v>64</v>
      </c>
      <c r="Z27" s="16">
        <f t="shared" si="19"/>
        <v>19</v>
      </c>
      <c r="AA27" s="16">
        <f t="shared" si="19"/>
        <v>10</v>
      </c>
      <c r="AB27" s="16">
        <f t="shared" si="19"/>
        <v>15</v>
      </c>
      <c r="AC27" s="16">
        <f t="shared" si="19"/>
        <v>1124</v>
      </c>
      <c r="AD27" s="16">
        <f t="shared" si="19"/>
        <v>0</v>
      </c>
      <c r="AE27" s="32">
        <f t="shared" si="19"/>
        <v>2205</v>
      </c>
      <c r="AF27" s="32">
        <f t="shared" si="19"/>
        <v>3329</v>
      </c>
    </row>
    <row r="28" spans="2:32" ht="23.1" customHeight="1" x14ac:dyDescent="0.25">
      <c r="B28" s="23" t="s">
        <v>55</v>
      </c>
      <c r="C28" s="50">
        <v>55</v>
      </c>
      <c r="D28" s="50">
        <v>62</v>
      </c>
      <c r="E28" s="50">
        <v>5</v>
      </c>
      <c r="F28" s="50">
        <v>50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1</v>
      </c>
      <c r="M28" s="50">
        <v>100</v>
      </c>
      <c r="N28" s="50">
        <v>0</v>
      </c>
      <c r="O28" s="15">
        <f t="shared" si="0"/>
        <v>176</v>
      </c>
      <c r="P28" s="15">
        <f t="shared" si="1"/>
        <v>276</v>
      </c>
      <c r="R28" s="5" t="s">
        <v>17</v>
      </c>
      <c r="S28" s="16">
        <f t="shared" ref="S28:AF28" si="20">SUM(S10:S21)</f>
        <v>2242</v>
      </c>
      <c r="T28" s="16">
        <f t="shared" si="20"/>
        <v>2511</v>
      </c>
      <c r="U28" s="16">
        <f t="shared" si="20"/>
        <v>275</v>
      </c>
      <c r="V28" s="16">
        <f t="shared" si="20"/>
        <v>2623</v>
      </c>
      <c r="W28" s="16">
        <f t="shared" si="20"/>
        <v>27</v>
      </c>
      <c r="X28" s="16">
        <f t="shared" si="20"/>
        <v>34</v>
      </c>
      <c r="Y28" s="16">
        <f t="shared" si="20"/>
        <v>205</v>
      </c>
      <c r="Z28" s="16">
        <f t="shared" si="20"/>
        <v>62</v>
      </c>
      <c r="AA28" s="16">
        <f t="shared" si="20"/>
        <v>27</v>
      </c>
      <c r="AB28" s="16">
        <f t="shared" si="20"/>
        <v>141</v>
      </c>
      <c r="AC28" s="16">
        <f t="shared" si="20"/>
        <v>4117</v>
      </c>
      <c r="AD28" s="16">
        <f t="shared" si="20"/>
        <v>0</v>
      </c>
      <c r="AE28" s="32">
        <f t="shared" si="20"/>
        <v>8147</v>
      </c>
      <c r="AF28" s="32">
        <f t="shared" si="20"/>
        <v>12264</v>
      </c>
    </row>
    <row r="29" spans="2:32" ht="23.1" customHeight="1" x14ac:dyDescent="0.25">
      <c r="B29" s="23" t="s">
        <v>56</v>
      </c>
      <c r="C29" s="50">
        <v>45</v>
      </c>
      <c r="D29" s="50">
        <v>70</v>
      </c>
      <c r="E29" s="50">
        <v>7</v>
      </c>
      <c r="F29" s="50">
        <v>60</v>
      </c>
      <c r="G29" s="50">
        <v>0</v>
      </c>
      <c r="H29" s="50">
        <v>0</v>
      </c>
      <c r="I29" s="50">
        <v>0</v>
      </c>
      <c r="J29" s="50">
        <v>0</v>
      </c>
      <c r="K29" s="50">
        <v>4</v>
      </c>
      <c r="L29" s="50">
        <v>90</v>
      </c>
      <c r="M29" s="50">
        <v>0</v>
      </c>
      <c r="N29" s="50">
        <v>0</v>
      </c>
      <c r="O29" s="15">
        <f t="shared" si="0"/>
        <v>276</v>
      </c>
      <c r="P29" s="15">
        <f t="shared" si="1"/>
        <v>276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35</v>
      </c>
      <c r="E30" s="50">
        <v>5</v>
      </c>
      <c r="F30" s="50">
        <v>45</v>
      </c>
      <c r="G30" s="50">
        <v>1</v>
      </c>
      <c r="H30" s="50">
        <v>1</v>
      </c>
      <c r="I30" s="50">
        <v>3</v>
      </c>
      <c r="J30" s="50">
        <v>0</v>
      </c>
      <c r="K30" s="50">
        <v>0</v>
      </c>
      <c r="L30" s="50">
        <v>2</v>
      </c>
      <c r="M30" s="50">
        <v>75</v>
      </c>
      <c r="N30" s="50">
        <v>0</v>
      </c>
      <c r="O30" s="15">
        <f t="shared" si="0"/>
        <v>127</v>
      </c>
      <c r="P30" s="15">
        <f t="shared" si="1"/>
        <v>202</v>
      </c>
    </row>
    <row r="31" spans="2:32" ht="23.1" customHeight="1" x14ac:dyDescent="0.25">
      <c r="B31" s="24" t="s">
        <v>58</v>
      </c>
      <c r="C31" s="50">
        <v>55</v>
      </c>
      <c r="D31" s="50">
        <v>60</v>
      </c>
      <c r="E31" s="50">
        <v>10</v>
      </c>
      <c r="F31" s="50">
        <v>45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2</v>
      </c>
      <c r="M31" s="50">
        <v>90</v>
      </c>
      <c r="N31" s="50">
        <v>0</v>
      </c>
      <c r="O31" s="15">
        <f t="shared" si="0"/>
        <v>177</v>
      </c>
      <c r="P31" s="15">
        <f t="shared" si="1"/>
        <v>267</v>
      </c>
    </row>
    <row r="32" spans="2:32" ht="23.1" customHeight="1" x14ac:dyDescent="0.25">
      <c r="B32" s="24" t="s">
        <v>59</v>
      </c>
      <c r="C32" s="50">
        <v>55</v>
      </c>
      <c r="D32" s="50">
        <v>45</v>
      </c>
      <c r="E32" s="50">
        <v>8</v>
      </c>
      <c r="F32" s="50">
        <v>45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3</v>
      </c>
      <c r="M32" s="50">
        <v>80</v>
      </c>
      <c r="N32" s="50">
        <v>0</v>
      </c>
      <c r="O32" s="15">
        <f t="shared" si="0"/>
        <v>160</v>
      </c>
      <c r="P32" s="15">
        <f t="shared" si="1"/>
        <v>240</v>
      </c>
    </row>
    <row r="33" spans="2:20" ht="23.1" customHeight="1" x14ac:dyDescent="0.25">
      <c r="B33" s="23" t="s">
        <v>60</v>
      </c>
      <c r="C33" s="50">
        <v>70</v>
      </c>
      <c r="D33" s="50">
        <v>60</v>
      </c>
      <c r="E33" s="50">
        <v>7</v>
      </c>
      <c r="F33" s="50">
        <v>50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2</v>
      </c>
      <c r="M33" s="50">
        <v>100</v>
      </c>
      <c r="N33" s="50">
        <v>0</v>
      </c>
      <c r="O33" s="15">
        <f t="shared" si="0"/>
        <v>189</v>
      </c>
      <c r="P33" s="15">
        <f t="shared" si="1"/>
        <v>289</v>
      </c>
    </row>
    <row r="34" spans="2:20" ht="23.1" customHeight="1" x14ac:dyDescent="0.25">
      <c r="B34" s="24" t="s">
        <v>61</v>
      </c>
      <c r="C34" s="50">
        <v>60</v>
      </c>
      <c r="D34" s="50">
        <v>70</v>
      </c>
      <c r="E34" s="50">
        <v>7</v>
      </c>
      <c r="F34" s="50">
        <v>60</v>
      </c>
      <c r="G34" s="50">
        <v>0</v>
      </c>
      <c r="H34" s="50">
        <v>3</v>
      </c>
      <c r="I34" s="50">
        <v>4</v>
      </c>
      <c r="J34" s="50">
        <v>0</v>
      </c>
      <c r="K34" s="50">
        <v>0</v>
      </c>
      <c r="L34" s="50">
        <v>0</v>
      </c>
      <c r="M34" s="50">
        <v>220</v>
      </c>
      <c r="N34" s="50">
        <v>0</v>
      </c>
      <c r="O34" s="15">
        <f t="shared" si="0"/>
        <v>204</v>
      </c>
      <c r="P34" s="15">
        <f t="shared" si="1"/>
        <v>424</v>
      </c>
    </row>
    <row r="35" spans="2:20" ht="23.1" customHeight="1" x14ac:dyDescent="0.25">
      <c r="B35" s="24" t="s">
        <v>62</v>
      </c>
      <c r="C35" s="50">
        <v>45</v>
      </c>
      <c r="D35" s="50">
        <v>45</v>
      </c>
      <c r="E35" s="50">
        <v>3</v>
      </c>
      <c r="F35" s="50">
        <v>54</v>
      </c>
      <c r="G35" s="50">
        <v>0</v>
      </c>
      <c r="H35" s="50">
        <v>3</v>
      </c>
      <c r="I35" s="50">
        <v>4</v>
      </c>
      <c r="J35" s="50">
        <v>1</v>
      </c>
      <c r="K35" s="50">
        <v>0</v>
      </c>
      <c r="L35" s="50">
        <v>0</v>
      </c>
      <c r="M35" s="50">
        <v>80</v>
      </c>
      <c r="N35" s="50">
        <v>0</v>
      </c>
      <c r="O35" s="15">
        <f t="shared" si="0"/>
        <v>155</v>
      </c>
      <c r="P35" s="15">
        <f t="shared" si="1"/>
        <v>235</v>
      </c>
    </row>
    <row r="36" spans="2:20" ht="23.1" customHeight="1" x14ac:dyDescent="0.25">
      <c r="B36" s="24" t="s">
        <v>63</v>
      </c>
      <c r="C36" s="50">
        <v>60</v>
      </c>
      <c r="D36" s="50">
        <v>45</v>
      </c>
      <c r="E36" s="50">
        <v>3</v>
      </c>
      <c r="F36" s="50">
        <v>45</v>
      </c>
      <c r="G36" s="50">
        <v>0</v>
      </c>
      <c r="H36" s="50">
        <v>2</v>
      </c>
      <c r="I36" s="50">
        <v>1</v>
      </c>
      <c r="J36" s="50">
        <v>0</v>
      </c>
      <c r="K36" s="50">
        <v>0</v>
      </c>
      <c r="L36" s="50">
        <v>2</v>
      </c>
      <c r="M36" s="50">
        <v>100</v>
      </c>
      <c r="N36" s="50">
        <v>0</v>
      </c>
      <c r="O36" s="15">
        <f t="shared" si="0"/>
        <v>158</v>
      </c>
      <c r="P36" s="15">
        <f t="shared" si="1"/>
        <v>258</v>
      </c>
    </row>
    <row r="37" spans="2:20" ht="23.1" customHeight="1" x14ac:dyDescent="0.25">
      <c r="B37" s="23" t="s">
        <v>64</v>
      </c>
      <c r="C37" s="50">
        <v>55</v>
      </c>
      <c r="D37" s="50">
        <v>60</v>
      </c>
      <c r="E37" s="50">
        <v>4</v>
      </c>
      <c r="F37" s="50">
        <v>95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95</v>
      </c>
      <c r="N37" s="50">
        <v>0</v>
      </c>
      <c r="O37" s="15">
        <f t="shared" si="0"/>
        <v>217</v>
      </c>
      <c r="P37" s="15">
        <f t="shared" si="1"/>
        <v>312</v>
      </c>
    </row>
    <row r="38" spans="2:20" ht="23.1" customHeight="1" x14ac:dyDescent="0.25">
      <c r="B38" s="24" t="s">
        <v>65</v>
      </c>
      <c r="C38" s="50">
        <v>35</v>
      </c>
      <c r="D38" s="50">
        <v>45</v>
      </c>
      <c r="E38" s="50">
        <v>15</v>
      </c>
      <c r="F38" s="50">
        <v>50</v>
      </c>
      <c r="G38" s="50">
        <v>0</v>
      </c>
      <c r="H38" s="50">
        <v>1</v>
      </c>
      <c r="I38" s="50">
        <v>5</v>
      </c>
      <c r="J38" s="50">
        <v>0</v>
      </c>
      <c r="K38" s="50">
        <v>0</v>
      </c>
      <c r="L38" s="50">
        <v>1</v>
      </c>
      <c r="M38" s="50">
        <v>65</v>
      </c>
      <c r="N38" s="50">
        <v>0</v>
      </c>
      <c r="O38" s="15">
        <f t="shared" si="0"/>
        <v>152</v>
      </c>
      <c r="P38" s="15">
        <f t="shared" si="1"/>
        <v>217</v>
      </c>
    </row>
    <row r="39" spans="2:20" ht="23.1" customHeight="1" x14ac:dyDescent="0.25">
      <c r="B39" s="24" t="s">
        <v>66</v>
      </c>
      <c r="C39" s="50">
        <v>20</v>
      </c>
      <c r="D39" s="50">
        <v>30</v>
      </c>
      <c r="E39" s="50">
        <v>10</v>
      </c>
      <c r="F39" s="50">
        <v>25</v>
      </c>
      <c r="G39" s="50">
        <v>0</v>
      </c>
      <c r="H39" s="50">
        <v>1</v>
      </c>
      <c r="I39" s="50">
        <v>7</v>
      </c>
      <c r="J39" s="50">
        <v>0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93</v>
      </c>
      <c r="P39" s="15">
        <f t="shared" si="1"/>
        <v>163</v>
      </c>
    </row>
    <row r="40" spans="2:20" ht="23.1" customHeight="1" x14ac:dyDescent="0.25">
      <c r="B40" s="24" t="s">
        <v>67</v>
      </c>
      <c r="C40" s="50">
        <v>35</v>
      </c>
      <c r="D40" s="50">
        <v>45</v>
      </c>
      <c r="E40" s="50">
        <v>10</v>
      </c>
      <c r="F40" s="50">
        <v>15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2</v>
      </c>
      <c r="M40" s="50">
        <v>55</v>
      </c>
      <c r="N40" s="50">
        <v>0</v>
      </c>
      <c r="O40" s="15">
        <f t="shared" si="0"/>
        <v>110</v>
      </c>
      <c r="P40" s="15">
        <f t="shared" si="1"/>
        <v>165</v>
      </c>
    </row>
    <row r="41" spans="2:20" ht="23.1" customHeight="1" x14ac:dyDescent="0.25">
      <c r="B41" s="23" t="s">
        <v>68</v>
      </c>
      <c r="C41" s="50">
        <v>45</v>
      </c>
      <c r="D41" s="50">
        <v>50</v>
      </c>
      <c r="E41" s="50">
        <v>2</v>
      </c>
      <c r="F41" s="50">
        <v>30</v>
      </c>
      <c r="G41" s="50">
        <v>0</v>
      </c>
      <c r="H41" s="50">
        <v>0</v>
      </c>
      <c r="I41" s="50">
        <v>3</v>
      </c>
      <c r="J41" s="50">
        <v>2</v>
      </c>
      <c r="K41" s="50">
        <v>0</v>
      </c>
      <c r="L41" s="50">
        <v>2</v>
      </c>
      <c r="M41" s="50">
        <v>85</v>
      </c>
      <c r="N41" s="50">
        <v>0</v>
      </c>
      <c r="O41" s="15">
        <f t="shared" si="0"/>
        <v>134</v>
      </c>
      <c r="P41" s="15">
        <f t="shared" si="1"/>
        <v>219</v>
      </c>
    </row>
    <row r="42" spans="2:20" ht="23.1" customHeight="1" x14ac:dyDescent="0.25">
      <c r="B42" s="24" t="s">
        <v>69</v>
      </c>
      <c r="C42" s="50">
        <v>45</v>
      </c>
      <c r="D42" s="50">
        <v>50</v>
      </c>
      <c r="E42" s="50">
        <v>2</v>
      </c>
      <c r="F42" s="50">
        <v>75</v>
      </c>
      <c r="G42" s="50">
        <v>0</v>
      </c>
      <c r="H42" s="50">
        <v>3</v>
      </c>
      <c r="I42" s="50">
        <v>2</v>
      </c>
      <c r="J42" s="50">
        <v>3</v>
      </c>
      <c r="K42" s="50">
        <v>0</v>
      </c>
      <c r="L42" s="50">
        <v>0</v>
      </c>
      <c r="M42" s="50">
        <v>100</v>
      </c>
      <c r="N42" s="50">
        <v>0</v>
      </c>
      <c r="O42" s="15">
        <f t="shared" si="0"/>
        <v>180</v>
      </c>
      <c r="P42" s="15">
        <f t="shared" si="1"/>
        <v>280</v>
      </c>
    </row>
    <row r="43" spans="2:20" ht="23.1" customHeight="1" x14ac:dyDescent="0.25">
      <c r="B43" s="23" t="s">
        <v>70</v>
      </c>
      <c r="C43" s="50">
        <v>50</v>
      </c>
      <c r="D43" s="50">
        <v>50</v>
      </c>
      <c r="E43" s="50">
        <v>3</v>
      </c>
      <c r="F43" s="50">
        <v>45</v>
      </c>
      <c r="G43" s="50">
        <v>0</v>
      </c>
      <c r="H43" s="50">
        <v>3</v>
      </c>
      <c r="I43" s="50">
        <v>4</v>
      </c>
      <c r="J43" s="50">
        <v>0</v>
      </c>
      <c r="K43" s="50">
        <v>0</v>
      </c>
      <c r="L43" s="50">
        <v>0</v>
      </c>
      <c r="M43" s="50">
        <v>100</v>
      </c>
      <c r="N43" s="50">
        <v>0</v>
      </c>
      <c r="O43" s="15">
        <f t="shared" si="0"/>
        <v>155</v>
      </c>
      <c r="P43" s="15">
        <f t="shared" si="1"/>
        <v>255</v>
      </c>
    </row>
    <row r="44" spans="2:20" ht="23.1" customHeight="1" x14ac:dyDescent="0.25">
      <c r="B44" s="25" t="s">
        <v>71</v>
      </c>
      <c r="C44" s="50">
        <v>55</v>
      </c>
      <c r="D44" s="50">
        <v>55</v>
      </c>
      <c r="E44" s="50">
        <v>3</v>
      </c>
      <c r="F44" s="50">
        <v>60</v>
      </c>
      <c r="G44" s="50">
        <v>1</v>
      </c>
      <c r="H44" s="50">
        <v>0</v>
      </c>
      <c r="I44" s="50">
        <v>10</v>
      </c>
      <c r="J44" s="50">
        <v>2</v>
      </c>
      <c r="K44" s="50">
        <v>0</v>
      </c>
      <c r="L44" s="50">
        <v>2</v>
      </c>
      <c r="M44" s="50">
        <v>80</v>
      </c>
      <c r="N44" s="50">
        <v>0</v>
      </c>
      <c r="O44" s="15">
        <f t="shared" si="0"/>
        <v>188</v>
      </c>
      <c r="P44" s="15">
        <f t="shared" si="1"/>
        <v>268</v>
      </c>
    </row>
    <row r="45" spans="2:20" ht="23.1" customHeight="1" x14ac:dyDescent="0.25">
      <c r="B45" s="23" t="s">
        <v>72</v>
      </c>
      <c r="C45" s="50">
        <v>30</v>
      </c>
      <c r="D45" s="50">
        <v>45</v>
      </c>
      <c r="E45" s="50">
        <v>3</v>
      </c>
      <c r="F45" s="50">
        <v>50</v>
      </c>
      <c r="G45" s="50">
        <v>1</v>
      </c>
      <c r="H45" s="50">
        <v>0</v>
      </c>
      <c r="I45" s="50">
        <v>8</v>
      </c>
      <c r="J45" s="50">
        <v>3</v>
      </c>
      <c r="K45" s="50">
        <v>2</v>
      </c>
      <c r="L45" s="50">
        <v>0</v>
      </c>
      <c r="M45" s="50">
        <v>60</v>
      </c>
      <c r="N45" s="50">
        <v>0</v>
      </c>
      <c r="O45" s="15">
        <f t="shared" si="0"/>
        <v>142</v>
      </c>
      <c r="P45" s="15">
        <f t="shared" si="1"/>
        <v>202</v>
      </c>
    </row>
    <row r="46" spans="2:20" ht="23.1" customHeight="1" x14ac:dyDescent="0.25">
      <c r="B46" s="24" t="s">
        <v>73</v>
      </c>
      <c r="C46" s="50">
        <v>55</v>
      </c>
      <c r="D46" s="50">
        <v>50</v>
      </c>
      <c r="E46" s="50">
        <v>5</v>
      </c>
      <c r="F46" s="50">
        <v>30</v>
      </c>
      <c r="G46" s="50">
        <v>2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75</v>
      </c>
      <c r="N46" s="50">
        <v>0</v>
      </c>
      <c r="O46" s="15">
        <f t="shared" si="0"/>
        <v>145</v>
      </c>
      <c r="P46" s="15">
        <f t="shared" si="1"/>
        <v>220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55</v>
      </c>
      <c r="E47" s="50">
        <v>4</v>
      </c>
      <c r="F47" s="50">
        <v>70</v>
      </c>
      <c r="G47" s="50">
        <v>0</v>
      </c>
      <c r="H47" s="50">
        <v>0</v>
      </c>
      <c r="I47" s="50">
        <v>15</v>
      </c>
      <c r="J47" s="50">
        <v>0</v>
      </c>
      <c r="K47" s="50">
        <v>0</v>
      </c>
      <c r="L47" s="50">
        <v>1</v>
      </c>
      <c r="M47" s="50">
        <v>65</v>
      </c>
      <c r="N47" s="50">
        <v>0</v>
      </c>
      <c r="O47" s="15">
        <f t="shared" si="0"/>
        <v>205</v>
      </c>
      <c r="P47" s="15">
        <f t="shared" si="1"/>
        <v>270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50</v>
      </c>
      <c r="E48" s="50">
        <v>4</v>
      </c>
      <c r="F48" s="50">
        <v>50</v>
      </c>
      <c r="G48" s="50">
        <v>1</v>
      </c>
      <c r="H48" s="50">
        <v>0</v>
      </c>
      <c r="I48" s="50">
        <v>10</v>
      </c>
      <c r="J48" s="50">
        <v>0</v>
      </c>
      <c r="K48" s="50">
        <v>0</v>
      </c>
      <c r="L48" s="50">
        <v>0</v>
      </c>
      <c r="M48" s="50">
        <v>95</v>
      </c>
      <c r="N48" s="50">
        <v>0</v>
      </c>
      <c r="O48" s="15">
        <f t="shared" si="0"/>
        <v>155</v>
      </c>
      <c r="P48" s="15">
        <f t="shared" si="1"/>
        <v>250</v>
      </c>
      <c r="R48" s="8"/>
      <c r="T48"/>
    </row>
    <row r="49" spans="2:20" ht="23.1" customHeight="1" x14ac:dyDescent="0.25">
      <c r="B49" s="23" t="s">
        <v>76</v>
      </c>
      <c r="C49" s="50">
        <v>55</v>
      </c>
      <c r="D49" s="50">
        <v>60</v>
      </c>
      <c r="E49" s="50">
        <v>4</v>
      </c>
      <c r="F49" s="50">
        <v>60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100</v>
      </c>
      <c r="N49" s="50">
        <v>0</v>
      </c>
      <c r="O49" s="15">
        <f t="shared" si="0"/>
        <v>180</v>
      </c>
      <c r="P49" s="15">
        <f t="shared" si="1"/>
        <v>280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50</v>
      </c>
      <c r="E50" s="50">
        <v>30</v>
      </c>
      <c r="F50" s="50">
        <v>30</v>
      </c>
      <c r="G50" s="50">
        <v>0</v>
      </c>
      <c r="H50" s="50">
        <v>1</v>
      </c>
      <c r="I50" s="50">
        <v>5</v>
      </c>
      <c r="J50" s="50">
        <v>1</v>
      </c>
      <c r="K50" s="50">
        <v>1</v>
      </c>
      <c r="L50" s="50">
        <v>6</v>
      </c>
      <c r="M50" s="50">
        <v>100</v>
      </c>
      <c r="N50" s="50">
        <v>0</v>
      </c>
      <c r="O50" s="15">
        <f t="shared" si="0"/>
        <v>179</v>
      </c>
      <c r="P50" s="15">
        <f t="shared" si="1"/>
        <v>279</v>
      </c>
      <c r="R50" s="8"/>
      <c r="T50"/>
    </row>
    <row r="51" spans="2:20" ht="23.1" customHeight="1" x14ac:dyDescent="0.25">
      <c r="B51" s="24" t="s">
        <v>78</v>
      </c>
      <c r="C51" s="50">
        <v>60</v>
      </c>
      <c r="D51" s="50">
        <v>70</v>
      </c>
      <c r="E51" s="50">
        <v>12</v>
      </c>
      <c r="F51" s="50">
        <v>75</v>
      </c>
      <c r="G51" s="50">
        <v>0</v>
      </c>
      <c r="H51" s="50">
        <v>0</v>
      </c>
      <c r="I51" s="50">
        <v>6</v>
      </c>
      <c r="J51" s="50">
        <v>2</v>
      </c>
      <c r="K51" s="50">
        <v>0</v>
      </c>
      <c r="L51" s="50">
        <v>3</v>
      </c>
      <c r="M51" s="50">
        <v>220</v>
      </c>
      <c r="N51" s="50">
        <v>0</v>
      </c>
      <c r="O51" s="15">
        <f t="shared" si="0"/>
        <v>228</v>
      </c>
      <c r="P51" s="15">
        <f t="shared" si="1"/>
        <v>448</v>
      </c>
      <c r="R51" s="8"/>
      <c r="T51"/>
    </row>
    <row r="52" spans="2:20" ht="23.1" customHeight="1" x14ac:dyDescent="0.25">
      <c r="B52" s="24" t="s">
        <v>79</v>
      </c>
      <c r="C52" s="50">
        <v>70</v>
      </c>
      <c r="D52" s="50">
        <v>80</v>
      </c>
      <c r="E52" s="50">
        <v>9</v>
      </c>
      <c r="F52" s="50">
        <v>65</v>
      </c>
      <c r="G52" s="50">
        <v>0</v>
      </c>
      <c r="H52" s="50">
        <v>0</v>
      </c>
      <c r="I52" s="50">
        <v>6</v>
      </c>
      <c r="J52" s="50">
        <v>3</v>
      </c>
      <c r="K52" s="50">
        <v>0</v>
      </c>
      <c r="L52" s="50">
        <v>1</v>
      </c>
      <c r="M52" s="50">
        <v>85</v>
      </c>
      <c r="N52" s="50">
        <v>0</v>
      </c>
      <c r="O52" s="15">
        <f t="shared" si="0"/>
        <v>234</v>
      </c>
      <c r="P52" s="15">
        <f t="shared" si="1"/>
        <v>319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60</v>
      </c>
      <c r="E53" s="50">
        <v>4</v>
      </c>
      <c r="F53" s="50">
        <v>60</v>
      </c>
      <c r="G53" s="50">
        <v>1</v>
      </c>
      <c r="H53" s="50">
        <v>1</v>
      </c>
      <c r="I53" s="50">
        <v>3</v>
      </c>
      <c r="J53" s="50">
        <v>4</v>
      </c>
      <c r="K53" s="50">
        <v>1</v>
      </c>
      <c r="L53" s="50">
        <v>2</v>
      </c>
      <c r="M53" s="50">
        <v>80</v>
      </c>
      <c r="N53" s="50">
        <v>0</v>
      </c>
      <c r="O53" s="15">
        <f t="shared" si="0"/>
        <v>176</v>
      </c>
      <c r="P53" s="15">
        <f t="shared" si="1"/>
        <v>256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55</v>
      </c>
      <c r="E54" s="50">
        <v>11</v>
      </c>
      <c r="F54" s="50">
        <v>75</v>
      </c>
      <c r="G54" s="50">
        <v>1</v>
      </c>
      <c r="H54" s="50">
        <v>0</v>
      </c>
      <c r="I54" s="50">
        <v>5</v>
      </c>
      <c r="J54" s="50">
        <v>5</v>
      </c>
      <c r="K54" s="50">
        <v>3</v>
      </c>
      <c r="L54" s="50">
        <v>0</v>
      </c>
      <c r="M54" s="50">
        <v>90</v>
      </c>
      <c r="N54" s="50">
        <v>0</v>
      </c>
      <c r="O54" s="15">
        <f t="shared" si="0"/>
        <v>195</v>
      </c>
      <c r="P54" s="15">
        <f t="shared" si="1"/>
        <v>285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75</v>
      </c>
      <c r="E55" s="50">
        <v>3</v>
      </c>
      <c r="F55" s="50">
        <v>75</v>
      </c>
      <c r="G55" s="50">
        <v>2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80</v>
      </c>
      <c r="N55" s="50">
        <v>0</v>
      </c>
      <c r="O55" s="15">
        <f t="shared" si="0"/>
        <v>196</v>
      </c>
      <c r="P55" s="15">
        <f t="shared" si="1"/>
        <v>276</v>
      </c>
      <c r="R55" s="8"/>
      <c r="T55"/>
    </row>
    <row r="56" spans="2:20" ht="23.1" customHeight="1" x14ac:dyDescent="0.25">
      <c r="B56" s="23" t="s">
        <v>83</v>
      </c>
      <c r="C56" s="50">
        <v>40</v>
      </c>
      <c r="D56" s="50">
        <v>50</v>
      </c>
      <c r="E56" s="50">
        <v>8</v>
      </c>
      <c r="F56" s="50">
        <v>45</v>
      </c>
      <c r="G56" s="50">
        <v>0</v>
      </c>
      <c r="H56" s="50">
        <v>0</v>
      </c>
      <c r="I56" s="50">
        <v>5</v>
      </c>
      <c r="J56" s="50">
        <v>0</v>
      </c>
      <c r="K56" s="50">
        <v>3</v>
      </c>
      <c r="L56" s="50">
        <v>1</v>
      </c>
      <c r="M56" s="50">
        <v>54</v>
      </c>
      <c r="N56" s="50">
        <v>0</v>
      </c>
      <c r="O56" s="15">
        <f t="shared" si="0"/>
        <v>152</v>
      </c>
      <c r="P56" s="15">
        <f t="shared" si="1"/>
        <v>206</v>
      </c>
      <c r="R56" s="8"/>
      <c r="T56"/>
    </row>
    <row r="57" spans="2:20" ht="23.1" customHeight="1" x14ac:dyDescent="0.25">
      <c r="B57" s="23" t="s">
        <v>84</v>
      </c>
      <c r="C57" s="50">
        <v>50</v>
      </c>
      <c r="D57" s="50">
        <v>45</v>
      </c>
      <c r="E57" s="50">
        <v>4</v>
      </c>
      <c r="F57" s="50">
        <v>50</v>
      </c>
      <c r="G57" s="50">
        <v>0</v>
      </c>
      <c r="H57" s="50">
        <v>0</v>
      </c>
      <c r="I57" s="50">
        <v>5</v>
      </c>
      <c r="J57" s="50">
        <v>4</v>
      </c>
      <c r="K57" s="50">
        <v>2</v>
      </c>
      <c r="L57" s="50">
        <v>0</v>
      </c>
      <c r="M57" s="50">
        <v>80</v>
      </c>
      <c r="N57" s="50">
        <v>0</v>
      </c>
      <c r="O57" s="15">
        <f t="shared" si="0"/>
        <v>160</v>
      </c>
      <c r="P57" s="15">
        <f t="shared" si="1"/>
        <v>240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2242</v>
      </c>
      <c r="D58" s="16">
        <f t="shared" si="21"/>
        <v>2511</v>
      </c>
      <c r="E58" s="16">
        <f t="shared" si="21"/>
        <v>275</v>
      </c>
      <c r="F58" s="16">
        <f t="shared" si="21"/>
        <v>2623</v>
      </c>
      <c r="G58" s="16">
        <f t="shared" si="21"/>
        <v>27</v>
      </c>
      <c r="H58" s="16">
        <f t="shared" si="21"/>
        <v>34</v>
      </c>
      <c r="I58" s="16">
        <f t="shared" si="21"/>
        <v>205</v>
      </c>
      <c r="J58" s="16">
        <f t="shared" si="21"/>
        <v>62</v>
      </c>
      <c r="K58" s="16">
        <f t="shared" si="21"/>
        <v>27</v>
      </c>
      <c r="L58" s="16">
        <f t="shared" si="21"/>
        <v>141</v>
      </c>
      <c r="M58" s="16">
        <f t="shared" si="21"/>
        <v>4117</v>
      </c>
      <c r="N58" s="16">
        <f t="shared" si="21"/>
        <v>0</v>
      </c>
      <c r="O58" s="16">
        <f t="shared" si="21"/>
        <v>8147</v>
      </c>
      <c r="P58" s="16">
        <f t="shared" si="21"/>
        <v>12264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0.18281148075668624</v>
      </c>
      <c r="D59" s="43">
        <f t="shared" si="22"/>
        <v>0.20474559686888455</v>
      </c>
      <c r="E59" s="43">
        <f t="shared" si="22"/>
        <v>2.2423352902804956E-2</v>
      </c>
      <c r="F59" s="43">
        <f t="shared" si="22"/>
        <v>0.21387801696020875</v>
      </c>
      <c r="G59" s="43">
        <f t="shared" si="22"/>
        <v>2.2015655577299412E-3</v>
      </c>
      <c r="H59" s="43">
        <f t="shared" si="22"/>
        <v>2.7723418134377037E-3</v>
      </c>
      <c r="I59" s="43">
        <f t="shared" si="22"/>
        <v>1.6715590345727331E-2</v>
      </c>
      <c r="J59" s="43">
        <f t="shared" si="22"/>
        <v>5.0554468362687538E-3</v>
      </c>
      <c r="K59" s="43">
        <f t="shared" si="22"/>
        <v>2.2015655577299412E-3</v>
      </c>
      <c r="L59" s="43">
        <f t="shared" si="22"/>
        <v>1.1497064579256359E-2</v>
      </c>
      <c r="M59" s="43">
        <f t="shared" si="22"/>
        <v>0.33569797782126548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0.2751933226954707</v>
      </c>
      <c r="D60" s="44">
        <f t="shared" ref="D60:N60" si="23">D58/$O$58</f>
        <v>0.3082116116361851</v>
      </c>
      <c r="E60" s="44">
        <f t="shared" si="23"/>
        <v>3.3754756352031422E-2</v>
      </c>
      <c r="F60" s="44">
        <f t="shared" si="23"/>
        <v>0.32195900331410338</v>
      </c>
      <c r="G60" s="44">
        <f t="shared" si="23"/>
        <v>3.3141033509267214E-3</v>
      </c>
      <c r="H60" s="44">
        <f t="shared" si="23"/>
        <v>4.1733153307966127E-3</v>
      </c>
      <c r="I60" s="44">
        <f t="shared" si="23"/>
        <v>2.5162636553332514E-2</v>
      </c>
      <c r="J60" s="44">
        <f t="shared" si="23"/>
        <v>7.6101632502761753E-3</v>
      </c>
      <c r="K60" s="44">
        <f t="shared" si="23"/>
        <v>3.3141033509267214E-3</v>
      </c>
      <c r="L60" s="44">
        <f t="shared" si="23"/>
        <v>1.7306984165950657E-2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9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'22.07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Kampala-wakiso'!D5</f>
        <v>28.07.19</v>
      </c>
      <c r="E5" s="3"/>
      <c r="F5" s="41" t="s">
        <v>1</v>
      </c>
      <c r="G5" s="66" t="str">
        <f>'28.07 Kampala-wakiso'!G5:H5</f>
        <v>AFTER STABEX NANSANA</v>
      </c>
      <c r="H5" s="67"/>
      <c r="I5" s="14"/>
      <c r="J5" s="2" t="s">
        <v>5</v>
      </c>
      <c r="K5" s="66" t="str">
        <f>'28.07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'22.07 Wakiso-Kampala'!D6:E6</f>
        <v>Wakiso</v>
      </c>
      <c r="E6" s="67"/>
      <c r="F6" s="2" t="s">
        <v>2</v>
      </c>
      <c r="G6" s="66" t="str">
        <f>'22.07 Wakiso-Kampala'!G6:H6</f>
        <v>Kampala</v>
      </c>
      <c r="H6" s="67"/>
      <c r="J6" s="2" t="s">
        <v>21</v>
      </c>
      <c r="K6" s="66" t="str">
        <f>'28.07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10</v>
      </c>
      <c r="E10" s="50">
        <v>8</v>
      </c>
      <c r="F10" s="50">
        <v>60</v>
      </c>
      <c r="G10" s="50">
        <v>2</v>
      </c>
      <c r="H10" s="50">
        <v>0</v>
      </c>
      <c r="I10" s="50">
        <v>5</v>
      </c>
      <c r="J10" s="50">
        <v>2</v>
      </c>
      <c r="K10" s="50">
        <v>0</v>
      </c>
      <c r="L10" s="50">
        <v>1</v>
      </c>
      <c r="M10" s="50">
        <v>60</v>
      </c>
      <c r="N10" s="50">
        <v>0</v>
      </c>
      <c r="O10" s="15">
        <f t="shared" ref="O10:O57" si="0">SUM(C10:L10,N10)</f>
        <v>114</v>
      </c>
      <c r="P10" s="15">
        <f t="shared" ref="P10:P57" si="1">SUM(C10:N10)</f>
        <v>174</v>
      </c>
      <c r="R10" s="1" t="s">
        <v>6</v>
      </c>
      <c r="S10" s="17">
        <f t="shared" ref="S10:AF10" si="2">SUM(C10:C13)</f>
        <v>134</v>
      </c>
      <c r="T10" s="17">
        <f t="shared" si="2"/>
        <v>47</v>
      </c>
      <c r="U10" s="17">
        <f t="shared" si="2"/>
        <v>16</v>
      </c>
      <c r="V10" s="17">
        <f t="shared" si="2"/>
        <v>315</v>
      </c>
      <c r="W10" s="17">
        <f t="shared" si="2"/>
        <v>5</v>
      </c>
      <c r="X10" s="17">
        <f t="shared" si="2"/>
        <v>1</v>
      </c>
      <c r="Y10" s="17">
        <f t="shared" si="2"/>
        <v>27</v>
      </c>
      <c r="Z10" s="17">
        <f t="shared" si="2"/>
        <v>6</v>
      </c>
      <c r="AA10" s="17">
        <f t="shared" si="2"/>
        <v>0</v>
      </c>
      <c r="AB10" s="17">
        <f t="shared" si="2"/>
        <v>1</v>
      </c>
      <c r="AC10" s="17">
        <f t="shared" si="2"/>
        <v>326</v>
      </c>
      <c r="AD10" s="17">
        <f t="shared" si="2"/>
        <v>0</v>
      </c>
      <c r="AE10" s="31">
        <f t="shared" si="2"/>
        <v>552</v>
      </c>
      <c r="AF10" s="31">
        <f t="shared" si="2"/>
        <v>878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3</v>
      </c>
      <c r="E11" s="50">
        <v>2</v>
      </c>
      <c r="F11" s="50">
        <v>90</v>
      </c>
      <c r="G11" s="50">
        <v>0</v>
      </c>
      <c r="H11" s="50">
        <v>0</v>
      </c>
      <c r="I11" s="50">
        <v>10</v>
      </c>
      <c r="J11" s="50">
        <v>4</v>
      </c>
      <c r="K11" s="50">
        <v>0</v>
      </c>
      <c r="L11" s="50">
        <v>0</v>
      </c>
      <c r="M11" s="50">
        <v>56</v>
      </c>
      <c r="N11" s="50">
        <v>0</v>
      </c>
      <c r="O11" s="15">
        <f t="shared" si="0"/>
        <v>122</v>
      </c>
      <c r="P11" s="15">
        <f t="shared" si="1"/>
        <v>178</v>
      </c>
      <c r="R11" s="1" t="s">
        <v>7</v>
      </c>
      <c r="S11" s="17">
        <f t="shared" ref="S11:AF11" si="3">SUM(C14:C17)</f>
        <v>212</v>
      </c>
      <c r="T11" s="17">
        <f t="shared" si="3"/>
        <v>77</v>
      </c>
      <c r="U11" s="17">
        <f t="shared" si="3"/>
        <v>23</v>
      </c>
      <c r="V11" s="17">
        <f t="shared" si="3"/>
        <v>285</v>
      </c>
      <c r="W11" s="17">
        <f t="shared" si="3"/>
        <v>7</v>
      </c>
      <c r="X11" s="17">
        <f t="shared" si="3"/>
        <v>0</v>
      </c>
      <c r="Y11" s="17">
        <f t="shared" si="3"/>
        <v>25</v>
      </c>
      <c r="Z11" s="17">
        <f t="shared" si="3"/>
        <v>0</v>
      </c>
      <c r="AA11" s="17">
        <f t="shared" si="3"/>
        <v>3</v>
      </c>
      <c r="AB11" s="17">
        <f t="shared" si="3"/>
        <v>1</v>
      </c>
      <c r="AC11" s="17">
        <f t="shared" si="3"/>
        <v>465</v>
      </c>
      <c r="AD11" s="17">
        <f t="shared" si="3"/>
        <v>0</v>
      </c>
      <c r="AE11" s="31">
        <f t="shared" si="3"/>
        <v>633</v>
      </c>
      <c r="AF11" s="31">
        <f t="shared" si="3"/>
        <v>1098</v>
      </c>
    </row>
    <row r="12" spans="2:32" ht="23.1" customHeight="1" x14ac:dyDescent="0.25">
      <c r="B12" s="23" t="s">
        <v>39</v>
      </c>
      <c r="C12" s="50">
        <v>50</v>
      </c>
      <c r="D12" s="50">
        <v>18</v>
      </c>
      <c r="E12" s="50">
        <v>5</v>
      </c>
      <c r="F12" s="50">
        <v>110</v>
      </c>
      <c r="G12" s="50">
        <v>2</v>
      </c>
      <c r="H12" s="50">
        <v>1</v>
      </c>
      <c r="I12" s="50">
        <v>5</v>
      </c>
      <c r="J12" s="50">
        <v>0</v>
      </c>
      <c r="K12" s="50">
        <v>0</v>
      </c>
      <c r="L12" s="50">
        <v>0</v>
      </c>
      <c r="M12" s="50">
        <v>110</v>
      </c>
      <c r="N12" s="50">
        <v>0</v>
      </c>
      <c r="O12" s="15">
        <f t="shared" si="0"/>
        <v>191</v>
      </c>
      <c r="P12" s="15">
        <f t="shared" si="1"/>
        <v>301</v>
      </c>
      <c r="R12" s="1" t="s">
        <v>8</v>
      </c>
      <c r="S12" s="17">
        <f t="shared" ref="S12:AF12" si="4">SUM(C18:C21)</f>
        <v>230</v>
      </c>
      <c r="T12" s="17">
        <f t="shared" si="4"/>
        <v>75</v>
      </c>
      <c r="U12" s="17">
        <f t="shared" si="4"/>
        <v>38</v>
      </c>
      <c r="V12" s="17">
        <f t="shared" si="4"/>
        <v>245</v>
      </c>
      <c r="W12" s="17">
        <f t="shared" si="4"/>
        <v>4</v>
      </c>
      <c r="X12" s="17">
        <f t="shared" si="4"/>
        <v>2</v>
      </c>
      <c r="Y12" s="17">
        <f t="shared" si="4"/>
        <v>35</v>
      </c>
      <c r="Z12" s="17">
        <f t="shared" si="4"/>
        <v>2</v>
      </c>
      <c r="AA12" s="17">
        <f t="shared" si="4"/>
        <v>1</v>
      </c>
      <c r="AB12" s="17">
        <f t="shared" si="4"/>
        <v>3</v>
      </c>
      <c r="AC12" s="17">
        <f t="shared" si="4"/>
        <v>380</v>
      </c>
      <c r="AD12" s="17">
        <f t="shared" si="4"/>
        <v>0</v>
      </c>
      <c r="AE12" s="31">
        <f t="shared" si="4"/>
        <v>635</v>
      </c>
      <c r="AF12" s="31">
        <f t="shared" si="4"/>
        <v>1015</v>
      </c>
    </row>
    <row r="13" spans="2:32" ht="23.1" customHeight="1" x14ac:dyDescent="0.25">
      <c r="B13" s="23" t="s">
        <v>40</v>
      </c>
      <c r="C13" s="50">
        <v>45</v>
      </c>
      <c r="D13" s="50">
        <v>16</v>
      </c>
      <c r="E13" s="50">
        <v>1</v>
      </c>
      <c r="F13" s="50">
        <v>55</v>
      </c>
      <c r="G13" s="50">
        <v>1</v>
      </c>
      <c r="H13" s="50">
        <v>0</v>
      </c>
      <c r="I13" s="50">
        <v>7</v>
      </c>
      <c r="J13" s="50">
        <v>0</v>
      </c>
      <c r="K13" s="50">
        <v>0</v>
      </c>
      <c r="L13" s="50">
        <v>0</v>
      </c>
      <c r="M13" s="50">
        <v>100</v>
      </c>
      <c r="N13" s="50">
        <v>0</v>
      </c>
      <c r="O13" s="15">
        <f t="shared" si="0"/>
        <v>125</v>
      </c>
      <c r="P13" s="15">
        <f t="shared" si="1"/>
        <v>225</v>
      </c>
      <c r="R13" s="1" t="s">
        <v>9</v>
      </c>
      <c r="S13" s="17">
        <f t="shared" ref="S13:AF13" si="5">SUM(C22:C25)</f>
        <v>201</v>
      </c>
      <c r="T13" s="17">
        <f t="shared" si="5"/>
        <v>155</v>
      </c>
      <c r="U13" s="17">
        <f t="shared" si="5"/>
        <v>16</v>
      </c>
      <c r="V13" s="17">
        <f t="shared" si="5"/>
        <v>245</v>
      </c>
      <c r="W13" s="17">
        <f t="shared" si="5"/>
        <v>2</v>
      </c>
      <c r="X13" s="17">
        <f t="shared" si="5"/>
        <v>1</v>
      </c>
      <c r="Y13" s="17">
        <f t="shared" si="5"/>
        <v>19</v>
      </c>
      <c r="Z13" s="17">
        <f t="shared" si="5"/>
        <v>2</v>
      </c>
      <c r="AA13" s="17">
        <f t="shared" si="5"/>
        <v>1</v>
      </c>
      <c r="AB13" s="17">
        <f t="shared" si="5"/>
        <v>2</v>
      </c>
      <c r="AC13" s="17">
        <f t="shared" si="5"/>
        <v>390</v>
      </c>
      <c r="AD13" s="17">
        <f t="shared" si="5"/>
        <v>0</v>
      </c>
      <c r="AE13" s="31">
        <f t="shared" si="5"/>
        <v>644</v>
      </c>
      <c r="AF13" s="31">
        <f t="shared" si="5"/>
        <v>1034</v>
      </c>
    </row>
    <row r="14" spans="2:32" ht="23.1" customHeight="1" x14ac:dyDescent="0.25">
      <c r="B14" s="23" t="s">
        <v>41</v>
      </c>
      <c r="C14" s="50">
        <v>60</v>
      </c>
      <c r="D14" s="50">
        <v>22</v>
      </c>
      <c r="E14" s="50">
        <v>6</v>
      </c>
      <c r="F14" s="50">
        <v>85</v>
      </c>
      <c r="G14" s="50">
        <v>2</v>
      </c>
      <c r="H14" s="50">
        <v>0</v>
      </c>
      <c r="I14" s="50">
        <v>11</v>
      </c>
      <c r="J14" s="50">
        <v>0</v>
      </c>
      <c r="K14" s="50">
        <v>0</v>
      </c>
      <c r="L14" s="50">
        <v>1</v>
      </c>
      <c r="M14" s="50">
        <v>135</v>
      </c>
      <c r="N14" s="50">
        <v>0</v>
      </c>
      <c r="O14" s="15">
        <f t="shared" si="0"/>
        <v>187</v>
      </c>
      <c r="P14" s="15">
        <f t="shared" si="1"/>
        <v>322</v>
      </c>
      <c r="R14" s="1" t="s">
        <v>10</v>
      </c>
      <c r="S14" s="17">
        <f t="shared" ref="S14:AF14" si="6">SUM(C26:C29)</f>
        <v>198</v>
      </c>
      <c r="T14" s="17">
        <f t="shared" si="6"/>
        <v>77</v>
      </c>
      <c r="U14" s="17">
        <f t="shared" si="6"/>
        <v>27</v>
      </c>
      <c r="V14" s="17">
        <f t="shared" si="6"/>
        <v>116</v>
      </c>
      <c r="W14" s="17">
        <f t="shared" si="6"/>
        <v>1</v>
      </c>
      <c r="X14" s="17">
        <f t="shared" si="6"/>
        <v>0</v>
      </c>
      <c r="Y14" s="17">
        <f t="shared" si="6"/>
        <v>19</v>
      </c>
      <c r="Z14" s="17">
        <f t="shared" si="6"/>
        <v>0</v>
      </c>
      <c r="AA14" s="17">
        <f t="shared" si="6"/>
        <v>2</v>
      </c>
      <c r="AB14" s="17">
        <f t="shared" si="6"/>
        <v>2</v>
      </c>
      <c r="AC14" s="17">
        <f t="shared" si="6"/>
        <v>370</v>
      </c>
      <c r="AD14" s="17">
        <f t="shared" si="6"/>
        <v>0</v>
      </c>
      <c r="AE14" s="31">
        <f t="shared" si="6"/>
        <v>442</v>
      </c>
      <c r="AF14" s="31">
        <f t="shared" si="6"/>
        <v>812</v>
      </c>
    </row>
    <row r="15" spans="2:32" ht="23.1" customHeight="1" x14ac:dyDescent="0.25">
      <c r="B15" s="23" t="s">
        <v>42</v>
      </c>
      <c r="C15" s="50">
        <v>42</v>
      </c>
      <c r="D15" s="50">
        <v>20</v>
      </c>
      <c r="E15" s="50">
        <v>12</v>
      </c>
      <c r="F15" s="50">
        <v>60</v>
      </c>
      <c r="G15" s="50">
        <v>1</v>
      </c>
      <c r="H15" s="50">
        <v>0</v>
      </c>
      <c r="I15" s="50">
        <v>6</v>
      </c>
      <c r="J15" s="50">
        <v>0</v>
      </c>
      <c r="K15" s="50">
        <v>1</v>
      </c>
      <c r="L15" s="50">
        <v>0</v>
      </c>
      <c r="M15" s="50">
        <v>100</v>
      </c>
      <c r="N15" s="50">
        <v>0</v>
      </c>
      <c r="O15" s="15">
        <f t="shared" si="0"/>
        <v>142</v>
      </c>
      <c r="P15" s="15">
        <f t="shared" si="1"/>
        <v>242</v>
      </c>
      <c r="R15" s="1" t="s">
        <v>11</v>
      </c>
      <c r="S15" s="17">
        <f t="shared" ref="S15:AF15" si="7">SUM(C30:C33)</f>
        <v>83</v>
      </c>
      <c r="T15" s="17">
        <f t="shared" si="7"/>
        <v>67</v>
      </c>
      <c r="U15" s="17">
        <f t="shared" si="7"/>
        <v>17</v>
      </c>
      <c r="V15" s="17">
        <f t="shared" si="7"/>
        <v>89</v>
      </c>
      <c r="W15" s="17">
        <f t="shared" si="7"/>
        <v>1</v>
      </c>
      <c r="X15" s="17">
        <f t="shared" si="7"/>
        <v>1</v>
      </c>
      <c r="Y15" s="17">
        <f t="shared" si="7"/>
        <v>9</v>
      </c>
      <c r="Z15" s="17">
        <f t="shared" si="7"/>
        <v>1</v>
      </c>
      <c r="AA15" s="17">
        <f t="shared" si="7"/>
        <v>1</v>
      </c>
      <c r="AB15" s="17">
        <f t="shared" si="7"/>
        <v>2</v>
      </c>
      <c r="AC15" s="17">
        <f t="shared" si="7"/>
        <v>300</v>
      </c>
      <c r="AD15" s="17">
        <f t="shared" si="7"/>
        <v>0</v>
      </c>
      <c r="AE15" s="31">
        <f t="shared" si="7"/>
        <v>271</v>
      </c>
      <c r="AF15" s="31">
        <f t="shared" si="7"/>
        <v>571</v>
      </c>
    </row>
    <row r="16" spans="2:32" ht="23.1" customHeight="1" x14ac:dyDescent="0.25">
      <c r="B16" s="23" t="s">
        <v>43</v>
      </c>
      <c r="C16" s="50">
        <v>55</v>
      </c>
      <c r="D16" s="50">
        <v>13</v>
      </c>
      <c r="E16" s="50">
        <v>1</v>
      </c>
      <c r="F16" s="50">
        <v>75</v>
      </c>
      <c r="G16" s="50">
        <v>1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115</v>
      </c>
      <c r="N16" s="50">
        <v>0</v>
      </c>
      <c r="O16" s="15">
        <f t="shared" si="0"/>
        <v>148</v>
      </c>
      <c r="P16" s="15">
        <f t="shared" si="1"/>
        <v>263</v>
      </c>
      <c r="R16" s="1" t="s">
        <v>12</v>
      </c>
      <c r="S16" s="17">
        <f t="shared" ref="S16:AF16" si="8">SUM(C34:C37)</f>
        <v>101</v>
      </c>
      <c r="T16" s="17">
        <f t="shared" si="8"/>
        <v>61</v>
      </c>
      <c r="U16" s="17">
        <f t="shared" si="8"/>
        <v>18</v>
      </c>
      <c r="V16" s="17">
        <f t="shared" si="8"/>
        <v>82</v>
      </c>
      <c r="W16" s="17">
        <f t="shared" si="8"/>
        <v>0</v>
      </c>
      <c r="X16" s="17">
        <f t="shared" si="8"/>
        <v>1</v>
      </c>
      <c r="Y16" s="17">
        <f t="shared" si="8"/>
        <v>29</v>
      </c>
      <c r="Z16" s="17">
        <f t="shared" si="8"/>
        <v>1</v>
      </c>
      <c r="AA16" s="17">
        <f t="shared" si="8"/>
        <v>0</v>
      </c>
      <c r="AB16" s="17">
        <f t="shared" si="8"/>
        <v>5</v>
      </c>
      <c r="AC16" s="17">
        <f t="shared" si="8"/>
        <v>315</v>
      </c>
      <c r="AD16" s="17">
        <f t="shared" si="8"/>
        <v>0</v>
      </c>
      <c r="AE16" s="31">
        <f t="shared" si="8"/>
        <v>298</v>
      </c>
      <c r="AF16" s="31">
        <f t="shared" si="8"/>
        <v>613</v>
      </c>
    </row>
    <row r="17" spans="2:32" ht="23.1" customHeight="1" x14ac:dyDescent="0.25">
      <c r="B17" s="23" t="s">
        <v>44</v>
      </c>
      <c r="C17" s="50">
        <v>55</v>
      </c>
      <c r="D17" s="50">
        <v>22</v>
      </c>
      <c r="E17" s="50">
        <v>4</v>
      </c>
      <c r="F17" s="50">
        <v>65</v>
      </c>
      <c r="G17" s="50">
        <v>3</v>
      </c>
      <c r="H17" s="50">
        <v>0</v>
      </c>
      <c r="I17" s="50">
        <v>5</v>
      </c>
      <c r="J17" s="50">
        <v>0</v>
      </c>
      <c r="K17" s="50">
        <v>2</v>
      </c>
      <c r="L17" s="50">
        <v>0</v>
      </c>
      <c r="M17" s="50">
        <v>115</v>
      </c>
      <c r="N17" s="50">
        <v>0</v>
      </c>
      <c r="O17" s="15">
        <f t="shared" si="0"/>
        <v>156</v>
      </c>
      <c r="P17" s="15">
        <f t="shared" si="1"/>
        <v>271</v>
      </c>
      <c r="R17" s="1" t="s">
        <v>13</v>
      </c>
      <c r="S17" s="17">
        <f t="shared" ref="S17:AF17" si="9">SUM(C38:C41)</f>
        <v>56</v>
      </c>
      <c r="T17" s="17">
        <f t="shared" si="9"/>
        <v>34</v>
      </c>
      <c r="U17" s="17">
        <f t="shared" si="9"/>
        <v>17</v>
      </c>
      <c r="V17" s="17">
        <f t="shared" si="9"/>
        <v>81</v>
      </c>
      <c r="W17" s="17">
        <f t="shared" si="9"/>
        <v>5</v>
      </c>
      <c r="X17" s="17">
        <f t="shared" si="9"/>
        <v>0</v>
      </c>
      <c r="Y17" s="17">
        <f t="shared" si="9"/>
        <v>6</v>
      </c>
      <c r="Z17" s="17">
        <f t="shared" si="9"/>
        <v>4</v>
      </c>
      <c r="AA17" s="17">
        <f t="shared" si="9"/>
        <v>1</v>
      </c>
      <c r="AB17" s="17">
        <f t="shared" si="9"/>
        <v>4</v>
      </c>
      <c r="AC17" s="17">
        <f t="shared" si="9"/>
        <v>126</v>
      </c>
      <c r="AD17" s="17">
        <f t="shared" si="9"/>
        <v>0</v>
      </c>
      <c r="AE17" s="31">
        <f t="shared" si="9"/>
        <v>208</v>
      </c>
      <c r="AF17" s="31">
        <f t="shared" si="9"/>
        <v>334</v>
      </c>
    </row>
    <row r="18" spans="2:32" ht="23.1" customHeight="1" x14ac:dyDescent="0.25">
      <c r="B18" s="23" t="s">
        <v>45</v>
      </c>
      <c r="C18" s="50">
        <v>63</v>
      </c>
      <c r="D18" s="50">
        <v>28</v>
      </c>
      <c r="E18" s="50">
        <v>12</v>
      </c>
      <c r="F18" s="50">
        <v>60</v>
      </c>
      <c r="G18" s="50">
        <v>1</v>
      </c>
      <c r="H18" s="50">
        <v>0</v>
      </c>
      <c r="I18" s="50">
        <v>7</v>
      </c>
      <c r="J18" s="50">
        <v>1</v>
      </c>
      <c r="K18" s="50">
        <v>0</v>
      </c>
      <c r="L18" s="50">
        <v>2</v>
      </c>
      <c r="M18" s="50">
        <v>80</v>
      </c>
      <c r="N18" s="50">
        <v>0</v>
      </c>
      <c r="O18" s="15">
        <f t="shared" si="0"/>
        <v>174</v>
      </c>
      <c r="P18" s="15">
        <f t="shared" si="1"/>
        <v>254</v>
      </c>
      <c r="R18" s="1" t="s">
        <v>14</v>
      </c>
      <c r="S18" s="17">
        <f t="shared" ref="S18:AF18" si="10">SUM(C42:C45)</f>
        <v>95</v>
      </c>
      <c r="T18" s="17">
        <f t="shared" si="10"/>
        <v>61</v>
      </c>
      <c r="U18" s="17">
        <f t="shared" si="10"/>
        <v>20</v>
      </c>
      <c r="V18" s="17">
        <f t="shared" si="10"/>
        <v>104</v>
      </c>
      <c r="W18" s="17">
        <f t="shared" si="10"/>
        <v>2</v>
      </c>
      <c r="X18" s="17">
        <f t="shared" si="10"/>
        <v>1</v>
      </c>
      <c r="Y18" s="17">
        <f t="shared" si="10"/>
        <v>15</v>
      </c>
      <c r="Z18" s="17">
        <f t="shared" si="10"/>
        <v>1</v>
      </c>
      <c r="AA18" s="17">
        <f t="shared" si="10"/>
        <v>1</v>
      </c>
      <c r="AB18" s="17">
        <f t="shared" si="10"/>
        <v>2</v>
      </c>
      <c r="AC18" s="17">
        <f t="shared" si="10"/>
        <v>190</v>
      </c>
      <c r="AD18" s="17">
        <f t="shared" si="10"/>
        <v>0</v>
      </c>
      <c r="AE18" s="31">
        <f t="shared" si="10"/>
        <v>302</v>
      </c>
      <c r="AF18" s="31">
        <f t="shared" si="10"/>
        <v>492</v>
      </c>
    </row>
    <row r="19" spans="2:32" ht="23.1" customHeight="1" x14ac:dyDescent="0.25">
      <c r="B19" s="23" t="s">
        <v>46</v>
      </c>
      <c r="C19" s="50">
        <v>62</v>
      </c>
      <c r="D19" s="50">
        <v>16</v>
      </c>
      <c r="E19" s="50">
        <v>9</v>
      </c>
      <c r="F19" s="50">
        <v>85</v>
      </c>
      <c r="G19" s="50">
        <v>1</v>
      </c>
      <c r="H19" s="50">
        <v>1</v>
      </c>
      <c r="I19" s="50">
        <v>8</v>
      </c>
      <c r="J19" s="50">
        <v>0</v>
      </c>
      <c r="K19" s="50">
        <v>0</v>
      </c>
      <c r="L19" s="50">
        <v>0</v>
      </c>
      <c r="M19" s="50">
        <v>100</v>
      </c>
      <c r="N19" s="50">
        <v>0</v>
      </c>
      <c r="O19" s="15">
        <f t="shared" si="0"/>
        <v>182</v>
      </c>
      <c r="P19" s="15">
        <f t="shared" si="1"/>
        <v>282</v>
      </c>
      <c r="R19" s="1" t="s">
        <v>15</v>
      </c>
      <c r="S19" s="17">
        <f t="shared" ref="S19:AF19" si="11">SUM(C46:C49)</f>
        <v>100</v>
      </c>
      <c r="T19" s="17">
        <f t="shared" si="11"/>
        <v>82</v>
      </c>
      <c r="U19" s="17">
        <f t="shared" si="11"/>
        <v>27</v>
      </c>
      <c r="V19" s="17">
        <f t="shared" si="11"/>
        <v>107</v>
      </c>
      <c r="W19" s="17">
        <f t="shared" si="11"/>
        <v>0</v>
      </c>
      <c r="X19" s="17">
        <f t="shared" si="11"/>
        <v>0</v>
      </c>
      <c r="Y19" s="17">
        <f t="shared" si="11"/>
        <v>16</v>
      </c>
      <c r="Z19" s="17">
        <f t="shared" si="11"/>
        <v>1</v>
      </c>
      <c r="AA19" s="17">
        <f t="shared" si="11"/>
        <v>1</v>
      </c>
      <c r="AB19" s="17">
        <f t="shared" si="11"/>
        <v>2</v>
      </c>
      <c r="AC19" s="17">
        <f t="shared" si="11"/>
        <v>250</v>
      </c>
      <c r="AD19" s="17">
        <f t="shared" si="11"/>
        <v>0</v>
      </c>
      <c r="AE19" s="31">
        <f t="shared" si="11"/>
        <v>336</v>
      </c>
      <c r="AF19" s="31">
        <f t="shared" si="11"/>
        <v>586</v>
      </c>
    </row>
    <row r="20" spans="2:32" ht="23.1" customHeight="1" x14ac:dyDescent="0.25">
      <c r="B20" s="23" t="s">
        <v>47</v>
      </c>
      <c r="C20" s="50">
        <v>45</v>
      </c>
      <c r="D20" s="50">
        <v>10</v>
      </c>
      <c r="E20" s="50">
        <v>8</v>
      </c>
      <c r="F20" s="50">
        <v>60</v>
      </c>
      <c r="G20" s="50">
        <v>0</v>
      </c>
      <c r="H20" s="50">
        <v>1</v>
      </c>
      <c r="I20" s="50">
        <v>10</v>
      </c>
      <c r="J20" s="50">
        <v>1</v>
      </c>
      <c r="K20" s="50">
        <v>1</v>
      </c>
      <c r="L20" s="50">
        <v>1</v>
      </c>
      <c r="M20" s="50">
        <v>90</v>
      </c>
      <c r="N20" s="50">
        <v>0</v>
      </c>
      <c r="O20" s="15">
        <f t="shared" si="0"/>
        <v>137</v>
      </c>
      <c r="P20" s="15">
        <f t="shared" si="1"/>
        <v>227</v>
      </c>
      <c r="R20" s="1" t="s">
        <v>16</v>
      </c>
      <c r="S20" s="17">
        <f t="shared" ref="S20:AF20" si="12">SUM(C50:C53)</f>
        <v>115</v>
      </c>
      <c r="T20" s="17">
        <f t="shared" si="12"/>
        <v>76</v>
      </c>
      <c r="U20" s="17">
        <f t="shared" si="12"/>
        <v>24</v>
      </c>
      <c r="V20" s="17">
        <f t="shared" si="12"/>
        <v>91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3</v>
      </c>
      <c r="AA20" s="17">
        <f t="shared" si="12"/>
        <v>3</v>
      </c>
      <c r="AB20" s="17">
        <f t="shared" si="12"/>
        <v>0</v>
      </c>
      <c r="AC20" s="17">
        <f t="shared" si="12"/>
        <v>332</v>
      </c>
      <c r="AD20" s="17">
        <f t="shared" si="12"/>
        <v>0</v>
      </c>
      <c r="AE20" s="31">
        <f t="shared" si="12"/>
        <v>323</v>
      </c>
      <c r="AF20" s="31">
        <f t="shared" si="12"/>
        <v>655</v>
      </c>
    </row>
    <row r="21" spans="2:32" ht="23.1" customHeight="1" x14ac:dyDescent="0.25">
      <c r="B21" s="23" t="s">
        <v>48</v>
      </c>
      <c r="C21" s="50">
        <v>60</v>
      </c>
      <c r="D21" s="50">
        <v>21</v>
      </c>
      <c r="E21" s="50">
        <v>9</v>
      </c>
      <c r="F21" s="50">
        <v>40</v>
      </c>
      <c r="G21" s="50">
        <v>2</v>
      </c>
      <c r="H21" s="50">
        <v>0</v>
      </c>
      <c r="I21" s="50">
        <v>10</v>
      </c>
      <c r="J21" s="50">
        <v>0</v>
      </c>
      <c r="K21" s="50">
        <v>0</v>
      </c>
      <c r="L21" s="50">
        <v>0</v>
      </c>
      <c r="M21" s="50">
        <v>110</v>
      </c>
      <c r="N21" s="50">
        <v>0</v>
      </c>
      <c r="O21" s="15">
        <f t="shared" si="0"/>
        <v>142</v>
      </c>
      <c r="P21" s="15">
        <f t="shared" si="1"/>
        <v>252</v>
      </c>
      <c r="R21" s="36" t="s">
        <v>20</v>
      </c>
      <c r="S21" s="34">
        <f t="shared" ref="S21:AF21" si="13">SUM(C54:C57)</f>
        <v>121</v>
      </c>
      <c r="T21" s="17">
        <f t="shared" si="13"/>
        <v>35</v>
      </c>
      <c r="U21" s="17">
        <f t="shared" si="13"/>
        <v>13</v>
      </c>
      <c r="V21" s="17">
        <f t="shared" si="13"/>
        <v>85</v>
      </c>
      <c r="W21" s="17">
        <f t="shared" si="13"/>
        <v>7</v>
      </c>
      <c r="X21" s="17">
        <f t="shared" si="13"/>
        <v>1</v>
      </c>
      <c r="Y21" s="17">
        <f t="shared" si="13"/>
        <v>8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255</v>
      </c>
      <c r="AD21" s="17">
        <f t="shared" si="13"/>
        <v>0</v>
      </c>
      <c r="AE21" s="31">
        <f t="shared" si="13"/>
        <v>271</v>
      </c>
      <c r="AF21" s="31">
        <f t="shared" si="13"/>
        <v>526</v>
      </c>
    </row>
    <row r="22" spans="2:32" ht="23.1" customHeight="1" x14ac:dyDescent="0.25">
      <c r="B22" s="23" t="s">
        <v>49</v>
      </c>
      <c r="C22" s="50">
        <v>55</v>
      </c>
      <c r="D22" s="50">
        <v>56</v>
      </c>
      <c r="E22" s="50">
        <v>4</v>
      </c>
      <c r="F22" s="50">
        <v>90</v>
      </c>
      <c r="G22" s="50">
        <v>0</v>
      </c>
      <c r="H22" s="50">
        <v>1</v>
      </c>
      <c r="I22" s="50">
        <v>10</v>
      </c>
      <c r="J22" s="50">
        <v>0</v>
      </c>
      <c r="K22" s="50">
        <v>1</v>
      </c>
      <c r="L22" s="50">
        <v>0</v>
      </c>
      <c r="M22" s="50">
        <v>110</v>
      </c>
      <c r="N22" s="50">
        <v>0</v>
      </c>
      <c r="O22" s="15">
        <f t="shared" si="0"/>
        <v>217</v>
      </c>
      <c r="P22" s="15">
        <f t="shared" si="1"/>
        <v>327</v>
      </c>
      <c r="R22" s="38" t="s">
        <v>90</v>
      </c>
      <c r="S22" s="39">
        <f>MAX(S10:S12)</f>
        <v>230</v>
      </c>
      <c r="T22" s="39">
        <f t="shared" ref="T22:AF22" si="14">MAX(T10:T12)</f>
        <v>77</v>
      </c>
      <c r="U22" s="39">
        <f t="shared" si="14"/>
        <v>38</v>
      </c>
      <c r="V22" s="39">
        <f t="shared" si="14"/>
        <v>315</v>
      </c>
      <c r="W22" s="39">
        <f t="shared" si="14"/>
        <v>7</v>
      </c>
      <c r="X22" s="39">
        <f t="shared" si="14"/>
        <v>2</v>
      </c>
      <c r="Y22" s="39">
        <f t="shared" si="14"/>
        <v>35</v>
      </c>
      <c r="Z22" s="39">
        <f t="shared" si="14"/>
        <v>6</v>
      </c>
      <c r="AA22" s="39">
        <f t="shared" si="14"/>
        <v>3</v>
      </c>
      <c r="AB22" s="39">
        <f t="shared" si="14"/>
        <v>3</v>
      </c>
      <c r="AC22" s="39">
        <f t="shared" si="14"/>
        <v>465</v>
      </c>
      <c r="AD22" s="39">
        <f t="shared" si="14"/>
        <v>0</v>
      </c>
      <c r="AE22" s="40">
        <f t="shared" si="14"/>
        <v>635</v>
      </c>
      <c r="AF22" s="40">
        <f t="shared" si="14"/>
        <v>1098</v>
      </c>
    </row>
    <row r="23" spans="2:32" ht="23.1" customHeight="1" x14ac:dyDescent="0.25">
      <c r="B23" s="23" t="s">
        <v>50</v>
      </c>
      <c r="C23" s="50">
        <v>55</v>
      </c>
      <c r="D23" s="50">
        <v>70</v>
      </c>
      <c r="E23" s="50">
        <v>1</v>
      </c>
      <c r="F23" s="50">
        <v>60</v>
      </c>
      <c r="G23" s="50">
        <v>1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90</v>
      </c>
      <c r="N23" s="50">
        <v>0</v>
      </c>
      <c r="O23" s="15">
        <f t="shared" si="0"/>
        <v>191</v>
      </c>
      <c r="P23" s="15">
        <f t="shared" si="1"/>
        <v>281</v>
      </c>
      <c r="R23" s="38" t="s">
        <v>91</v>
      </c>
      <c r="S23" s="39">
        <f>MAX(S13:S18)</f>
        <v>201</v>
      </c>
      <c r="T23" s="39">
        <f t="shared" ref="T23:AF23" si="15">MAX(T13:T18)</f>
        <v>155</v>
      </c>
      <c r="U23" s="39">
        <f t="shared" si="15"/>
        <v>27</v>
      </c>
      <c r="V23" s="39">
        <f t="shared" si="15"/>
        <v>245</v>
      </c>
      <c r="W23" s="39">
        <f t="shared" si="15"/>
        <v>5</v>
      </c>
      <c r="X23" s="39">
        <f t="shared" si="15"/>
        <v>1</v>
      </c>
      <c r="Y23" s="39">
        <f t="shared" si="15"/>
        <v>29</v>
      </c>
      <c r="Z23" s="39">
        <f t="shared" si="15"/>
        <v>4</v>
      </c>
      <c r="AA23" s="39">
        <f t="shared" si="15"/>
        <v>2</v>
      </c>
      <c r="AB23" s="39">
        <f t="shared" si="15"/>
        <v>5</v>
      </c>
      <c r="AC23" s="39">
        <f t="shared" si="15"/>
        <v>390</v>
      </c>
      <c r="AD23" s="39">
        <f t="shared" si="15"/>
        <v>0</v>
      </c>
      <c r="AE23" s="40">
        <f t="shared" si="15"/>
        <v>644</v>
      </c>
      <c r="AF23" s="40">
        <f t="shared" si="15"/>
        <v>1034</v>
      </c>
    </row>
    <row r="24" spans="2:32" ht="23.1" customHeight="1" x14ac:dyDescent="0.25">
      <c r="B24" s="23" t="s">
        <v>51</v>
      </c>
      <c r="C24" s="50">
        <v>45</v>
      </c>
      <c r="D24" s="50">
        <v>16</v>
      </c>
      <c r="E24" s="50">
        <v>5</v>
      </c>
      <c r="F24" s="50">
        <v>45</v>
      </c>
      <c r="G24" s="50">
        <v>1</v>
      </c>
      <c r="H24" s="50">
        <v>0</v>
      </c>
      <c r="I24" s="50">
        <v>3</v>
      </c>
      <c r="J24" s="50">
        <v>1</v>
      </c>
      <c r="K24" s="50">
        <v>0</v>
      </c>
      <c r="L24" s="50">
        <v>2</v>
      </c>
      <c r="M24" s="50">
        <v>100</v>
      </c>
      <c r="N24" s="50">
        <v>0</v>
      </c>
      <c r="O24" s="15">
        <f t="shared" si="0"/>
        <v>118</v>
      </c>
      <c r="P24" s="15">
        <f t="shared" si="1"/>
        <v>218</v>
      </c>
      <c r="R24" s="38" t="s">
        <v>92</v>
      </c>
      <c r="S24" s="39">
        <f>MAX(S19:S21)</f>
        <v>121</v>
      </c>
      <c r="T24" s="39">
        <f t="shared" ref="T24:AF24" si="16">MAX(T19:T21)</f>
        <v>82</v>
      </c>
      <c r="U24" s="39">
        <f t="shared" si="16"/>
        <v>27</v>
      </c>
      <c r="V24" s="39">
        <f t="shared" si="16"/>
        <v>107</v>
      </c>
      <c r="W24" s="39">
        <f t="shared" si="16"/>
        <v>7</v>
      </c>
      <c r="X24" s="39">
        <f t="shared" si="16"/>
        <v>1</v>
      </c>
      <c r="Y24" s="39">
        <f t="shared" si="16"/>
        <v>16</v>
      </c>
      <c r="Z24" s="39">
        <f t="shared" si="16"/>
        <v>3</v>
      </c>
      <c r="AA24" s="39">
        <f t="shared" si="16"/>
        <v>3</v>
      </c>
      <c r="AB24" s="39">
        <f t="shared" si="16"/>
        <v>2</v>
      </c>
      <c r="AC24" s="39">
        <f t="shared" si="16"/>
        <v>332</v>
      </c>
      <c r="AD24" s="39">
        <f t="shared" si="16"/>
        <v>0</v>
      </c>
      <c r="AE24" s="40">
        <f t="shared" si="16"/>
        <v>336</v>
      </c>
      <c r="AF24" s="40">
        <f t="shared" si="16"/>
        <v>655</v>
      </c>
    </row>
    <row r="25" spans="2:32" ht="23.1" customHeight="1" x14ac:dyDescent="0.25">
      <c r="B25" s="23" t="s">
        <v>52</v>
      </c>
      <c r="C25" s="50">
        <v>46</v>
      </c>
      <c r="D25" s="50">
        <v>13</v>
      </c>
      <c r="E25" s="50">
        <v>6</v>
      </c>
      <c r="F25" s="50">
        <v>50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90</v>
      </c>
      <c r="N25" s="50">
        <v>0</v>
      </c>
      <c r="O25" s="15">
        <f t="shared" si="0"/>
        <v>118</v>
      </c>
      <c r="P25" s="15">
        <f t="shared" si="1"/>
        <v>208</v>
      </c>
      <c r="R25" s="37" t="s">
        <v>85</v>
      </c>
      <c r="S25" s="35">
        <f t="shared" ref="S25:AF25" si="17">SUM(S10:S12)</f>
        <v>576</v>
      </c>
      <c r="T25" s="16">
        <f t="shared" si="17"/>
        <v>199</v>
      </c>
      <c r="U25" s="16">
        <f t="shared" si="17"/>
        <v>77</v>
      </c>
      <c r="V25" s="16">
        <f t="shared" si="17"/>
        <v>845</v>
      </c>
      <c r="W25" s="16">
        <f t="shared" si="17"/>
        <v>16</v>
      </c>
      <c r="X25" s="16">
        <f t="shared" si="17"/>
        <v>3</v>
      </c>
      <c r="Y25" s="16">
        <f t="shared" si="17"/>
        <v>87</v>
      </c>
      <c r="Z25" s="16">
        <f t="shared" si="17"/>
        <v>8</v>
      </c>
      <c r="AA25" s="16">
        <f t="shared" si="17"/>
        <v>4</v>
      </c>
      <c r="AB25" s="16">
        <f t="shared" si="17"/>
        <v>5</v>
      </c>
      <c r="AC25" s="16">
        <f t="shared" si="17"/>
        <v>1171</v>
      </c>
      <c r="AD25" s="16">
        <f t="shared" si="17"/>
        <v>0</v>
      </c>
      <c r="AE25" s="32">
        <f t="shared" si="17"/>
        <v>1820</v>
      </c>
      <c r="AF25" s="32">
        <f t="shared" si="17"/>
        <v>2991</v>
      </c>
    </row>
    <row r="26" spans="2:32" ht="23.1" customHeight="1" x14ac:dyDescent="0.25">
      <c r="B26" s="23" t="s">
        <v>53</v>
      </c>
      <c r="C26" s="50">
        <v>50</v>
      </c>
      <c r="D26" s="50">
        <v>16</v>
      </c>
      <c r="E26" s="50">
        <v>8</v>
      </c>
      <c r="F26" s="50">
        <v>45</v>
      </c>
      <c r="G26" s="50">
        <v>0</v>
      </c>
      <c r="H26" s="50">
        <v>0</v>
      </c>
      <c r="I26" s="50">
        <v>6</v>
      </c>
      <c r="J26" s="50">
        <v>0</v>
      </c>
      <c r="K26" s="50">
        <v>1</v>
      </c>
      <c r="L26" s="50">
        <v>0</v>
      </c>
      <c r="M26" s="50">
        <v>110</v>
      </c>
      <c r="N26" s="50">
        <v>0</v>
      </c>
      <c r="O26" s="15">
        <f t="shared" si="0"/>
        <v>126</v>
      </c>
      <c r="P26" s="15">
        <f t="shared" si="1"/>
        <v>236</v>
      </c>
      <c r="R26" s="28" t="s">
        <v>86</v>
      </c>
      <c r="S26" s="16">
        <f t="shared" ref="S26:AF26" si="18">SUM(S13:S18)</f>
        <v>734</v>
      </c>
      <c r="T26" s="16">
        <f t="shared" si="18"/>
        <v>455</v>
      </c>
      <c r="U26" s="16">
        <f t="shared" si="18"/>
        <v>115</v>
      </c>
      <c r="V26" s="16">
        <f t="shared" si="18"/>
        <v>717</v>
      </c>
      <c r="W26" s="16">
        <f t="shared" si="18"/>
        <v>11</v>
      </c>
      <c r="X26" s="16">
        <f t="shared" si="18"/>
        <v>4</v>
      </c>
      <c r="Y26" s="16">
        <f t="shared" si="18"/>
        <v>97</v>
      </c>
      <c r="Z26" s="16">
        <f t="shared" si="18"/>
        <v>9</v>
      </c>
      <c r="AA26" s="16">
        <f t="shared" si="18"/>
        <v>6</v>
      </c>
      <c r="AB26" s="16">
        <f t="shared" si="18"/>
        <v>17</v>
      </c>
      <c r="AC26" s="16">
        <f t="shared" si="18"/>
        <v>1691</v>
      </c>
      <c r="AD26" s="16">
        <f t="shared" si="18"/>
        <v>0</v>
      </c>
      <c r="AE26" s="32">
        <f t="shared" si="18"/>
        <v>2165</v>
      </c>
      <c r="AF26" s="32">
        <f t="shared" si="18"/>
        <v>3856</v>
      </c>
    </row>
    <row r="27" spans="2:32" ht="23.1" customHeight="1" x14ac:dyDescent="0.25">
      <c r="B27" s="23" t="s">
        <v>54</v>
      </c>
      <c r="C27" s="50">
        <v>45</v>
      </c>
      <c r="D27" s="50">
        <v>36</v>
      </c>
      <c r="E27" s="50">
        <v>4</v>
      </c>
      <c r="F27" s="50">
        <v>48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95</v>
      </c>
      <c r="N27" s="50">
        <v>0</v>
      </c>
      <c r="O27" s="15">
        <f t="shared" si="0"/>
        <v>136</v>
      </c>
      <c r="P27" s="15">
        <f t="shared" si="1"/>
        <v>231</v>
      </c>
      <c r="R27" s="29" t="s">
        <v>87</v>
      </c>
      <c r="S27" s="16">
        <f t="shared" ref="S27:AF27" si="19">SUM(S19:S21)</f>
        <v>336</v>
      </c>
      <c r="T27" s="16">
        <f t="shared" si="19"/>
        <v>193</v>
      </c>
      <c r="U27" s="16">
        <f t="shared" si="19"/>
        <v>64</v>
      </c>
      <c r="V27" s="16">
        <f t="shared" si="19"/>
        <v>283</v>
      </c>
      <c r="W27" s="16">
        <f t="shared" si="19"/>
        <v>7</v>
      </c>
      <c r="X27" s="16">
        <f t="shared" si="19"/>
        <v>1</v>
      </c>
      <c r="Y27" s="16">
        <f t="shared" si="19"/>
        <v>35</v>
      </c>
      <c r="Z27" s="16">
        <f t="shared" si="19"/>
        <v>4</v>
      </c>
      <c r="AA27" s="16">
        <f t="shared" si="19"/>
        <v>5</v>
      </c>
      <c r="AB27" s="16">
        <f t="shared" si="19"/>
        <v>2</v>
      </c>
      <c r="AC27" s="16">
        <f t="shared" si="19"/>
        <v>837</v>
      </c>
      <c r="AD27" s="16">
        <f t="shared" si="19"/>
        <v>0</v>
      </c>
      <c r="AE27" s="32">
        <f t="shared" si="19"/>
        <v>930</v>
      </c>
      <c r="AF27" s="32">
        <f t="shared" si="19"/>
        <v>1767</v>
      </c>
    </row>
    <row r="28" spans="2:32" ht="23.1" customHeight="1" x14ac:dyDescent="0.25">
      <c r="B28" s="23" t="s">
        <v>55</v>
      </c>
      <c r="C28" s="50">
        <v>50</v>
      </c>
      <c r="D28" s="50">
        <v>13</v>
      </c>
      <c r="E28" s="50">
        <v>8</v>
      </c>
      <c r="F28" s="50">
        <v>15</v>
      </c>
      <c r="G28" s="50">
        <v>0</v>
      </c>
      <c r="H28" s="50">
        <v>0</v>
      </c>
      <c r="I28" s="50">
        <v>5</v>
      </c>
      <c r="J28" s="50">
        <v>0</v>
      </c>
      <c r="K28" s="50">
        <v>0</v>
      </c>
      <c r="L28" s="50">
        <v>0</v>
      </c>
      <c r="M28" s="50">
        <v>65</v>
      </c>
      <c r="N28" s="50">
        <v>0</v>
      </c>
      <c r="O28" s="15">
        <f t="shared" si="0"/>
        <v>91</v>
      </c>
      <c r="P28" s="15">
        <f t="shared" si="1"/>
        <v>156</v>
      </c>
      <c r="R28" s="5" t="s">
        <v>17</v>
      </c>
      <c r="S28" s="16">
        <f t="shared" ref="S28:AF28" si="20">SUM(S10:S21)</f>
        <v>1646</v>
      </c>
      <c r="T28" s="16">
        <f t="shared" si="20"/>
        <v>847</v>
      </c>
      <c r="U28" s="16">
        <f t="shared" si="20"/>
        <v>256</v>
      </c>
      <c r="V28" s="16">
        <f t="shared" si="20"/>
        <v>1845</v>
      </c>
      <c r="W28" s="16">
        <f t="shared" si="20"/>
        <v>34</v>
      </c>
      <c r="X28" s="16">
        <f t="shared" si="20"/>
        <v>8</v>
      </c>
      <c r="Y28" s="16">
        <f t="shared" si="20"/>
        <v>219</v>
      </c>
      <c r="Z28" s="16">
        <f t="shared" si="20"/>
        <v>21</v>
      </c>
      <c r="AA28" s="16">
        <f t="shared" si="20"/>
        <v>15</v>
      </c>
      <c r="AB28" s="16">
        <f t="shared" si="20"/>
        <v>24</v>
      </c>
      <c r="AC28" s="16">
        <f t="shared" si="20"/>
        <v>3699</v>
      </c>
      <c r="AD28" s="16">
        <f t="shared" si="20"/>
        <v>0</v>
      </c>
      <c r="AE28" s="32">
        <f t="shared" si="20"/>
        <v>4915</v>
      </c>
      <c r="AF28" s="32">
        <f t="shared" si="20"/>
        <v>8614</v>
      </c>
    </row>
    <row r="29" spans="2:32" ht="23.1" customHeight="1" x14ac:dyDescent="0.25">
      <c r="B29" s="23" t="s">
        <v>56</v>
      </c>
      <c r="C29" s="50">
        <v>53</v>
      </c>
      <c r="D29" s="50">
        <v>12</v>
      </c>
      <c r="E29" s="50">
        <v>7</v>
      </c>
      <c r="F29" s="50">
        <v>8</v>
      </c>
      <c r="G29" s="50">
        <v>0</v>
      </c>
      <c r="H29" s="50">
        <v>0</v>
      </c>
      <c r="I29" s="50">
        <v>7</v>
      </c>
      <c r="J29" s="50">
        <v>0</v>
      </c>
      <c r="K29" s="50">
        <v>1</v>
      </c>
      <c r="L29" s="50">
        <v>1</v>
      </c>
      <c r="M29" s="50">
        <v>100</v>
      </c>
      <c r="N29" s="50">
        <v>0</v>
      </c>
      <c r="O29" s="15">
        <f t="shared" si="0"/>
        <v>89</v>
      </c>
      <c r="P29" s="15">
        <f t="shared" si="1"/>
        <v>189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15</v>
      </c>
      <c r="E30" s="50">
        <v>6</v>
      </c>
      <c r="F30" s="50">
        <v>30</v>
      </c>
      <c r="G30" s="50">
        <v>1</v>
      </c>
      <c r="H30" s="50">
        <v>1</v>
      </c>
      <c r="I30" s="50">
        <v>3</v>
      </c>
      <c r="J30" s="50">
        <v>0</v>
      </c>
      <c r="K30" s="50">
        <v>0</v>
      </c>
      <c r="L30" s="50">
        <v>0</v>
      </c>
      <c r="M30" s="50">
        <v>100</v>
      </c>
      <c r="N30" s="50">
        <v>0</v>
      </c>
      <c r="O30" s="15">
        <f t="shared" si="0"/>
        <v>91</v>
      </c>
      <c r="P30" s="15">
        <f t="shared" si="1"/>
        <v>191</v>
      </c>
    </row>
    <row r="31" spans="2:32" ht="23.1" customHeight="1" x14ac:dyDescent="0.25">
      <c r="B31" s="24" t="s">
        <v>58</v>
      </c>
      <c r="C31" s="50">
        <v>18</v>
      </c>
      <c r="D31" s="50">
        <v>10</v>
      </c>
      <c r="E31" s="50">
        <v>4</v>
      </c>
      <c r="F31" s="50">
        <v>17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70</v>
      </c>
      <c r="N31" s="50">
        <v>0</v>
      </c>
      <c r="O31" s="15">
        <f t="shared" si="0"/>
        <v>51</v>
      </c>
      <c r="P31" s="15">
        <f t="shared" si="1"/>
        <v>121</v>
      </c>
    </row>
    <row r="32" spans="2:32" ht="23.1" customHeight="1" x14ac:dyDescent="0.25">
      <c r="B32" s="24" t="s">
        <v>59</v>
      </c>
      <c r="C32" s="50">
        <v>20</v>
      </c>
      <c r="D32" s="50">
        <v>15</v>
      </c>
      <c r="E32" s="50">
        <v>3</v>
      </c>
      <c r="F32" s="50">
        <v>24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1</v>
      </c>
      <c r="M32" s="50">
        <v>90</v>
      </c>
      <c r="N32" s="50">
        <v>0</v>
      </c>
      <c r="O32" s="15">
        <f t="shared" si="0"/>
        <v>65</v>
      </c>
      <c r="P32" s="15">
        <f t="shared" si="1"/>
        <v>155</v>
      </c>
    </row>
    <row r="33" spans="2:20" ht="23.1" customHeight="1" x14ac:dyDescent="0.25">
      <c r="B33" s="23" t="s">
        <v>60</v>
      </c>
      <c r="C33" s="50">
        <v>10</v>
      </c>
      <c r="D33" s="50">
        <v>27</v>
      </c>
      <c r="E33" s="50">
        <v>4</v>
      </c>
      <c r="F33" s="50">
        <v>18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40</v>
      </c>
      <c r="N33" s="50">
        <v>0</v>
      </c>
      <c r="O33" s="15">
        <f t="shared" si="0"/>
        <v>64</v>
      </c>
      <c r="P33" s="15">
        <f t="shared" si="1"/>
        <v>104</v>
      </c>
    </row>
    <row r="34" spans="2:20" ht="23.1" customHeight="1" x14ac:dyDescent="0.25">
      <c r="B34" s="24" t="s">
        <v>61</v>
      </c>
      <c r="C34" s="50">
        <v>30</v>
      </c>
      <c r="D34" s="50">
        <v>21</v>
      </c>
      <c r="E34" s="50">
        <v>8</v>
      </c>
      <c r="F34" s="50">
        <v>30</v>
      </c>
      <c r="G34" s="50">
        <v>0</v>
      </c>
      <c r="H34" s="50">
        <v>0</v>
      </c>
      <c r="I34" s="50">
        <v>15</v>
      </c>
      <c r="J34" s="50">
        <v>1</v>
      </c>
      <c r="K34" s="50">
        <v>0</v>
      </c>
      <c r="L34" s="50">
        <v>0</v>
      </c>
      <c r="M34" s="50">
        <v>90</v>
      </c>
      <c r="N34" s="50">
        <v>0</v>
      </c>
      <c r="O34" s="15">
        <f t="shared" si="0"/>
        <v>105</v>
      </c>
      <c r="P34" s="15">
        <f t="shared" si="1"/>
        <v>195</v>
      </c>
    </row>
    <row r="35" spans="2:20" ht="23.1" customHeight="1" x14ac:dyDescent="0.25">
      <c r="B35" s="24" t="s">
        <v>62</v>
      </c>
      <c r="C35" s="50">
        <v>36</v>
      </c>
      <c r="D35" s="50">
        <v>24</v>
      </c>
      <c r="E35" s="50">
        <v>3</v>
      </c>
      <c r="F35" s="50">
        <v>10</v>
      </c>
      <c r="G35" s="50">
        <v>0</v>
      </c>
      <c r="H35" s="50">
        <v>0</v>
      </c>
      <c r="I35" s="50">
        <v>7</v>
      </c>
      <c r="J35" s="50">
        <v>0</v>
      </c>
      <c r="K35" s="50">
        <v>0</v>
      </c>
      <c r="L35" s="50">
        <v>3</v>
      </c>
      <c r="M35" s="50">
        <v>85</v>
      </c>
      <c r="N35" s="50">
        <v>0</v>
      </c>
      <c r="O35" s="15">
        <f t="shared" si="0"/>
        <v>83</v>
      </c>
      <c r="P35" s="15">
        <f t="shared" si="1"/>
        <v>168</v>
      </c>
    </row>
    <row r="36" spans="2:20" ht="23.1" customHeight="1" x14ac:dyDescent="0.25">
      <c r="B36" s="24" t="s">
        <v>63</v>
      </c>
      <c r="C36" s="50">
        <v>20</v>
      </c>
      <c r="D36" s="50">
        <v>4</v>
      </c>
      <c r="E36" s="50">
        <v>4</v>
      </c>
      <c r="F36" s="50">
        <v>28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1</v>
      </c>
      <c r="M36" s="50">
        <v>60</v>
      </c>
      <c r="N36" s="50">
        <v>0</v>
      </c>
      <c r="O36" s="15">
        <f t="shared" si="0"/>
        <v>62</v>
      </c>
      <c r="P36" s="15">
        <f t="shared" si="1"/>
        <v>122</v>
      </c>
    </row>
    <row r="37" spans="2:20" ht="23.1" customHeight="1" x14ac:dyDescent="0.25">
      <c r="B37" s="23" t="s">
        <v>64</v>
      </c>
      <c r="C37" s="50">
        <v>15</v>
      </c>
      <c r="D37" s="50">
        <v>12</v>
      </c>
      <c r="E37" s="50">
        <v>3</v>
      </c>
      <c r="F37" s="50">
        <v>14</v>
      </c>
      <c r="G37" s="50">
        <v>0</v>
      </c>
      <c r="H37" s="50">
        <v>1</v>
      </c>
      <c r="I37" s="50">
        <v>2</v>
      </c>
      <c r="J37" s="50">
        <v>0</v>
      </c>
      <c r="K37" s="50">
        <v>0</v>
      </c>
      <c r="L37" s="50">
        <v>1</v>
      </c>
      <c r="M37" s="50">
        <v>80</v>
      </c>
      <c r="N37" s="50">
        <v>0</v>
      </c>
      <c r="O37" s="15">
        <f t="shared" si="0"/>
        <v>48</v>
      </c>
      <c r="P37" s="15">
        <f t="shared" si="1"/>
        <v>128</v>
      </c>
    </row>
    <row r="38" spans="2:20" ht="23.1" customHeight="1" x14ac:dyDescent="0.25">
      <c r="B38" s="24" t="s">
        <v>65</v>
      </c>
      <c r="C38" s="50">
        <v>20</v>
      </c>
      <c r="D38" s="50">
        <v>3</v>
      </c>
      <c r="E38" s="50">
        <v>1</v>
      </c>
      <c r="F38" s="50">
        <v>25</v>
      </c>
      <c r="G38" s="50">
        <v>1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36</v>
      </c>
      <c r="N38" s="50">
        <v>0</v>
      </c>
      <c r="O38" s="15">
        <f t="shared" si="0"/>
        <v>52</v>
      </c>
      <c r="P38" s="15">
        <f t="shared" si="1"/>
        <v>88</v>
      </c>
    </row>
    <row r="39" spans="2:20" ht="23.1" customHeight="1" x14ac:dyDescent="0.25">
      <c r="B39" s="24" t="s">
        <v>66</v>
      </c>
      <c r="C39" s="50">
        <v>9</v>
      </c>
      <c r="D39" s="50">
        <v>15</v>
      </c>
      <c r="E39" s="50">
        <v>6</v>
      </c>
      <c r="F39" s="50">
        <v>11</v>
      </c>
      <c r="G39" s="50">
        <v>3</v>
      </c>
      <c r="H39" s="50">
        <v>0</v>
      </c>
      <c r="I39" s="50">
        <v>0</v>
      </c>
      <c r="J39" s="50">
        <v>3</v>
      </c>
      <c r="K39" s="50">
        <v>0</v>
      </c>
      <c r="L39" s="50">
        <v>1</v>
      </c>
      <c r="M39" s="50">
        <v>50</v>
      </c>
      <c r="N39" s="50">
        <v>0</v>
      </c>
      <c r="O39" s="15">
        <f t="shared" si="0"/>
        <v>48</v>
      </c>
      <c r="P39" s="15">
        <f t="shared" si="1"/>
        <v>98</v>
      </c>
    </row>
    <row r="40" spans="2:20" ht="23.1" customHeight="1" x14ac:dyDescent="0.25">
      <c r="B40" s="24" t="s">
        <v>67</v>
      </c>
      <c r="C40" s="50">
        <v>15</v>
      </c>
      <c r="D40" s="50">
        <v>8</v>
      </c>
      <c r="E40" s="50">
        <v>2</v>
      </c>
      <c r="F40" s="50">
        <v>15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1</v>
      </c>
      <c r="M40" s="50">
        <v>30</v>
      </c>
      <c r="N40" s="50">
        <v>0</v>
      </c>
      <c r="O40" s="15">
        <f t="shared" si="0"/>
        <v>43</v>
      </c>
      <c r="P40" s="15">
        <f t="shared" si="1"/>
        <v>73</v>
      </c>
    </row>
    <row r="41" spans="2:20" ht="23.1" customHeight="1" x14ac:dyDescent="0.25">
      <c r="B41" s="23" t="s">
        <v>68</v>
      </c>
      <c r="C41" s="50">
        <v>12</v>
      </c>
      <c r="D41" s="50">
        <v>8</v>
      </c>
      <c r="E41" s="50">
        <v>8</v>
      </c>
      <c r="F41" s="50">
        <v>30</v>
      </c>
      <c r="G41" s="50">
        <v>1</v>
      </c>
      <c r="H41" s="50">
        <v>0</v>
      </c>
      <c r="I41" s="50">
        <v>5</v>
      </c>
      <c r="J41" s="50">
        <v>0</v>
      </c>
      <c r="K41" s="50">
        <v>1</v>
      </c>
      <c r="L41" s="50">
        <v>0</v>
      </c>
      <c r="M41" s="50">
        <v>10</v>
      </c>
      <c r="N41" s="50">
        <v>0</v>
      </c>
      <c r="O41" s="15">
        <f t="shared" si="0"/>
        <v>65</v>
      </c>
      <c r="P41" s="15">
        <f t="shared" si="1"/>
        <v>75</v>
      </c>
    </row>
    <row r="42" spans="2:20" ht="23.1" customHeight="1" x14ac:dyDescent="0.25">
      <c r="B42" s="24" t="s">
        <v>69</v>
      </c>
      <c r="C42" s="50">
        <v>20</v>
      </c>
      <c r="D42" s="50">
        <v>10</v>
      </c>
      <c r="E42" s="50">
        <v>5</v>
      </c>
      <c r="F42" s="50">
        <v>24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50</v>
      </c>
      <c r="N42" s="50">
        <v>0</v>
      </c>
      <c r="O42" s="15">
        <f t="shared" si="0"/>
        <v>65</v>
      </c>
      <c r="P42" s="15">
        <f t="shared" si="1"/>
        <v>115</v>
      </c>
    </row>
    <row r="43" spans="2:20" ht="23.1" customHeight="1" x14ac:dyDescent="0.25">
      <c r="B43" s="23" t="s">
        <v>70</v>
      </c>
      <c r="C43" s="50">
        <v>40</v>
      </c>
      <c r="D43" s="50">
        <v>26</v>
      </c>
      <c r="E43" s="50">
        <v>3</v>
      </c>
      <c r="F43" s="50">
        <v>30</v>
      </c>
      <c r="G43" s="50">
        <v>0</v>
      </c>
      <c r="H43" s="50">
        <v>1</v>
      </c>
      <c r="I43" s="50">
        <v>2</v>
      </c>
      <c r="J43" s="50">
        <v>1</v>
      </c>
      <c r="K43" s="50">
        <v>0</v>
      </c>
      <c r="L43" s="50">
        <v>0</v>
      </c>
      <c r="M43" s="50">
        <v>75</v>
      </c>
      <c r="N43" s="50">
        <v>0</v>
      </c>
      <c r="O43" s="15">
        <f t="shared" si="0"/>
        <v>103</v>
      </c>
      <c r="P43" s="15">
        <f t="shared" si="1"/>
        <v>178</v>
      </c>
    </row>
    <row r="44" spans="2:20" ht="23.1" customHeight="1" x14ac:dyDescent="0.25">
      <c r="B44" s="25" t="s">
        <v>71</v>
      </c>
      <c r="C44" s="50">
        <v>15</v>
      </c>
      <c r="D44" s="50">
        <v>13</v>
      </c>
      <c r="E44" s="50">
        <v>10</v>
      </c>
      <c r="F44" s="50">
        <v>25</v>
      </c>
      <c r="G44" s="50">
        <v>2</v>
      </c>
      <c r="H44" s="50">
        <v>0</v>
      </c>
      <c r="I44" s="50">
        <v>2</v>
      </c>
      <c r="J44" s="50">
        <v>0</v>
      </c>
      <c r="K44" s="50">
        <v>1</v>
      </c>
      <c r="L44" s="50">
        <v>1</v>
      </c>
      <c r="M44" s="50">
        <v>40</v>
      </c>
      <c r="N44" s="50">
        <v>0</v>
      </c>
      <c r="O44" s="15">
        <f t="shared" si="0"/>
        <v>69</v>
      </c>
      <c r="P44" s="15">
        <f t="shared" si="1"/>
        <v>109</v>
      </c>
    </row>
    <row r="45" spans="2:20" ht="23.1" customHeight="1" x14ac:dyDescent="0.25">
      <c r="B45" s="23" t="s">
        <v>72</v>
      </c>
      <c r="C45" s="50">
        <v>20</v>
      </c>
      <c r="D45" s="50">
        <v>12</v>
      </c>
      <c r="E45" s="50">
        <v>2</v>
      </c>
      <c r="F45" s="50">
        <v>25</v>
      </c>
      <c r="G45" s="50">
        <v>0</v>
      </c>
      <c r="H45" s="50">
        <v>0</v>
      </c>
      <c r="I45" s="50">
        <v>5</v>
      </c>
      <c r="J45" s="50">
        <v>0</v>
      </c>
      <c r="K45" s="50">
        <v>0</v>
      </c>
      <c r="L45" s="50">
        <v>1</v>
      </c>
      <c r="M45" s="50">
        <v>25</v>
      </c>
      <c r="N45" s="50">
        <v>0</v>
      </c>
      <c r="O45" s="15">
        <f t="shared" si="0"/>
        <v>65</v>
      </c>
      <c r="P45" s="15">
        <f t="shared" si="1"/>
        <v>90</v>
      </c>
    </row>
    <row r="46" spans="2:20" ht="23.1" customHeight="1" x14ac:dyDescent="0.25">
      <c r="B46" s="24" t="s">
        <v>73</v>
      </c>
      <c r="C46" s="50">
        <v>15</v>
      </c>
      <c r="D46" s="50">
        <v>31</v>
      </c>
      <c r="E46" s="50">
        <v>6</v>
      </c>
      <c r="F46" s="50">
        <v>30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88</v>
      </c>
      <c r="P46" s="15">
        <f t="shared" si="1"/>
        <v>143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18</v>
      </c>
      <c r="E47" s="50">
        <v>11</v>
      </c>
      <c r="F47" s="50">
        <v>17</v>
      </c>
      <c r="G47" s="50">
        <v>0</v>
      </c>
      <c r="H47" s="50">
        <v>0</v>
      </c>
      <c r="I47" s="50">
        <v>5</v>
      </c>
      <c r="J47" s="50">
        <v>1</v>
      </c>
      <c r="K47" s="50">
        <v>1</v>
      </c>
      <c r="L47" s="50">
        <v>0</v>
      </c>
      <c r="M47" s="50">
        <v>95</v>
      </c>
      <c r="N47" s="50">
        <v>0</v>
      </c>
      <c r="O47" s="15">
        <f t="shared" si="0"/>
        <v>82</v>
      </c>
      <c r="P47" s="15">
        <f t="shared" si="1"/>
        <v>177</v>
      </c>
      <c r="R47" s="8"/>
      <c r="T47"/>
    </row>
    <row r="48" spans="2:20" ht="23.1" customHeight="1" x14ac:dyDescent="0.25">
      <c r="B48" s="24" t="s">
        <v>75</v>
      </c>
      <c r="C48" s="50">
        <v>25</v>
      </c>
      <c r="D48" s="50">
        <v>22</v>
      </c>
      <c r="E48" s="50">
        <v>6</v>
      </c>
      <c r="F48" s="50">
        <v>33</v>
      </c>
      <c r="G48" s="50">
        <v>0</v>
      </c>
      <c r="H48" s="50">
        <v>0</v>
      </c>
      <c r="I48" s="50">
        <v>5</v>
      </c>
      <c r="J48" s="50">
        <v>0</v>
      </c>
      <c r="K48" s="50">
        <v>0</v>
      </c>
      <c r="L48" s="50">
        <v>2</v>
      </c>
      <c r="M48" s="50">
        <v>70</v>
      </c>
      <c r="N48" s="50">
        <v>0</v>
      </c>
      <c r="O48" s="15">
        <f t="shared" si="0"/>
        <v>93</v>
      </c>
      <c r="P48" s="15">
        <f t="shared" si="1"/>
        <v>163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11</v>
      </c>
      <c r="E49" s="50">
        <v>4</v>
      </c>
      <c r="F49" s="50">
        <v>27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0"/>
        <v>73</v>
      </c>
      <c r="P49" s="15">
        <f t="shared" si="1"/>
        <v>103</v>
      </c>
      <c r="R49" s="8"/>
      <c r="T49"/>
    </row>
    <row r="50" spans="2:20" ht="23.1" customHeight="1" x14ac:dyDescent="0.25">
      <c r="B50" s="24" t="s">
        <v>77</v>
      </c>
      <c r="C50" s="50">
        <v>23</v>
      </c>
      <c r="D50" s="50">
        <v>28</v>
      </c>
      <c r="E50" s="50">
        <v>6</v>
      </c>
      <c r="F50" s="50">
        <v>13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67</v>
      </c>
      <c r="N50" s="50">
        <v>0</v>
      </c>
      <c r="O50" s="15">
        <f t="shared" si="0"/>
        <v>72</v>
      </c>
      <c r="P50" s="15">
        <f t="shared" si="1"/>
        <v>139</v>
      </c>
      <c r="R50" s="8"/>
      <c r="T50"/>
    </row>
    <row r="51" spans="2:20" ht="23.1" customHeight="1" x14ac:dyDescent="0.25">
      <c r="B51" s="24" t="s">
        <v>78</v>
      </c>
      <c r="C51" s="50">
        <v>32</v>
      </c>
      <c r="D51" s="50">
        <v>20</v>
      </c>
      <c r="E51" s="50">
        <v>8</v>
      </c>
      <c r="F51" s="50">
        <v>25</v>
      </c>
      <c r="G51" s="50">
        <v>0</v>
      </c>
      <c r="H51" s="50">
        <v>0</v>
      </c>
      <c r="I51" s="50">
        <v>5</v>
      </c>
      <c r="J51" s="50">
        <v>1</v>
      </c>
      <c r="K51" s="50">
        <v>1</v>
      </c>
      <c r="L51" s="50">
        <v>0</v>
      </c>
      <c r="M51" s="50">
        <v>85</v>
      </c>
      <c r="N51" s="50">
        <v>0</v>
      </c>
      <c r="O51" s="15">
        <f t="shared" si="0"/>
        <v>92</v>
      </c>
      <c r="P51" s="15">
        <f t="shared" si="1"/>
        <v>177</v>
      </c>
      <c r="R51" s="8"/>
      <c r="T51"/>
    </row>
    <row r="52" spans="2:20" ht="23.1" customHeight="1" x14ac:dyDescent="0.25">
      <c r="B52" s="24" t="s">
        <v>79</v>
      </c>
      <c r="C52" s="50">
        <v>27</v>
      </c>
      <c r="D52" s="50">
        <v>11</v>
      </c>
      <c r="E52" s="50">
        <v>4</v>
      </c>
      <c r="F52" s="50">
        <v>28</v>
      </c>
      <c r="G52" s="50">
        <v>0</v>
      </c>
      <c r="H52" s="50">
        <v>0</v>
      </c>
      <c r="I52" s="50">
        <v>0</v>
      </c>
      <c r="J52" s="50">
        <v>2</v>
      </c>
      <c r="K52" s="50">
        <v>1</v>
      </c>
      <c r="L52" s="50">
        <v>0</v>
      </c>
      <c r="M52" s="50">
        <v>65</v>
      </c>
      <c r="N52" s="50">
        <v>0</v>
      </c>
      <c r="O52" s="15">
        <f t="shared" si="0"/>
        <v>73</v>
      </c>
      <c r="P52" s="15">
        <f t="shared" si="1"/>
        <v>138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17</v>
      </c>
      <c r="E53" s="50">
        <v>6</v>
      </c>
      <c r="F53" s="50">
        <v>25</v>
      </c>
      <c r="G53" s="50">
        <v>0</v>
      </c>
      <c r="H53" s="50">
        <v>0</v>
      </c>
      <c r="I53" s="50">
        <v>4</v>
      </c>
      <c r="J53" s="50">
        <v>0</v>
      </c>
      <c r="K53" s="50">
        <v>1</v>
      </c>
      <c r="L53" s="50">
        <v>0</v>
      </c>
      <c r="M53" s="50">
        <v>115</v>
      </c>
      <c r="N53" s="50">
        <v>0</v>
      </c>
      <c r="O53" s="15">
        <f t="shared" si="0"/>
        <v>86</v>
      </c>
      <c r="P53" s="15">
        <f t="shared" si="1"/>
        <v>201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13</v>
      </c>
      <c r="E54" s="50">
        <v>5</v>
      </c>
      <c r="F54" s="50">
        <v>10</v>
      </c>
      <c r="G54" s="50">
        <v>2</v>
      </c>
      <c r="H54" s="50">
        <v>1</v>
      </c>
      <c r="I54" s="50">
        <v>1</v>
      </c>
      <c r="J54" s="50">
        <v>0</v>
      </c>
      <c r="K54" s="50">
        <v>0</v>
      </c>
      <c r="L54" s="50">
        <v>0</v>
      </c>
      <c r="M54" s="50">
        <v>80</v>
      </c>
      <c r="N54" s="50">
        <v>0</v>
      </c>
      <c r="O54" s="15">
        <f t="shared" si="0"/>
        <v>48</v>
      </c>
      <c r="P54" s="15">
        <f t="shared" si="1"/>
        <v>128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0</v>
      </c>
      <c r="E55" s="50">
        <v>0</v>
      </c>
      <c r="F55" s="50">
        <v>20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52</v>
      </c>
      <c r="P55" s="15">
        <f t="shared" si="1"/>
        <v>92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12</v>
      </c>
      <c r="E56" s="50">
        <v>5</v>
      </c>
      <c r="F56" s="50">
        <v>55</v>
      </c>
      <c r="G56" s="50">
        <v>3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85</v>
      </c>
      <c r="N56" s="50">
        <v>0</v>
      </c>
      <c r="O56" s="15">
        <f t="shared" si="0"/>
        <v>122</v>
      </c>
      <c r="P56" s="15">
        <f t="shared" si="1"/>
        <v>207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10</v>
      </c>
      <c r="E57" s="50">
        <v>3</v>
      </c>
      <c r="F57" s="50">
        <v>0</v>
      </c>
      <c r="G57" s="50">
        <v>1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49</v>
      </c>
      <c r="P57" s="15">
        <f t="shared" si="1"/>
        <v>99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1646</v>
      </c>
      <c r="D58" s="16">
        <f t="shared" si="21"/>
        <v>847</v>
      </c>
      <c r="E58" s="16">
        <f t="shared" si="21"/>
        <v>256</v>
      </c>
      <c r="F58" s="16">
        <f t="shared" si="21"/>
        <v>1845</v>
      </c>
      <c r="G58" s="16">
        <f t="shared" si="21"/>
        <v>34</v>
      </c>
      <c r="H58" s="16">
        <f t="shared" si="21"/>
        <v>8</v>
      </c>
      <c r="I58" s="16">
        <f t="shared" si="21"/>
        <v>219</v>
      </c>
      <c r="J58" s="16">
        <f t="shared" si="21"/>
        <v>21</v>
      </c>
      <c r="K58" s="16">
        <f t="shared" si="21"/>
        <v>15</v>
      </c>
      <c r="L58" s="16">
        <f t="shared" si="21"/>
        <v>24</v>
      </c>
      <c r="M58" s="16">
        <f t="shared" si="21"/>
        <v>3699</v>
      </c>
      <c r="N58" s="16">
        <f t="shared" si="21"/>
        <v>0</v>
      </c>
      <c r="O58" s="16">
        <f t="shared" si="21"/>
        <v>4915</v>
      </c>
      <c r="P58" s="16">
        <f t="shared" si="21"/>
        <v>8614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0.19108428140236824</v>
      </c>
      <c r="D59" s="43">
        <f t="shared" si="22"/>
        <v>9.8328302762944048E-2</v>
      </c>
      <c r="E59" s="43">
        <f t="shared" si="22"/>
        <v>2.9719061992105875E-2</v>
      </c>
      <c r="F59" s="43">
        <f t="shared" si="22"/>
        <v>0.21418620849779429</v>
      </c>
      <c r="G59" s="43">
        <f t="shared" si="22"/>
        <v>3.9470629208265611E-3</v>
      </c>
      <c r="H59" s="43">
        <f t="shared" si="22"/>
        <v>9.2872068725330858E-4</v>
      </c>
      <c r="I59" s="43">
        <f t="shared" si="22"/>
        <v>2.5423728813559324E-2</v>
      </c>
      <c r="J59" s="43">
        <f t="shared" si="22"/>
        <v>2.4378918040399351E-3</v>
      </c>
      <c r="K59" s="43">
        <f t="shared" si="22"/>
        <v>1.7413512885999535E-3</v>
      </c>
      <c r="L59" s="43">
        <f t="shared" si="22"/>
        <v>2.7861620617599257E-3</v>
      </c>
      <c r="M59" s="43">
        <f t="shared" si="22"/>
        <v>0.42941722776874852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0.33489318413021363</v>
      </c>
      <c r="D60" s="44">
        <f t="shared" ref="D60:N60" si="23">D58/$O$58</f>
        <v>0.1723296032553408</v>
      </c>
      <c r="E60" s="44">
        <f t="shared" si="23"/>
        <v>5.2085452695829093E-2</v>
      </c>
      <c r="F60" s="44">
        <f t="shared" si="23"/>
        <v>0.37538148524923703</v>
      </c>
      <c r="G60" s="44">
        <f t="shared" si="23"/>
        <v>6.9175991861648014E-3</v>
      </c>
      <c r="H60" s="44">
        <f t="shared" si="23"/>
        <v>1.6276703967446592E-3</v>
      </c>
      <c r="I60" s="44">
        <f t="shared" si="23"/>
        <v>4.4557477110885042E-2</v>
      </c>
      <c r="J60" s="44">
        <f t="shared" si="23"/>
        <v>4.2726347914547307E-3</v>
      </c>
      <c r="K60" s="44">
        <f t="shared" si="23"/>
        <v>3.0518819938962359E-3</v>
      </c>
      <c r="L60" s="44">
        <f t="shared" si="23"/>
        <v>4.8830111902339775E-3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I43" zoomScale="60" workbookViewId="0">
      <selection activeCell="AC79" sqref="AC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'28.07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169</v>
      </c>
      <c r="E5" s="69"/>
      <c r="F5" s="41" t="s">
        <v>1</v>
      </c>
      <c r="G5" s="66" t="str">
        <f>'28.07 Kampala-wakiso'!G5:H5</f>
        <v>AFTER STABEX NANSANA</v>
      </c>
      <c r="H5" s="67"/>
      <c r="I5" s="14"/>
      <c r="J5" s="2" t="s">
        <v>5</v>
      </c>
      <c r="K5" s="66" t="str">
        <f>'28.07 Kampala-wakiso'!K5:L5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'28.07 Kampala-wakiso'!D6:E6</f>
        <v>KAMPALA</v>
      </c>
      <c r="E6" s="67"/>
      <c r="F6" s="2" t="s">
        <v>2</v>
      </c>
      <c r="G6" s="66" t="str">
        <f>'28.07 Kampala-wakiso'!G6:H6</f>
        <v>WAKISO</v>
      </c>
      <c r="H6" s="67"/>
      <c r="J6" s="2" t="s">
        <v>21</v>
      </c>
      <c r="K6" s="66" t="str">
        <f>'28.07 Kampala-wakiso'!K6:L6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Kampala-Wakiso'!C10,'23.07 KAMPALA-WAKISO'!C10,'24.07 Kampala-Wakiso'!C10,'25.07 Kampala-Wakiso'!C10,'26.07 Kampala-Wakiso-24h'!C10,'27.07 Kampala-Wakiso-24h'!C10,'28.07 Kampala-wakiso'!C10)</f>
        <v>29</v>
      </c>
      <c r="D10" s="49">
        <f>AVERAGE('22.07 Kampala-Wakiso'!D10,'23.07 KAMPALA-WAKISO'!D10,'24.07 Kampala-Wakiso'!D10,'25.07 Kampala-Wakiso'!D10,'26.07 Kampala-Wakiso-24h'!D10,'27.07 Kampala-Wakiso-24h'!D10,'28.07 Kampala-wakiso'!D10)</f>
        <v>27.714285714285715</v>
      </c>
      <c r="E10" s="49">
        <f>AVERAGE('22.07 Kampala-Wakiso'!E10,'23.07 KAMPALA-WAKISO'!E10,'24.07 Kampala-Wakiso'!E10,'25.07 Kampala-Wakiso'!E10,'26.07 Kampala-Wakiso-24h'!E10,'27.07 Kampala-Wakiso-24h'!E10,'28.07 Kampala-wakiso'!E10)</f>
        <v>8.1428571428571423</v>
      </c>
      <c r="F10" s="49">
        <f>AVERAGE('22.07 Kampala-Wakiso'!F10,'23.07 KAMPALA-WAKISO'!F10,'24.07 Kampala-Wakiso'!F10,'25.07 Kampala-Wakiso'!F10,'26.07 Kampala-Wakiso-24h'!F10,'27.07 Kampala-Wakiso-24h'!F10,'28.07 Kampala-wakiso'!F10)</f>
        <v>40.285714285714285</v>
      </c>
      <c r="G10" s="49">
        <f>AVERAGE('22.07 Kampala-Wakiso'!G10,'23.07 KAMPALA-WAKISO'!G10,'24.07 Kampala-Wakiso'!G10,'25.07 Kampala-Wakiso'!G10,'26.07 Kampala-Wakiso-24h'!G10,'27.07 Kampala-Wakiso-24h'!G10,'28.07 Kampala-wakiso'!G10)</f>
        <v>2.8571428571428572</v>
      </c>
      <c r="H10" s="49">
        <f>AVERAGE('22.07 Kampala-Wakiso'!H10,'23.07 KAMPALA-WAKISO'!H10,'24.07 Kampala-Wakiso'!H10,'25.07 Kampala-Wakiso'!H10,'26.07 Kampala-Wakiso-24h'!H10,'27.07 Kampala-Wakiso-24h'!H10,'28.07 Kampala-wakiso'!H10)</f>
        <v>0.5714285714285714</v>
      </c>
      <c r="I10" s="49">
        <f>AVERAGE('22.07 Kampala-Wakiso'!I10,'23.07 KAMPALA-WAKISO'!I10,'24.07 Kampala-Wakiso'!I10,'25.07 Kampala-Wakiso'!I10,'26.07 Kampala-Wakiso-24h'!I10,'27.07 Kampala-Wakiso-24h'!I10,'28.07 Kampala-wakiso'!I10)</f>
        <v>7.7142857142857144</v>
      </c>
      <c r="J10" s="49">
        <f>AVERAGE('22.07 Kampala-Wakiso'!J10,'23.07 KAMPALA-WAKISO'!J10,'24.07 Kampala-Wakiso'!J10,'25.07 Kampala-Wakiso'!J10,'26.07 Kampala-Wakiso-24h'!J10,'27.07 Kampala-Wakiso-24h'!J10,'28.07 Kampala-wakiso'!J10)</f>
        <v>1.5714285714285714</v>
      </c>
      <c r="K10" s="49">
        <f>AVERAGE('22.07 Kampala-Wakiso'!K10,'23.07 KAMPALA-WAKISO'!K10,'24.07 Kampala-Wakiso'!K10,'25.07 Kampala-Wakiso'!K10,'26.07 Kampala-Wakiso-24h'!K10,'27.07 Kampala-Wakiso-24h'!K10,'28.07 Kampala-wakiso'!K10)</f>
        <v>1.4285714285714286</v>
      </c>
      <c r="L10" s="49">
        <f>AVERAGE('22.07 Kampala-Wakiso'!L10,'23.07 KAMPALA-WAKISO'!L10,'24.07 Kampala-Wakiso'!L10,'25.07 Kampala-Wakiso'!L10,'26.07 Kampala-Wakiso-24h'!L10,'27.07 Kampala-Wakiso-24h'!L10,'28.07 Kampala-wakiso'!L10)</f>
        <v>0</v>
      </c>
      <c r="M10" s="49">
        <f>AVERAGE('22.07 Kampala-Wakiso'!M10,'23.07 KAMPALA-WAKISO'!M10,'24.07 Kampala-Wakiso'!M10,'25.07 Kampala-Wakiso'!M10,'26.07 Kampala-Wakiso-24h'!M10,'27.07 Kampala-Wakiso-24h'!M10,'28.07 Kampala-wakiso'!M10)</f>
        <v>48.571428571428569</v>
      </c>
      <c r="N10" s="49">
        <f>AVERAGE('22.07 Kampala-Wakiso'!N10,'23.07 KAMPALA-WAKISO'!N10,'24.07 Kampala-Wakiso'!N10,'25.07 Kampala-Wakiso'!N10,'26.07 Kampala-Wakiso-24h'!N10,'27.07 Kampala-Wakiso-24h'!N10,'28.07 Kampala-wakiso'!N10)</f>
        <v>0</v>
      </c>
      <c r="O10" s="15">
        <f t="shared" ref="O10:O73" si="0">SUM(C10:L10,N10)</f>
        <v>119.28571428571428</v>
      </c>
      <c r="P10" s="15">
        <f t="shared" ref="P10:P73" si="1">SUM(C10:N10)</f>
        <v>167.85714285714283</v>
      </c>
      <c r="R10" s="1" t="s">
        <v>6</v>
      </c>
      <c r="S10" s="17">
        <f t="shared" ref="S10:AF10" si="2">SUM(C10:C13)</f>
        <v>129.57142857142858</v>
      </c>
      <c r="T10" s="17">
        <f t="shared" si="2"/>
        <v>104</v>
      </c>
      <c r="U10" s="17">
        <f t="shared" si="2"/>
        <v>30.285714285714288</v>
      </c>
      <c r="V10" s="17">
        <f t="shared" si="2"/>
        <v>256.71428571428572</v>
      </c>
      <c r="W10" s="17">
        <f t="shared" si="2"/>
        <v>14.428571428571429</v>
      </c>
      <c r="X10" s="17">
        <f t="shared" si="2"/>
        <v>3.2857142857142856</v>
      </c>
      <c r="Y10" s="17">
        <f t="shared" si="2"/>
        <v>40.142857142857139</v>
      </c>
      <c r="Z10" s="17">
        <f t="shared" si="2"/>
        <v>9</v>
      </c>
      <c r="AA10" s="17">
        <f t="shared" si="2"/>
        <v>4.5714285714285721</v>
      </c>
      <c r="AB10" s="17">
        <f t="shared" si="2"/>
        <v>1.7142857142857142</v>
      </c>
      <c r="AC10" s="17">
        <f t="shared" si="2"/>
        <v>279</v>
      </c>
      <c r="AD10" s="17">
        <f t="shared" si="2"/>
        <v>0</v>
      </c>
      <c r="AE10" s="31">
        <f t="shared" si="2"/>
        <v>593.71428571428578</v>
      </c>
      <c r="AF10" s="31">
        <f t="shared" si="2"/>
        <v>872.71428571428578</v>
      </c>
    </row>
    <row r="11" spans="2:32" s="6" customFormat="1" ht="23.1" customHeight="1" x14ac:dyDescent="0.25">
      <c r="B11" s="23" t="s">
        <v>38</v>
      </c>
      <c r="C11" s="49">
        <f>AVERAGE('22.07 Kampala-Wakiso'!C11,'23.07 KAMPALA-WAKISO'!C11,'24.07 Kampala-Wakiso'!C11,'25.07 Kampala-Wakiso'!C11,'26.07 Kampala-Wakiso-24h'!C11,'27.07 Kampala-Wakiso-24h'!C11,'28.07 Kampala-wakiso'!C11)</f>
        <v>32.285714285714285</v>
      </c>
      <c r="D11" s="49">
        <f>AVERAGE('22.07 Kampala-Wakiso'!D11,'23.07 KAMPALA-WAKISO'!D11,'24.07 Kampala-Wakiso'!D11,'25.07 Kampala-Wakiso'!D11,'26.07 Kampala-Wakiso-24h'!D11,'27.07 Kampala-Wakiso-24h'!D11,'28.07 Kampala-wakiso'!D11)</f>
        <v>28</v>
      </c>
      <c r="E11" s="49">
        <f>AVERAGE('22.07 Kampala-Wakiso'!E11,'23.07 KAMPALA-WAKISO'!E11,'24.07 Kampala-Wakiso'!E11,'25.07 Kampala-Wakiso'!E11,'26.07 Kampala-Wakiso-24h'!E11,'27.07 Kampala-Wakiso-24h'!E11,'28.07 Kampala-wakiso'!E11)</f>
        <v>11.571428571428571</v>
      </c>
      <c r="F11" s="49">
        <f>AVERAGE('22.07 Kampala-Wakiso'!F11,'23.07 KAMPALA-WAKISO'!F11,'24.07 Kampala-Wakiso'!F11,'25.07 Kampala-Wakiso'!F11,'26.07 Kampala-Wakiso-24h'!F11,'27.07 Kampala-Wakiso-24h'!F11,'28.07 Kampala-wakiso'!F11)</f>
        <v>34.714285714285715</v>
      </c>
      <c r="G11" s="49">
        <f>AVERAGE('22.07 Kampala-Wakiso'!G11,'23.07 KAMPALA-WAKISO'!G11,'24.07 Kampala-Wakiso'!G11,'25.07 Kampala-Wakiso'!G11,'26.07 Kampala-Wakiso-24h'!G11,'27.07 Kampala-Wakiso-24h'!G11,'28.07 Kampala-wakiso'!G11)</f>
        <v>4</v>
      </c>
      <c r="H11" s="49">
        <f>AVERAGE('22.07 Kampala-Wakiso'!H11,'23.07 KAMPALA-WAKISO'!H11,'24.07 Kampala-Wakiso'!H11,'25.07 Kampala-Wakiso'!H11,'26.07 Kampala-Wakiso-24h'!H11,'27.07 Kampala-Wakiso-24h'!H11,'28.07 Kampala-wakiso'!H11)</f>
        <v>0.42857142857142855</v>
      </c>
      <c r="I11" s="49">
        <f>AVERAGE('22.07 Kampala-Wakiso'!I11,'23.07 KAMPALA-WAKISO'!I11,'24.07 Kampala-Wakiso'!I11,'25.07 Kampala-Wakiso'!I11,'26.07 Kampala-Wakiso-24h'!I11,'27.07 Kampala-Wakiso-24h'!I11,'28.07 Kampala-wakiso'!I11)</f>
        <v>9.2857142857142865</v>
      </c>
      <c r="J11" s="49">
        <f>AVERAGE('22.07 Kampala-Wakiso'!J11,'23.07 KAMPALA-WAKISO'!J11,'24.07 Kampala-Wakiso'!J11,'25.07 Kampala-Wakiso'!J11,'26.07 Kampala-Wakiso-24h'!J11,'27.07 Kampala-Wakiso-24h'!J11,'28.07 Kampala-wakiso'!J11)</f>
        <v>2.2857142857142856</v>
      </c>
      <c r="K11" s="49">
        <f>AVERAGE('22.07 Kampala-Wakiso'!K11,'23.07 KAMPALA-WAKISO'!K11,'24.07 Kampala-Wakiso'!K11,'25.07 Kampala-Wakiso'!K11,'26.07 Kampala-Wakiso-24h'!K11,'27.07 Kampala-Wakiso-24h'!K11,'28.07 Kampala-wakiso'!K11)</f>
        <v>2.7142857142857144</v>
      </c>
      <c r="L11" s="49">
        <f>AVERAGE('22.07 Kampala-Wakiso'!L11,'23.07 KAMPALA-WAKISO'!L11,'24.07 Kampala-Wakiso'!L11,'25.07 Kampala-Wakiso'!L11,'26.07 Kampala-Wakiso-24h'!L11,'27.07 Kampala-Wakiso-24h'!L11,'28.07 Kampala-wakiso'!L11)</f>
        <v>0.8571428571428571</v>
      </c>
      <c r="M11" s="49">
        <f>AVERAGE('22.07 Kampala-Wakiso'!M11,'23.07 KAMPALA-WAKISO'!M11,'24.07 Kampala-Wakiso'!M11,'25.07 Kampala-Wakiso'!M11,'26.07 Kampala-Wakiso-24h'!M11,'27.07 Kampala-Wakiso-24h'!M11,'28.07 Kampala-wakiso'!M11)</f>
        <v>75.857142857142861</v>
      </c>
      <c r="N11" s="49">
        <f>AVERAGE('22.07 Kampala-Wakiso'!N11,'23.07 KAMPALA-WAKISO'!N11,'24.07 Kampala-Wakiso'!N11,'25.07 Kampala-Wakiso'!N11,'26.07 Kampala-Wakiso-24h'!N11,'27.07 Kampala-Wakiso-24h'!N11,'28.07 Kampala-wakiso'!N11)</f>
        <v>0</v>
      </c>
      <c r="O11" s="15">
        <f t="shared" si="0"/>
        <v>126.14285714285717</v>
      </c>
      <c r="P11" s="15">
        <f t="shared" si="1"/>
        <v>202.00000000000003</v>
      </c>
      <c r="R11" s="1" t="s">
        <v>7</v>
      </c>
      <c r="S11" s="17">
        <f t="shared" ref="S11:AF11" si="3">SUM(C14:C17)</f>
        <v>163.71428571428572</v>
      </c>
      <c r="T11" s="17">
        <f t="shared" si="3"/>
        <v>144.85714285714286</v>
      </c>
      <c r="U11" s="17">
        <f t="shared" si="3"/>
        <v>50.428571428571431</v>
      </c>
      <c r="V11" s="17">
        <f t="shared" si="3"/>
        <v>210.14285714285714</v>
      </c>
      <c r="W11" s="17">
        <f t="shared" si="3"/>
        <v>14.428571428571429</v>
      </c>
      <c r="X11" s="17">
        <f t="shared" si="3"/>
        <v>2.1428571428571428</v>
      </c>
      <c r="Y11" s="17">
        <f t="shared" si="3"/>
        <v>45.571428571428569</v>
      </c>
      <c r="Z11" s="17">
        <f t="shared" si="3"/>
        <v>6.8571428571428559</v>
      </c>
      <c r="AA11" s="17">
        <f t="shared" si="3"/>
        <v>4.4285714285714288</v>
      </c>
      <c r="AB11" s="17">
        <f t="shared" si="3"/>
        <v>2.8571428571428572</v>
      </c>
      <c r="AC11" s="17">
        <f t="shared" si="3"/>
        <v>360.85714285714283</v>
      </c>
      <c r="AD11" s="17">
        <f t="shared" si="3"/>
        <v>0.2857142857142857</v>
      </c>
      <c r="AE11" s="31">
        <f t="shared" si="3"/>
        <v>645.71428571428567</v>
      </c>
      <c r="AF11" s="31">
        <f t="shared" si="3"/>
        <v>1006.5714285714286</v>
      </c>
    </row>
    <row r="12" spans="2:32" ht="23.1" customHeight="1" x14ac:dyDescent="0.25">
      <c r="B12" s="23" t="s">
        <v>39</v>
      </c>
      <c r="C12" s="49">
        <f>AVERAGE('22.07 Kampala-Wakiso'!C12,'23.07 KAMPALA-WAKISO'!C12,'24.07 Kampala-Wakiso'!C12,'25.07 Kampala-Wakiso'!C12,'26.07 Kampala-Wakiso-24h'!C12,'27.07 Kampala-Wakiso-24h'!C12,'28.07 Kampala-wakiso'!C12)</f>
        <v>35.571428571428569</v>
      </c>
      <c r="D12" s="49">
        <f>AVERAGE('22.07 Kampala-Wakiso'!D12,'23.07 KAMPALA-WAKISO'!D12,'24.07 Kampala-Wakiso'!D12,'25.07 Kampala-Wakiso'!D12,'26.07 Kampala-Wakiso-24h'!D12,'27.07 Kampala-Wakiso-24h'!D12,'28.07 Kampala-wakiso'!D12)</f>
        <v>22</v>
      </c>
      <c r="E12" s="49">
        <f>AVERAGE('22.07 Kampala-Wakiso'!E12,'23.07 KAMPALA-WAKISO'!E12,'24.07 Kampala-Wakiso'!E12,'25.07 Kampala-Wakiso'!E12,'26.07 Kampala-Wakiso-24h'!E12,'27.07 Kampala-Wakiso-24h'!E12,'28.07 Kampala-wakiso'!E12)</f>
        <v>3.8571428571428572</v>
      </c>
      <c r="F12" s="49">
        <f>AVERAGE('22.07 Kampala-Wakiso'!F12,'23.07 KAMPALA-WAKISO'!F12,'24.07 Kampala-Wakiso'!F12,'25.07 Kampala-Wakiso'!F12,'26.07 Kampala-Wakiso-24h'!F12,'27.07 Kampala-Wakiso-24h'!F12,'28.07 Kampala-wakiso'!F12)</f>
        <v>42.142857142857146</v>
      </c>
      <c r="G12" s="49">
        <f>AVERAGE('22.07 Kampala-Wakiso'!G12,'23.07 KAMPALA-WAKISO'!G12,'24.07 Kampala-Wakiso'!G12,'25.07 Kampala-Wakiso'!G12,'26.07 Kampala-Wakiso-24h'!G12,'27.07 Kampala-Wakiso-24h'!G12,'28.07 Kampala-wakiso'!G12)</f>
        <v>3.5714285714285716</v>
      </c>
      <c r="H12" s="49">
        <f>AVERAGE('22.07 Kampala-Wakiso'!H12,'23.07 KAMPALA-WAKISO'!H12,'24.07 Kampala-Wakiso'!H12,'25.07 Kampala-Wakiso'!H12,'26.07 Kampala-Wakiso-24h'!H12,'27.07 Kampala-Wakiso-24h'!H12,'28.07 Kampala-wakiso'!H12)</f>
        <v>1.5714285714285714</v>
      </c>
      <c r="I12" s="49">
        <f>AVERAGE('22.07 Kampala-Wakiso'!I12,'23.07 KAMPALA-WAKISO'!I12,'24.07 Kampala-Wakiso'!I12,'25.07 Kampala-Wakiso'!I12,'26.07 Kampala-Wakiso-24h'!I12,'27.07 Kampala-Wakiso-24h'!I12,'28.07 Kampala-wakiso'!I12)</f>
        <v>14.142857142857142</v>
      </c>
      <c r="J12" s="49">
        <f>AVERAGE('22.07 Kampala-Wakiso'!J12,'23.07 KAMPALA-WAKISO'!J12,'24.07 Kampala-Wakiso'!J12,'25.07 Kampala-Wakiso'!J12,'26.07 Kampala-Wakiso-24h'!J12,'27.07 Kampala-Wakiso-24h'!J12,'28.07 Kampala-wakiso'!J12)</f>
        <v>2.4285714285714284</v>
      </c>
      <c r="K12" s="49">
        <f>AVERAGE('22.07 Kampala-Wakiso'!K12,'23.07 KAMPALA-WAKISO'!K12,'24.07 Kampala-Wakiso'!K12,'25.07 Kampala-Wakiso'!K12,'26.07 Kampala-Wakiso-24h'!K12,'27.07 Kampala-Wakiso-24h'!K12,'28.07 Kampala-wakiso'!K12)</f>
        <v>0.14285714285714285</v>
      </c>
      <c r="L12" s="49">
        <f>AVERAGE('22.07 Kampala-Wakiso'!L12,'23.07 KAMPALA-WAKISO'!L12,'24.07 Kampala-Wakiso'!L12,'25.07 Kampala-Wakiso'!L12,'26.07 Kampala-Wakiso-24h'!L12,'27.07 Kampala-Wakiso-24h'!L12,'28.07 Kampala-wakiso'!L12)</f>
        <v>0.2857142857142857</v>
      </c>
      <c r="M12" s="49">
        <f>AVERAGE('22.07 Kampala-Wakiso'!M12,'23.07 KAMPALA-WAKISO'!M12,'24.07 Kampala-Wakiso'!M12,'25.07 Kampala-Wakiso'!M12,'26.07 Kampala-Wakiso-24h'!M12,'27.07 Kampala-Wakiso-24h'!M12,'28.07 Kampala-wakiso'!M12)</f>
        <v>82.857142857142861</v>
      </c>
      <c r="N12" s="49">
        <f>AVERAGE('22.07 Kampala-Wakiso'!N12,'23.07 KAMPALA-WAKISO'!N12,'24.07 Kampala-Wakiso'!N12,'25.07 Kampala-Wakiso'!N12,'26.07 Kampala-Wakiso-24h'!N12,'27.07 Kampala-Wakiso-24h'!N12,'28.07 Kampala-wakiso'!N12)</f>
        <v>0</v>
      </c>
      <c r="O12" s="15">
        <f t="shared" si="0"/>
        <v>125.71428571428571</v>
      </c>
      <c r="P12" s="15">
        <f t="shared" si="1"/>
        <v>208.57142857142856</v>
      </c>
      <c r="R12" s="1" t="s">
        <v>8</v>
      </c>
      <c r="S12" s="17">
        <f t="shared" ref="S12:AF12" si="4">SUM(C18:C21)</f>
        <v>179.28571428571428</v>
      </c>
      <c r="T12" s="17">
        <f t="shared" si="4"/>
        <v>171.57142857142856</v>
      </c>
      <c r="U12" s="17">
        <f t="shared" si="4"/>
        <v>31.571428571428569</v>
      </c>
      <c r="V12" s="17">
        <f t="shared" si="4"/>
        <v>182.71428571428572</v>
      </c>
      <c r="W12" s="17">
        <f t="shared" si="4"/>
        <v>2.8571428571428572</v>
      </c>
      <c r="X12" s="17">
        <f t="shared" si="4"/>
        <v>0.73809523809523803</v>
      </c>
      <c r="Y12" s="17">
        <f t="shared" si="4"/>
        <v>38</v>
      </c>
      <c r="Z12" s="17">
        <f t="shared" si="4"/>
        <v>5.2857142857142847</v>
      </c>
      <c r="AA12" s="17">
        <f t="shared" si="4"/>
        <v>5.9999999999999991</v>
      </c>
      <c r="AB12" s="17">
        <f t="shared" si="4"/>
        <v>2.2857142857142856</v>
      </c>
      <c r="AC12" s="17">
        <f t="shared" si="4"/>
        <v>308.14285714285717</v>
      </c>
      <c r="AD12" s="17">
        <f t="shared" si="4"/>
        <v>0</v>
      </c>
      <c r="AE12" s="31">
        <f t="shared" si="4"/>
        <v>620.30952380952385</v>
      </c>
      <c r="AF12" s="31">
        <f t="shared" si="4"/>
        <v>928.45238095238085</v>
      </c>
    </row>
    <row r="13" spans="2:32" ht="23.1" customHeight="1" x14ac:dyDescent="0.25">
      <c r="B13" s="23" t="s">
        <v>40</v>
      </c>
      <c r="C13" s="49">
        <f>AVERAGE('22.07 Kampala-Wakiso'!C13,'23.07 KAMPALA-WAKISO'!C13,'24.07 Kampala-Wakiso'!C13,'25.07 Kampala-Wakiso'!C13,'26.07 Kampala-Wakiso-24h'!C13,'27.07 Kampala-Wakiso-24h'!C13,'28.07 Kampala-wakiso'!C13)</f>
        <v>32.714285714285715</v>
      </c>
      <c r="D13" s="49">
        <f>AVERAGE('22.07 Kampala-Wakiso'!D13,'23.07 KAMPALA-WAKISO'!D13,'24.07 Kampala-Wakiso'!D13,'25.07 Kampala-Wakiso'!D13,'26.07 Kampala-Wakiso-24h'!D13,'27.07 Kampala-Wakiso-24h'!D13,'28.07 Kampala-wakiso'!D13)</f>
        <v>26.285714285714285</v>
      </c>
      <c r="E13" s="49">
        <f>AVERAGE('22.07 Kampala-Wakiso'!E13,'23.07 KAMPALA-WAKISO'!E13,'24.07 Kampala-Wakiso'!E13,'25.07 Kampala-Wakiso'!E13,'26.07 Kampala-Wakiso-24h'!E13,'27.07 Kampala-Wakiso-24h'!E13,'28.07 Kampala-wakiso'!E13)</f>
        <v>6.7142857142857144</v>
      </c>
      <c r="F13" s="49">
        <f>AVERAGE('22.07 Kampala-Wakiso'!F13,'23.07 KAMPALA-WAKISO'!F13,'24.07 Kampala-Wakiso'!F13,'25.07 Kampala-Wakiso'!F13,'26.07 Kampala-Wakiso-24h'!F13,'27.07 Kampala-Wakiso-24h'!F13,'28.07 Kampala-wakiso'!F13)</f>
        <v>139.57142857142858</v>
      </c>
      <c r="G13" s="49">
        <f>AVERAGE('22.07 Kampala-Wakiso'!G13,'23.07 KAMPALA-WAKISO'!G13,'24.07 Kampala-Wakiso'!G13,'25.07 Kampala-Wakiso'!G13,'26.07 Kampala-Wakiso-24h'!G13,'27.07 Kampala-Wakiso-24h'!G13,'28.07 Kampala-wakiso'!G13)</f>
        <v>4</v>
      </c>
      <c r="H13" s="49">
        <f>AVERAGE('22.07 Kampala-Wakiso'!H13,'23.07 KAMPALA-WAKISO'!H13,'24.07 Kampala-Wakiso'!H13,'25.07 Kampala-Wakiso'!H13,'26.07 Kampala-Wakiso-24h'!H13,'27.07 Kampala-Wakiso-24h'!H13,'28.07 Kampala-wakiso'!H13)</f>
        <v>0.7142857142857143</v>
      </c>
      <c r="I13" s="49">
        <f>AVERAGE('22.07 Kampala-Wakiso'!I13,'23.07 KAMPALA-WAKISO'!I13,'24.07 Kampala-Wakiso'!I13,'25.07 Kampala-Wakiso'!I13,'26.07 Kampala-Wakiso-24h'!I13,'27.07 Kampala-Wakiso-24h'!I13,'28.07 Kampala-wakiso'!I13)</f>
        <v>9</v>
      </c>
      <c r="J13" s="49">
        <f>AVERAGE('22.07 Kampala-Wakiso'!J13,'23.07 KAMPALA-WAKISO'!J13,'24.07 Kampala-Wakiso'!J13,'25.07 Kampala-Wakiso'!J13,'26.07 Kampala-Wakiso-24h'!J13,'27.07 Kampala-Wakiso-24h'!J13,'28.07 Kampala-wakiso'!J13)</f>
        <v>2.7142857142857144</v>
      </c>
      <c r="K13" s="49">
        <f>AVERAGE('22.07 Kampala-Wakiso'!K13,'23.07 KAMPALA-WAKISO'!K13,'24.07 Kampala-Wakiso'!K13,'25.07 Kampala-Wakiso'!K13,'26.07 Kampala-Wakiso-24h'!K13,'27.07 Kampala-Wakiso-24h'!K13,'28.07 Kampala-wakiso'!K13)</f>
        <v>0.2857142857142857</v>
      </c>
      <c r="L13" s="49">
        <f>AVERAGE('22.07 Kampala-Wakiso'!L13,'23.07 KAMPALA-WAKISO'!L13,'24.07 Kampala-Wakiso'!L13,'25.07 Kampala-Wakiso'!L13,'26.07 Kampala-Wakiso-24h'!L13,'27.07 Kampala-Wakiso-24h'!L13,'28.07 Kampala-wakiso'!L13)</f>
        <v>0.5714285714285714</v>
      </c>
      <c r="M13" s="49">
        <f>AVERAGE('22.07 Kampala-Wakiso'!M13,'23.07 KAMPALA-WAKISO'!M13,'24.07 Kampala-Wakiso'!M13,'25.07 Kampala-Wakiso'!M13,'26.07 Kampala-Wakiso-24h'!M13,'27.07 Kampala-Wakiso-24h'!M13,'28.07 Kampala-wakiso'!M13)</f>
        <v>71.714285714285708</v>
      </c>
      <c r="N13" s="49">
        <f>AVERAGE('22.07 Kampala-Wakiso'!N13,'23.07 KAMPALA-WAKISO'!N13,'24.07 Kampala-Wakiso'!N13,'25.07 Kampala-Wakiso'!N13,'26.07 Kampala-Wakiso-24h'!N13,'27.07 Kampala-Wakiso-24h'!N13,'28.07 Kampala-wakiso'!N13)</f>
        <v>0</v>
      </c>
      <c r="O13" s="15">
        <f t="shared" si="0"/>
        <v>222.57142857142858</v>
      </c>
      <c r="P13" s="15">
        <f t="shared" si="1"/>
        <v>294.28571428571428</v>
      </c>
      <c r="R13" s="1" t="s">
        <v>9</v>
      </c>
      <c r="S13" s="17">
        <f t="shared" ref="S13:AF13" si="5">SUM(C22:C25)</f>
        <v>192.85714285714286</v>
      </c>
      <c r="T13" s="17">
        <f t="shared" si="5"/>
        <v>183</v>
      </c>
      <c r="U13" s="17">
        <f t="shared" si="5"/>
        <v>40.142857142857139</v>
      </c>
      <c r="V13" s="17">
        <f t="shared" si="5"/>
        <v>201.57142857142856</v>
      </c>
      <c r="W13" s="17">
        <f t="shared" si="5"/>
        <v>2.7142857142857144</v>
      </c>
      <c r="X13" s="17">
        <f t="shared" si="5"/>
        <v>0.99999999999999989</v>
      </c>
      <c r="Y13" s="17">
        <f t="shared" si="5"/>
        <v>51.428571428571423</v>
      </c>
      <c r="Z13" s="17">
        <f t="shared" si="5"/>
        <v>11.142857142857142</v>
      </c>
      <c r="AA13" s="17">
        <f t="shared" si="5"/>
        <v>3.5714285714285712</v>
      </c>
      <c r="AB13" s="17">
        <f t="shared" si="5"/>
        <v>3</v>
      </c>
      <c r="AC13" s="17">
        <f t="shared" si="5"/>
        <v>335.85714285714289</v>
      </c>
      <c r="AD13" s="17">
        <f t="shared" si="5"/>
        <v>0</v>
      </c>
      <c r="AE13" s="31">
        <f t="shared" si="5"/>
        <v>690.42857142857144</v>
      </c>
      <c r="AF13" s="31">
        <f t="shared" si="5"/>
        <v>1026.2857142857144</v>
      </c>
    </row>
    <row r="14" spans="2:32" ht="23.1" customHeight="1" x14ac:dyDescent="0.25">
      <c r="B14" s="23" t="s">
        <v>41</v>
      </c>
      <c r="C14" s="49">
        <f>AVERAGE('22.07 Kampala-Wakiso'!C14,'23.07 KAMPALA-WAKISO'!C14,'24.07 Kampala-Wakiso'!C14,'25.07 Kampala-Wakiso'!C14,'26.07 Kampala-Wakiso-24h'!C14,'27.07 Kampala-Wakiso-24h'!C14,'28.07 Kampala-wakiso'!C14)</f>
        <v>35</v>
      </c>
      <c r="D14" s="49">
        <f>AVERAGE('22.07 Kampala-Wakiso'!D14,'23.07 KAMPALA-WAKISO'!D14,'24.07 Kampala-Wakiso'!D14,'25.07 Kampala-Wakiso'!D14,'26.07 Kampala-Wakiso-24h'!D14,'27.07 Kampala-Wakiso-24h'!D14,'28.07 Kampala-wakiso'!D14)</f>
        <v>32.571428571428569</v>
      </c>
      <c r="E14" s="49">
        <f>AVERAGE('22.07 Kampala-Wakiso'!E14,'23.07 KAMPALA-WAKISO'!E14,'24.07 Kampala-Wakiso'!E14,'25.07 Kampala-Wakiso'!E14,'26.07 Kampala-Wakiso-24h'!E14,'27.07 Kampala-Wakiso-24h'!E14,'28.07 Kampala-wakiso'!E14)</f>
        <v>9.5714285714285712</v>
      </c>
      <c r="F14" s="49">
        <f>AVERAGE('22.07 Kampala-Wakiso'!F14,'23.07 KAMPALA-WAKISO'!F14,'24.07 Kampala-Wakiso'!F14,'25.07 Kampala-Wakiso'!F14,'26.07 Kampala-Wakiso-24h'!F14,'27.07 Kampala-Wakiso-24h'!F14,'28.07 Kampala-wakiso'!F14)</f>
        <v>49.857142857142854</v>
      </c>
      <c r="G14" s="49">
        <f>AVERAGE('22.07 Kampala-Wakiso'!G14,'23.07 KAMPALA-WAKISO'!G14,'24.07 Kampala-Wakiso'!G14,'25.07 Kampala-Wakiso'!G14,'26.07 Kampala-Wakiso-24h'!G14,'27.07 Kampala-Wakiso-24h'!G14,'28.07 Kampala-wakiso'!G14)</f>
        <v>3.4285714285714284</v>
      </c>
      <c r="H14" s="49">
        <f>AVERAGE('22.07 Kampala-Wakiso'!H14,'23.07 KAMPALA-WAKISO'!H14,'24.07 Kampala-Wakiso'!H14,'25.07 Kampala-Wakiso'!H14,'26.07 Kampala-Wakiso-24h'!H14,'27.07 Kampala-Wakiso-24h'!H14,'28.07 Kampala-wakiso'!H14)</f>
        <v>0.14285714285714285</v>
      </c>
      <c r="I14" s="49">
        <f>AVERAGE('22.07 Kampala-Wakiso'!I14,'23.07 KAMPALA-WAKISO'!I14,'24.07 Kampala-Wakiso'!I14,'25.07 Kampala-Wakiso'!I14,'26.07 Kampala-Wakiso-24h'!I14,'27.07 Kampala-Wakiso-24h'!I14,'28.07 Kampala-wakiso'!I14)</f>
        <v>11.142857142857142</v>
      </c>
      <c r="J14" s="49">
        <f>AVERAGE('22.07 Kampala-Wakiso'!J14,'23.07 KAMPALA-WAKISO'!J14,'24.07 Kampala-Wakiso'!J14,'25.07 Kampala-Wakiso'!J14,'26.07 Kampala-Wakiso-24h'!J14,'27.07 Kampala-Wakiso-24h'!J14,'28.07 Kampala-wakiso'!J14)</f>
        <v>2.7142857142857144</v>
      </c>
      <c r="K14" s="49">
        <f>AVERAGE('22.07 Kampala-Wakiso'!K14,'23.07 KAMPALA-WAKISO'!K14,'24.07 Kampala-Wakiso'!K14,'25.07 Kampala-Wakiso'!K14,'26.07 Kampala-Wakiso-24h'!K14,'27.07 Kampala-Wakiso-24h'!K14,'28.07 Kampala-wakiso'!K14)</f>
        <v>0.8571428571428571</v>
      </c>
      <c r="L14" s="49">
        <f>AVERAGE('22.07 Kampala-Wakiso'!L14,'23.07 KAMPALA-WAKISO'!L14,'24.07 Kampala-Wakiso'!L14,'25.07 Kampala-Wakiso'!L14,'26.07 Kampala-Wakiso-24h'!L14,'27.07 Kampala-Wakiso-24h'!L14,'28.07 Kampala-wakiso'!L14)</f>
        <v>0.2857142857142857</v>
      </c>
      <c r="M14" s="49">
        <f>AVERAGE('22.07 Kampala-Wakiso'!M14,'23.07 KAMPALA-WAKISO'!M14,'24.07 Kampala-Wakiso'!M14,'25.07 Kampala-Wakiso'!M14,'26.07 Kampala-Wakiso-24h'!M14,'27.07 Kampala-Wakiso-24h'!M14,'28.07 Kampala-wakiso'!M14)</f>
        <v>94.714285714285708</v>
      </c>
      <c r="N14" s="49">
        <f>AVERAGE('22.07 Kampala-Wakiso'!N14,'23.07 KAMPALA-WAKISO'!N14,'24.07 Kampala-Wakiso'!N14,'25.07 Kampala-Wakiso'!N14,'26.07 Kampala-Wakiso-24h'!N14,'27.07 Kampala-Wakiso-24h'!N14,'28.07 Kampala-wakiso'!N14)</f>
        <v>0.14285714285714285</v>
      </c>
      <c r="O14" s="15">
        <f t="shared" si="0"/>
        <v>145.71428571428569</v>
      </c>
      <c r="P14" s="15">
        <f t="shared" si="1"/>
        <v>240.42857142857142</v>
      </c>
      <c r="R14" s="1" t="s">
        <v>10</v>
      </c>
      <c r="S14" s="17">
        <f t="shared" ref="S14:AF14" si="6">SUM(C26:C29)</f>
        <v>191.00000000000003</v>
      </c>
      <c r="T14" s="17">
        <f t="shared" si="6"/>
        <v>153.14285714285714</v>
      </c>
      <c r="U14" s="17">
        <f t="shared" si="6"/>
        <v>33</v>
      </c>
      <c r="V14" s="17">
        <f t="shared" si="6"/>
        <v>197.85714285714286</v>
      </c>
      <c r="W14" s="17">
        <f t="shared" si="6"/>
        <v>1.4285714285714286</v>
      </c>
      <c r="X14" s="17">
        <f t="shared" si="6"/>
        <v>0.71428571428571419</v>
      </c>
      <c r="Y14" s="17">
        <f t="shared" si="6"/>
        <v>38.285714285714285</v>
      </c>
      <c r="Z14" s="17">
        <f t="shared" si="6"/>
        <v>14.428571428571429</v>
      </c>
      <c r="AA14" s="17">
        <f t="shared" si="6"/>
        <v>7</v>
      </c>
      <c r="AB14" s="17">
        <f t="shared" si="6"/>
        <v>15.571428571428571</v>
      </c>
      <c r="AC14" s="17">
        <f t="shared" si="6"/>
        <v>332.14285714285711</v>
      </c>
      <c r="AD14" s="17">
        <f t="shared" si="6"/>
        <v>0</v>
      </c>
      <c r="AE14" s="31">
        <f t="shared" si="6"/>
        <v>652.42857142857144</v>
      </c>
      <c r="AF14" s="31">
        <f t="shared" si="6"/>
        <v>984.57142857142844</v>
      </c>
    </row>
    <row r="15" spans="2:32" ht="23.1" customHeight="1" x14ac:dyDescent="0.25">
      <c r="B15" s="23" t="s">
        <v>42</v>
      </c>
      <c r="C15" s="49">
        <f>AVERAGE('22.07 Kampala-Wakiso'!C15,'23.07 KAMPALA-WAKISO'!C15,'24.07 Kampala-Wakiso'!C15,'25.07 Kampala-Wakiso'!C15,'26.07 Kampala-Wakiso-24h'!C15,'27.07 Kampala-Wakiso-24h'!C15,'28.07 Kampala-wakiso'!C15)</f>
        <v>40.142857142857146</v>
      </c>
      <c r="D15" s="49">
        <f>AVERAGE('22.07 Kampala-Wakiso'!D15,'23.07 KAMPALA-WAKISO'!D15,'24.07 Kampala-Wakiso'!D15,'25.07 Kampala-Wakiso'!D15,'26.07 Kampala-Wakiso-24h'!D15,'27.07 Kampala-Wakiso-24h'!D15,'28.07 Kampala-wakiso'!D15)</f>
        <v>46.571428571428569</v>
      </c>
      <c r="E15" s="49">
        <f>AVERAGE('22.07 Kampala-Wakiso'!E15,'23.07 KAMPALA-WAKISO'!E15,'24.07 Kampala-Wakiso'!E15,'25.07 Kampala-Wakiso'!E15,'26.07 Kampala-Wakiso-24h'!E15,'27.07 Kampala-Wakiso-24h'!E15,'28.07 Kampala-wakiso'!E15)</f>
        <v>11.857142857142858</v>
      </c>
      <c r="F15" s="49">
        <f>AVERAGE('22.07 Kampala-Wakiso'!F15,'23.07 KAMPALA-WAKISO'!F15,'24.07 Kampala-Wakiso'!F15,'25.07 Kampala-Wakiso'!F15,'26.07 Kampala-Wakiso-24h'!F15,'27.07 Kampala-Wakiso-24h'!F15,'28.07 Kampala-wakiso'!F15)</f>
        <v>53.714285714285715</v>
      </c>
      <c r="G15" s="49">
        <f>AVERAGE('22.07 Kampala-Wakiso'!G15,'23.07 KAMPALA-WAKISO'!G15,'24.07 Kampala-Wakiso'!G15,'25.07 Kampala-Wakiso'!G15,'26.07 Kampala-Wakiso-24h'!G15,'27.07 Kampala-Wakiso-24h'!G15,'28.07 Kampala-wakiso'!G15)</f>
        <v>4.2857142857142856</v>
      </c>
      <c r="H15" s="49">
        <f>AVERAGE('22.07 Kampala-Wakiso'!H15,'23.07 KAMPALA-WAKISO'!H15,'24.07 Kampala-Wakiso'!H15,'25.07 Kampala-Wakiso'!H15,'26.07 Kampala-Wakiso-24h'!H15,'27.07 Kampala-Wakiso-24h'!H15,'28.07 Kampala-wakiso'!H15)</f>
        <v>0.2857142857142857</v>
      </c>
      <c r="I15" s="49">
        <f>AVERAGE('22.07 Kampala-Wakiso'!I15,'23.07 KAMPALA-WAKISO'!I15,'24.07 Kampala-Wakiso'!I15,'25.07 Kampala-Wakiso'!I15,'26.07 Kampala-Wakiso-24h'!I15,'27.07 Kampala-Wakiso-24h'!I15,'28.07 Kampala-wakiso'!I15)</f>
        <v>12</v>
      </c>
      <c r="J15" s="49">
        <f>AVERAGE('22.07 Kampala-Wakiso'!J15,'23.07 KAMPALA-WAKISO'!J15,'24.07 Kampala-Wakiso'!J15,'25.07 Kampala-Wakiso'!J15,'26.07 Kampala-Wakiso-24h'!J15,'27.07 Kampala-Wakiso-24h'!J15,'28.07 Kampala-wakiso'!J15)</f>
        <v>1.8571428571428572</v>
      </c>
      <c r="K15" s="49">
        <f>AVERAGE('22.07 Kampala-Wakiso'!K15,'23.07 KAMPALA-WAKISO'!K15,'24.07 Kampala-Wakiso'!K15,'25.07 Kampala-Wakiso'!K15,'26.07 Kampala-Wakiso-24h'!K15,'27.07 Kampala-Wakiso-24h'!K15,'28.07 Kampala-wakiso'!K15)</f>
        <v>1.8571428571428572</v>
      </c>
      <c r="L15" s="49">
        <f>AVERAGE('22.07 Kampala-Wakiso'!L15,'23.07 KAMPALA-WAKISO'!L15,'24.07 Kampala-Wakiso'!L15,'25.07 Kampala-Wakiso'!L15,'26.07 Kampala-Wakiso-24h'!L15,'27.07 Kampala-Wakiso-24h'!L15,'28.07 Kampala-wakiso'!L15)</f>
        <v>0.7142857142857143</v>
      </c>
      <c r="M15" s="49">
        <f>AVERAGE('22.07 Kampala-Wakiso'!M15,'23.07 KAMPALA-WAKISO'!M15,'24.07 Kampala-Wakiso'!M15,'25.07 Kampala-Wakiso'!M15,'26.07 Kampala-Wakiso-24h'!M15,'27.07 Kampala-Wakiso-24h'!M15,'28.07 Kampala-wakiso'!M15)</f>
        <v>94.571428571428569</v>
      </c>
      <c r="N15" s="49">
        <f>AVERAGE('22.07 Kampala-Wakiso'!N15,'23.07 KAMPALA-WAKISO'!N15,'24.07 Kampala-Wakiso'!N15,'25.07 Kampala-Wakiso'!N15,'26.07 Kampala-Wakiso-24h'!N15,'27.07 Kampala-Wakiso-24h'!N15,'28.07 Kampala-wakiso'!N15)</f>
        <v>0.14285714285714285</v>
      </c>
      <c r="O15" s="15">
        <f t="shared" si="0"/>
        <v>173.42857142857144</v>
      </c>
      <c r="P15" s="15">
        <f t="shared" si="1"/>
        <v>268.00000000000006</v>
      </c>
      <c r="R15" s="1" t="s">
        <v>11</v>
      </c>
      <c r="S15" s="17">
        <f t="shared" ref="S15:AF15" si="7">SUM(C30:C33)</f>
        <v>158.57142857142858</v>
      </c>
      <c r="T15" s="17">
        <f t="shared" si="7"/>
        <v>147.14285714285714</v>
      </c>
      <c r="U15" s="17">
        <f t="shared" si="7"/>
        <v>30.571428571428569</v>
      </c>
      <c r="V15" s="17">
        <f t="shared" si="7"/>
        <v>171.85714285714286</v>
      </c>
      <c r="W15" s="17">
        <f t="shared" si="7"/>
        <v>0.42857142857142855</v>
      </c>
      <c r="X15" s="17">
        <f t="shared" si="7"/>
        <v>0.8571428571428571</v>
      </c>
      <c r="Y15" s="17">
        <f t="shared" si="7"/>
        <v>59.000000000000007</v>
      </c>
      <c r="Z15" s="17">
        <f t="shared" si="7"/>
        <v>5.8571428571428568</v>
      </c>
      <c r="AA15" s="17">
        <f t="shared" si="7"/>
        <v>2.4285714285714284</v>
      </c>
      <c r="AB15" s="17">
        <f t="shared" si="7"/>
        <v>4.7142857142857135</v>
      </c>
      <c r="AC15" s="17">
        <f t="shared" si="7"/>
        <v>309.14285714285717</v>
      </c>
      <c r="AD15" s="17">
        <f t="shared" si="7"/>
        <v>0</v>
      </c>
      <c r="AE15" s="31">
        <f t="shared" si="7"/>
        <v>581.42857142857133</v>
      </c>
      <c r="AF15" s="31">
        <f t="shared" si="7"/>
        <v>890.57142857142856</v>
      </c>
    </row>
    <row r="16" spans="2:32" ht="23.1" customHeight="1" x14ac:dyDescent="0.25">
      <c r="B16" s="23" t="s">
        <v>43</v>
      </c>
      <c r="C16" s="49">
        <f>AVERAGE('22.07 Kampala-Wakiso'!C16,'23.07 KAMPALA-WAKISO'!C16,'24.07 Kampala-Wakiso'!C16,'25.07 Kampala-Wakiso'!C16,'26.07 Kampala-Wakiso-24h'!C16,'27.07 Kampala-Wakiso-24h'!C16,'28.07 Kampala-wakiso'!C16)</f>
        <v>42.428571428571431</v>
      </c>
      <c r="D16" s="49">
        <f>AVERAGE('22.07 Kampala-Wakiso'!D16,'23.07 KAMPALA-WAKISO'!D16,'24.07 Kampala-Wakiso'!D16,'25.07 Kampala-Wakiso'!D16,'26.07 Kampala-Wakiso-24h'!D16,'27.07 Kampala-Wakiso-24h'!D16,'28.07 Kampala-wakiso'!D16)</f>
        <v>36.142857142857146</v>
      </c>
      <c r="E16" s="49">
        <f>AVERAGE('22.07 Kampala-Wakiso'!E16,'23.07 KAMPALA-WAKISO'!E16,'24.07 Kampala-Wakiso'!E16,'25.07 Kampala-Wakiso'!E16,'26.07 Kampala-Wakiso-24h'!E16,'27.07 Kampala-Wakiso-24h'!E16,'28.07 Kampala-wakiso'!E16)</f>
        <v>12.857142857142858</v>
      </c>
      <c r="F16" s="49">
        <f>AVERAGE('22.07 Kampala-Wakiso'!F16,'23.07 KAMPALA-WAKISO'!F16,'24.07 Kampala-Wakiso'!F16,'25.07 Kampala-Wakiso'!F16,'26.07 Kampala-Wakiso-24h'!F16,'27.07 Kampala-Wakiso-24h'!F16,'28.07 Kampala-wakiso'!F16)</f>
        <v>56.571428571428569</v>
      </c>
      <c r="G16" s="49">
        <f>AVERAGE('22.07 Kampala-Wakiso'!G16,'23.07 KAMPALA-WAKISO'!G16,'24.07 Kampala-Wakiso'!G16,'25.07 Kampala-Wakiso'!G16,'26.07 Kampala-Wakiso-24h'!G16,'27.07 Kampala-Wakiso-24h'!G16,'28.07 Kampala-wakiso'!G16)</f>
        <v>3.2857142857142856</v>
      </c>
      <c r="H16" s="49">
        <f>AVERAGE('22.07 Kampala-Wakiso'!H16,'23.07 KAMPALA-WAKISO'!H16,'24.07 Kampala-Wakiso'!H16,'25.07 Kampala-Wakiso'!H16,'26.07 Kampala-Wakiso-24h'!H16,'27.07 Kampala-Wakiso-24h'!H16,'28.07 Kampala-wakiso'!H16)</f>
        <v>0.2857142857142857</v>
      </c>
      <c r="I16" s="49">
        <f>AVERAGE('22.07 Kampala-Wakiso'!I16,'23.07 KAMPALA-WAKISO'!I16,'24.07 Kampala-Wakiso'!I16,'25.07 Kampala-Wakiso'!I16,'26.07 Kampala-Wakiso-24h'!I16,'27.07 Kampala-Wakiso-24h'!I16,'28.07 Kampala-wakiso'!I16)</f>
        <v>13.714285714285714</v>
      </c>
      <c r="J16" s="49">
        <f>AVERAGE('22.07 Kampala-Wakiso'!J16,'23.07 KAMPALA-WAKISO'!J16,'24.07 Kampala-Wakiso'!J16,'25.07 Kampala-Wakiso'!J16,'26.07 Kampala-Wakiso-24h'!J16,'27.07 Kampala-Wakiso-24h'!J16,'28.07 Kampala-wakiso'!J16)</f>
        <v>1.1428571428571428</v>
      </c>
      <c r="K16" s="49">
        <f>AVERAGE('22.07 Kampala-Wakiso'!K16,'23.07 KAMPALA-WAKISO'!K16,'24.07 Kampala-Wakiso'!K16,'25.07 Kampala-Wakiso'!K16,'26.07 Kampala-Wakiso-24h'!K16,'27.07 Kampala-Wakiso-24h'!K16,'28.07 Kampala-wakiso'!K16)</f>
        <v>0.7142857142857143</v>
      </c>
      <c r="L16" s="49">
        <f>AVERAGE('22.07 Kampala-Wakiso'!L16,'23.07 KAMPALA-WAKISO'!L16,'24.07 Kampala-Wakiso'!L16,'25.07 Kampala-Wakiso'!L16,'26.07 Kampala-Wakiso-24h'!L16,'27.07 Kampala-Wakiso-24h'!L16,'28.07 Kampala-wakiso'!L16)</f>
        <v>1</v>
      </c>
      <c r="M16" s="49">
        <f>AVERAGE('22.07 Kampala-Wakiso'!M16,'23.07 KAMPALA-WAKISO'!M16,'24.07 Kampala-Wakiso'!M16,'25.07 Kampala-Wakiso'!M16,'26.07 Kampala-Wakiso-24h'!M16,'27.07 Kampala-Wakiso-24h'!M16,'28.07 Kampala-wakiso'!M16)</f>
        <v>106</v>
      </c>
      <c r="N16" s="49">
        <f>AVERAGE('22.07 Kampala-Wakiso'!N16,'23.07 KAMPALA-WAKISO'!N16,'24.07 Kampala-Wakiso'!N16,'25.07 Kampala-Wakiso'!N16,'26.07 Kampala-Wakiso-24h'!N16,'27.07 Kampala-Wakiso-24h'!N16,'28.07 Kampala-wakiso'!N16)</f>
        <v>0</v>
      </c>
      <c r="O16" s="15">
        <f t="shared" si="0"/>
        <v>168.14285714285714</v>
      </c>
      <c r="P16" s="15">
        <f t="shared" si="1"/>
        <v>274.14285714285711</v>
      </c>
      <c r="R16" s="1" t="s">
        <v>12</v>
      </c>
      <c r="S16" s="17">
        <f t="shared" ref="S16:AF16" si="8">SUM(C34:C37)</f>
        <v>171.28571428571428</v>
      </c>
      <c r="T16" s="17">
        <f t="shared" si="8"/>
        <v>134.42857142857144</v>
      </c>
      <c r="U16" s="17">
        <f t="shared" si="8"/>
        <v>24.285714285714285</v>
      </c>
      <c r="V16" s="17">
        <f t="shared" si="8"/>
        <v>187.57142857142858</v>
      </c>
      <c r="W16" s="17">
        <f t="shared" si="8"/>
        <v>3</v>
      </c>
      <c r="X16" s="17">
        <f t="shared" si="8"/>
        <v>4.8571428571428577</v>
      </c>
      <c r="Y16" s="17">
        <f t="shared" si="8"/>
        <v>45.285714285714292</v>
      </c>
      <c r="Z16" s="17">
        <f t="shared" si="8"/>
        <v>5.2857142857142865</v>
      </c>
      <c r="AA16" s="17">
        <f t="shared" si="8"/>
        <v>4.1428571428571423</v>
      </c>
      <c r="AB16" s="17">
        <f t="shared" si="8"/>
        <v>8</v>
      </c>
      <c r="AC16" s="17">
        <f t="shared" si="8"/>
        <v>329.14285714285717</v>
      </c>
      <c r="AD16" s="17">
        <f t="shared" si="8"/>
        <v>0</v>
      </c>
      <c r="AE16" s="31">
        <f t="shared" si="8"/>
        <v>588.14285714285711</v>
      </c>
      <c r="AF16" s="31">
        <f t="shared" si="8"/>
        <v>917.28571428571422</v>
      </c>
    </row>
    <row r="17" spans="2:32" ht="23.1" customHeight="1" x14ac:dyDescent="0.25">
      <c r="B17" s="23" t="s">
        <v>44</v>
      </c>
      <c r="C17" s="49">
        <f>AVERAGE('22.07 Kampala-Wakiso'!C17,'23.07 KAMPALA-WAKISO'!C17,'24.07 Kampala-Wakiso'!C17,'25.07 Kampala-Wakiso'!C17,'26.07 Kampala-Wakiso-24h'!C17,'27.07 Kampala-Wakiso-24h'!C17,'28.07 Kampala-wakiso'!C17)</f>
        <v>46.142857142857146</v>
      </c>
      <c r="D17" s="49">
        <f>AVERAGE('22.07 Kampala-Wakiso'!D17,'23.07 KAMPALA-WAKISO'!D17,'24.07 Kampala-Wakiso'!D17,'25.07 Kampala-Wakiso'!D17,'26.07 Kampala-Wakiso-24h'!D17,'27.07 Kampala-Wakiso-24h'!D17,'28.07 Kampala-wakiso'!D17)</f>
        <v>29.571428571428573</v>
      </c>
      <c r="E17" s="49">
        <f>AVERAGE('22.07 Kampala-Wakiso'!E17,'23.07 KAMPALA-WAKISO'!E17,'24.07 Kampala-Wakiso'!E17,'25.07 Kampala-Wakiso'!E17,'26.07 Kampala-Wakiso-24h'!E17,'27.07 Kampala-Wakiso-24h'!E17,'28.07 Kampala-wakiso'!E17)</f>
        <v>16.142857142857142</v>
      </c>
      <c r="F17" s="49">
        <f>AVERAGE('22.07 Kampala-Wakiso'!F17,'23.07 KAMPALA-WAKISO'!F17,'24.07 Kampala-Wakiso'!F17,'25.07 Kampala-Wakiso'!F17,'26.07 Kampala-Wakiso-24h'!F17,'27.07 Kampala-Wakiso-24h'!F17,'28.07 Kampala-wakiso'!F17)</f>
        <v>50</v>
      </c>
      <c r="G17" s="49">
        <f>AVERAGE('22.07 Kampala-Wakiso'!G17,'23.07 KAMPALA-WAKISO'!G17,'24.07 Kampala-Wakiso'!G17,'25.07 Kampala-Wakiso'!G17,'26.07 Kampala-Wakiso-24h'!G17,'27.07 Kampala-Wakiso-24h'!G17,'28.07 Kampala-wakiso'!G17)</f>
        <v>3.4285714285714284</v>
      </c>
      <c r="H17" s="49">
        <f>AVERAGE('22.07 Kampala-Wakiso'!H17,'23.07 KAMPALA-WAKISO'!H17,'24.07 Kampala-Wakiso'!H17,'25.07 Kampala-Wakiso'!H17,'26.07 Kampala-Wakiso-24h'!H17,'27.07 Kampala-Wakiso-24h'!H17,'28.07 Kampala-wakiso'!H17)</f>
        <v>1.4285714285714286</v>
      </c>
      <c r="I17" s="49">
        <f>AVERAGE('22.07 Kampala-Wakiso'!I17,'23.07 KAMPALA-WAKISO'!I17,'24.07 Kampala-Wakiso'!I17,'25.07 Kampala-Wakiso'!I17,'26.07 Kampala-Wakiso-24h'!I17,'27.07 Kampala-Wakiso-24h'!I17,'28.07 Kampala-wakiso'!I17)</f>
        <v>8.7142857142857135</v>
      </c>
      <c r="J17" s="49">
        <f>AVERAGE('22.07 Kampala-Wakiso'!J17,'23.07 KAMPALA-WAKISO'!J17,'24.07 Kampala-Wakiso'!J17,'25.07 Kampala-Wakiso'!J17,'26.07 Kampala-Wakiso-24h'!J17,'27.07 Kampala-Wakiso-24h'!J17,'28.07 Kampala-wakiso'!J17)</f>
        <v>1.1428571428571428</v>
      </c>
      <c r="K17" s="49">
        <f>AVERAGE('22.07 Kampala-Wakiso'!K17,'23.07 KAMPALA-WAKISO'!K17,'24.07 Kampala-Wakiso'!K17,'25.07 Kampala-Wakiso'!K17,'26.07 Kampala-Wakiso-24h'!K17,'27.07 Kampala-Wakiso-24h'!K17,'28.07 Kampala-wakiso'!K17)</f>
        <v>1</v>
      </c>
      <c r="L17" s="49">
        <f>AVERAGE('22.07 Kampala-Wakiso'!L17,'23.07 KAMPALA-WAKISO'!L17,'24.07 Kampala-Wakiso'!L17,'25.07 Kampala-Wakiso'!L17,'26.07 Kampala-Wakiso-24h'!L17,'27.07 Kampala-Wakiso-24h'!L17,'28.07 Kampala-wakiso'!L17)</f>
        <v>0.8571428571428571</v>
      </c>
      <c r="M17" s="49">
        <f>AVERAGE('22.07 Kampala-Wakiso'!M17,'23.07 KAMPALA-WAKISO'!M17,'24.07 Kampala-Wakiso'!M17,'25.07 Kampala-Wakiso'!M17,'26.07 Kampala-Wakiso-24h'!M17,'27.07 Kampala-Wakiso-24h'!M17,'28.07 Kampala-wakiso'!M17)</f>
        <v>65.571428571428569</v>
      </c>
      <c r="N17" s="49">
        <f>AVERAGE('22.07 Kampala-Wakiso'!N17,'23.07 KAMPALA-WAKISO'!N17,'24.07 Kampala-Wakiso'!N17,'25.07 Kampala-Wakiso'!N17,'26.07 Kampala-Wakiso-24h'!N17,'27.07 Kampala-Wakiso-24h'!N17,'28.07 Kampala-wakiso'!N17)</f>
        <v>0</v>
      </c>
      <c r="O17" s="15">
        <f t="shared" si="0"/>
        <v>158.42857142857142</v>
      </c>
      <c r="P17" s="15">
        <f t="shared" si="1"/>
        <v>224</v>
      </c>
      <c r="R17" s="1" t="s">
        <v>13</v>
      </c>
      <c r="S17" s="17">
        <f t="shared" ref="S17:AF17" si="9">SUM(C38:C41)</f>
        <v>163.14285714285717</v>
      </c>
      <c r="T17" s="17">
        <f t="shared" si="9"/>
        <v>169.42857142857142</v>
      </c>
      <c r="U17" s="17">
        <f t="shared" si="9"/>
        <v>35.285714285714285</v>
      </c>
      <c r="V17" s="17">
        <f t="shared" si="9"/>
        <v>163.42857142857144</v>
      </c>
      <c r="W17" s="17">
        <f t="shared" si="9"/>
        <v>2.4285714285714284</v>
      </c>
      <c r="X17" s="17">
        <f t="shared" si="9"/>
        <v>1.857142857142857</v>
      </c>
      <c r="Y17" s="17">
        <f t="shared" si="9"/>
        <v>53.428571428571431</v>
      </c>
      <c r="Z17" s="17">
        <f t="shared" si="9"/>
        <v>7.7142857142857153</v>
      </c>
      <c r="AA17" s="17">
        <f t="shared" si="9"/>
        <v>1.7142857142857144</v>
      </c>
      <c r="AB17" s="17">
        <f t="shared" si="9"/>
        <v>4.1428571428571423</v>
      </c>
      <c r="AC17" s="17">
        <f t="shared" si="9"/>
        <v>315.14285714285717</v>
      </c>
      <c r="AD17" s="17">
        <f t="shared" si="9"/>
        <v>0</v>
      </c>
      <c r="AE17" s="31">
        <f t="shared" si="9"/>
        <v>602.57142857142867</v>
      </c>
      <c r="AF17" s="31">
        <f t="shared" si="9"/>
        <v>917.71428571428578</v>
      </c>
    </row>
    <row r="18" spans="2:32" ht="23.1" customHeight="1" x14ac:dyDescent="0.25">
      <c r="B18" s="23" t="s">
        <v>45</v>
      </c>
      <c r="C18" s="49">
        <f>AVERAGE('22.07 Kampala-Wakiso'!C18,'23.07 KAMPALA-WAKISO'!C18,'24.07 Kampala-Wakiso'!C18,'25.07 Kampala-Wakiso'!C18,'26.07 Kampala-Wakiso-24h'!C18,'27.07 Kampala-Wakiso-24h'!C18,'28.07 Kampala-wakiso'!C18)</f>
        <v>45</v>
      </c>
      <c r="D18" s="49">
        <f>AVERAGE('22.07 Kampala-Wakiso'!D18,'23.07 KAMPALA-WAKISO'!D18,'24.07 Kampala-Wakiso'!D18,'25.07 Kampala-Wakiso'!D18,'26.07 Kampala-Wakiso-24h'!D18,'27.07 Kampala-Wakiso-24h'!D18,'28.07 Kampala-wakiso'!D18)</f>
        <v>40.714285714285715</v>
      </c>
      <c r="E18" s="49">
        <f>AVERAGE('22.07 Kampala-Wakiso'!E18,'23.07 KAMPALA-WAKISO'!E18,'24.07 Kampala-Wakiso'!E18,'25.07 Kampala-Wakiso'!E18,'26.07 Kampala-Wakiso-24h'!E18,'27.07 Kampala-Wakiso-24h'!E18,'28.07 Kampala-wakiso'!E18)</f>
        <v>5.2857142857142856</v>
      </c>
      <c r="F18" s="49">
        <f>AVERAGE('22.07 Kampala-Wakiso'!F18,'23.07 KAMPALA-WAKISO'!F18,'24.07 Kampala-Wakiso'!F18,'25.07 Kampala-Wakiso'!F18,'26.07 Kampala-Wakiso-24h'!F18,'27.07 Kampala-Wakiso-24h'!F18,'28.07 Kampala-wakiso'!F18)</f>
        <v>50.285714285714285</v>
      </c>
      <c r="G18" s="49">
        <f>AVERAGE('22.07 Kampala-Wakiso'!G18,'23.07 KAMPALA-WAKISO'!G18,'24.07 Kampala-Wakiso'!G18,'25.07 Kampala-Wakiso'!G18,'26.07 Kampala-Wakiso-24h'!G18,'27.07 Kampala-Wakiso-24h'!G18,'28.07 Kampala-wakiso'!G18)</f>
        <v>0.5714285714285714</v>
      </c>
      <c r="H18" s="49">
        <f>AVERAGE('22.07 Kampala-Wakiso'!H18,'23.07 KAMPALA-WAKISO'!H18,'24.07 Kampala-Wakiso'!H18,'25.07 Kampala-Wakiso'!H18,'26.07 Kampala-Wakiso-24h'!H18,'27.07 Kampala-Wakiso-24h'!H18,'28.07 Kampala-wakiso'!H18)</f>
        <v>0.42857142857142855</v>
      </c>
      <c r="I18" s="49">
        <f>AVERAGE('22.07 Kampala-Wakiso'!I18,'23.07 KAMPALA-WAKISO'!I18,'24.07 Kampala-Wakiso'!I18,'25.07 Kampala-Wakiso'!I18,'26.07 Kampala-Wakiso-24h'!I18,'27.07 Kampala-Wakiso-24h'!I18,'28.07 Kampala-wakiso'!I18)</f>
        <v>11.285714285714286</v>
      </c>
      <c r="J18" s="49">
        <f>AVERAGE('22.07 Kampala-Wakiso'!J18,'23.07 KAMPALA-WAKISO'!J18,'24.07 Kampala-Wakiso'!J18,'25.07 Kampala-Wakiso'!J18,'26.07 Kampala-Wakiso-24h'!J18,'27.07 Kampala-Wakiso-24h'!J18,'28.07 Kampala-wakiso'!J18)</f>
        <v>1.1428571428571428</v>
      </c>
      <c r="K18" s="49">
        <f>AVERAGE('22.07 Kampala-Wakiso'!K18,'23.07 KAMPALA-WAKISO'!K18,'24.07 Kampala-Wakiso'!K18,'25.07 Kampala-Wakiso'!K18,'26.07 Kampala-Wakiso-24h'!K18,'27.07 Kampala-Wakiso-24h'!K18,'28.07 Kampala-wakiso'!K18)</f>
        <v>1.7142857142857142</v>
      </c>
      <c r="L18" s="49">
        <f>AVERAGE('22.07 Kampala-Wakiso'!L18,'23.07 KAMPALA-WAKISO'!L18,'24.07 Kampala-Wakiso'!L18,'25.07 Kampala-Wakiso'!L18,'26.07 Kampala-Wakiso-24h'!L18,'27.07 Kampala-Wakiso-24h'!L18,'28.07 Kampala-wakiso'!L18)</f>
        <v>0.42857142857142855</v>
      </c>
      <c r="M18" s="49">
        <f>AVERAGE('22.07 Kampala-Wakiso'!M18,'23.07 KAMPALA-WAKISO'!M18,'24.07 Kampala-Wakiso'!M18,'25.07 Kampala-Wakiso'!M18,'26.07 Kampala-Wakiso-24h'!M18,'27.07 Kampala-Wakiso-24h'!M18,'28.07 Kampala-wakiso'!M18)</f>
        <v>85.714285714285708</v>
      </c>
      <c r="N18" s="49">
        <f>AVERAGE('22.07 Kampala-Wakiso'!N18,'23.07 KAMPALA-WAKISO'!N18,'24.07 Kampala-Wakiso'!N18,'25.07 Kampala-Wakiso'!N18,'26.07 Kampala-Wakiso-24h'!N18,'27.07 Kampala-Wakiso-24h'!N18,'28.07 Kampala-wakiso'!N18)</f>
        <v>0</v>
      </c>
      <c r="O18" s="15">
        <f t="shared" si="0"/>
        <v>156.85714285714286</v>
      </c>
      <c r="P18" s="15">
        <f t="shared" si="1"/>
        <v>242.57142857142856</v>
      </c>
      <c r="R18" s="1" t="s">
        <v>14</v>
      </c>
      <c r="S18" s="17">
        <f t="shared" ref="S18:AF18" si="10">SUM(C42:C45)</f>
        <v>277.71428571428567</v>
      </c>
      <c r="T18" s="17">
        <f t="shared" si="10"/>
        <v>189.57142857142858</v>
      </c>
      <c r="U18" s="17">
        <f t="shared" si="10"/>
        <v>36.714285714285715</v>
      </c>
      <c r="V18" s="17">
        <f t="shared" si="10"/>
        <v>176</v>
      </c>
      <c r="W18" s="17">
        <f t="shared" si="10"/>
        <v>0.42857142857142855</v>
      </c>
      <c r="X18" s="17">
        <f t="shared" si="10"/>
        <v>1.2857142857142856</v>
      </c>
      <c r="Y18" s="17">
        <f t="shared" si="10"/>
        <v>32.285714285714285</v>
      </c>
      <c r="Z18" s="17">
        <f t="shared" si="10"/>
        <v>9.9999999999999982</v>
      </c>
      <c r="AA18" s="17">
        <f t="shared" si="10"/>
        <v>3</v>
      </c>
      <c r="AB18" s="17">
        <f t="shared" si="10"/>
        <v>4.2857142857142856</v>
      </c>
      <c r="AC18" s="17">
        <f t="shared" si="10"/>
        <v>309.71428571428572</v>
      </c>
      <c r="AD18" s="17">
        <f t="shared" si="10"/>
        <v>0</v>
      </c>
      <c r="AE18" s="31">
        <f t="shared" si="10"/>
        <v>731.28571428571422</v>
      </c>
      <c r="AF18" s="31">
        <f t="shared" si="10"/>
        <v>1040.9999999999998</v>
      </c>
    </row>
    <row r="19" spans="2:32" ht="23.1" customHeight="1" x14ac:dyDescent="0.25">
      <c r="B19" s="23" t="s">
        <v>46</v>
      </c>
      <c r="C19" s="49">
        <f>AVERAGE('22.07 Kampala-Wakiso'!C19,'23.07 KAMPALA-WAKISO'!C19,'24.07 Kampala-Wakiso'!C19,'25.07 Kampala-Wakiso'!C19,'26.07 Kampala-Wakiso-24h'!C19,'27.07 Kampala-Wakiso-24h'!C19,'28.07 Kampala-wakiso'!C19)</f>
        <v>48.142857142857146</v>
      </c>
      <c r="D19" s="49">
        <f>AVERAGE('22.07 Kampala-Wakiso'!D19,'23.07 KAMPALA-WAKISO'!D19,'24.07 Kampala-Wakiso'!D19,'25.07 Kampala-Wakiso'!D19,'26.07 Kampala-Wakiso-24h'!D19,'27.07 Kampala-Wakiso-24h'!D19,'28.07 Kampala-wakiso'!D19)</f>
        <v>44.714285714285715</v>
      </c>
      <c r="E19" s="49">
        <f>AVERAGE('22.07 Kampala-Wakiso'!E19,'23.07 KAMPALA-WAKISO'!E19,'24.07 Kampala-Wakiso'!E19,'25.07 Kampala-Wakiso'!E19,'26.07 Kampala-Wakiso-24h'!E19,'27.07 Kampala-Wakiso-24h'!E19,'28.07 Kampala-wakiso'!E19)</f>
        <v>9.1428571428571423</v>
      </c>
      <c r="F19" s="49">
        <f>AVERAGE('22.07 Kampala-Wakiso'!F19,'23.07 KAMPALA-WAKISO'!F19,'24.07 Kampala-Wakiso'!F19,'25.07 Kampala-Wakiso'!F19,'26.07 Kampala-Wakiso-24h'!F19,'27.07 Kampala-Wakiso-24h'!F19,'28.07 Kampala-wakiso'!F19)</f>
        <v>44.857142857142854</v>
      </c>
      <c r="G19" s="49">
        <f>AVERAGE('22.07 Kampala-Wakiso'!G19,'23.07 KAMPALA-WAKISO'!G19,'24.07 Kampala-Wakiso'!G19,'25.07 Kampala-Wakiso'!G19,'26.07 Kampala-Wakiso-24h'!G19,'27.07 Kampala-Wakiso-24h'!G19,'28.07 Kampala-wakiso'!G19)</f>
        <v>0.8571428571428571</v>
      </c>
      <c r="H19" s="49">
        <f>AVERAGE('22.07 Kampala-Wakiso'!H19,'23.07 KAMPALA-WAKISO'!H19,'24.07 Kampala-Wakiso'!H19,'25.07 Kampala-Wakiso'!H19,'26.07 Kampala-Wakiso-24h'!H19,'27.07 Kampala-Wakiso-24h'!H19,'28.07 Kampala-wakiso'!H19)</f>
        <v>0.14285714285714285</v>
      </c>
      <c r="I19" s="49">
        <f>AVERAGE('22.07 Kampala-Wakiso'!I19,'23.07 KAMPALA-WAKISO'!I19,'24.07 Kampala-Wakiso'!I19,'25.07 Kampala-Wakiso'!I19,'26.07 Kampala-Wakiso-24h'!I19,'27.07 Kampala-Wakiso-24h'!I19,'28.07 Kampala-wakiso'!I19)</f>
        <v>7.7142857142857144</v>
      </c>
      <c r="J19" s="49">
        <f>AVERAGE('22.07 Kampala-Wakiso'!J19,'23.07 KAMPALA-WAKISO'!J19,'24.07 Kampala-Wakiso'!J19,'25.07 Kampala-Wakiso'!J19,'26.07 Kampala-Wakiso-24h'!J19,'27.07 Kampala-Wakiso-24h'!J19,'28.07 Kampala-wakiso'!J19)</f>
        <v>2.4285714285714284</v>
      </c>
      <c r="K19" s="49">
        <f>AVERAGE('22.07 Kampala-Wakiso'!K19,'23.07 KAMPALA-WAKISO'!K19,'24.07 Kampala-Wakiso'!K19,'25.07 Kampala-Wakiso'!K19,'26.07 Kampala-Wakiso-24h'!K19,'27.07 Kampala-Wakiso-24h'!K19,'28.07 Kampala-wakiso'!K19)</f>
        <v>2.1428571428571428</v>
      </c>
      <c r="L19" s="49">
        <f>AVERAGE('22.07 Kampala-Wakiso'!L19,'23.07 KAMPALA-WAKISO'!L19,'24.07 Kampala-Wakiso'!L19,'25.07 Kampala-Wakiso'!L19,'26.07 Kampala-Wakiso-24h'!L19,'27.07 Kampala-Wakiso-24h'!L19,'28.07 Kampala-wakiso'!L19)</f>
        <v>0.5714285714285714</v>
      </c>
      <c r="M19" s="49">
        <f>AVERAGE('22.07 Kampala-Wakiso'!M19,'23.07 KAMPALA-WAKISO'!M19,'24.07 Kampala-Wakiso'!M19,'25.07 Kampala-Wakiso'!M19,'26.07 Kampala-Wakiso-24h'!M19,'27.07 Kampala-Wakiso-24h'!M19,'28.07 Kampala-wakiso'!M19)</f>
        <v>80</v>
      </c>
      <c r="N19" s="49">
        <f>AVERAGE('22.07 Kampala-Wakiso'!N19,'23.07 KAMPALA-WAKISO'!N19,'24.07 Kampala-Wakiso'!N19,'25.07 Kampala-Wakiso'!N19,'26.07 Kampala-Wakiso-24h'!N19,'27.07 Kampala-Wakiso-24h'!N19,'28.07 Kampala-wakiso'!N19)</f>
        <v>0</v>
      </c>
      <c r="O19" s="15">
        <f t="shared" si="0"/>
        <v>160.71428571428572</v>
      </c>
      <c r="P19" s="15">
        <f t="shared" si="1"/>
        <v>240.71428571428572</v>
      </c>
      <c r="R19" s="1" t="s">
        <v>15</v>
      </c>
      <c r="S19" s="17">
        <f t="shared" ref="S19:AF19" si="11">SUM(C46:C49)</f>
        <v>243.42857142857144</v>
      </c>
      <c r="T19" s="17">
        <f t="shared" si="11"/>
        <v>230.42857142857144</v>
      </c>
      <c r="U19" s="17">
        <f t="shared" si="11"/>
        <v>62.571428571428569</v>
      </c>
      <c r="V19" s="17">
        <f t="shared" si="11"/>
        <v>206</v>
      </c>
      <c r="W19" s="17">
        <f t="shared" si="11"/>
        <v>1.9999999999999998</v>
      </c>
      <c r="X19" s="17">
        <f t="shared" si="11"/>
        <v>1.4285714285714284</v>
      </c>
      <c r="Y19" s="17">
        <f t="shared" si="11"/>
        <v>56.285714285714285</v>
      </c>
      <c r="Z19" s="17">
        <f t="shared" si="11"/>
        <v>22.857142857142854</v>
      </c>
      <c r="AA19" s="17">
        <f t="shared" si="11"/>
        <v>2.7142857142857144</v>
      </c>
      <c r="AB19" s="17">
        <f t="shared" si="11"/>
        <v>3.5714285714285712</v>
      </c>
      <c r="AC19" s="17">
        <f t="shared" si="11"/>
        <v>339.71428571428567</v>
      </c>
      <c r="AD19" s="17">
        <f t="shared" si="11"/>
        <v>0</v>
      </c>
      <c r="AE19" s="31">
        <f t="shared" si="11"/>
        <v>831.28571428571422</v>
      </c>
      <c r="AF19" s="31">
        <f t="shared" si="11"/>
        <v>1171</v>
      </c>
    </row>
    <row r="20" spans="2:32" ht="23.1" customHeight="1" x14ac:dyDescent="0.25">
      <c r="B20" s="23" t="s">
        <v>47</v>
      </c>
      <c r="C20" s="49">
        <f>AVERAGE('22.07 Kampala-Wakiso'!C20,'23.07 KAMPALA-WAKISO'!C20,'24.07 Kampala-Wakiso'!C20,'25.07 Kampala-Wakiso'!C20,'26.07 Kampala-Wakiso-24h'!C20,'27.07 Kampala-Wakiso-24h'!C20,'28.07 Kampala-wakiso'!C20)</f>
        <v>44.571428571428569</v>
      </c>
      <c r="D20" s="49">
        <f>AVERAGE('22.07 Kampala-Wakiso'!D20,'23.07 KAMPALA-WAKISO'!D20,'24.07 Kampala-Wakiso'!D20,'25.07 Kampala-Wakiso'!D20,'26.07 Kampala-Wakiso-24h'!D20,'27.07 Kampala-Wakiso-24h'!D20,'28.07 Kampala-wakiso'!D20)</f>
        <v>46.857142857142854</v>
      </c>
      <c r="E20" s="49">
        <f>AVERAGE('22.07 Kampala-Wakiso'!E20,'23.07 KAMPALA-WAKISO'!E20,'24.07 Kampala-Wakiso'!E20,'25.07 Kampala-Wakiso'!E20,'26.07 Kampala-Wakiso-24h'!E20,'27.07 Kampala-Wakiso-24h'!E20,'28.07 Kampala-wakiso'!E20)</f>
        <v>7.4285714285714288</v>
      </c>
      <c r="F20" s="49">
        <f>AVERAGE('22.07 Kampala-Wakiso'!F20,'23.07 KAMPALA-WAKISO'!F20,'24.07 Kampala-Wakiso'!F20,'25.07 Kampala-Wakiso'!F20,'26.07 Kampala-Wakiso-24h'!F20,'27.07 Kampala-Wakiso-24h'!F20,'28.07 Kampala-wakiso'!F20)</f>
        <v>48</v>
      </c>
      <c r="G20" s="49">
        <f>AVERAGE('22.07 Kampala-Wakiso'!G20,'23.07 KAMPALA-WAKISO'!G20,'24.07 Kampala-Wakiso'!G20,'25.07 Kampala-Wakiso'!G20,'26.07 Kampala-Wakiso-24h'!G20,'27.07 Kampala-Wakiso-24h'!G20,'28.07 Kampala-wakiso'!G20)</f>
        <v>0.7142857142857143</v>
      </c>
      <c r="H20" s="49">
        <f>AVERAGE('22.07 Kampala-Wakiso'!H20,'23.07 KAMPALA-WAKISO'!H20,'24.07 Kampala-Wakiso'!H20,'25.07 Kampala-Wakiso'!H20,'26.07 Kampala-Wakiso-24h'!H20,'27.07 Kampala-Wakiso-24h'!H20,'28.07 Kampala-wakiso'!H20)</f>
        <v>0</v>
      </c>
      <c r="I20" s="49">
        <f>AVERAGE('22.07 Kampala-Wakiso'!I20,'23.07 KAMPALA-WAKISO'!I20,'24.07 Kampala-Wakiso'!I20,'25.07 Kampala-Wakiso'!I20,'26.07 Kampala-Wakiso-24h'!I20,'27.07 Kampala-Wakiso-24h'!I20,'28.07 Kampala-wakiso'!I20)</f>
        <v>10.142857142857142</v>
      </c>
      <c r="J20" s="49">
        <f>AVERAGE('22.07 Kampala-Wakiso'!J20,'23.07 KAMPALA-WAKISO'!J20,'24.07 Kampala-Wakiso'!J20,'25.07 Kampala-Wakiso'!J20,'26.07 Kampala-Wakiso-24h'!J20,'27.07 Kampala-Wakiso-24h'!J20,'28.07 Kampala-wakiso'!J20)</f>
        <v>0.5714285714285714</v>
      </c>
      <c r="K20" s="49">
        <f>AVERAGE('22.07 Kampala-Wakiso'!K20,'23.07 KAMPALA-WAKISO'!K20,'24.07 Kampala-Wakiso'!K20,'25.07 Kampala-Wakiso'!K20,'26.07 Kampala-Wakiso-24h'!K20,'27.07 Kampala-Wakiso-24h'!K20,'28.07 Kampala-wakiso'!K20)</f>
        <v>1.2857142857142858</v>
      </c>
      <c r="L20" s="49">
        <f>AVERAGE('22.07 Kampala-Wakiso'!L20,'23.07 KAMPALA-WAKISO'!L20,'24.07 Kampala-Wakiso'!L20,'25.07 Kampala-Wakiso'!L20,'26.07 Kampala-Wakiso-24h'!L20,'27.07 Kampala-Wakiso-24h'!L20,'28.07 Kampala-wakiso'!L20)</f>
        <v>0.8571428571428571</v>
      </c>
      <c r="M20" s="49">
        <f>AVERAGE('22.07 Kampala-Wakiso'!M20,'23.07 KAMPALA-WAKISO'!M20,'24.07 Kampala-Wakiso'!M20,'25.07 Kampala-Wakiso'!M20,'26.07 Kampala-Wakiso-24h'!M20,'27.07 Kampala-Wakiso-24h'!M20,'28.07 Kampala-wakiso'!M20)</f>
        <v>77.714285714285708</v>
      </c>
      <c r="N20" s="49">
        <f>AVERAGE('22.07 Kampala-Wakiso'!N20,'23.07 KAMPALA-WAKISO'!N20,'24.07 Kampala-Wakiso'!N20,'25.07 Kampala-Wakiso'!N20,'26.07 Kampala-Wakiso-24h'!N20,'27.07 Kampala-Wakiso-24h'!N20,'28.07 Kampala-wakiso'!N20)</f>
        <v>0</v>
      </c>
      <c r="O20" s="15">
        <f t="shared" si="0"/>
        <v>160.42857142857142</v>
      </c>
      <c r="P20" s="15">
        <f t="shared" si="1"/>
        <v>238.14285714285711</v>
      </c>
      <c r="R20" s="1" t="s">
        <v>16</v>
      </c>
      <c r="S20" s="17">
        <f t="shared" ref="S20:AF20" si="12">SUM(C50:C53)</f>
        <v>268.71428571428572</v>
      </c>
      <c r="T20" s="17">
        <f t="shared" si="12"/>
        <v>226.42857142857144</v>
      </c>
      <c r="U20" s="17">
        <f t="shared" si="12"/>
        <v>38.428571428571431</v>
      </c>
      <c r="V20" s="17">
        <f t="shared" si="12"/>
        <v>263.85714285714289</v>
      </c>
      <c r="W20" s="17">
        <f t="shared" si="12"/>
        <v>4.4285714285714288</v>
      </c>
      <c r="X20" s="17">
        <f t="shared" si="12"/>
        <v>0.71428571428571419</v>
      </c>
      <c r="Y20" s="17">
        <f t="shared" si="12"/>
        <v>45.714285714285708</v>
      </c>
      <c r="Z20" s="17">
        <f t="shared" si="12"/>
        <v>12.142857142857142</v>
      </c>
      <c r="AA20" s="17">
        <f t="shared" si="12"/>
        <v>6</v>
      </c>
      <c r="AB20" s="17">
        <f t="shared" si="12"/>
        <v>5.2857142857142856</v>
      </c>
      <c r="AC20" s="17">
        <f t="shared" si="12"/>
        <v>373.14285714285722</v>
      </c>
      <c r="AD20" s="17">
        <f t="shared" si="12"/>
        <v>0</v>
      </c>
      <c r="AE20" s="31">
        <f t="shared" si="12"/>
        <v>871.71428571428567</v>
      </c>
      <c r="AF20" s="31">
        <f t="shared" si="12"/>
        <v>1244.8571428571429</v>
      </c>
    </row>
    <row r="21" spans="2:32" ht="23.1" customHeight="1" x14ac:dyDescent="0.25">
      <c r="B21" s="23" t="s">
        <v>48</v>
      </c>
      <c r="C21" s="49">
        <f>AVERAGE('22.07 Kampala-Wakiso'!C21,'23.07 KAMPALA-WAKISO'!C21,'24.07 Kampala-Wakiso'!C21,'25.07 Kampala-Wakiso'!C21,'26.07 Kampala-Wakiso-24h'!C21,'27.07 Kampala-Wakiso-24h'!C21,'28.07 Kampala-wakiso'!C21)</f>
        <v>41.571428571428569</v>
      </c>
      <c r="D21" s="49">
        <f>AVERAGE('22.07 Kampala-Wakiso'!D21,'23.07 KAMPALA-WAKISO'!D21,'24.07 Kampala-Wakiso'!D21,'25.07 Kampala-Wakiso'!D21,'26.07 Kampala-Wakiso-24h'!D21,'27.07 Kampala-Wakiso-24h'!D21,'28.07 Kampala-wakiso'!D21)</f>
        <v>39.285714285714285</v>
      </c>
      <c r="E21" s="49">
        <f>AVERAGE('22.07 Kampala-Wakiso'!E21,'23.07 KAMPALA-WAKISO'!E21,'24.07 Kampala-Wakiso'!E21,'25.07 Kampala-Wakiso'!E21,'26.07 Kampala-Wakiso-24h'!E21,'27.07 Kampala-Wakiso-24h'!E21,'28.07 Kampala-wakiso'!E21)</f>
        <v>9.7142857142857135</v>
      </c>
      <c r="F21" s="49">
        <f>AVERAGE('22.07 Kampala-Wakiso'!F21,'23.07 KAMPALA-WAKISO'!F21,'24.07 Kampala-Wakiso'!F21,'25.07 Kampala-Wakiso'!F21,'26.07 Kampala-Wakiso-24h'!F21,'27.07 Kampala-Wakiso-24h'!F21,'28.07 Kampala-wakiso'!F21)</f>
        <v>39.571428571428569</v>
      </c>
      <c r="G21" s="49">
        <f>AVERAGE('22.07 Kampala-Wakiso'!G21,'23.07 KAMPALA-WAKISO'!G21,'24.07 Kampala-Wakiso'!G21,'25.07 Kampala-Wakiso'!G21,'26.07 Kampala-Wakiso-24h'!G21,'27.07 Kampala-Wakiso-24h'!G21,'28.07 Kampala-wakiso'!G21)</f>
        <v>0.7142857142857143</v>
      </c>
      <c r="H21" s="49">
        <f>AVERAGE('22.07 Kampala-Wakiso'!H21,'23.07 KAMPALA-WAKISO'!H21,'24.07 Kampala-Wakiso'!H21,'25.07 Kampala-Wakiso'!H21,'26.07 Kampala-Wakiso-24h'!H21,'27.07 Kampala-Wakiso-24h'!H21,'28.07 Kampala-wakiso'!H21)</f>
        <v>0.16666666666666666</v>
      </c>
      <c r="I21" s="49">
        <f>AVERAGE('22.07 Kampala-Wakiso'!I21,'23.07 KAMPALA-WAKISO'!I21,'24.07 Kampala-Wakiso'!I21,'25.07 Kampala-Wakiso'!I21,'26.07 Kampala-Wakiso-24h'!I21,'27.07 Kampala-Wakiso-24h'!I21,'28.07 Kampala-wakiso'!I21)</f>
        <v>8.8571428571428577</v>
      </c>
      <c r="J21" s="49">
        <f>AVERAGE('22.07 Kampala-Wakiso'!J21,'23.07 KAMPALA-WAKISO'!J21,'24.07 Kampala-Wakiso'!J21,'25.07 Kampala-Wakiso'!J21,'26.07 Kampala-Wakiso-24h'!J21,'27.07 Kampala-Wakiso-24h'!J21,'28.07 Kampala-wakiso'!J21)</f>
        <v>1.1428571428571428</v>
      </c>
      <c r="K21" s="49">
        <f>AVERAGE('22.07 Kampala-Wakiso'!K21,'23.07 KAMPALA-WAKISO'!K21,'24.07 Kampala-Wakiso'!K21,'25.07 Kampala-Wakiso'!K21,'26.07 Kampala-Wakiso-24h'!K21,'27.07 Kampala-Wakiso-24h'!K21,'28.07 Kampala-wakiso'!K21)</f>
        <v>0.8571428571428571</v>
      </c>
      <c r="L21" s="49">
        <f>AVERAGE('22.07 Kampala-Wakiso'!L21,'23.07 KAMPALA-WAKISO'!L21,'24.07 Kampala-Wakiso'!L21,'25.07 Kampala-Wakiso'!L21,'26.07 Kampala-Wakiso-24h'!L21,'27.07 Kampala-Wakiso-24h'!L21,'28.07 Kampala-wakiso'!L21)</f>
        <v>0.42857142857142855</v>
      </c>
      <c r="M21" s="49">
        <f>AVERAGE('22.07 Kampala-Wakiso'!M21,'23.07 KAMPALA-WAKISO'!M21,'24.07 Kampala-Wakiso'!M21,'25.07 Kampala-Wakiso'!M21,'26.07 Kampala-Wakiso-24h'!M21,'27.07 Kampala-Wakiso-24h'!M21,'28.07 Kampala-wakiso'!M21)</f>
        <v>64.714285714285708</v>
      </c>
      <c r="N21" s="49">
        <f>AVERAGE('22.07 Kampala-Wakiso'!N21,'23.07 KAMPALA-WAKISO'!N21,'24.07 Kampala-Wakiso'!N21,'25.07 Kampala-Wakiso'!N21,'26.07 Kampala-Wakiso-24h'!N21,'27.07 Kampala-Wakiso-24h'!N21,'28.07 Kampala-wakiso'!N21)</f>
        <v>0</v>
      </c>
      <c r="O21" s="15">
        <f t="shared" si="0"/>
        <v>142.3095238095238</v>
      </c>
      <c r="P21" s="15">
        <f t="shared" si="1"/>
        <v>207.02380952380952</v>
      </c>
      <c r="R21" s="1" t="s">
        <v>20</v>
      </c>
      <c r="S21" s="34">
        <f t="shared" ref="S21:AF21" si="13">SUM(C54:C57)</f>
        <v>213.85714285714286</v>
      </c>
      <c r="T21" s="17">
        <f t="shared" si="13"/>
        <v>219.57142857142856</v>
      </c>
      <c r="U21" s="17">
        <f t="shared" si="13"/>
        <v>36.714285714285715</v>
      </c>
      <c r="V21" s="17">
        <f t="shared" si="13"/>
        <v>212.57142857142858</v>
      </c>
      <c r="W21" s="17">
        <f t="shared" si="13"/>
        <v>7.7142857142857135</v>
      </c>
      <c r="X21" s="17">
        <f t="shared" si="13"/>
        <v>1.5714285714285712</v>
      </c>
      <c r="Y21" s="17">
        <f t="shared" si="13"/>
        <v>35.285714285714278</v>
      </c>
      <c r="Z21" s="17">
        <f t="shared" si="13"/>
        <v>16.714285714285712</v>
      </c>
      <c r="AA21" s="17">
        <f t="shared" si="13"/>
        <v>5.8571428571428568</v>
      </c>
      <c r="AB21" s="17">
        <f t="shared" si="13"/>
        <v>3.2857142857142856</v>
      </c>
      <c r="AC21" s="17">
        <f t="shared" si="13"/>
        <v>338.28571428571428</v>
      </c>
      <c r="AD21" s="17">
        <f t="shared" si="13"/>
        <v>0.2857142857142857</v>
      </c>
      <c r="AE21" s="31">
        <f t="shared" si="13"/>
        <v>753.42857142857144</v>
      </c>
      <c r="AF21" s="31">
        <f t="shared" si="13"/>
        <v>1091.7142857142858</v>
      </c>
    </row>
    <row r="22" spans="2:32" ht="23.1" customHeight="1" x14ac:dyDescent="0.25">
      <c r="B22" s="23" t="s">
        <v>49</v>
      </c>
      <c r="C22" s="49">
        <f>AVERAGE('22.07 Kampala-Wakiso'!C22,'23.07 KAMPALA-WAKISO'!C22,'24.07 Kampala-Wakiso'!C22,'25.07 Kampala-Wakiso'!C22,'26.07 Kampala-Wakiso-24h'!C22,'27.07 Kampala-Wakiso-24h'!C22,'28.07 Kampala-wakiso'!C22)</f>
        <v>53.285714285714285</v>
      </c>
      <c r="D22" s="49">
        <f>AVERAGE('22.07 Kampala-Wakiso'!D22,'23.07 KAMPALA-WAKISO'!D22,'24.07 Kampala-Wakiso'!D22,'25.07 Kampala-Wakiso'!D22,'26.07 Kampala-Wakiso-24h'!D22,'27.07 Kampala-Wakiso-24h'!D22,'28.07 Kampala-wakiso'!D22)</f>
        <v>46</v>
      </c>
      <c r="E22" s="49">
        <f>AVERAGE('22.07 Kampala-Wakiso'!E22,'23.07 KAMPALA-WAKISO'!E22,'24.07 Kampala-Wakiso'!E22,'25.07 Kampala-Wakiso'!E22,'26.07 Kampala-Wakiso-24h'!E22,'27.07 Kampala-Wakiso-24h'!E22,'28.07 Kampala-wakiso'!E22)</f>
        <v>8.1428571428571423</v>
      </c>
      <c r="F22" s="49">
        <f>AVERAGE('22.07 Kampala-Wakiso'!F22,'23.07 KAMPALA-WAKISO'!F22,'24.07 Kampala-Wakiso'!F22,'25.07 Kampala-Wakiso'!F22,'26.07 Kampala-Wakiso-24h'!F22,'27.07 Kampala-Wakiso-24h'!F22,'28.07 Kampala-wakiso'!F22)</f>
        <v>56.714285714285715</v>
      </c>
      <c r="G22" s="49">
        <f>AVERAGE('22.07 Kampala-Wakiso'!G22,'23.07 KAMPALA-WAKISO'!G22,'24.07 Kampala-Wakiso'!G22,'25.07 Kampala-Wakiso'!G22,'26.07 Kampala-Wakiso-24h'!G22,'27.07 Kampala-Wakiso-24h'!G22,'28.07 Kampala-wakiso'!G22)</f>
        <v>0.42857142857142855</v>
      </c>
      <c r="H22" s="49">
        <f>AVERAGE('22.07 Kampala-Wakiso'!H22,'23.07 KAMPALA-WAKISO'!H22,'24.07 Kampala-Wakiso'!H22,'25.07 Kampala-Wakiso'!H22,'26.07 Kampala-Wakiso-24h'!H22,'27.07 Kampala-Wakiso-24h'!H22,'28.07 Kampala-wakiso'!H22)</f>
        <v>0.2857142857142857</v>
      </c>
      <c r="I22" s="49">
        <f>AVERAGE('22.07 Kampala-Wakiso'!I22,'23.07 KAMPALA-WAKISO'!I22,'24.07 Kampala-Wakiso'!I22,'25.07 Kampala-Wakiso'!I22,'26.07 Kampala-Wakiso-24h'!I22,'27.07 Kampala-Wakiso-24h'!I22,'28.07 Kampala-wakiso'!I22)</f>
        <v>15.714285714285714</v>
      </c>
      <c r="J22" s="49">
        <f>AVERAGE('22.07 Kampala-Wakiso'!J22,'23.07 KAMPALA-WAKISO'!J22,'24.07 Kampala-Wakiso'!J22,'25.07 Kampala-Wakiso'!J22,'26.07 Kampala-Wakiso-24h'!J22,'27.07 Kampala-Wakiso-24h'!J22,'28.07 Kampala-wakiso'!J22)</f>
        <v>3.4285714285714284</v>
      </c>
      <c r="K22" s="49">
        <f>AVERAGE('22.07 Kampala-Wakiso'!K22,'23.07 KAMPALA-WAKISO'!K22,'24.07 Kampala-Wakiso'!K22,'25.07 Kampala-Wakiso'!K22,'26.07 Kampala-Wakiso-24h'!K22,'27.07 Kampala-Wakiso-24h'!K22,'28.07 Kampala-wakiso'!K22)</f>
        <v>1.5714285714285714</v>
      </c>
      <c r="L22" s="49">
        <f>AVERAGE('22.07 Kampala-Wakiso'!L22,'23.07 KAMPALA-WAKISO'!L22,'24.07 Kampala-Wakiso'!L22,'25.07 Kampala-Wakiso'!L22,'26.07 Kampala-Wakiso-24h'!L22,'27.07 Kampala-Wakiso-24h'!L22,'28.07 Kampala-wakiso'!L22)</f>
        <v>0.5714285714285714</v>
      </c>
      <c r="M22" s="49">
        <f>AVERAGE('22.07 Kampala-Wakiso'!M22,'23.07 KAMPALA-WAKISO'!M22,'24.07 Kampala-Wakiso'!M22,'25.07 Kampala-Wakiso'!M22,'26.07 Kampala-Wakiso-24h'!M22,'27.07 Kampala-Wakiso-24h'!M22,'28.07 Kampala-wakiso'!M22)</f>
        <v>86.285714285714292</v>
      </c>
      <c r="N22" s="49">
        <f>AVERAGE('22.07 Kampala-Wakiso'!N22,'23.07 KAMPALA-WAKISO'!N22,'24.07 Kampala-Wakiso'!N22,'25.07 Kampala-Wakiso'!N22,'26.07 Kampala-Wakiso-24h'!N22,'27.07 Kampala-Wakiso-24h'!N22,'28.07 Kampala-wakiso'!N22)</f>
        <v>0</v>
      </c>
      <c r="O22" s="15">
        <f t="shared" si="0"/>
        <v>186.14285714285714</v>
      </c>
      <c r="P22" s="15">
        <f t="shared" si="1"/>
        <v>272.42857142857144</v>
      </c>
      <c r="R22" s="1" t="s">
        <v>146</v>
      </c>
      <c r="S22" s="34">
        <f>SUM(C58:C61)</f>
        <v>178</v>
      </c>
      <c r="T22" s="34">
        <f t="shared" ref="T22:AF22" si="14">SUM(D58:D61)</f>
        <v>182.5</v>
      </c>
      <c r="U22" s="34">
        <f t="shared" si="14"/>
        <v>84</v>
      </c>
      <c r="V22" s="34">
        <f t="shared" si="14"/>
        <v>161.5</v>
      </c>
      <c r="W22" s="34">
        <f t="shared" si="14"/>
        <v>6</v>
      </c>
      <c r="X22" s="34">
        <f t="shared" si="14"/>
        <v>3</v>
      </c>
      <c r="Y22" s="34">
        <f t="shared" si="14"/>
        <v>13.5</v>
      </c>
      <c r="Z22" s="34">
        <f t="shared" si="14"/>
        <v>1.5</v>
      </c>
      <c r="AA22" s="34">
        <f t="shared" si="14"/>
        <v>1</v>
      </c>
      <c r="AB22" s="34">
        <f t="shared" si="14"/>
        <v>3.5</v>
      </c>
      <c r="AC22" s="34">
        <f t="shared" si="14"/>
        <v>280</v>
      </c>
      <c r="AD22" s="34">
        <f t="shared" si="14"/>
        <v>0</v>
      </c>
      <c r="AE22" s="31">
        <f t="shared" si="14"/>
        <v>634.5</v>
      </c>
      <c r="AF22" s="31">
        <f t="shared" si="14"/>
        <v>914.5</v>
      </c>
    </row>
    <row r="23" spans="2:32" ht="23.1" customHeight="1" x14ac:dyDescent="0.25">
      <c r="B23" s="23" t="s">
        <v>50</v>
      </c>
      <c r="C23" s="49">
        <f>AVERAGE('22.07 Kampala-Wakiso'!C23,'23.07 KAMPALA-WAKISO'!C23,'24.07 Kampala-Wakiso'!C23,'25.07 Kampala-Wakiso'!C23,'26.07 Kampala-Wakiso-24h'!C23,'27.07 Kampala-Wakiso-24h'!C23,'28.07 Kampala-wakiso'!C23)</f>
        <v>50.142857142857146</v>
      </c>
      <c r="D23" s="49">
        <f>AVERAGE('22.07 Kampala-Wakiso'!D23,'23.07 KAMPALA-WAKISO'!D23,'24.07 Kampala-Wakiso'!D23,'25.07 Kampala-Wakiso'!D23,'26.07 Kampala-Wakiso-24h'!D23,'27.07 Kampala-Wakiso-24h'!D23,'28.07 Kampala-wakiso'!D23)</f>
        <v>51.428571428571431</v>
      </c>
      <c r="E23" s="49">
        <f>AVERAGE('22.07 Kampala-Wakiso'!E23,'23.07 KAMPALA-WAKISO'!E23,'24.07 Kampala-Wakiso'!E23,'25.07 Kampala-Wakiso'!E23,'26.07 Kampala-Wakiso-24h'!E23,'27.07 Kampala-Wakiso-24h'!E23,'28.07 Kampala-wakiso'!E23)</f>
        <v>11.857142857142858</v>
      </c>
      <c r="F23" s="49">
        <f>AVERAGE('22.07 Kampala-Wakiso'!F23,'23.07 KAMPALA-WAKISO'!F23,'24.07 Kampala-Wakiso'!F23,'25.07 Kampala-Wakiso'!F23,'26.07 Kampala-Wakiso-24h'!F23,'27.07 Kampala-Wakiso-24h'!F23,'28.07 Kampala-wakiso'!F23)</f>
        <v>52.714285714285715</v>
      </c>
      <c r="G23" s="49">
        <f>AVERAGE('22.07 Kampala-Wakiso'!G23,'23.07 KAMPALA-WAKISO'!G23,'24.07 Kampala-Wakiso'!G23,'25.07 Kampala-Wakiso'!G23,'26.07 Kampala-Wakiso-24h'!G23,'27.07 Kampala-Wakiso-24h'!G23,'28.07 Kampala-wakiso'!G23)</f>
        <v>1</v>
      </c>
      <c r="H23" s="49">
        <f>AVERAGE('22.07 Kampala-Wakiso'!H23,'23.07 KAMPALA-WAKISO'!H23,'24.07 Kampala-Wakiso'!H23,'25.07 Kampala-Wakiso'!H23,'26.07 Kampala-Wakiso-24h'!H23,'27.07 Kampala-Wakiso-24h'!H23,'28.07 Kampala-wakiso'!H23)</f>
        <v>0.2857142857142857</v>
      </c>
      <c r="I23" s="49">
        <f>AVERAGE('22.07 Kampala-Wakiso'!I23,'23.07 KAMPALA-WAKISO'!I23,'24.07 Kampala-Wakiso'!I23,'25.07 Kampala-Wakiso'!I23,'26.07 Kampala-Wakiso-24h'!I23,'27.07 Kampala-Wakiso-24h'!I23,'28.07 Kampala-wakiso'!I23)</f>
        <v>16.857142857142858</v>
      </c>
      <c r="J23" s="49">
        <f>AVERAGE('22.07 Kampala-Wakiso'!J23,'23.07 KAMPALA-WAKISO'!J23,'24.07 Kampala-Wakiso'!J23,'25.07 Kampala-Wakiso'!J23,'26.07 Kampala-Wakiso-24h'!J23,'27.07 Kampala-Wakiso-24h'!J23,'28.07 Kampala-wakiso'!J23)</f>
        <v>1.5714285714285714</v>
      </c>
      <c r="K23" s="49">
        <f>AVERAGE('22.07 Kampala-Wakiso'!K23,'23.07 KAMPALA-WAKISO'!K23,'24.07 Kampala-Wakiso'!K23,'25.07 Kampala-Wakiso'!K23,'26.07 Kampala-Wakiso-24h'!K23,'27.07 Kampala-Wakiso-24h'!K23,'28.07 Kampala-wakiso'!K23)</f>
        <v>1.4285714285714286</v>
      </c>
      <c r="L23" s="49">
        <f>AVERAGE('22.07 Kampala-Wakiso'!L23,'23.07 KAMPALA-WAKISO'!L23,'24.07 Kampala-Wakiso'!L23,'25.07 Kampala-Wakiso'!L23,'26.07 Kampala-Wakiso-24h'!L23,'27.07 Kampala-Wakiso-24h'!L23,'28.07 Kampala-wakiso'!L23)</f>
        <v>0.5714285714285714</v>
      </c>
      <c r="M23" s="49">
        <f>AVERAGE('22.07 Kampala-Wakiso'!M23,'23.07 KAMPALA-WAKISO'!M23,'24.07 Kampala-Wakiso'!M23,'25.07 Kampala-Wakiso'!M23,'26.07 Kampala-Wakiso-24h'!M23,'27.07 Kampala-Wakiso-24h'!M23,'28.07 Kampala-wakiso'!M23)</f>
        <v>88.428571428571431</v>
      </c>
      <c r="N23" s="49">
        <f>AVERAGE('22.07 Kampala-Wakiso'!N23,'23.07 KAMPALA-WAKISO'!N23,'24.07 Kampala-Wakiso'!N23,'25.07 Kampala-Wakiso'!N23,'26.07 Kampala-Wakiso-24h'!N23,'27.07 Kampala-Wakiso-24h'!N23,'28.07 Kampala-wakiso'!N23)</f>
        <v>0</v>
      </c>
      <c r="O23" s="15">
        <f t="shared" si="0"/>
        <v>187.85714285714289</v>
      </c>
      <c r="P23" s="15">
        <f t="shared" si="1"/>
        <v>276.28571428571433</v>
      </c>
      <c r="R23" s="1" t="s">
        <v>147</v>
      </c>
      <c r="S23" s="34">
        <f>SUM(C62:C65)</f>
        <v>261</v>
      </c>
      <c r="T23" s="34">
        <f t="shared" ref="T23:AF23" si="15">SUM(D62:D65)</f>
        <v>280</v>
      </c>
      <c r="U23" s="34">
        <f t="shared" si="15"/>
        <v>37.5</v>
      </c>
      <c r="V23" s="34">
        <f t="shared" si="15"/>
        <v>256.5</v>
      </c>
      <c r="W23" s="34">
        <f t="shared" si="15"/>
        <v>8.5</v>
      </c>
      <c r="X23" s="34">
        <f t="shared" si="15"/>
        <v>7</v>
      </c>
      <c r="Y23" s="34">
        <f t="shared" si="15"/>
        <v>27.5</v>
      </c>
      <c r="Z23" s="34">
        <f t="shared" si="15"/>
        <v>1.5</v>
      </c>
      <c r="AA23" s="34">
        <f t="shared" si="15"/>
        <v>0</v>
      </c>
      <c r="AB23" s="34">
        <f t="shared" si="15"/>
        <v>1.5</v>
      </c>
      <c r="AC23" s="34">
        <f t="shared" si="15"/>
        <v>357.5</v>
      </c>
      <c r="AD23" s="34">
        <f t="shared" si="15"/>
        <v>0</v>
      </c>
      <c r="AE23" s="31">
        <f t="shared" si="15"/>
        <v>881</v>
      </c>
      <c r="AF23" s="31">
        <f t="shared" si="15"/>
        <v>1238.5</v>
      </c>
    </row>
    <row r="24" spans="2:32" ht="23.1" customHeight="1" x14ac:dyDescent="0.25">
      <c r="B24" s="23" t="s">
        <v>51</v>
      </c>
      <c r="C24" s="49">
        <f>AVERAGE('22.07 Kampala-Wakiso'!C24,'23.07 KAMPALA-WAKISO'!C24,'24.07 Kampala-Wakiso'!C24,'25.07 Kampala-Wakiso'!C24,'26.07 Kampala-Wakiso-24h'!C24,'27.07 Kampala-Wakiso-24h'!C24,'28.07 Kampala-wakiso'!C24)</f>
        <v>45.714285714285715</v>
      </c>
      <c r="D24" s="49">
        <f>AVERAGE('22.07 Kampala-Wakiso'!D24,'23.07 KAMPALA-WAKISO'!D24,'24.07 Kampala-Wakiso'!D24,'25.07 Kampala-Wakiso'!D24,'26.07 Kampala-Wakiso-24h'!D24,'27.07 Kampala-Wakiso-24h'!D24,'28.07 Kampala-wakiso'!D24)</f>
        <v>44.428571428571431</v>
      </c>
      <c r="E24" s="49">
        <f>AVERAGE('22.07 Kampala-Wakiso'!E24,'23.07 KAMPALA-WAKISO'!E24,'24.07 Kampala-Wakiso'!E24,'25.07 Kampala-Wakiso'!E24,'26.07 Kampala-Wakiso-24h'!E24,'27.07 Kampala-Wakiso-24h'!E24,'28.07 Kampala-wakiso'!E24)</f>
        <v>11.571428571428571</v>
      </c>
      <c r="F24" s="49">
        <f>AVERAGE('22.07 Kampala-Wakiso'!F24,'23.07 KAMPALA-WAKISO'!F24,'24.07 Kampala-Wakiso'!F24,'25.07 Kampala-Wakiso'!F24,'26.07 Kampala-Wakiso-24h'!F24,'27.07 Kampala-Wakiso-24h'!F24,'28.07 Kampala-wakiso'!F24)</f>
        <v>49.571428571428569</v>
      </c>
      <c r="G24" s="49">
        <f>AVERAGE('22.07 Kampala-Wakiso'!G24,'23.07 KAMPALA-WAKISO'!G24,'24.07 Kampala-Wakiso'!G24,'25.07 Kampala-Wakiso'!G24,'26.07 Kampala-Wakiso-24h'!G24,'27.07 Kampala-Wakiso-24h'!G24,'28.07 Kampala-wakiso'!G24)</f>
        <v>0.7142857142857143</v>
      </c>
      <c r="H24" s="49">
        <f>AVERAGE('22.07 Kampala-Wakiso'!H24,'23.07 KAMPALA-WAKISO'!H24,'24.07 Kampala-Wakiso'!H24,'25.07 Kampala-Wakiso'!H24,'26.07 Kampala-Wakiso-24h'!H24,'27.07 Kampala-Wakiso-24h'!H24,'28.07 Kampala-wakiso'!H24)</f>
        <v>0.14285714285714285</v>
      </c>
      <c r="I24" s="49">
        <f>AVERAGE('22.07 Kampala-Wakiso'!I24,'23.07 KAMPALA-WAKISO'!I24,'24.07 Kampala-Wakiso'!I24,'25.07 Kampala-Wakiso'!I24,'26.07 Kampala-Wakiso-24h'!I24,'27.07 Kampala-Wakiso-24h'!I24,'28.07 Kampala-wakiso'!I24)</f>
        <v>9.2857142857142865</v>
      </c>
      <c r="J24" s="49">
        <f>AVERAGE('22.07 Kampala-Wakiso'!J24,'23.07 KAMPALA-WAKISO'!J24,'24.07 Kampala-Wakiso'!J24,'25.07 Kampala-Wakiso'!J24,'26.07 Kampala-Wakiso-24h'!J24,'27.07 Kampala-Wakiso-24h'!J24,'28.07 Kampala-wakiso'!J24)</f>
        <v>3</v>
      </c>
      <c r="K24" s="49">
        <f>AVERAGE('22.07 Kampala-Wakiso'!K24,'23.07 KAMPALA-WAKISO'!K24,'24.07 Kampala-Wakiso'!K24,'25.07 Kampala-Wakiso'!K24,'26.07 Kampala-Wakiso-24h'!K24,'27.07 Kampala-Wakiso-24h'!K24,'28.07 Kampala-wakiso'!K24)</f>
        <v>0</v>
      </c>
      <c r="L24" s="49">
        <f>AVERAGE('22.07 Kampala-Wakiso'!L24,'23.07 KAMPALA-WAKISO'!L24,'24.07 Kampala-Wakiso'!L24,'25.07 Kampala-Wakiso'!L24,'26.07 Kampala-Wakiso-24h'!L24,'27.07 Kampala-Wakiso-24h'!L24,'28.07 Kampala-wakiso'!L24)</f>
        <v>1</v>
      </c>
      <c r="M24" s="49">
        <f>AVERAGE('22.07 Kampala-Wakiso'!M24,'23.07 KAMPALA-WAKISO'!M24,'24.07 Kampala-Wakiso'!M24,'25.07 Kampala-Wakiso'!M24,'26.07 Kampala-Wakiso-24h'!M24,'27.07 Kampala-Wakiso-24h'!M24,'28.07 Kampala-wakiso'!M24)</f>
        <v>82.285714285714292</v>
      </c>
      <c r="N24" s="49">
        <f>AVERAGE('22.07 Kampala-Wakiso'!N24,'23.07 KAMPALA-WAKISO'!N24,'24.07 Kampala-Wakiso'!N24,'25.07 Kampala-Wakiso'!N24,'26.07 Kampala-Wakiso-24h'!N24,'27.07 Kampala-Wakiso-24h'!N24,'28.07 Kampala-wakiso'!N24)</f>
        <v>0</v>
      </c>
      <c r="O24" s="15">
        <f t="shared" si="0"/>
        <v>165.42857142857142</v>
      </c>
      <c r="P24" s="15">
        <f t="shared" si="1"/>
        <v>247.71428571428572</v>
      </c>
      <c r="R24" s="1" t="s">
        <v>148</v>
      </c>
      <c r="S24" s="34">
        <f>SUM(C66:C69)</f>
        <v>225</v>
      </c>
      <c r="T24" s="34">
        <f t="shared" ref="T24:AF24" si="16">SUM(D66:D69)</f>
        <v>247.5</v>
      </c>
      <c r="U24" s="34">
        <f t="shared" si="16"/>
        <v>21.5</v>
      </c>
      <c r="V24" s="34">
        <f t="shared" si="16"/>
        <v>302.5</v>
      </c>
      <c r="W24" s="34">
        <f t="shared" si="16"/>
        <v>6</v>
      </c>
      <c r="X24" s="34">
        <f t="shared" si="16"/>
        <v>2</v>
      </c>
      <c r="Y24" s="34">
        <f t="shared" si="16"/>
        <v>13.5</v>
      </c>
      <c r="Z24" s="34">
        <f t="shared" si="16"/>
        <v>10</v>
      </c>
      <c r="AA24" s="34">
        <f t="shared" si="16"/>
        <v>0</v>
      </c>
      <c r="AB24" s="34">
        <f t="shared" si="16"/>
        <v>3.5</v>
      </c>
      <c r="AC24" s="34">
        <f t="shared" si="16"/>
        <v>332.5</v>
      </c>
      <c r="AD24" s="34">
        <f t="shared" si="16"/>
        <v>0</v>
      </c>
      <c r="AE24" s="31">
        <f t="shared" si="16"/>
        <v>831.5</v>
      </c>
      <c r="AF24" s="31">
        <f t="shared" si="16"/>
        <v>1164</v>
      </c>
    </row>
    <row r="25" spans="2:32" ht="23.1" customHeight="1" x14ac:dyDescent="0.25">
      <c r="B25" s="23" t="s">
        <v>52</v>
      </c>
      <c r="C25" s="49">
        <f>AVERAGE('22.07 Kampala-Wakiso'!C25,'23.07 KAMPALA-WAKISO'!C25,'24.07 Kampala-Wakiso'!C25,'25.07 Kampala-Wakiso'!C25,'26.07 Kampala-Wakiso-24h'!C25,'27.07 Kampala-Wakiso-24h'!C25,'28.07 Kampala-wakiso'!C25)</f>
        <v>43.714285714285715</v>
      </c>
      <c r="D25" s="49">
        <f>AVERAGE('22.07 Kampala-Wakiso'!D25,'23.07 KAMPALA-WAKISO'!D25,'24.07 Kampala-Wakiso'!D25,'25.07 Kampala-Wakiso'!D25,'26.07 Kampala-Wakiso-24h'!D25,'27.07 Kampala-Wakiso-24h'!D25,'28.07 Kampala-wakiso'!D25)</f>
        <v>41.142857142857146</v>
      </c>
      <c r="E25" s="49">
        <f>AVERAGE('22.07 Kampala-Wakiso'!E25,'23.07 KAMPALA-WAKISO'!E25,'24.07 Kampala-Wakiso'!E25,'25.07 Kampala-Wakiso'!E25,'26.07 Kampala-Wakiso-24h'!E25,'27.07 Kampala-Wakiso-24h'!E25,'28.07 Kampala-wakiso'!E25)</f>
        <v>8.5714285714285712</v>
      </c>
      <c r="F25" s="49">
        <f>AVERAGE('22.07 Kampala-Wakiso'!F25,'23.07 KAMPALA-WAKISO'!F25,'24.07 Kampala-Wakiso'!F25,'25.07 Kampala-Wakiso'!F25,'26.07 Kampala-Wakiso-24h'!F25,'27.07 Kampala-Wakiso-24h'!F25,'28.07 Kampala-wakiso'!F25)</f>
        <v>42.571428571428569</v>
      </c>
      <c r="G25" s="49">
        <f>AVERAGE('22.07 Kampala-Wakiso'!G25,'23.07 KAMPALA-WAKISO'!G25,'24.07 Kampala-Wakiso'!G25,'25.07 Kampala-Wakiso'!G25,'26.07 Kampala-Wakiso-24h'!G25,'27.07 Kampala-Wakiso-24h'!G25,'28.07 Kampala-wakiso'!G25)</f>
        <v>0.5714285714285714</v>
      </c>
      <c r="H25" s="49">
        <f>AVERAGE('22.07 Kampala-Wakiso'!H25,'23.07 KAMPALA-WAKISO'!H25,'24.07 Kampala-Wakiso'!H25,'25.07 Kampala-Wakiso'!H25,'26.07 Kampala-Wakiso-24h'!H25,'27.07 Kampala-Wakiso-24h'!H25,'28.07 Kampala-wakiso'!H25)</f>
        <v>0.2857142857142857</v>
      </c>
      <c r="I25" s="49">
        <f>AVERAGE('22.07 Kampala-Wakiso'!I25,'23.07 KAMPALA-WAKISO'!I25,'24.07 Kampala-Wakiso'!I25,'25.07 Kampala-Wakiso'!I25,'26.07 Kampala-Wakiso-24h'!I25,'27.07 Kampala-Wakiso-24h'!I25,'28.07 Kampala-wakiso'!I25)</f>
        <v>9.5714285714285712</v>
      </c>
      <c r="J25" s="49">
        <f>AVERAGE('22.07 Kampala-Wakiso'!J25,'23.07 KAMPALA-WAKISO'!J25,'24.07 Kampala-Wakiso'!J25,'25.07 Kampala-Wakiso'!J25,'26.07 Kampala-Wakiso-24h'!J25,'27.07 Kampala-Wakiso-24h'!J25,'28.07 Kampala-wakiso'!J25)</f>
        <v>3.1428571428571428</v>
      </c>
      <c r="K25" s="49">
        <f>AVERAGE('22.07 Kampala-Wakiso'!K25,'23.07 KAMPALA-WAKISO'!K25,'24.07 Kampala-Wakiso'!K25,'25.07 Kampala-Wakiso'!K25,'26.07 Kampala-Wakiso-24h'!K25,'27.07 Kampala-Wakiso-24h'!K25,'28.07 Kampala-wakiso'!K25)</f>
        <v>0.5714285714285714</v>
      </c>
      <c r="L25" s="49">
        <f>AVERAGE('22.07 Kampala-Wakiso'!L25,'23.07 KAMPALA-WAKISO'!L25,'24.07 Kampala-Wakiso'!L25,'25.07 Kampala-Wakiso'!L25,'26.07 Kampala-Wakiso-24h'!L25,'27.07 Kampala-Wakiso-24h'!L25,'28.07 Kampala-wakiso'!L25)</f>
        <v>0.8571428571428571</v>
      </c>
      <c r="M25" s="49">
        <f>AVERAGE('22.07 Kampala-Wakiso'!M25,'23.07 KAMPALA-WAKISO'!M25,'24.07 Kampala-Wakiso'!M25,'25.07 Kampala-Wakiso'!M25,'26.07 Kampala-Wakiso-24h'!M25,'27.07 Kampala-Wakiso-24h'!M25,'28.07 Kampala-wakiso'!M25)</f>
        <v>78.857142857142861</v>
      </c>
      <c r="N25" s="49">
        <f>AVERAGE('22.07 Kampala-Wakiso'!N25,'23.07 KAMPALA-WAKISO'!N25,'24.07 Kampala-Wakiso'!N25,'25.07 Kampala-Wakiso'!N25,'26.07 Kampala-Wakiso-24h'!N25,'27.07 Kampala-Wakiso-24h'!N25,'28.07 Kampala-wakiso'!N25)</f>
        <v>0</v>
      </c>
      <c r="O25" s="15">
        <f t="shared" si="0"/>
        <v>151.00000000000003</v>
      </c>
      <c r="P25" s="15">
        <f t="shared" si="1"/>
        <v>229.85714285714289</v>
      </c>
      <c r="R25" s="1" t="s">
        <v>149</v>
      </c>
      <c r="S25" s="34">
        <f>SUM(C70:C73)</f>
        <v>242.5</v>
      </c>
      <c r="T25" s="34">
        <f t="shared" ref="T25:AF25" si="17">SUM(D70:D73)</f>
        <v>242.5</v>
      </c>
      <c r="U25" s="34">
        <f t="shared" si="17"/>
        <v>24</v>
      </c>
      <c r="V25" s="34">
        <f t="shared" si="17"/>
        <v>232.5</v>
      </c>
      <c r="W25" s="34">
        <f t="shared" si="17"/>
        <v>8.5</v>
      </c>
      <c r="X25" s="34">
        <f t="shared" si="17"/>
        <v>0</v>
      </c>
      <c r="Y25" s="34">
        <f t="shared" si="17"/>
        <v>15.5</v>
      </c>
      <c r="Z25" s="34">
        <f t="shared" si="17"/>
        <v>3</v>
      </c>
      <c r="AA25" s="34">
        <f t="shared" si="17"/>
        <v>0.5</v>
      </c>
      <c r="AB25" s="34">
        <f t="shared" si="17"/>
        <v>0.5</v>
      </c>
      <c r="AC25" s="34">
        <f t="shared" si="17"/>
        <v>347.5</v>
      </c>
      <c r="AD25" s="34">
        <f t="shared" si="17"/>
        <v>0</v>
      </c>
      <c r="AE25" s="31">
        <f t="shared" si="17"/>
        <v>769.5</v>
      </c>
      <c r="AF25" s="31">
        <f t="shared" si="17"/>
        <v>1117</v>
      </c>
    </row>
    <row r="26" spans="2:32" ht="23.1" customHeight="1" x14ac:dyDescent="0.25">
      <c r="B26" s="23" t="s">
        <v>53</v>
      </c>
      <c r="C26" s="49">
        <f>AVERAGE('22.07 Kampala-Wakiso'!C26,'23.07 KAMPALA-WAKISO'!C26,'24.07 Kampala-Wakiso'!C26,'25.07 Kampala-Wakiso'!C26,'26.07 Kampala-Wakiso-24h'!C26,'27.07 Kampala-Wakiso-24h'!C26,'28.07 Kampala-wakiso'!C26)</f>
        <v>57.714285714285715</v>
      </c>
      <c r="D26" s="49">
        <f>AVERAGE('22.07 Kampala-Wakiso'!D26,'23.07 KAMPALA-WAKISO'!D26,'24.07 Kampala-Wakiso'!D26,'25.07 Kampala-Wakiso'!D26,'26.07 Kampala-Wakiso-24h'!D26,'27.07 Kampala-Wakiso-24h'!D26,'28.07 Kampala-wakiso'!D26)</f>
        <v>52.714285714285715</v>
      </c>
      <c r="E26" s="49">
        <f>AVERAGE('22.07 Kampala-Wakiso'!E26,'23.07 KAMPALA-WAKISO'!E26,'24.07 Kampala-Wakiso'!E26,'25.07 Kampala-Wakiso'!E26,'26.07 Kampala-Wakiso-24h'!E26,'27.07 Kampala-Wakiso-24h'!E26,'28.07 Kampala-wakiso'!E26)</f>
        <v>7.4285714285714288</v>
      </c>
      <c r="F26" s="49">
        <f>AVERAGE('22.07 Kampala-Wakiso'!F26,'23.07 KAMPALA-WAKISO'!F26,'24.07 Kampala-Wakiso'!F26,'25.07 Kampala-Wakiso'!F26,'26.07 Kampala-Wakiso-24h'!F26,'27.07 Kampala-Wakiso-24h'!F26,'28.07 Kampala-wakiso'!F26)</f>
        <v>49.142857142857146</v>
      </c>
      <c r="G26" s="49">
        <f>AVERAGE('22.07 Kampala-Wakiso'!G26,'23.07 KAMPALA-WAKISO'!G26,'24.07 Kampala-Wakiso'!G26,'25.07 Kampala-Wakiso'!G26,'26.07 Kampala-Wakiso-24h'!G26,'27.07 Kampala-Wakiso-24h'!G26,'28.07 Kampala-wakiso'!G26)</f>
        <v>0.5714285714285714</v>
      </c>
      <c r="H26" s="49">
        <f>AVERAGE('22.07 Kampala-Wakiso'!H26,'23.07 KAMPALA-WAKISO'!H26,'24.07 Kampala-Wakiso'!H26,'25.07 Kampala-Wakiso'!H26,'26.07 Kampala-Wakiso-24h'!H26,'27.07 Kampala-Wakiso-24h'!H26,'28.07 Kampala-wakiso'!H26)</f>
        <v>0.14285714285714285</v>
      </c>
      <c r="I26" s="49">
        <f>AVERAGE('22.07 Kampala-Wakiso'!I26,'23.07 KAMPALA-WAKISO'!I26,'24.07 Kampala-Wakiso'!I26,'25.07 Kampala-Wakiso'!I26,'26.07 Kampala-Wakiso-24h'!I26,'27.07 Kampala-Wakiso-24h'!I26,'28.07 Kampala-wakiso'!I26)</f>
        <v>8.8571428571428577</v>
      </c>
      <c r="J26" s="49">
        <f>AVERAGE('22.07 Kampala-Wakiso'!J26,'23.07 KAMPALA-WAKISO'!J26,'24.07 Kampala-Wakiso'!J26,'25.07 Kampala-Wakiso'!J26,'26.07 Kampala-Wakiso-24h'!J26,'27.07 Kampala-Wakiso-24h'!J26,'28.07 Kampala-wakiso'!J26)</f>
        <v>2.4285714285714284</v>
      </c>
      <c r="K26" s="49">
        <f>AVERAGE('22.07 Kampala-Wakiso'!K26,'23.07 KAMPALA-WAKISO'!K26,'24.07 Kampala-Wakiso'!K26,'25.07 Kampala-Wakiso'!K26,'26.07 Kampala-Wakiso-24h'!K26,'27.07 Kampala-Wakiso-24h'!K26,'28.07 Kampala-wakiso'!K26)</f>
        <v>1.8571428571428572</v>
      </c>
      <c r="L26" s="49">
        <f>AVERAGE('22.07 Kampala-Wakiso'!L26,'23.07 KAMPALA-WAKISO'!L26,'24.07 Kampala-Wakiso'!L26,'25.07 Kampala-Wakiso'!L26,'26.07 Kampala-Wakiso-24h'!L26,'27.07 Kampala-Wakiso-24h'!L26,'28.07 Kampala-wakiso'!L26)</f>
        <v>0.5714285714285714</v>
      </c>
      <c r="M26" s="49">
        <f>AVERAGE('22.07 Kampala-Wakiso'!M26,'23.07 KAMPALA-WAKISO'!M26,'24.07 Kampala-Wakiso'!M26,'25.07 Kampala-Wakiso'!M26,'26.07 Kampala-Wakiso-24h'!M26,'27.07 Kampala-Wakiso-24h'!M26,'28.07 Kampala-wakiso'!M26)</f>
        <v>83</v>
      </c>
      <c r="N26" s="49">
        <f>AVERAGE('22.07 Kampala-Wakiso'!N26,'23.07 KAMPALA-WAKISO'!N26,'24.07 Kampala-Wakiso'!N26,'25.07 Kampala-Wakiso'!N26,'26.07 Kampala-Wakiso-24h'!N26,'27.07 Kampala-Wakiso-24h'!N26,'28.07 Kampala-wakiso'!N26)</f>
        <v>0</v>
      </c>
      <c r="O26" s="15">
        <f t="shared" si="0"/>
        <v>181.42857142857144</v>
      </c>
      <c r="P26" s="15">
        <f t="shared" si="1"/>
        <v>264.42857142857144</v>
      </c>
      <c r="R26" s="1" t="s">
        <v>150</v>
      </c>
      <c r="S26" s="34">
        <f>SUM(C74:C77)</f>
        <v>136.5</v>
      </c>
      <c r="T26" s="34">
        <f t="shared" ref="T26:AF26" si="18">SUM(D74:D77)</f>
        <v>146</v>
      </c>
      <c r="U26" s="34">
        <f t="shared" si="18"/>
        <v>12</v>
      </c>
      <c r="V26" s="34">
        <f t="shared" si="18"/>
        <v>145.5</v>
      </c>
      <c r="W26" s="34">
        <f t="shared" si="18"/>
        <v>3</v>
      </c>
      <c r="X26" s="34">
        <f t="shared" si="18"/>
        <v>0</v>
      </c>
      <c r="Y26" s="34">
        <f t="shared" si="18"/>
        <v>10</v>
      </c>
      <c r="Z26" s="34">
        <f t="shared" si="18"/>
        <v>4</v>
      </c>
      <c r="AA26" s="34">
        <f t="shared" si="18"/>
        <v>1.5</v>
      </c>
      <c r="AB26" s="34">
        <f t="shared" si="18"/>
        <v>1</v>
      </c>
      <c r="AC26" s="34">
        <f t="shared" si="18"/>
        <v>175</v>
      </c>
      <c r="AD26" s="34">
        <f t="shared" si="18"/>
        <v>0</v>
      </c>
      <c r="AE26" s="31">
        <f t="shared" si="18"/>
        <v>459.5</v>
      </c>
      <c r="AF26" s="31">
        <f t="shared" si="18"/>
        <v>634.5</v>
      </c>
    </row>
    <row r="27" spans="2:32" ht="23.1" customHeight="1" x14ac:dyDescent="0.25">
      <c r="B27" s="23" t="s">
        <v>54</v>
      </c>
      <c r="C27" s="49">
        <f>AVERAGE('22.07 Kampala-Wakiso'!C27,'23.07 KAMPALA-WAKISO'!C27,'24.07 Kampala-Wakiso'!C27,'25.07 Kampala-Wakiso'!C27,'26.07 Kampala-Wakiso-24h'!C27,'27.07 Kampala-Wakiso-24h'!C27,'28.07 Kampala-wakiso'!C27)</f>
        <v>49</v>
      </c>
      <c r="D27" s="49">
        <f>AVERAGE('22.07 Kampala-Wakiso'!D27,'23.07 KAMPALA-WAKISO'!D27,'24.07 Kampala-Wakiso'!D27,'25.07 Kampala-Wakiso'!D27,'26.07 Kampala-Wakiso-24h'!D27,'27.07 Kampala-Wakiso-24h'!D27,'28.07 Kampala-wakiso'!D27)</f>
        <v>31.142857142857142</v>
      </c>
      <c r="E27" s="49">
        <f>AVERAGE('22.07 Kampala-Wakiso'!E27,'23.07 KAMPALA-WAKISO'!E27,'24.07 Kampala-Wakiso'!E27,'25.07 Kampala-Wakiso'!E27,'26.07 Kampala-Wakiso-24h'!E27,'27.07 Kampala-Wakiso-24h'!E27,'28.07 Kampala-wakiso'!E27)</f>
        <v>7.8571428571428568</v>
      </c>
      <c r="F27" s="49">
        <f>AVERAGE('22.07 Kampala-Wakiso'!F27,'23.07 KAMPALA-WAKISO'!F27,'24.07 Kampala-Wakiso'!F27,'25.07 Kampala-Wakiso'!F27,'26.07 Kampala-Wakiso-24h'!F27,'27.07 Kampala-Wakiso-24h'!F27,'28.07 Kampala-wakiso'!F27)</f>
        <v>56.285714285714285</v>
      </c>
      <c r="G27" s="49">
        <f>AVERAGE('22.07 Kampala-Wakiso'!G27,'23.07 KAMPALA-WAKISO'!G27,'24.07 Kampala-Wakiso'!G27,'25.07 Kampala-Wakiso'!G27,'26.07 Kampala-Wakiso-24h'!G27,'27.07 Kampala-Wakiso-24h'!G27,'28.07 Kampala-wakiso'!G27)</f>
        <v>0.42857142857142855</v>
      </c>
      <c r="H27" s="49">
        <f>AVERAGE('22.07 Kampala-Wakiso'!H27,'23.07 KAMPALA-WAKISO'!H27,'24.07 Kampala-Wakiso'!H27,'25.07 Kampala-Wakiso'!H27,'26.07 Kampala-Wakiso-24h'!H27,'27.07 Kampala-Wakiso-24h'!H27,'28.07 Kampala-wakiso'!H27)</f>
        <v>0.14285714285714285</v>
      </c>
      <c r="I27" s="49">
        <f>AVERAGE('22.07 Kampala-Wakiso'!I27,'23.07 KAMPALA-WAKISO'!I27,'24.07 Kampala-Wakiso'!I27,'25.07 Kampala-Wakiso'!I27,'26.07 Kampala-Wakiso-24h'!I27,'27.07 Kampala-Wakiso-24h'!I27,'28.07 Kampala-wakiso'!I27)</f>
        <v>11.857142857142858</v>
      </c>
      <c r="J27" s="49">
        <f>AVERAGE('22.07 Kampala-Wakiso'!J27,'23.07 KAMPALA-WAKISO'!J27,'24.07 Kampala-Wakiso'!J27,'25.07 Kampala-Wakiso'!J27,'26.07 Kampala-Wakiso-24h'!J27,'27.07 Kampala-Wakiso-24h'!J27,'28.07 Kampala-wakiso'!J27)</f>
        <v>3.1428571428571428</v>
      </c>
      <c r="K27" s="49">
        <f>AVERAGE('22.07 Kampala-Wakiso'!K27,'23.07 KAMPALA-WAKISO'!K27,'24.07 Kampala-Wakiso'!K27,'25.07 Kampala-Wakiso'!K27,'26.07 Kampala-Wakiso-24h'!K27,'27.07 Kampala-Wakiso-24h'!K27,'28.07 Kampala-wakiso'!K27)</f>
        <v>1</v>
      </c>
      <c r="L27" s="49">
        <f>AVERAGE('22.07 Kampala-Wakiso'!L27,'23.07 KAMPALA-WAKISO'!L27,'24.07 Kampala-Wakiso'!L27,'25.07 Kampala-Wakiso'!L27,'26.07 Kampala-Wakiso-24h'!L27,'27.07 Kampala-Wakiso-24h'!L27,'28.07 Kampala-wakiso'!L27)</f>
        <v>1</v>
      </c>
      <c r="M27" s="49">
        <f>AVERAGE('22.07 Kampala-Wakiso'!M27,'23.07 KAMPALA-WAKISO'!M27,'24.07 Kampala-Wakiso'!M27,'25.07 Kampala-Wakiso'!M27,'26.07 Kampala-Wakiso-24h'!M27,'27.07 Kampala-Wakiso-24h'!M27,'28.07 Kampala-wakiso'!M27)</f>
        <v>94.714285714285708</v>
      </c>
      <c r="N27" s="49">
        <f>AVERAGE('22.07 Kampala-Wakiso'!N27,'23.07 KAMPALA-WAKISO'!N27,'24.07 Kampala-Wakiso'!N27,'25.07 Kampala-Wakiso'!N27,'26.07 Kampala-Wakiso-24h'!N27,'27.07 Kampala-Wakiso-24h'!N27,'28.07 Kampala-wakiso'!N27)</f>
        <v>0</v>
      </c>
      <c r="O27" s="15">
        <f t="shared" si="0"/>
        <v>161.85714285714283</v>
      </c>
      <c r="P27" s="15">
        <f t="shared" si="1"/>
        <v>256.57142857142856</v>
      </c>
      <c r="R27" s="1" t="s">
        <v>151</v>
      </c>
      <c r="S27" s="34">
        <f>SUM(C78:C81)</f>
        <v>91.5</v>
      </c>
      <c r="T27" s="34">
        <f t="shared" ref="T27:AF27" si="19">SUM(D78:D81)</f>
        <v>67</v>
      </c>
      <c r="U27" s="34">
        <f t="shared" si="19"/>
        <v>13</v>
      </c>
      <c r="V27" s="34">
        <f t="shared" si="19"/>
        <v>31.5</v>
      </c>
      <c r="W27" s="34">
        <f t="shared" si="19"/>
        <v>0</v>
      </c>
      <c r="X27" s="34">
        <f t="shared" si="19"/>
        <v>1</v>
      </c>
      <c r="Y27" s="34">
        <f t="shared" si="19"/>
        <v>4</v>
      </c>
      <c r="Z27" s="34">
        <f t="shared" si="19"/>
        <v>0.5</v>
      </c>
      <c r="AA27" s="34">
        <f t="shared" si="19"/>
        <v>0</v>
      </c>
      <c r="AB27" s="34">
        <f t="shared" si="19"/>
        <v>1</v>
      </c>
      <c r="AC27" s="34">
        <f t="shared" si="19"/>
        <v>127.5</v>
      </c>
      <c r="AD27" s="34">
        <f t="shared" si="19"/>
        <v>0</v>
      </c>
      <c r="AE27" s="31">
        <f t="shared" si="19"/>
        <v>209.5</v>
      </c>
      <c r="AF27" s="31">
        <f t="shared" si="19"/>
        <v>337</v>
      </c>
    </row>
    <row r="28" spans="2:32" ht="23.1" customHeight="1" x14ac:dyDescent="0.25">
      <c r="B28" s="23" t="s">
        <v>55</v>
      </c>
      <c r="C28" s="49">
        <f>AVERAGE('22.07 Kampala-Wakiso'!C28,'23.07 KAMPALA-WAKISO'!C28,'24.07 Kampala-Wakiso'!C28,'25.07 Kampala-Wakiso'!C28,'26.07 Kampala-Wakiso-24h'!C28,'27.07 Kampala-Wakiso-24h'!C28,'28.07 Kampala-wakiso'!C28)</f>
        <v>45.428571428571431</v>
      </c>
      <c r="D28" s="49">
        <f>AVERAGE('22.07 Kampala-Wakiso'!D28,'23.07 KAMPALA-WAKISO'!D28,'24.07 Kampala-Wakiso'!D28,'25.07 Kampala-Wakiso'!D28,'26.07 Kampala-Wakiso-24h'!D28,'27.07 Kampala-Wakiso-24h'!D28,'28.07 Kampala-wakiso'!D28)</f>
        <v>38</v>
      </c>
      <c r="E28" s="49">
        <f>AVERAGE('22.07 Kampala-Wakiso'!E28,'23.07 KAMPALA-WAKISO'!E28,'24.07 Kampala-Wakiso'!E28,'25.07 Kampala-Wakiso'!E28,'26.07 Kampala-Wakiso-24h'!E28,'27.07 Kampala-Wakiso-24h'!E28,'28.07 Kampala-wakiso'!E28)</f>
        <v>9.4285714285714288</v>
      </c>
      <c r="F28" s="49">
        <f>AVERAGE('22.07 Kampala-Wakiso'!F28,'23.07 KAMPALA-WAKISO'!F28,'24.07 Kampala-Wakiso'!F28,'25.07 Kampala-Wakiso'!F28,'26.07 Kampala-Wakiso-24h'!F28,'27.07 Kampala-Wakiso-24h'!F28,'28.07 Kampala-wakiso'!F28)</f>
        <v>51.428571428571431</v>
      </c>
      <c r="G28" s="49">
        <f>AVERAGE('22.07 Kampala-Wakiso'!G28,'23.07 KAMPALA-WAKISO'!G28,'24.07 Kampala-Wakiso'!G28,'25.07 Kampala-Wakiso'!G28,'26.07 Kampala-Wakiso-24h'!G28,'27.07 Kampala-Wakiso-24h'!G28,'28.07 Kampala-wakiso'!G28)</f>
        <v>0</v>
      </c>
      <c r="H28" s="49">
        <f>AVERAGE('22.07 Kampala-Wakiso'!H28,'23.07 KAMPALA-WAKISO'!H28,'24.07 Kampala-Wakiso'!H28,'25.07 Kampala-Wakiso'!H28,'26.07 Kampala-Wakiso-24h'!H28,'27.07 Kampala-Wakiso-24h'!H28,'28.07 Kampala-wakiso'!H28)</f>
        <v>0.2857142857142857</v>
      </c>
      <c r="I28" s="49">
        <f>AVERAGE('22.07 Kampala-Wakiso'!I28,'23.07 KAMPALA-WAKISO'!I28,'24.07 Kampala-Wakiso'!I28,'25.07 Kampala-Wakiso'!I28,'26.07 Kampala-Wakiso-24h'!I28,'27.07 Kampala-Wakiso-24h'!I28,'28.07 Kampala-wakiso'!I28)</f>
        <v>8.8571428571428577</v>
      </c>
      <c r="J28" s="49">
        <f>AVERAGE('22.07 Kampala-Wakiso'!J28,'23.07 KAMPALA-WAKISO'!J28,'24.07 Kampala-Wakiso'!J28,'25.07 Kampala-Wakiso'!J28,'26.07 Kampala-Wakiso-24h'!J28,'27.07 Kampala-Wakiso-24h'!J28,'28.07 Kampala-wakiso'!J28)</f>
        <v>4.2857142857142856</v>
      </c>
      <c r="K28" s="49">
        <f>AVERAGE('22.07 Kampala-Wakiso'!K28,'23.07 KAMPALA-WAKISO'!K28,'24.07 Kampala-Wakiso'!K28,'25.07 Kampala-Wakiso'!K28,'26.07 Kampala-Wakiso-24h'!K28,'27.07 Kampala-Wakiso-24h'!K28,'28.07 Kampala-wakiso'!K28)</f>
        <v>2</v>
      </c>
      <c r="L28" s="49">
        <f>AVERAGE('22.07 Kampala-Wakiso'!L28,'23.07 KAMPALA-WAKISO'!L28,'24.07 Kampala-Wakiso'!L28,'25.07 Kampala-Wakiso'!L28,'26.07 Kampala-Wakiso-24h'!L28,'27.07 Kampala-Wakiso-24h'!L28,'28.07 Kampala-wakiso'!L28)</f>
        <v>0.42857142857142855</v>
      </c>
      <c r="M28" s="49">
        <f>AVERAGE('22.07 Kampala-Wakiso'!M28,'23.07 KAMPALA-WAKISO'!M28,'24.07 Kampala-Wakiso'!M28,'25.07 Kampala-Wakiso'!M28,'26.07 Kampala-Wakiso-24h'!M28,'27.07 Kampala-Wakiso-24h'!M28,'28.07 Kampala-wakiso'!M28)</f>
        <v>87.285714285714292</v>
      </c>
      <c r="N28" s="49">
        <f>AVERAGE('22.07 Kampala-Wakiso'!N28,'23.07 KAMPALA-WAKISO'!N28,'24.07 Kampala-Wakiso'!N28,'25.07 Kampala-Wakiso'!N28,'26.07 Kampala-Wakiso-24h'!N28,'27.07 Kampala-Wakiso-24h'!N28,'28.07 Kampala-wakiso'!N28)</f>
        <v>0</v>
      </c>
      <c r="O28" s="15">
        <f t="shared" si="0"/>
        <v>160.14285714285711</v>
      </c>
      <c r="P28" s="15">
        <f t="shared" si="1"/>
        <v>247.42857142857139</v>
      </c>
      <c r="R28" s="1" t="s">
        <v>152</v>
      </c>
      <c r="S28" s="34">
        <f>SUM(C82:C85)</f>
        <v>78</v>
      </c>
      <c r="T28" s="34">
        <f t="shared" ref="T28:AF28" si="20">SUM(D82:D85)</f>
        <v>50</v>
      </c>
      <c r="U28" s="34">
        <f t="shared" si="20"/>
        <v>13.5</v>
      </c>
      <c r="V28" s="34">
        <f t="shared" si="20"/>
        <v>47</v>
      </c>
      <c r="W28" s="34">
        <f t="shared" si="20"/>
        <v>1.5</v>
      </c>
      <c r="X28" s="34">
        <f t="shared" si="20"/>
        <v>0.5</v>
      </c>
      <c r="Y28" s="34">
        <f t="shared" si="20"/>
        <v>4.5</v>
      </c>
      <c r="Z28" s="34">
        <f t="shared" si="20"/>
        <v>4.5</v>
      </c>
      <c r="AA28" s="34">
        <f t="shared" si="20"/>
        <v>1.5</v>
      </c>
      <c r="AB28" s="34">
        <f t="shared" si="20"/>
        <v>0.5</v>
      </c>
      <c r="AC28" s="34">
        <f t="shared" si="20"/>
        <v>119</v>
      </c>
      <c r="AD28" s="34">
        <f t="shared" si="20"/>
        <v>0</v>
      </c>
      <c r="AE28" s="31">
        <f t="shared" si="20"/>
        <v>201.5</v>
      </c>
      <c r="AF28" s="31">
        <f t="shared" si="20"/>
        <v>320.5</v>
      </c>
    </row>
    <row r="29" spans="2:32" ht="23.1" customHeight="1" x14ac:dyDescent="0.25">
      <c r="B29" s="23" t="s">
        <v>56</v>
      </c>
      <c r="C29" s="49">
        <f>AVERAGE('22.07 Kampala-Wakiso'!C29,'23.07 KAMPALA-WAKISO'!C29,'24.07 Kampala-Wakiso'!C29,'25.07 Kampala-Wakiso'!C29,'26.07 Kampala-Wakiso-24h'!C29,'27.07 Kampala-Wakiso-24h'!C29,'28.07 Kampala-wakiso'!C29)</f>
        <v>38.857142857142854</v>
      </c>
      <c r="D29" s="49">
        <f>AVERAGE('22.07 Kampala-Wakiso'!D29,'23.07 KAMPALA-WAKISO'!D29,'24.07 Kampala-Wakiso'!D29,'25.07 Kampala-Wakiso'!D29,'26.07 Kampala-Wakiso-24h'!D29,'27.07 Kampala-Wakiso-24h'!D29,'28.07 Kampala-wakiso'!D29)</f>
        <v>31.285714285714285</v>
      </c>
      <c r="E29" s="49">
        <f>AVERAGE('22.07 Kampala-Wakiso'!E29,'23.07 KAMPALA-WAKISO'!E29,'24.07 Kampala-Wakiso'!E29,'25.07 Kampala-Wakiso'!E29,'26.07 Kampala-Wakiso-24h'!E29,'27.07 Kampala-Wakiso-24h'!E29,'28.07 Kampala-wakiso'!E29)</f>
        <v>8.2857142857142865</v>
      </c>
      <c r="F29" s="49">
        <f>AVERAGE('22.07 Kampala-Wakiso'!F29,'23.07 KAMPALA-WAKISO'!F29,'24.07 Kampala-Wakiso'!F29,'25.07 Kampala-Wakiso'!F29,'26.07 Kampala-Wakiso-24h'!F29,'27.07 Kampala-Wakiso-24h'!F29,'28.07 Kampala-wakiso'!F29)</f>
        <v>41</v>
      </c>
      <c r="G29" s="49">
        <f>AVERAGE('22.07 Kampala-Wakiso'!G29,'23.07 KAMPALA-WAKISO'!G29,'24.07 Kampala-Wakiso'!G29,'25.07 Kampala-Wakiso'!G29,'26.07 Kampala-Wakiso-24h'!G29,'27.07 Kampala-Wakiso-24h'!G29,'28.07 Kampala-wakiso'!G29)</f>
        <v>0.42857142857142855</v>
      </c>
      <c r="H29" s="49">
        <f>AVERAGE('22.07 Kampala-Wakiso'!H29,'23.07 KAMPALA-WAKISO'!H29,'24.07 Kampala-Wakiso'!H29,'25.07 Kampala-Wakiso'!H29,'26.07 Kampala-Wakiso-24h'!H29,'27.07 Kampala-Wakiso-24h'!H29,'28.07 Kampala-wakiso'!H29)</f>
        <v>0.14285714285714285</v>
      </c>
      <c r="I29" s="49">
        <f>AVERAGE('22.07 Kampala-Wakiso'!I29,'23.07 KAMPALA-WAKISO'!I29,'24.07 Kampala-Wakiso'!I29,'25.07 Kampala-Wakiso'!I29,'26.07 Kampala-Wakiso-24h'!I29,'27.07 Kampala-Wakiso-24h'!I29,'28.07 Kampala-wakiso'!I29)</f>
        <v>8.7142857142857135</v>
      </c>
      <c r="J29" s="49">
        <f>AVERAGE('22.07 Kampala-Wakiso'!J29,'23.07 KAMPALA-WAKISO'!J29,'24.07 Kampala-Wakiso'!J29,'25.07 Kampala-Wakiso'!J29,'26.07 Kampala-Wakiso-24h'!J29,'27.07 Kampala-Wakiso-24h'!J29,'28.07 Kampala-wakiso'!J29)</f>
        <v>4.5714285714285712</v>
      </c>
      <c r="K29" s="49">
        <f>AVERAGE('22.07 Kampala-Wakiso'!K29,'23.07 KAMPALA-WAKISO'!K29,'24.07 Kampala-Wakiso'!K29,'25.07 Kampala-Wakiso'!K29,'26.07 Kampala-Wakiso-24h'!K29,'27.07 Kampala-Wakiso-24h'!K29,'28.07 Kampala-wakiso'!K29)</f>
        <v>2.1428571428571428</v>
      </c>
      <c r="L29" s="49">
        <f>AVERAGE('22.07 Kampala-Wakiso'!L29,'23.07 KAMPALA-WAKISO'!L29,'24.07 Kampala-Wakiso'!L29,'25.07 Kampala-Wakiso'!L29,'26.07 Kampala-Wakiso-24h'!L29,'27.07 Kampala-Wakiso-24h'!L29,'28.07 Kampala-wakiso'!L29)</f>
        <v>13.571428571428571</v>
      </c>
      <c r="M29" s="49">
        <f>AVERAGE('22.07 Kampala-Wakiso'!M29,'23.07 KAMPALA-WAKISO'!M29,'24.07 Kampala-Wakiso'!M29,'25.07 Kampala-Wakiso'!M29,'26.07 Kampala-Wakiso-24h'!M29,'27.07 Kampala-Wakiso-24h'!M29,'28.07 Kampala-wakiso'!M29)</f>
        <v>67.142857142857139</v>
      </c>
      <c r="N29" s="49">
        <f>AVERAGE('22.07 Kampala-Wakiso'!N29,'23.07 KAMPALA-WAKISO'!N29,'24.07 Kampala-Wakiso'!N29,'25.07 Kampala-Wakiso'!N29,'26.07 Kampala-Wakiso-24h'!N29,'27.07 Kampala-Wakiso-24h'!N29,'28.07 Kampala-wakiso'!N29)</f>
        <v>0</v>
      </c>
      <c r="O29" s="15">
        <f t="shared" si="0"/>
        <v>149.00000000000003</v>
      </c>
      <c r="P29" s="15">
        <f t="shared" si="1"/>
        <v>216.14285714285717</v>
      </c>
      <c r="R29" s="1" t="s">
        <v>153</v>
      </c>
      <c r="S29" s="34">
        <f>SUM(C86:C89)</f>
        <v>48.5</v>
      </c>
      <c r="T29" s="34">
        <f t="shared" ref="T29:AF29" si="21">SUM(D86:D89)</f>
        <v>33</v>
      </c>
      <c r="U29" s="34">
        <f t="shared" si="21"/>
        <v>6.5</v>
      </c>
      <c r="V29" s="34">
        <f t="shared" si="21"/>
        <v>34.5</v>
      </c>
      <c r="W29" s="34">
        <f t="shared" si="21"/>
        <v>0</v>
      </c>
      <c r="X29" s="34">
        <f t="shared" si="21"/>
        <v>0</v>
      </c>
      <c r="Y29" s="34">
        <f t="shared" si="21"/>
        <v>8</v>
      </c>
      <c r="Z29" s="34">
        <f t="shared" si="21"/>
        <v>2</v>
      </c>
      <c r="AA29" s="34">
        <f t="shared" si="21"/>
        <v>2</v>
      </c>
      <c r="AB29" s="34">
        <f t="shared" si="21"/>
        <v>1.5</v>
      </c>
      <c r="AC29" s="34">
        <f t="shared" si="21"/>
        <v>100</v>
      </c>
      <c r="AD29" s="34">
        <f t="shared" si="21"/>
        <v>0</v>
      </c>
      <c r="AE29" s="31">
        <f t="shared" si="21"/>
        <v>136</v>
      </c>
      <c r="AF29" s="31">
        <f t="shared" si="21"/>
        <v>236</v>
      </c>
    </row>
    <row r="30" spans="2:32" ht="23.1" customHeight="1" x14ac:dyDescent="0.25">
      <c r="B30" s="23" t="s">
        <v>57</v>
      </c>
      <c r="C30" s="49">
        <f>AVERAGE('22.07 Kampala-Wakiso'!C30,'23.07 KAMPALA-WAKISO'!C30,'24.07 Kampala-Wakiso'!C30,'25.07 Kampala-Wakiso'!C30,'26.07 Kampala-Wakiso-24h'!C30,'27.07 Kampala-Wakiso-24h'!C30,'28.07 Kampala-wakiso'!C30)</f>
        <v>37.285714285714285</v>
      </c>
      <c r="D30" s="49">
        <f>AVERAGE('22.07 Kampala-Wakiso'!D30,'23.07 KAMPALA-WAKISO'!D30,'24.07 Kampala-Wakiso'!D30,'25.07 Kampala-Wakiso'!D30,'26.07 Kampala-Wakiso-24h'!D30,'27.07 Kampala-Wakiso-24h'!D30,'28.07 Kampala-wakiso'!D30)</f>
        <v>37</v>
      </c>
      <c r="E30" s="49">
        <f>AVERAGE('22.07 Kampala-Wakiso'!E30,'23.07 KAMPALA-WAKISO'!E30,'24.07 Kampala-Wakiso'!E30,'25.07 Kampala-Wakiso'!E30,'26.07 Kampala-Wakiso-24h'!E30,'27.07 Kampala-Wakiso-24h'!E30,'28.07 Kampala-wakiso'!E30)</f>
        <v>9.4285714285714288</v>
      </c>
      <c r="F30" s="49">
        <f>AVERAGE('22.07 Kampala-Wakiso'!F30,'23.07 KAMPALA-WAKISO'!F30,'24.07 Kampala-Wakiso'!F30,'25.07 Kampala-Wakiso'!F30,'26.07 Kampala-Wakiso-24h'!F30,'27.07 Kampala-Wakiso-24h'!F30,'28.07 Kampala-wakiso'!F30)</f>
        <v>51.714285714285715</v>
      </c>
      <c r="G30" s="49">
        <f>AVERAGE('22.07 Kampala-Wakiso'!G30,'23.07 KAMPALA-WAKISO'!G30,'24.07 Kampala-Wakiso'!G30,'25.07 Kampala-Wakiso'!G30,'26.07 Kampala-Wakiso-24h'!G30,'27.07 Kampala-Wakiso-24h'!G30,'28.07 Kampala-wakiso'!G30)</f>
        <v>0.2857142857142857</v>
      </c>
      <c r="H30" s="49">
        <f>AVERAGE('22.07 Kampala-Wakiso'!H30,'23.07 KAMPALA-WAKISO'!H30,'24.07 Kampala-Wakiso'!H30,'25.07 Kampala-Wakiso'!H30,'26.07 Kampala-Wakiso-24h'!H30,'27.07 Kampala-Wakiso-24h'!H30,'28.07 Kampala-wakiso'!H30)</f>
        <v>0.2857142857142857</v>
      </c>
      <c r="I30" s="49">
        <f>AVERAGE('22.07 Kampala-Wakiso'!I30,'23.07 KAMPALA-WAKISO'!I30,'24.07 Kampala-Wakiso'!I30,'25.07 Kampala-Wakiso'!I30,'26.07 Kampala-Wakiso-24h'!I30,'27.07 Kampala-Wakiso-24h'!I30,'28.07 Kampala-wakiso'!I30)</f>
        <v>17.714285714285715</v>
      </c>
      <c r="J30" s="49">
        <f>AVERAGE('22.07 Kampala-Wakiso'!J30,'23.07 KAMPALA-WAKISO'!J30,'24.07 Kampala-Wakiso'!J30,'25.07 Kampala-Wakiso'!J30,'26.07 Kampala-Wakiso-24h'!J30,'27.07 Kampala-Wakiso-24h'!J30,'28.07 Kampala-wakiso'!J30)</f>
        <v>1.8571428571428572</v>
      </c>
      <c r="K30" s="49">
        <f>AVERAGE('22.07 Kampala-Wakiso'!K30,'23.07 KAMPALA-WAKISO'!K30,'24.07 Kampala-Wakiso'!K30,'25.07 Kampala-Wakiso'!K30,'26.07 Kampala-Wakiso-24h'!K30,'27.07 Kampala-Wakiso-24h'!K30,'28.07 Kampala-wakiso'!K30)</f>
        <v>0.42857142857142855</v>
      </c>
      <c r="L30" s="49">
        <f>AVERAGE('22.07 Kampala-Wakiso'!L30,'23.07 KAMPALA-WAKISO'!L30,'24.07 Kampala-Wakiso'!L30,'25.07 Kampala-Wakiso'!L30,'26.07 Kampala-Wakiso-24h'!L30,'27.07 Kampala-Wakiso-24h'!L30,'28.07 Kampala-wakiso'!L30)</f>
        <v>1.2857142857142858</v>
      </c>
      <c r="M30" s="49">
        <f>AVERAGE('22.07 Kampala-Wakiso'!M30,'23.07 KAMPALA-WAKISO'!M30,'24.07 Kampala-Wakiso'!M30,'25.07 Kampala-Wakiso'!M30,'26.07 Kampala-Wakiso-24h'!M30,'27.07 Kampala-Wakiso-24h'!M30,'28.07 Kampala-wakiso'!M30)</f>
        <v>75.571428571428569</v>
      </c>
      <c r="N30" s="49">
        <f>AVERAGE('22.07 Kampala-Wakiso'!N30,'23.07 KAMPALA-WAKISO'!N30,'24.07 Kampala-Wakiso'!N30,'25.07 Kampala-Wakiso'!N30,'26.07 Kampala-Wakiso-24h'!N30,'27.07 Kampala-Wakiso-24h'!N30,'28.07 Kampala-wakiso'!N30)</f>
        <v>0</v>
      </c>
      <c r="O30" s="15">
        <f t="shared" si="0"/>
        <v>157.28571428571425</v>
      </c>
      <c r="P30" s="15">
        <f t="shared" si="1"/>
        <v>232.85714285714283</v>
      </c>
      <c r="R30" s="1" t="s">
        <v>154</v>
      </c>
      <c r="S30" s="34">
        <f>SUM(C90:C93)</f>
        <v>52</v>
      </c>
      <c r="T30" s="34">
        <f t="shared" ref="T30:AF30" si="22">SUM(D90:D93)</f>
        <v>39</v>
      </c>
      <c r="U30" s="34">
        <f t="shared" si="22"/>
        <v>5</v>
      </c>
      <c r="V30" s="34">
        <f t="shared" si="22"/>
        <v>20.5</v>
      </c>
      <c r="W30" s="34">
        <f t="shared" si="22"/>
        <v>0.5</v>
      </c>
      <c r="X30" s="34">
        <f t="shared" si="22"/>
        <v>0</v>
      </c>
      <c r="Y30" s="34">
        <f t="shared" si="22"/>
        <v>7.5</v>
      </c>
      <c r="Z30" s="34">
        <f t="shared" si="22"/>
        <v>5</v>
      </c>
      <c r="AA30" s="34">
        <f t="shared" si="22"/>
        <v>2.5</v>
      </c>
      <c r="AB30" s="34">
        <f t="shared" si="22"/>
        <v>1</v>
      </c>
      <c r="AC30" s="34">
        <f t="shared" si="22"/>
        <v>43</v>
      </c>
      <c r="AD30" s="34">
        <f t="shared" si="22"/>
        <v>0</v>
      </c>
      <c r="AE30" s="31">
        <f t="shared" si="22"/>
        <v>133</v>
      </c>
      <c r="AF30" s="31">
        <f t="shared" si="22"/>
        <v>176</v>
      </c>
    </row>
    <row r="31" spans="2:32" ht="23.1" customHeight="1" x14ac:dyDescent="0.25">
      <c r="B31" s="24" t="s">
        <v>58</v>
      </c>
      <c r="C31" s="49">
        <f>AVERAGE('22.07 Kampala-Wakiso'!C31,'23.07 KAMPALA-WAKISO'!C31,'24.07 Kampala-Wakiso'!C31,'25.07 Kampala-Wakiso'!C31,'26.07 Kampala-Wakiso-24h'!C31,'27.07 Kampala-Wakiso-24h'!C31,'28.07 Kampala-wakiso'!C31)</f>
        <v>36.571428571428569</v>
      </c>
      <c r="D31" s="49">
        <f>AVERAGE('22.07 Kampala-Wakiso'!D31,'23.07 KAMPALA-WAKISO'!D31,'24.07 Kampala-Wakiso'!D31,'25.07 Kampala-Wakiso'!D31,'26.07 Kampala-Wakiso-24h'!D31,'27.07 Kampala-Wakiso-24h'!D31,'28.07 Kampala-wakiso'!D31)</f>
        <v>34.714285714285715</v>
      </c>
      <c r="E31" s="49">
        <f>AVERAGE('22.07 Kampala-Wakiso'!E31,'23.07 KAMPALA-WAKISO'!E31,'24.07 Kampala-Wakiso'!E31,'25.07 Kampala-Wakiso'!E31,'26.07 Kampala-Wakiso-24h'!E31,'27.07 Kampala-Wakiso-24h'!E31,'28.07 Kampala-wakiso'!E31)</f>
        <v>5.7142857142857144</v>
      </c>
      <c r="F31" s="49">
        <f>AVERAGE('22.07 Kampala-Wakiso'!F31,'23.07 KAMPALA-WAKISO'!F31,'24.07 Kampala-Wakiso'!F31,'25.07 Kampala-Wakiso'!F31,'26.07 Kampala-Wakiso-24h'!F31,'27.07 Kampala-Wakiso-24h'!F31,'28.07 Kampala-wakiso'!F31)</f>
        <v>40</v>
      </c>
      <c r="G31" s="49">
        <f>AVERAGE('22.07 Kampala-Wakiso'!G31,'23.07 KAMPALA-WAKISO'!G31,'24.07 Kampala-Wakiso'!G31,'25.07 Kampala-Wakiso'!G31,'26.07 Kampala-Wakiso-24h'!G31,'27.07 Kampala-Wakiso-24h'!G31,'28.07 Kampala-wakiso'!G31)</f>
        <v>0</v>
      </c>
      <c r="H31" s="49">
        <f>AVERAGE('22.07 Kampala-Wakiso'!H31,'23.07 KAMPALA-WAKISO'!H31,'24.07 Kampala-Wakiso'!H31,'25.07 Kampala-Wakiso'!H31,'26.07 Kampala-Wakiso-24h'!H31,'27.07 Kampala-Wakiso-24h'!H31,'28.07 Kampala-wakiso'!H31)</f>
        <v>0.14285714285714285</v>
      </c>
      <c r="I31" s="49">
        <f>AVERAGE('22.07 Kampala-Wakiso'!I31,'23.07 KAMPALA-WAKISO'!I31,'24.07 Kampala-Wakiso'!I31,'25.07 Kampala-Wakiso'!I31,'26.07 Kampala-Wakiso-24h'!I31,'27.07 Kampala-Wakiso-24h'!I31,'28.07 Kampala-wakiso'!I31)</f>
        <v>14.714285714285714</v>
      </c>
      <c r="J31" s="49">
        <f>AVERAGE('22.07 Kampala-Wakiso'!J31,'23.07 KAMPALA-WAKISO'!J31,'24.07 Kampala-Wakiso'!J31,'25.07 Kampala-Wakiso'!J31,'26.07 Kampala-Wakiso-24h'!J31,'27.07 Kampala-Wakiso-24h'!J31,'28.07 Kampala-wakiso'!J31)</f>
        <v>2</v>
      </c>
      <c r="K31" s="49">
        <f>AVERAGE('22.07 Kampala-Wakiso'!K31,'23.07 KAMPALA-WAKISO'!K31,'24.07 Kampala-Wakiso'!K31,'25.07 Kampala-Wakiso'!K31,'26.07 Kampala-Wakiso-24h'!K31,'27.07 Kampala-Wakiso-24h'!K31,'28.07 Kampala-wakiso'!K31)</f>
        <v>0.8571428571428571</v>
      </c>
      <c r="L31" s="49">
        <f>AVERAGE('22.07 Kampala-Wakiso'!L31,'23.07 KAMPALA-WAKISO'!L31,'24.07 Kampala-Wakiso'!L31,'25.07 Kampala-Wakiso'!L31,'26.07 Kampala-Wakiso-24h'!L31,'27.07 Kampala-Wakiso-24h'!L31,'28.07 Kampala-wakiso'!L31)</f>
        <v>1</v>
      </c>
      <c r="M31" s="49">
        <f>AVERAGE('22.07 Kampala-Wakiso'!M31,'23.07 KAMPALA-WAKISO'!M31,'24.07 Kampala-Wakiso'!M31,'25.07 Kampala-Wakiso'!M31,'26.07 Kampala-Wakiso-24h'!M31,'27.07 Kampala-Wakiso-24h'!M31,'28.07 Kampala-wakiso'!M31)</f>
        <v>78.285714285714292</v>
      </c>
      <c r="N31" s="49">
        <f>AVERAGE('22.07 Kampala-Wakiso'!N31,'23.07 KAMPALA-WAKISO'!N31,'24.07 Kampala-Wakiso'!N31,'25.07 Kampala-Wakiso'!N31,'26.07 Kampala-Wakiso-24h'!N31,'27.07 Kampala-Wakiso-24h'!N31,'28.07 Kampala-wakiso'!N31)</f>
        <v>0</v>
      </c>
      <c r="O31" s="15">
        <f t="shared" si="0"/>
        <v>135.71428571428569</v>
      </c>
      <c r="P31" s="15">
        <f t="shared" si="1"/>
        <v>214</v>
      </c>
      <c r="R31" s="1" t="s">
        <v>155</v>
      </c>
      <c r="S31" s="34">
        <f>SUM(C94:C97)</f>
        <v>34</v>
      </c>
      <c r="T31" s="34">
        <f t="shared" ref="T31:AF31" si="23">SUM(D94:D97)</f>
        <v>14</v>
      </c>
      <c r="U31" s="34">
        <f t="shared" si="23"/>
        <v>1</v>
      </c>
      <c r="V31" s="34">
        <f t="shared" si="23"/>
        <v>13</v>
      </c>
      <c r="W31" s="34">
        <f t="shared" si="23"/>
        <v>1</v>
      </c>
      <c r="X31" s="34">
        <f t="shared" si="23"/>
        <v>0</v>
      </c>
      <c r="Y31" s="34">
        <f t="shared" si="23"/>
        <v>7</v>
      </c>
      <c r="Z31" s="34">
        <f t="shared" si="23"/>
        <v>5.5</v>
      </c>
      <c r="AA31" s="34">
        <f t="shared" si="23"/>
        <v>2</v>
      </c>
      <c r="AB31" s="34">
        <f t="shared" si="23"/>
        <v>1</v>
      </c>
      <c r="AC31" s="34">
        <f t="shared" si="23"/>
        <v>76.5</v>
      </c>
      <c r="AD31" s="34">
        <f t="shared" si="23"/>
        <v>0</v>
      </c>
      <c r="AE31" s="31">
        <f t="shared" si="23"/>
        <v>78.5</v>
      </c>
      <c r="AF31" s="31">
        <f t="shared" si="23"/>
        <v>155</v>
      </c>
    </row>
    <row r="32" spans="2:32" ht="23.1" customHeight="1" x14ac:dyDescent="0.25">
      <c r="B32" s="24" t="s">
        <v>59</v>
      </c>
      <c r="C32" s="49">
        <f>AVERAGE('22.07 Kampala-Wakiso'!C32,'23.07 KAMPALA-WAKISO'!C32,'24.07 Kampala-Wakiso'!C32,'25.07 Kampala-Wakiso'!C32,'26.07 Kampala-Wakiso-24h'!C32,'27.07 Kampala-Wakiso-24h'!C32,'28.07 Kampala-wakiso'!C32)</f>
        <v>42.714285714285715</v>
      </c>
      <c r="D32" s="49">
        <f>AVERAGE('22.07 Kampala-Wakiso'!D32,'23.07 KAMPALA-WAKISO'!D32,'24.07 Kampala-Wakiso'!D32,'25.07 Kampala-Wakiso'!D32,'26.07 Kampala-Wakiso-24h'!D32,'27.07 Kampala-Wakiso-24h'!D32,'28.07 Kampala-wakiso'!D32)</f>
        <v>44.571428571428569</v>
      </c>
      <c r="E32" s="49">
        <f>AVERAGE('22.07 Kampala-Wakiso'!E32,'23.07 KAMPALA-WAKISO'!E32,'24.07 Kampala-Wakiso'!E32,'25.07 Kampala-Wakiso'!E32,'26.07 Kampala-Wakiso-24h'!E32,'27.07 Kampala-Wakiso-24h'!E32,'28.07 Kampala-wakiso'!E32)</f>
        <v>10.428571428571429</v>
      </c>
      <c r="F32" s="49">
        <f>AVERAGE('22.07 Kampala-Wakiso'!F32,'23.07 KAMPALA-WAKISO'!F32,'24.07 Kampala-Wakiso'!F32,'25.07 Kampala-Wakiso'!F32,'26.07 Kampala-Wakiso-24h'!F32,'27.07 Kampala-Wakiso-24h'!F32,'28.07 Kampala-wakiso'!F32)</f>
        <v>44.142857142857146</v>
      </c>
      <c r="G32" s="49">
        <f>AVERAGE('22.07 Kampala-Wakiso'!G32,'23.07 KAMPALA-WAKISO'!G32,'24.07 Kampala-Wakiso'!G32,'25.07 Kampala-Wakiso'!G32,'26.07 Kampala-Wakiso-24h'!G32,'27.07 Kampala-Wakiso-24h'!G32,'28.07 Kampala-wakiso'!G32)</f>
        <v>0</v>
      </c>
      <c r="H32" s="49">
        <f>AVERAGE('22.07 Kampala-Wakiso'!H32,'23.07 KAMPALA-WAKISO'!H32,'24.07 Kampala-Wakiso'!H32,'25.07 Kampala-Wakiso'!H32,'26.07 Kampala-Wakiso-24h'!H32,'27.07 Kampala-Wakiso-24h'!H32,'28.07 Kampala-wakiso'!H32)</f>
        <v>0.42857142857142855</v>
      </c>
      <c r="I32" s="49">
        <f>AVERAGE('22.07 Kampala-Wakiso'!I32,'23.07 KAMPALA-WAKISO'!I32,'24.07 Kampala-Wakiso'!I32,'25.07 Kampala-Wakiso'!I32,'26.07 Kampala-Wakiso-24h'!I32,'27.07 Kampala-Wakiso-24h'!I32,'28.07 Kampala-wakiso'!I32)</f>
        <v>12.857142857142858</v>
      </c>
      <c r="J32" s="49">
        <f>AVERAGE('22.07 Kampala-Wakiso'!J32,'23.07 KAMPALA-WAKISO'!J32,'24.07 Kampala-Wakiso'!J32,'25.07 Kampala-Wakiso'!J32,'26.07 Kampala-Wakiso-24h'!J32,'27.07 Kampala-Wakiso-24h'!J32,'28.07 Kampala-wakiso'!J32)</f>
        <v>1.1428571428571428</v>
      </c>
      <c r="K32" s="49">
        <f>AVERAGE('22.07 Kampala-Wakiso'!K32,'23.07 KAMPALA-WAKISO'!K32,'24.07 Kampala-Wakiso'!K32,'25.07 Kampala-Wakiso'!K32,'26.07 Kampala-Wakiso-24h'!K32,'27.07 Kampala-Wakiso-24h'!K32,'28.07 Kampala-wakiso'!K32)</f>
        <v>0.2857142857142857</v>
      </c>
      <c r="L32" s="49">
        <f>AVERAGE('22.07 Kampala-Wakiso'!L32,'23.07 KAMPALA-WAKISO'!L32,'24.07 Kampala-Wakiso'!L32,'25.07 Kampala-Wakiso'!L32,'26.07 Kampala-Wakiso-24h'!L32,'27.07 Kampala-Wakiso-24h'!L32,'28.07 Kampala-wakiso'!L32)</f>
        <v>1.2857142857142858</v>
      </c>
      <c r="M32" s="49">
        <f>AVERAGE('22.07 Kampala-Wakiso'!M32,'23.07 KAMPALA-WAKISO'!M32,'24.07 Kampala-Wakiso'!M32,'25.07 Kampala-Wakiso'!M32,'26.07 Kampala-Wakiso-24h'!M32,'27.07 Kampala-Wakiso-24h'!M32,'28.07 Kampala-wakiso'!M32)</f>
        <v>74.857142857142861</v>
      </c>
      <c r="N32" s="49">
        <f>AVERAGE('22.07 Kampala-Wakiso'!N32,'23.07 KAMPALA-WAKISO'!N32,'24.07 Kampala-Wakiso'!N32,'25.07 Kampala-Wakiso'!N32,'26.07 Kampala-Wakiso-24h'!N32,'27.07 Kampala-Wakiso-24h'!N32,'28.07 Kampala-wakiso'!N32)</f>
        <v>0</v>
      </c>
      <c r="O32" s="15">
        <f t="shared" si="0"/>
        <v>157.85714285714283</v>
      </c>
      <c r="P32" s="15">
        <f t="shared" si="1"/>
        <v>232.71428571428569</v>
      </c>
      <c r="R32" s="1" t="s">
        <v>156</v>
      </c>
      <c r="S32" s="34">
        <f>SUM(C98:C101)</f>
        <v>30</v>
      </c>
      <c r="T32" s="34">
        <f t="shared" ref="T32:AF32" si="24">SUM(D98:D101)</f>
        <v>15.5</v>
      </c>
      <c r="U32" s="34">
        <f t="shared" si="24"/>
        <v>7</v>
      </c>
      <c r="V32" s="34">
        <f t="shared" si="24"/>
        <v>55</v>
      </c>
      <c r="W32" s="34">
        <f t="shared" si="24"/>
        <v>0.5</v>
      </c>
      <c r="X32" s="34">
        <f t="shared" si="24"/>
        <v>1</v>
      </c>
      <c r="Y32" s="34">
        <f t="shared" si="24"/>
        <v>12.5</v>
      </c>
      <c r="Z32" s="34">
        <f t="shared" si="24"/>
        <v>4</v>
      </c>
      <c r="AA32" s="34">
        <f t="shared" si="24"/>
        <v>6</v>
      </c>
      <c r="AB32" s="34">
        <f t="shared" si="24"/>
        <v>3</v>
      </c>
      <c r="AC32" s="34">
        <f t="shared" si="24"/>
        <v>92</v>
      </c>
      <c r="AD32" s="34">
        <f t="shared" si="24"/>
        <v>0</v>
      </c>
      <c r="AE32" s="31">
        <f t="shared" si="24"/>
        <v>134.5</v>
      </c>
      <c r="AF32" s="31">
        <f t="shared" si="24"/>
        <v>226.5</v>
      </c>
    </row>
    <row r="33" spans="2:32" ht="23.1" customHeight="1" x14ac:dyDescent="0.25">
      <c r="B33" s="23" t="s">
        <v>60</v>
      </c>
      <c r="C33" s="49">
        <f>AVERAGE('22.07 Kampala-Wakiso'!C33,'23.07 KAMPALA-WAKISO'!C33,'24.07 Kampala-Wakiso'!C33,'25.07 Kampala-Wakiso'!C33,'26.07 Kampala-Wakiso-24h'!C33,'27.07 Kampala-Wakiso-24h'!C33,'28.07 Kampala-wakiso'!C33)</f>
        <v>42</v>
      </c>
      <c r="D33" s="49">
        <f>AVERAGE('22.07 Kampala-Wakiso'!D33,'23.07 KAMPALA-WAKISO'!D33,'24.07 Kampala-Wakiso'!D33,'25.07 Kampala-Wakiso'!D33,'26.07 Kampala-Wakiso-24h'!D33,'27.07 Kampala-Wakiso-24h'!D33,'28.07 Kampala-wakiso'!D33)</f>
        <v>30.857142857142858</v>
      </c>
      <c r="E33" s="49">
        <f>AVERAGE('22.07 Kampala-Wakiso'!E33,'23.07 KAMPALA-WAKISO'!E33,'24.07 Kampala-Wakiso'!E33,'25.07 Kampala-Wakiso'!E33,'26.07 Kampala-Wakiso-24h'!E33,'27.07 Kampala-Wakiso-24h'!E33,'28.07 Kampala-wakiso'!E33)</f>
        <v>5</v>
      </c>
      <c r="F33" s="49">
        <f>AVERAGE('22.07 Kampala-Wakiso'!F33,'23.07 KAMPALA-WAKISO'!F33,'24.07 Kampala-Wakiso'!F33,'25.07 Kampala-Wakiso'!F33,'26.07 Kampala-Wakiso-24h'!F33,'27.07 Kampala-Wakiso-24h'!F33,'28.07 Kampala-wakiso'!F33)</f>
        <v>36</v>
      </c>
      <c r="G33" s="49">
        <f>AVERAGE('22.07 Kampala-Wakiso'!G33,'23.07 KAMPALA-WAKISO'!G33,'24.07 Kampala-Wakiso'!G33,'25.07 Kampala-Wakiso'!G33,'26.07 Kampala-Wakiso-24h'!G33,'27.07 Kampala-Wakiso-24h'!G33,'28.07 Kampala-wakiso'!G33)</f>
        <v>0.14285714285714285</v>
      </c>
      <c r="H33" s="49">
        <f>AVERAGE('22.07 Kampala-Wakiso'!H33,'23.07 KAMPALA-WAKISO'!H33,'24.07 Kampala-Wakiso'!H33,'25.07 Kampala-Wakiso'!H33,'26.07 Kampala-Wakiso-24h'!H33,'27.07 Kampala-Wakiso-24h'!H33,'28.07 Kampala-wakiso'!H33)</f>
        <v>0</v>
      </c>
      <c r="I33" s="49">
        <f>AVERAGE('22.07 Kampala-Wakiso'!I33,'23.07 KAMPALA-WAKISO'!I33,'24.07 Kampala-Wakiso'!I33,'25.07 Kampala-Wakiso'!I33,'26.07 Kampala-Wakiso-24h'!I33,'27.07 Kampala-Wakiso-24h'!I33,'28.07 Kampala-wakiso'!I33)</f>
        <v>13.714285714285714</v>
      </c>
      <c r="J33" s="49">
        <f>AVERAGE('22.07 Kampala-Wakiso'!J33,'23.07 KAMPALA-WAKISO'!J33,'24.07 Kampala-Wakiso'!J33,'25.07 Kampala-Wakiso'!J33,'26.07 Kampala-Wakiso-24h'!J33,'27.07 Kampala-Wakiso-24h'!J33,'28.07 Kampala-wakiso'!J33)</f>
        <v>0.8571428571428571</v>
      </c>
      <c r="K33" s="49">
        <f>AVERAGE('22.07 Kampala-Wakiso'!K33,'23.07 KAMPALA-WAKISO'!K33,'24.07 Kampala-Wakiso'!K33,'25.07 Kampala-Wakiso'!K33,'26.07 Kampala-Wakiso-24h'!K33,'27.07 Kampala-Wakiso-24h'!K33,'28.07 Kampala-wakiso'!K33)</f>
        <v>0.8571428571428571</v>
      </c>
      <c r="L33" s="49">
        <f>AVERAGE('22.07 Kampala-Wakiso'!L33,'23.07 KAMPALA-WAKISO'!L33,'24.07 Kampala-Wakiso'!L33,'25.07 Kampala-Wakiso'!L33,'26.07 Kampala-Wakiso-24h'!L33,'27.07 Kampala-Wakiso-24h'!L33,'28.07 Kampala-wakiso'!L33)</f>
        <v>1.1428571428571428</v>
      </c>
      <c r="M33" s="49">
        <f>AVERAGE('22.07 Kampala-Wakiso'!M33,'23.07 KAMPALA-WAKISO'!M33,'24.07 Kampala-Wakiso'!M33,'25.07 Kampala-Wakiso'!M33,'26.07 Kampala-Wakiso-24h'!M33,'27.07 Kampala-Wakiso-24h'!M33,'28.07 Kampala-wakiso'!M33)</f>
        <v>80.428571428571431</v>
      </c>
      <c r="N33" s="49">
        <f>AVERAGE('22.07 Kampala-Wakiso'!N33,'23.07 KAMPALA-WAKISO'!N33,'24.07 Kampala-Wakiso'!N33,'25.07 Kampala-Wakiso'!N33,'26.07 Kampala-Wakiso-24h'!N33,'27.07 Kampala-Wakiso-24h'!N33,'28.07 Kampala-wakiso'!N33)</f>
        <v>0</v>
      </c>
      <c r="O33" s="15">
        <f t="shared" si="0"/>
        <v>130.57142857142856</v>
      </c>
      <c r="P33" s="15">
        <f t="shared" si="1"/>
        <v>211</v>
      </c>
      <c r="R33" s="1" t="s">
        <v>157</v>
      </c>
      <c r="S33" s="34">
        <f>SUM(C102:C105)</f>
        <v>54</v>
      </c>
      <c r="T33" s="34">
        <f t="shared" ref="T33:AF33" si="25">SUM(D102:D105)</f>
        <v>43.5</v>
      </c>
      <c r="U33" s="34">
        <f t="shared" si="25"/>
        <v>18.5</v>
      </c>
      <c r="V33" s="34">
        <f t="shared" si="25"/>
        <v>72.5</v>
      </c>
      <c r="W33" s="34">
        <f t="shared" si="25"/>
        <v>0.5</v>
      </c>
      <c r="X33" s="34">
        <f t="shared" si="25"/>
        <v>5.5</v>
      </c>
      <c r="Y33" s="34">
        <f t="shared" si="25"/>
        <v>11</v>
      </c>
      <c r="Z33" s="34">
        <f t="shared" si="25"/>
        <v>5</v>
      </c>
      <c r="AA33" s="34">
        <f t="shared" si="25"/>
        <v>0</v>
      </c>
      <c r="AB33" s="34">
        <f t="shared" si="25"/>
        <v>2</v>
      </c>
      <c r="AC33" s="34">
        <f t="shared" si="25"/>
        <v>139.5</v>
      </c>
      <c r="AD33" s="34">
        <f t="shared" si="25"/>
        <v>0</v>
      </c>
      <c r="AE33" s="31">
        <f t="shared" si="25"/>
        <v>212.5</v>
      </c>
      <c r="AF33" s="31">
        <f t="shared" si="25"/>
        <v>352</v>
      </c>
    </row>
    <row r="34" spans="2:32" ht="23.1" customHeight="1" x14ac:dyDescent="0.25">
      <c r="B34" s="24" t="s">
        <v>61</v>
      </c>
      <c r="C34" s="49">
        <f>AVERAGE('22.07 Kampala-Wakiso'!C34,'23.07 KAMPALA-WAKISO'!C34,'24.07 Kampala-Wakiso'!C34,'25.07 Kampala-Wakiso'!C34,'26.07 Kampala-Wakiso-24h'!C34,'27.07 Kampala-Wakiso-24h'!C34,'28.07 Kampala-wakiso'!C34)</f>
        <v>45.857142857142854</v>
      </c>
      <c r="D34" s="49">
        <f>AVERAGE('22.07 Kampala-Wakiso'!D34,'23.07 KAMPALA-WAKISO'!D34,'24.07 Kampala-Wakiso'!D34,'25.07 Kampala-Wakiso'!D34,'26.07 Kampala-Wakiso-24h'!D34,'27.07 Kampala-Wakiso-24h'!D34,'28.07 Kampala-wakiso'!D34)</f>
        <v>36.714285714285715</v>
      </c>
      <c r="E34" s="49">
        <f>AVERAGE('22.07 Kampala-Wakiso'!E34,'23.07 KAMPALA-WAKISO'!E34,'24.07 Kampala-Wakiso'!E34,'25.07 Kampala-Wakiso'!E34,'26.07 Kampala-Wakiso-24h'!E34,'27.07 Kampala-Wakiso-24h'!E34,'28.07 Kampala-wakiso'!E34)</f>
        <v>5.2857142857142856</v>
      </c>
      <c r="F34" s="49">
        <f>AVERAGE('22.07 Kampala-Wakiso'!F34,'23.07 KAMPALA-WAKISO'!F34,'24.07 Kampala-Wakiso'!F34,'25.07 Kampala-Wakiso'!F34,'26.07 Kampala-Wakiso-24h'!F34,'27.07 Kampala-Wakiso-24h'!F34,'28.07 Kampala-wakiso'!F34)</f>
        <v>53.428571428571431</v>
      </c>
      <c r="G34" s="49">
        <f>AVERAGE('22.07 Kampala-Wakiso'!G34,'23.07 KAMPALA-WAKISO'!G34,'24.07 Kampala-Wakiso'!G34,'25.07 Kampala-Wakiso'!G34,'26.07 Kampala-Wakiso-24h'!G34,'27.07 Kampala-Wakiso-24h'!G34,'28.07 Kampala-wakiso'!G34)</f>
        <v>0.42857142857142855</v>
      </c>
      <c r="H34" s="49">
        <f>AVERAGE('22.07 Kampala-Wakiso'!H34,'23.07 KAMPALA-WAKISO'!H34,'24.07 Kampala-Wakiso'!H34,'25.07 Kampala-Wakiso'!H34,'26.07 Kampala-Wakiso-24h'!H34,'27.07 Kampala-Wakiso-24h'!H34,'28.07 Kampala-wakiso'!H34)</f>
        <v>0.42857142857142855</v>
      </c>
      <c r="I34" s="49">
        <f>AVERAGE('22.07 Kampala-Wakiso'!I34,'23.07 KAMPALA-WAKISO'!I34,'24.07 Kampala-Wakiso'!I34,'25.07 Kampala-Wakiso'!I34,'26.07 Kampala-Wakiso-24h'!I34,'27.07 Kampala-Wakiso-24h'!I34,'28.07 Kampala-wakiso'!I34)</f>
        <v>15.142857142857142</v>
      </c>
      <c r="J34" s="49">
        <f>AVERAGE('22.07 Kampala-Wakiso'!J34,'23.07 KAMPALA-WAKISO'!J34,'24.07 Kampala-Wakiso'!J34,'25.07 Kampala-Wakiso'!J34,'26.07 Kampala-Wakiso-24h'!J34,'27.07 Kampala-Wakiso-24h'!J34,'28.07 Kampala-wakiso'!J34)</f>
        <v>1.5714285714285714</v>
      </c>
      <c r="K34" s="49">
        <f>AVERAGE('22.07 Kampala-Wakiso'!K34,'23.07 KAMPALA-WAKISO'!K34,'24.07 Kampala-Wakiso'!K34,'25.07 Kampala-Wakiso'!K34,'26.07 Kampala-Wakiso-24h'!K34,'27.07 Kampala-Wakiso-24h'!K34,'28.07 Kampala-wakiso'!K34)</f>
        <v>1</v>
      </c>
      <c r="L34" s="49">
        <f>AVERAGE('22.07 Kampala-Wakiso'!L34,'23.07 KAMPALA-WAKISO'!L34,'24.07 Kampala-Wakiso'!L34,'25.07 Kampala-Wakiso'!L34,'26.07 Kampala-Wakiso-24h'!L34,'27.07 Kampala-Wakiso-24h'!L34,'28.07 Kampala-wakiso'!L34)</f>
        <v>0.42857142857142855</v>
      </c>
      <c r="M34" s="49">
        <f>AVERAGE('22.07 Kampala-Wakiso'!M34,'23.07 KAMPALA-WAKISO'!M34,'24.07 Kampala-Wakiso'!M34,'25.07 Kampala-Wakiso'!M34,'26.07 Kampala-Wakiso-24h'!M34,'27.07 Kampala-Wakiso-24h'!M34,'28.07 Kampala-wakiso'!M34)</f>
        <v>106.42857142857143</v>
      </c>
      <c r="N34" s="49">
        <f>AVERAGE('22.07 Kampala-Wakiso'!N34,'23.07 KAMPALA-WAKISO'!N34,'24.07 Kampala-Wakiso'!N34,'25.07 Kampala-Wakiso'!N34,'26.07 Kampala-Wakiso-24h'!N34,'27.07 Kampala-Wakiso-24h'!N34,'28.07 Kampala-wakiso'!N34)</f>
        <v>0</v>
      </c>
      <c r="O34" s="15">
        <f t="shared" si="0"/>
        <v>160.28571428571425</v>
      </c>
      <c r="P34" s="15">
        <f t="shared" si="1"/>
        <v>266.71428571428567</v>
      </c>
      <c r="R34" s="52" t="s">
        <v>90</v>
      </c>
      <c r="S34" s="53">
        <f t="shared" ref="S34:AF34" si="26">MAX(S10:S12)</f>
        <v>179.28571428571428</v>
      </c>
      <c r="T34" s="53">
        <f t="shared" si="26"/>
        <v>171.57142857142856</v>
      </c>
      <c r="U34" s="53">
        <f t="shared" si="26"/>
        <v>50.428571428571431</v>
      </c>
      <c r="V34" s="53">
        <f t="shared" si="26"/>
        <v>256.71428571428572</v>
      </c>
      <c r="W34" s="53">
        <f t="shared" si="26"/>
        <v>14.428571428571429</v>
      </c>
      <c r="X34" s="53">
        <f t="shared" si="26"/>
        <v>3.2857142857142856</v>
      </c>
      <c r="Y34" s="53">
        <f t="shared" si="26"/>
        <v>45.571428571428569</v>
      </c>
      <c r="Z34" s="53">
        <f t="shared" si="26"/>
        <v>9</v>
      </c>
      <c r="AA34" s="53">
        <f t="shared" si="26"/>
        <v>5.9999999999999991</v>
      </c>
      <c r="AB34" s="53">
        <f t="shared" si="26"/>
        <v>2.8571428571428572</v>
      </c>
      <c r="AC34" s="53">
        <f t="shared" si="26"/>
        <v>360.85714285714283</v>
      </c>
      <c r="AD34" s="53">
        <f t="shared" si="26"/>
        <v>0.2857142857142857</v>
      </c>
      <c r="AE34" s="40">
        <f t="shared" si="26"/>
        <v>645.71428571428567</v>
      </c>
      <c r="AF34" s="40">
        <f t="shared" si="26"/>
        <v>1006.5714285714286</v>
      </c>
    </row>
    <row r="35" spans="2:32" ht="23.1" customHeight="1" x14ac:dyDescent="0.25">
      <c r="B35" s="24" t="s">
        <v>62</v>
      </c>
      <c r="C35" s="49">
        <f>AVERAGE('22.07 Kampala-Wakiso'!C35,'23.07 KAMPALA-WAKISO'!C35,'24.07 Kampala-Wakiso'!C35,'25.07 Kampala-Wakiso'!C35,'26.07 Kampala-Wakiso-24h'!C35,'27.07 Kampala-Wakiso-24h'!C35,'28.07 Kampala-wakiso'!C35)</f>
        <v>43.285714285714285</v>
      </c>
      <c r="D35" s="49">
        <f>AVERAGE('22.07 Kampala-Wakiso'!D35,'23.07 KAMPALA-WAKISO'!D35,'24.07 Kampala-Wakiso'!D35,'25.07 Kampala-Wakiso'!D35,'26.07 Kampala-Wakiso-24h'!D35,'27.07 Kampala-Wakiso-24h'!D35,'28.07 Kampala-wakiso'!D35)</f>
        <v>30.142857142857142</v>
      </c>
      <c r="E35" s="49">
        <f>AVERAGE('22.07 Kampala-Wakiso'!E35,'23.07 KAMPALA-WAKISO'!E35,'24.07 Kampala-Wakiso'!E35,'25.07 Kampala-Wakiso'!E35,'26.07 Kampala-Wakiso-24h'!E35,'27.07 Kampala-Wakiso-24h'!E35,'28.07 Kampala-wakiso'!E35)</f>
        <v>7.7142857142857144</v>
      </c>
      <c r="F35" s="49">
        <f>AVERAGE('22.07 Kampala-Wakiso'!F35,'23.07 KAMPALA-WAKISO'!F35,'24.07 Kampala-Wakiso'!F35,'25.07 Kampala-Wakiso'!F35,'26.07 Kampala-Wakiso-24h'!F35,'27.07 Kampala-Wakiso-24h'!F35,'28.07 Kampala-wakiso'!F35)</f>
        <v>48.571428571428569</v>
      </c>
      <c r="G35" s="49">
        <f>AVERAGE('22.07 Kampala-Wakiso'!G35,'23.07 KAMPALA-WAKISO'!G35,'24.07 Kampala-Wakiso'!G35,'25.07 Kampala-Wakiso'!G35,'26.07 Kampala-Wakiso-24h'!G35,'27.07 Kampala-Wakiso-24h'!G35,'28.07 Kampala-wakiso'!G35)</f>
        <v>0.42857142857142855</v>
      </c>
      <c r="H35" s="49">
        <f>AVERAGE('22.07 Kampala-Wakiso'!H35,'23.07 KAMPALA-WAKISO'!H35,'24.07 Kampala-Wakiso'!H35,'25.07 Kampala-Wakiso'!H35,'26.07 Kampala-Wakiso-24h'!H35,'27.07 Kampala-Wakiso-24h'!H35,'28.07 Kampala-wakiso'!H35)</f>
        <v>0.5714285714285714</v>
      </c>
      <c r="I35" s="49">
        <f>AVERAGE('22.07 Kampala-Wakiso'!I35,'23.07 KAMPALA-WAKISO'!I35,'24.07 Kampala-Wakiso'!I35,'25.07 Kampala-Wakiso'!I35,'26.07 Kampala-Wakiso-24h'!I35,'27.07 Kampala-Wakiso-24h'!I35,'28.07 Kampala-wakiso'!I35)</f>
        <v>9.8571428571428577</v>
      </c>
      <c r="J35" s="49">
        <f>AVERAGE('22.07 Kampala-Wakiso'!J35,'23.07 KAMPALA-WAKISO'!J35,'24.07 Kampala-Wakiso'!J35,'25.07 Kampala-Wakiso'!J35,'26.07 Kampala-Wakiso-24h'!J35,'27.07 Kampala-Wakiso-24h'!J35,'28.07 Kampala-wakiso'!J35)</f>
        <v>1.8571428571428572</v>
      </c>
      <c r="K35" s="49">
        <f>AVERAGE('22.07 Kampala-Wakiso'!K35,'23.07 KAMPALA-WAKISO'!K35,'24.07 Kampala-Wakiso'!K35,'25.07 Kampala-Wakiso'!K35,'26.07 Kampala-Wakiso-24h'!K35,'27.07 Kampala-Wakiso-24h'!K35,'28.07 Kampala-wakiso'!K35)</f>
        <v>0.2857142857142857</v>
      </c>
      <c r="L35" s="49">
        <f>AVERAGE('22.07 Kampala-Wakiso'!L35,'23.07 KAMPALA-WAKISO'!L35,'24.07 Kampala-Wakiso'!L35,'25.07 Kampala-Wakiso'!L35,'26.07 Kampala-Wakiso-24h'!L35,'27.07 Kampala-Wakiso-24h'!L35,'28.07 Kampala-wakiso'!L35)</f>
        <v>0.2857142857142857</v>
      </c>
      <c r="M35" s="49">
        <f>AVERAGE('22.07 Kampala-Wakiso'!M35,'23.07 KAMPALA-WAKISO'!M35,'24.07 Kampala-Wakiso'!M35,'25.07 Kampala-Wakiso'!M35,'26.07 Kampala-Wakiso-24h'!M35,'27.07 Kampala-Wakiso-24h'!M35,'28.07 Kampala-wakiso'!M35)</f>
        <v>78.714285714285708</v>
      </c>
      <c r="N35" s="49">
        <f>AVERAGE('22.07 Kampala-Wakiso'!N35,'23.07 KAMPALA-WAKISO'!N35,'24.07 Kampala-Wakiso'!N35,'25.07 Kampala-Wakiso'!N35,'26.07 Kampala-Wakiso-24h'!N35,'27.07 Kampala-Wakiso-24h'!N35,'28.07 Kampala-wakiso'!N35)</f>
        <v>0</v>
      </c>
      <c r="O35" s="15">
        <f t="shared" si="0"/>
        <v>143</v>
      </c>
      <c r="P35" s="15">
        <f t="shared" si="1"/>
        <v>221.71428571428572</v>
      </c>
      <c r="R35" s="52" t="s">
        <v>91</v>
      </c>
      <c r="S35" s="53">
        <f t="shared" ref="S35:AF35" si="27">MAX(S13:S18)</f>
        <v>277.71428571428567</v>
      </c>
      <c r="T35" s="53">
        <f t="shared" si="27"/>
        <v>189.57142857142858</v>
      </c>
      <c r="U35" s="53">
        <f t="shared" si="27"/>
        <v>40.142857142857139</v>
      </c>
      <c r="V35" s="53">
        <f t="shared" si="27"/>
        <v>201.57142857142856</v>
      </c>
      <c r="W35" s="53">
        <f t="shared" si="27"/>
        <v>3</v>
      </c>
      <c r="X35" s="53">
        <f t="shared" si="27"/>
        <v>4.8571428571428577</v>
      </c>
      <c r="Y35" s="53">
        <f t="shared" si="27"/>
        <v>59.000000000000007</v>
      </c>
      <c r="Z35" s="53">
        <f t="shared" si="27"/>
        <v>14.428571428571429</v>
      </c>
      <c r="AA35" s="53">
        <f t="shared" si="27"/>
        <v>7</v>
      </c>
      <c r="AB35" s="53">
        <f t="shared" si="27"/>
        <v>15.571428571428571</v>
      </c>
      <c r="AC35" s="53">
        <f t="shared" si="27"/>
        <v>335.85714285714289</v>
      </c>
      <c r="AD35" s="53">
        <f t="shared" si="27"/>
        <v>0</v>
      </c>
      <c r="AE35" s="40">
        <f t="shared" si="27"/>
        <v>731.28571428571422</v>
      </c>
      <c r="AF35" s="40">
        <f t="shared" si="27"/>
        <v>1040.9999999999998</v>
      </c>
    </row>
    <row r="36" spans="2:32" ht="23.1" customHeight="1" x14ac:dyDescent="0.25">
      <c r="B36" s="24" t="s">
        <v>63</v>
      </c>
      <c r="C36" s="49">
        <f>AVERAGE('22.07 Kampala-Wakiso'!C36,'23.07 KAMPALA-WAKISO'!C36,'24.07 Kampala-Wakiso'!C36,'25.07 Kampala-Wakiso'!C36,'26.07 Kampala-Wakiso-24h'!C36,'27.07 Kampala-Wakiso-24h'!C36,'28.07 Kampala-wakiso'!C36)</f>
        <v>42.857142857142854</v>
      </c>
      <c r="D36" s="49">
        <f>AVERAGE('22.07 Kampala-Wakiso'!D36,'23.07 KAMPALA-WAKISO'!D36,'24.07 Kampala-Wakiso'!D36,'25.07 Kampala-Wakiso'!D36,'26.07 Kampala-Wakiso-24h'!D36,'27.07 Kampala-Wakiso-24h'!D36,'28.07 Kampala-wakiso'!D36)</f>
        <v>31.571428571428573</v>
      </c>
      <c r="E36" s="49">
        <f>AVERAGE('22.07 Kampala-Wakiso'!E36,'23.07 KAMPALA-WAKISO'!E36,'24.07 Kampala-Wakiso'!E36,'25.07 Kampala-Wakiso'!E36,'26.07 Kampala-Wakiso-24h'!E36,'27.07 Kampala-Wakiso-24h'!E36,'28.07 Kampala-wakiso'!E36)</f>
        <v>6.2857142857142856</v>
      </c>
      <c r="F36" s="49">
        <f>AVERAGE('22.07 Kampala-Wakiso'!F36,'23.07 KAMPALA-WAKISO'!F36,'24.07 Kampala-Wakiso'!F36,'25.07 Kampala-Wakiso'!F36,'26.07 Kampala-Wakiso-24h'!F36,'27.07 Kampala-Wakiso-24h'!F36,'28.07 Kampala-wakiso'!F36)</f>
        <v>44.857142857142854</v>
      </c>
      <c r="G36" s="49">
        <f>AVERAGE('22.07 Kampala-Wakiso'!G36,'23.07 KAMPALA-WAKISO'!G36,'24.07 Kampala-Wakiso'!G36,'25.07 Kampala-Wakiso'!G36,'26.07 Kampala-Wakiso-24h'!G36,'27.07 Kampala-Wakiso-24h'!G36,'28.07 Kampala-wakiso'!G36)</f>
        <v>0.42857142857142855</v>
      </c>
      <c r="H36" s="49">
        <f>AVERAGE('22.07 Kampala-Wakiso'!H36,'23.07 KAMPALA-WAKISO'!H36,'24.07 Kampala-Wakiso'!H36,'25.07 Kampala-Wakiso'!H36,'26.07 Kampala-Wakiso-24h'!H36,'27.07 Kampala-Wakiso-24h'!H36,'28.07 Kampala-wakiso'!H36)</f>
        <v>0.7142857142857143</v>
      </c>
      <c r="I36" s="49">
        <f>AVERAGE('22.07 Kampala-Wakiso'!I36,'23.07 KAMPALA-WAKISO'!I36,'24.07 Kampala-Wakiso'!I36,'25.07 Kampala-Wakiso'!I36,'26.07 Kampala-Wakiso-24h'!I36,'27.07 Kampala-Wakiso-24h'!I36,'28.07 Kampala-wakiso'!I36)</f>
        <v>9.4285714285714288</v>
      </c>
      <c r="J36" s="49">
        <f>AVERAGE('22.07 Kampala-Wakiso'!J36,'23.07 KAMPALA-WAKISO'!J36,'24.07 Kampala-Wakiso'!J36,'25.07 Kampala-Wakiso'!J36,'26.07 Kampala-Wakiso-24h'!J36,'27.07 Kampala-Wakiso-24h'!J36,'28.07 Kampala-wakiso'!J36)</f>
        <v>0.7142857142857143</v>
      </c>
      <c r="K36" s="49">
        <f>AVERAGE('22.07 Kampala-Wakiso'!K36,'23.07 KAMPALA-WAKISO'!K36,'24.07 Kampala-Wakiso'!K36,'25.07 Kampala-Wakiso'!K36,'26.07 Kampala-Wakiso-24h'!K36,'27.07 Kampala-Wakiso-24h'!K36,'28.07 Kampala-wakiso'!K36)</f>
        <v>1.7142857142857142</v>
      </c>
      <c r="L36" s="49">
        <f>AVERAGE('22.07 Kampala-Wakiso'!L36,'23.07 KAMPALA-WAKISO'!L36,'24.07 Kampala-Wakiso'!L36,'25.07 Kampala-Wakiso'!L36,'26.07 Kampala-Wakiso-24h'!L36,'27.07 Kampala-Wakiso-24h'!L36,'28.07 Kampala-wakiso'!L36)</f>
        <v>0.7142857142857143</v>
      </c>
      <c r="M36" s="49">
        <f>AVERAGE('22.07 Kampala-Wakiso'!M36,'23.07 KAMPALA-WAKISO'!M36,'24.07 Kampala-Wakiso'!M36,'25.07 Kampala-Wakiso'!M36,'26.07 Kampala-Wakiso-24h'!M36,'27.07 Kampala-Wakiso-24h'!M36,'28.07 Kampala-wakiso'!M36)</f>
        <v>85.285714285714292</v>
      </c>
      <c r="N36" s="49">
        <f>AVERAGE('22.07 Kampala-Wakiso'!N36,'23.07 KAMPALA-WAKISO'!N36,'24.07 Kampala-Wakiso'!N36,'25.07 Kampala-Wakiso'!N36,'26.07 Kampala-Wakiso-24h'!N36,'27.07 Kampala-Wakiso-24h'!N36,'28.07 Kampala-wakiso'!N36)</f>
        <v>0</v>
      </c>
      <c r="O36" s="15">
        <f t="shared" si="0"/>
        <v>139.28571428571431</v>
      </c>
      <c r="P36" s="15">
        <f t="shared" si="1"/>
        <v>224.57142857142861</v>
      </c>
      <c r="R36" s="52" t="s">
        <v>92</v>
      </c>
      <c r="S36" s="53">
        <f t="shared" ref="S36:AF36" si="28">MAX(S19:S21)</f>
        <v>268.71428571428572</v>
      </c>
      <c r="T36" s="53">
        <f t="shared" si="28"/>
        <v>230.42857142857144</v>
      </c>
      <c r="U36" s="53">
        <f t="shared" si="28"/>
        <v>62.571428571428569</v>
      </c>
      <c r="V36" s="53">
        <f t="shared" si="28"/>
        <v>263.85714285714289</v>
      </c>
      <c r="W36" s="53">
        <f t="shared" si="28"/>
        <v>7.7142857142857135</v>
      </c>
      <c r="X36" s="53">
        <f t="shared" si="28"/>
        <v>1.5714285714285712</v>
      </c>
      <c r="Y36" s="53">
        <f t="shared" si="28"/>
        <v>56.285714285714285</v>
      </c>
      <c r="Z36" s="53">
        <f t="shared" si="28"/>
        <v>22.857142857142854</v>
      </c>
      <c r="AA36" s="53">
        <f t="shared" si="28"/>
        <v>6</v>
      </c>
      <c r="AB36" s="53">
        <f t="shared" si="28"/>
        <v>5.2857142857142856</v>
      </c>
      <c r="AC36" s="53">
        <f t="shared" si="28"/>
        <v>373.14285714285722</v>
      </c>
      <c r="AD36" s="53">
        <f t="shared" si="28"/>
        <v>0.2857142857142857</v>
      </c>
      <c r="AE36" s="40">
        <f t="shared" si="28"/>
        <v>871.71428571428567</v>
      </c>
      <c r="AF36" s="40">
        <f t="shared" si="28"/>
        <v>1244.8571428571429</v>
      </c>
    </row>
    <row r="37" spans="2:32" ht="23.1" customHeight="1" x14ac:dyDescent="0.25">
      <c r="B37" s="23" t="s">
        <v>64</v>
      </c>
      <c r="C37" s="49">
        <f>AVERAGE('22.07 Kampala-Wakiso'!C37,'23.07 KAMPALA-WAKISO'!C37,'24.07 Kampala-Wakiso'!C37,'25.07 Kampala-Wakiso'!C37,'26.07 Kampala-Wakiso-24h'!C37,'27.07 Kampala-Wakiso-24h'!C37,'28.07 Kampala-wakiso'!C37)</f>
        <v>39.285714285714285</v>
      </c>
      <c r="D37" s="49">
        <f>AVERAGE('22.07 Kampala-Wakiso'!D37,'23.07 KAMPALA-WAKISO'!D37,'24.07 Kampala-Wakiso'!D37,'25.07 Kampala-Wakiso'!D37,'26.07 Kampala-Wakiso-24h'!D37,'27.07 Kampala-Wakiso-24h'!D37,'28.07 Kampala-wakiso'!D37)</f>
        <v>36</v>
      </c>
      <c r="E37" s="49">
        <f>AVERAGE('22.07 Kampala-Wakiso'!E37,'23.07 KAMPALA-WAKISO'!E37,'24.07 Kampala-Wakiso'!E37,'25.07 Kampala-Wakiso'!E37,'26.07 Kampala-Wakiso-24h'!E37,'27.07 Kampala-Wakiso-24h'!E37,'28.07 Kampala-wakiso'!E37)</f>
        <v>5</v>
      </c>
      <c r="F37" s="49">
        <f>AVERAGE('22.07 Kampala-Wakiso'!F37,'23.07 KAMPALA-WAKISO'!F37,'24.07 Kampala-Wakiso'!F37,'25.07 Kampala-Wakiso'!F37,'26.07 Kampala-Wakiso-24h'!F37,'27.07 Kampala-Wakiso-24h'!F37,'28.07 Kampala-wakiso'!F37)</f>
        <v>40.714285714285715</v>
      </c>
      <c r="G37" s="49">
        <f>AVERAGE('22.07 Kampala-Wakiso'!G37,'23.07 KAMPALA-WAKISO'!G37,'24.07 Kampala-Wakiso'!G37,'25.07 Kampala-Wakiso'!G37,'26.07 Kampala-Wakiso-24h'!G37,'27.07 Kampala-Wakiso-24h'!G37,'28.07 Kampala-wakiso'!G37)</f>
        <v>1.7142857142857142</v>
      </c>
      <c r="H37" s="49">
        <f>AVERAGE('22.07 Kampala-Wakiso'!H37,'23.07 KAMPALA-WAKISO'!H37,'24.07 Kampala-Wakiso'!H37,'25.07 Kampala-Wakiso'!H37,'26.07 Kampala-Wakiso-24h'!H37,'27.07 Kampala-Wakiso-24h'!H37,'28.07 Kampala-wakiso'!H37)</f>
        <v>3.1428571428571428</v>
      </c>
      <c r="I37" s="49">
        <f>AVERAGE('22.07 Kampala-Wakiso'!I37,'23.07 KAMPALA-WAKISO'!I37,'24.07 Kampala-Wakiso'!I37,'25.07 Kampala-Wakiso'!I37,'26.07 Kampala-Wakiso-24h'!I37,'27.07 Kampala-Wakiso-24h'!I37,'28.07 Kampala-wakiso'!I37)</f>
        <v>10.857142857142858</v>
      </c>
      <c r="J37" s="49">
        <f>AVERAGE('22.07 Kampala-Wakiso'!J37,'23.07 KAMPALA-WAKISO'!J37,'24.07 Kampala-Wakiso'!J37,'25.07 Kampala-Wakiso'!J37,'26.07 Kampala-Wakiso-24h'!J37,'27.07 Kampala-Wakiso-24h'!J37,'28.07 Kampala-wakiso'!J37)</f>
        <v>1.1428571428571428</v>
      </c>
      <c r="K37" s="49">
        <f>AVERAGE('22.07 Kampala-Wakiso'!K37,'23.07 KAMPALA-WAKISO'!K37,'24.07 Kampala-Wakiso'!K37,'25.07 Kampala-Wakiso'!K37,'26.07 Kampala-Wakiso-24h'!K37,'27.07 Kampala-Wakiso-24h'!K37,'28.07 Kampala-wakiso'!K37)</f>
        <v>1.1428571428571428</v>
      </c>
      <c r="L37" s="49">
        <f>AVERAGE('22.07 Kampala-Wakiso'!L37,'23.07 KAMPALA-WAKISO'!L37,'24.07 Kampala-Wakiso'!L37,'25.07 Kampala-Wakiso'!L37,'26.07 Kampala-Wakiso-24h'!L37,'27.07 Kampala-Wakiso-24h'!L37,'28.07 Kampala-wakiso'!L37)</f>
        <v>6.5714285714285712</v>
      </c>
      <c r="M37" s="49">
        <f>AVERAGE('22.07 Kampala-Wakiso'!M37,'23.07 KAMPALA-WAKISO'!M37,'24.07 Kampala-Wakiso'!M37,'25.07 Kampala-Wakiso'!M37,'26.07 Kampala-Wakiso-24h'!M37,'27.07 Kampala-Wakiso-24h'!M37,'28.07 Kampala-wakiso'!M37)</f>
        <v>58.714285714285715</v>
      </c>
      <c r="N37" s="49">
        <f>AVERAGE('22.07 Kampala-Wakiso'!N37,'23.07 KAMPALA-WAKISO'!N37,'24.07 Kampala-Wakiso'!N37,'25.07 Kampala-Wakiso'!N37,'26.07 Kampala-Wakiso-24h'!N37,'27.07 Kampala-Wakiso-24h'!N37,'28.07 Kampala-wakiso'!N37)</f>
        <v>0</v>
      </c>
      <c r="O37" s="15">
        <f t="shared" si="0"/>
        <v>145.57142857142856</v>
      </c>
      <c r="P37" s="15">
        <f t="shared" si="1"/>
        <v>204.28571428571428</v>
      </c>
      <c r="R37" s="37" t="s">
        <v>85</v>
      </c>
      <c r="S37" s="35">
        <f t="shared" ref="S37:AF37" si="29">SUM(S10:S12)</f>
        <v>472.57142857142861</v>
      </c>
      <c r="T37" s="16">
        <f t="shared" si="29"/>
        <v>420.42857142857144</v>
      </c>
      <c r="U37" s="16">
        <f t="shared" si="29"/>
        <v>112.28571428571429</v>
      </c>
      <c r="V37" s="16">
        <f t="shared" si="29"/>
        <v>649.57142857142867</v>
      </c>
      <c r="W37" s="16">
        <f t="shared" si="29"/>
        <v>31.714285714285715</v>
      </c>
      <c r="X37" s="16">
        <f t="shared" si="29"/>
        <v>6.166666666666667</v>
      </c>
      <c r="Y37" s="16">
        <f t="shared" si="29"/>
        <v>123.71428571428571</v>
      </c>
      <c r="Z37" s="16">
        <f t="shared" si="29"/>
        <v>21.142857142857139</v>
      </c>
      <c r="AA37" s="16">
        <f t="shared" si="29"/>
        <v>15</v>
      </c>
      <c r="AB37" s="16">
        <f t="shared" si="29"/>
        <v>6.8571428571428568</v>
      </c>
      <c r="AC37" s="16">
        <f t="shared" si="29"/>
        <v>948</v>
      </c>
      <c r="AD37" s="16">
        <f t="shared" si="29"/>
        <v>0.2857142857142857</v>
      </c>
      <c r="AE37" s="32">
        <f t="shared" si="29"/>
        <v>1859.7380952380954</v>
      </c>
      <c r="AF37" s="32">
        <f t="shared" si="29"/>
        <v>2807.738095238095</v>
      </c>
    </row>
    <row r="38" spans="2:32" ht="23.1" customHeight="1" x14ac:dyDescent="0.25">
      <c r="B38" s="24" t="s">
        <v>65</v>
      </c>
      <c r="C38" s="49">
        <f>AVERAGE('22.07 Kampala-Wakiso'!C38,'23.07 KAMPALA-WAKISO'!C38,'24.07 Kampala-Wakiso'!C38,'25.07 Kampala-Wakiso'!C38,'26.07 Kampala-Wakiso-24h'!C38,'27.07 Kampala-Wakiso-24h'!C38,'28.07 Kampala-wakiso'!C38)</f>
        <v>44.428571428571431</v>
      </c>
      <c r="D38" s="49">
        <f>AVERAGE('22.07 Kampala-Wakiso'!D38,'23.07 KAMPALA-WAKISO'!D38,'24.07 Kampala-Wakiso'!D38,'25.07 Kampala-Wakiso'!D38,'26.07 Kampala-Wakiso-24h'!D38,'27.07 Kampala-Wakiso-24h'!D38,'28.07 Kampala-wakiso'!D38)</f>
        <v>41.857142857142854</v>
      </c>
      <c r="E38" s="49">
        <f>AVERAGE('22.07 Kampala-Wakiso'!E38,'23.07 KAMPALA-WAKISO'!E38,'24.07 Kampala-Wakiso'!E38,'25.07 Kampala-Wakiso'!E38,'26.07 Kampala-Wakiso-24h'!E38,'27.07 Kampala-Wakiso-24h'!E38,'28.07 Kampala-wakiso'!E38)</f>
        <v>11.428571428571429</v>
      </c>
      <c r="F38" s="49">
        <f>AVERAGE('22.07 Kampala-Wakiso'!F38,'23.07 KAMPALA-WAKISO'!F38,'24.07 Kampala-Wakiso'!F38,'25.07 Kampala-Wakiso'!F38,'26.07 Kampala-Wakiso-24h'!F38,'27.07 Kampala-Wakiso-24h'!F38,'28.07 Kampala-wakiso'!F38)</f>
        <v>43.428571428571431</v>
      </c>
      <c r="G38" s="49">
        <f>AVERAGE('22.07 Kampala-Wakiso'!G38,'23.07 KAMPALA-WAKISO'!G38,'24.07 Kampala-Wakiso'!G38,'25.07 Kampala-Wakiso'!G38,'26.07 Kampala-Wakiso-24h'!G38,'27.07 Kampala-Wakiso-24h'!G38,'28.07 Kampala-wakiso'!G38)</f>
        <v>0.8571428571428571</v>
      </c>
      <c r="H38" s="49">
        <f>AVERAGE('22.07 Kampala-Wakiso'!H38,'23.07 KAMPALA-WAKISO'!H38,'24.07 Kampala-Wakiso'!H38,'25.07 Kampala-Wakiso'!H38,'26.07 Kampala-Wakiso-24h'!H38,'27.07 Kampala-Wakiso-24h'!H38,'28.07 Kampala-wakiso'!H38)</f>
        <v>0.5714285714285714</v>
      </c>
      <c r="I38" s="49">
        <f>AVERAGE('22.07 Kampala-Wakiso'!I38,'23.07 KAMPALA-WAKISO'!I38,'24.07 Kampala-Wakiso'!I38,'25.07 Kampala-Wakiso'!I38,'26.07 Kampala-Wakiso-24h'!I38,'27.07 Kampala-Wakiso-24h'!I38,'28.07 Kampala-wakiso'!I38)</f>
        <v>13.714285714285714</v>
      </c>
      <c r="J38" s="49">
        <f>AVERAGE('22.07 Kampala-Wakiso'!J38,'23.07 KAMPALA-WAKISO'!J38,'24.07 Kampala-Wakiso'!J38,'25.07 Kampala-Wakiso'!J38,'26.07 Kampala-Wakiso-24h'!J38,'27.07 Kampala-Wakiso-24h'!J38,'28.07 Kampala-wakiso'!J38)</f>
        <v>1.5714285714285714</v>
      </c>
      <c r="K38" s="49">
        <f>AVERAGE('22.07 Kampala-Wakiso'!K38,'23.07 KAMPALA-WAKISO'!K38,'24.07 Kampala-Wakiso'!K38,'25.07 Kampala-Wakiso'!K38,'26.07 Kampala-Wakiso-24h'!K38,'27.07 Kampala-Wakiso-24h'!K38,'28.07 Kampala-wakiso'!K38)</f>
        <v>0.14285714285714285</v>
      </c>
      <c r="L38" s="49">
        <f>AVERAGE('22.07 Kampala-Wakiso'!L38,'23.07 KAMPALA-WAKISO'!L38,'24.07 Kampala-Wakiso'!L38,'25.07 Kampala-Wakiso'!L38,'26.07 Kampala-Wakiso-24h'!L38,'27.07 Kampala-Wakiso-24h'!L38,'28.07 Kampala-wakiso'!L38)</f>
        <v>2.1428571428571428</v>
      </c>
      <c r="M38" s="49">
        <f>AVERAGE('22.07 Kampala-Wakiso'!M38,'23.07 KAMPALA-WAKISO'!M38,'24.07 Kampala-Wakiso'!M38,'25.07 Kampala-Wakiso'!M38,'26.07 Kampala-Wakiso-24h'!M38,'27.07 Kampala-Wakiso-24h'!M38,'28.07 Kampala-wakiso'!M38)</f>
        <v>87.285714285714292</v>
      </c>
      <c r="N38" s="49">
        <f>AVERAGE('22.07 Kampala-Wakiso'!N38,'23.07 KAMPALA-WAKISO'!N38,'24.07 Kampala-Wakiso'!N38,'25.07 Kampala-Wakiso'!N38,'26.07 Kampala-Wakiso-24h'!N38,'27.07 Kampala-Wakiso-24h'!N38,'28.07 Kampala-wakiso'!N38)</f>
        <v>0</v>
      </c>
      <c r="O38" s="15">
        <f t="shared" si="0"/>
        <v>160.14285714285717</v>
      </c>
      <c r="P38" s="15">
        <f t="shared" si="1"/>
        <v>247.42857142857144</v>
      </c>
      <c r="R38" s="28" t="s">
        <v>86</v>
      </c>
      <c r="S38" s="16">
        <f t="shared" ref="S38:AF38" si="30">SUM(S13:S18)</f>
        <v>1154.5714285714284</v>
      </c>
      <c r="T38" s="16">
        <f t="shared" si="30"/>
        <v>976.71428571428567</v>
      </c>
      <c r="U38" s="16">
        <f t="shared" si="30"/>
        <v>200</v>
      </c>
      <c r="V38" s="16">
        <f t="shared" si="30"/>
        <v>1098.2857142857142</v>
      </c>
      <c r="W38" s="16">
        <f t="shared" si="30"/>
        <v>10.428571428571429</v>
      </c>
      <c r="X38" s="16">
        <f t="shared" si="30"/>
        <v>10.571428571428573</v>
      </c>
      <c r="Y38" s="16">
        <f t="shared" si="30"/>
        <v>279.71428571428572</v>
      </c>
      <c r="Z38" s="16">
        <f t="shared" si="30"/>
        <v>54.428571428571431</v>
      </c>
      <c r="AA38" s="16">
        <f t="shared" si="30"/>
        <v>21.857142857142858</v>
      </c>
      <c r="AB38" s="16">
        <f t="shared" si="30"/>
        <v>39.714285714285715</v>
      </c>
      <c r="AC38" s="16">
        <f t="shared" si="30"/>
        <v>1931.1428571428571</v>
      </c>
      <c r="AD38" s="16">
        <f t="shared" si="30"/>
        <v>0</v>
      </c>
      <c r="AE38" s="32">
        <f t="shared" si="30"/>
        <v>3846.2857142857142</v>
      </c>
      <c r="AF38" s="32">
        <f t="shared" si="30"/>
        <v>5777.4285714285716</v>
      </c>
    </row>
    <row r="39" spans="2:32" ht="23.1" customHeight="1" x14ac:dyDescent="0.25">
      <c r="B39" s="24" t="s">
        <v>66</v>
      </c>
      <c r="C39" s="49">
        <f>AVERAGE('22.07 Kampala-Wakiso'!C39,'23.07 KAMPALA-WAKISO'!C39,'24.07 Kampala-Wakiso'!C39,'25.07 Kampala-Wakiso'!C39,'26.07 Kampala-Wakiso-24h'!C39,'27.07 Kampala-Wakiso-24h'!C39,'28.07 Kampala-wakiso'!C39)</f>
        <v>34.285714285714285</v>
      </c>
      <c r="D39" s="49">
        <f>AVERAGE('22.07 Kampala-Wakiso'!D39,'23.07 KAMPALA-WAKISO'!D39,'24.07 Kampala-Wakiso'!D39,'25.07 Kampala-Wakiso'!D39,'26.07 Kampala-Wakiso-24h'!D39,'27.07 Kampala-Wakiso-24h'!D39,'28.07 Kampala-wakiso'!D39)</f>
        <v>36.571428571428569</v>
      </c>
      <c r="E39" s="49">
        <f>AVERAGE('22.07 Kampala-Wakiso'!E39,'23.07 KAMPALA-WAKISO'!E39,'24.07 Kampala-Wakiso'!E39,'25.07 Kampala-Wakiso'!E39,'26.07 Kampala-Wakiso-24h'!E39,'27.07 Kampala-Wakiso-24h'!E39,'28.07 Kampala-wakiso'!E39)</f>
        <v>7.7142857142857144</v>
      </c>
      <c r="F39" s="49">
        <f>AVERAGE('22.07 Kampala-Wakiso'!F39,'23.07 KAMPALA-WAKISO'!F39,'24.07 Kampala-Wakiso'!F39,'25.07 Kampala-Wakiso'!F39,'26.07 Kampala-Wakiso-24h'!F39,'27.07 Kampala-Wakiso-24h'!F39,'28.07 Kampala-wakiso'!F39)</f>
        <v>39</v>
      </c>
      <c r="G39" s="49">
        <f>AVERAGE('22.07 Kampala-Wakiso'!G39,'23.07 KAMPALA-WAKISO'!G39,'24.07 Kampala-Wakiso'!G39,'25.07 Kampala-Wakiso'!G39,'26.07 Kampala-Wakiso-24h'!G39,'27.07 Kampala-Wakiso-24h'!G39,'28.07 Kampala-wakiso'!G39)</f>
        <v>0.8571428571428571</v>
      </c>
      <c r="H39" s="49">
        <f>AVERAGE('22.07 Kampala-Wakiso'!H39,'23.07 KAMPALA-WAKISO'!H39,'24.07 Kampala-Wakiso'!H39,'25.07 Kampala-Wakiso'!H39,'26.07 Kampala-Wakiso-24h'!H39,'27.07 Kampala-Wakiso-24h'!H39,'28.07 Kampala-wakiso'!H39)</f>
        <v>1.1428571428571428</v>
      </c>
      <c r="I39" s="49">
        <f>AVERAGE('22.07 Kampala-Wakiso'!I39,'23.07 KAMPALA-WAKISO'!I39,'24.07 Kampala-Wakiso'!I39,'25.07 Kampala-Wakiso'!I39,'26.07 Kampala-Wakiso-24h'!I39,'27.07 Kampala-Wakiso-24h'!I39,'28.07 Kampala-wakiso'!I39)</f>
        <v>17.714285714285715</v>
      </c>
      <c r="J39" s="49">
        <f>AVERAGE('22.07 Kampala-Wakiso'!J39,'23.07 KAMPALA-WAKISO'!J39,'24.07 Kampala-Wakiso'!J39,'25.07 Kampala-Wakiso'!J39,'26.07 Kampala-Wakiso-24h'!J39,'27.07 Kampala-Wakiso-24h'!J39,'28.07 Kampala-wakiso'!J39)</f>
        <v>1.1428571428571428</v>
      </c>
      <c r="K39" s="49">
        <f>AVERAGE('22.07 Kampala-Wakiso'!K39,'23.07 KAMPALA-WAKISO'!K39,'24.07 Kampala-Wakiso'!K39,'25.07 Kampala-Wakiso'!K39,'26.07 Kampala-Wakiso-24h'!K39,'27.07 Kampala-Wakiso-24h'!K39,'28.07 Kampala-wakiso'!K39)</f>
        <v>0.7142857142857143</v>
      </c>
      <c r="L39" s="49">
        <f>AVERAGE('22.07 Kampala-Wakiso'!L39,'23.07 KAMPALA-WAKISO'!L39,'24.07 Kampala-Wakiso'!L39,'25.07 Kampala-Wakiso'!L39,'26.07 Kampala-Wakiso-24h'!L39,'27.07 Kampala-Wakiso-24h'!L39,'28.07 Kampala-wakiso'!L39)</f>
        <v>0</v>
      </c>
      <c r="M39" s="49">
        <f>AVERAGE('22.07 Kampala-Wakiso'!M39,'23.07 KAMPALA-WAKISO'!M39,'24.07 Kampala-Wakiso'!M39,'25.07 Kampala-Wakiso'!M39,'26.07 Kampala-Wakiso-24h'!M39,'27.07 Kampala-Wakiso-24h'!M39,'28.07 Kampala-wakiso'!M39)</f>
        <v>74.714285714285708</v>
      </c>
      <c r="N39" s="49">
        <f>AVERAGE('22.07 Kampala-Wakiso'!N39,'23.07 KAMPALA-WAKISO'!N39,'24.07 Kampala-Wakiso'!N39,'25.07 Kampala-Wakiso'!N39,'26.07 Kampala-Wakiso-24h'!N39,'27.07 Kampala-Wakiso-24h'!N39,'28.07 Kampala-wakiso'!N39)</f>
        <v>0</v>
      </c>
      <c r="O39" s="15">
        <f t="shared" si="0"/>
        <v>139.14285714285714</v>
      </c>
      <c r="P39" s="15">
        <f t="shared" si="1"/>
        <v>213.85714285714283</v>
      </c>
      <c r="R39" s="29" t="s">
        <v>87</v>
      </c>
      <c r="S39" s="16">
        <f t="shared" ref="S39:AF39" si="31">SUM(S19:S21)</f>
        <v>726</v>
      </c>
      <c r="T39" s="16">
        <f t="shared" si="31"/>
        <v>676.42857142857144</v>
      </c>
      <c r="U39" s="16">
        <f t="shared" si="31"/>
        <v>137.71428571428572</v>
      </c>
      <c r="V39" s="16">
        <f t="shared" si="31"/>
        <v>682.42857142857144</v>
      </c>
      <c r="W39" s="16">
        <f t="shared" si="31"/>
        <v>14.142857142857142</v>
      </c>
      <c r="X39" s="16">
        <f t="shared" si="31"/>
        <v>3.7142857142857135</v>
      </c>
      <c r="Y39" s="16">
        <f t="shared" si="31"/>
        <v>137.28571428571428</v>
      </c>
      <c r="Z39" s="16">
        <f t="shared" si="31"/>
        <v>51.714285714285708</v>
      </c>
      <c r="AA39" s="16">
        <f t="shared" si="31"/>
        <v>14.571428571428573</v>
      </c>
      <c r="AB39" s="16">
        <f t="shared" si="31"/>
        <v>12.142857142857142</v>
      </c>
      <c r="AC39" s="16">
        <f t="shared" si="31"/>
        <v>1051.1428571428571</v>
      </c>
      <c r="AD39" s="16">
        <f t="shared" si="31"/>
        <v>0.2857142857142857</v>
      </c>
      <c r="AE39" s="32">
        <f t="shared" si="31"/>
        <v>2456.4285714285716</v>
      </c>
      <c r="AF39" s="32">
        <f t="shared" si="31"/>
        <v>3507.5714285714289</v>
      </c>
    </row>
    <row r="40" spans="2:32" ht="23.1" customHeight="1" x14ac:dyDescent="0.25">
      <c r="B40" s="24" t="s">
        <v>67</v>
      </c>
      <c r="C40" s="49">
        <f>AVERAGE('22.07 Kampala-Wakiso'!C40,'23.07 KAMPALA-WAKISO'!C40,'24.07 Kampala-Wakiso'!C40,'25.07 Kampala-Wakiso'!C40,'26.07 Kampala-Wakiso-24h'!C40,'27.07 Kampala-Wakiso-24h'!C40,'28.07 Kampala-wakiso'!C40)</f>
        <v>44</v>
      </c>
      <c r="D40" s="49">
        <f>AVERAGE('22.07 Kampala-Wakiso'!D40,'23.07 KAMPALA-WAKISO'!D40,'24.07 Kampala-Wakiso'!D40,'25.07 Kampala-Wakiso'!D40,'26.07 Kampala-Wakiso-24h'!D40,'27.07 Kampala-Wakiso-24h'!D40,'28.07 Kampala-wakiso'!D40)</f>
        <v>42.285714285714285</v>
      </c>
      <c r="E40" s="49">
        <f>AVERAGE('22.07 Kampala-Wakiso'!E40,'23.07 KAMPALA-WAKISO'!E40,'24.07 Kampala-Wakiso'!E40,'25.07 Kampala-Wakiso'!E40,'26.07 Kampala-Wakiso-24h'!E40,'27.07 Kampala-Wakiso-24h'!E40,'28.07 Kampala-wakiso'!E40)</f>
        <v>8.8571428571428577</v>
      </c>
      <c r="F40" s="49">
        <f>AVERAGE('22.07 Kampala-Wakiso'!F40,'23.07 KAMPALA-WAKISO'!F40,'24.07 Kampala-Wakiso'!F40,'25.07 Kampala-Wakiso'!F40,'26.07 Kampala-Wakiso-24h'!F40,'27.07 Kampala-Wakiso-24h'!F40,'28.07 Kampala-wakiso'!F40)</f>
        <v>44</v>
      </c>
      <c r="G40" s="49">
        <f>AVERAGE('22.07 Kampala-Wakiso'!G40,'23.07 KAMPALA-WAKISO'!G40,'24.07 Kampala-Wakiso'!G40,'25.07 Kampala-Wakiso'!G40,'26.07 Kampala-Wakiso-24h'!G40,'27.07 Kampala-Wakiso-24h'!G40,'28.07 Kampala-wakiso'!G40)</f>
        <v>0.7142857142857143</v>
      </c>
      <c r="H40" s="49">
        <f>AVERAGE('22.07 Kampala-Wakiso'!H40,'23.07 KAMPALA-WAKISO'!H40,'24.07 Kampala-Wakiso'!H40,'25.07 Kampala-Wakiso'!H40,'26.07 Kampala-Wakiso-24h'!H40,'27.07 Kampala-Wakiso-24h'!H40,'28.07 Kampala-wakiso'!H40)</f>
        <v>0.14285714285714285</v>
      </c>
      <c r="I40" s="49">
        <f>AVERAGE('22.07 Kampala-Wakiso'!I40,'23.07 KAMPALA-WAKISO'!I40,'24.07 Kampala-Wakiso'!I40,'25.07 Kampala-Wakiso'!I40,'26.07 Kampala-Wakiso-24h'!I40,'27.07 Kampala-Wakiso-24h'!I40,'28.07 Kampala-wakiso'!I40)</f>
        <v>11.285714285714286</v>
      </c>
      <c r="J40" s="49">
        <f>AVERAGE('22.07 Kampala-Wakiso'!J40,'23.07 KAMPALA-WAKISO'!J40,'24.07 Kampala-Wakiso'!J40,'25.07 Kampala-Wakiso'!J40,'26.07 Kampala-Wakiso-24h'!J40,'27.07 Kampala-Wakiso-24h'!J40,'28.07 Kampala-wakiso'!J40)</f>
        <v>3.5714285714285716</v>
      </c>
      <c r="K40" s="49">
        <f>AVERAGE('22.07 Kampala-Wakiso'!K40,'23.07 KAMPALA-WAKISO'!K40,'24.07 Kampala-Wakiso'!K40,'25.07 Kampala-Wakiso'!K40,'26.07 Kampala-Wakiso-24h'!K40,'27.07 Kampala-Wakiso-24h'!K40,'28.07 Kampala-wakiso'!K40)</f>
        <v>0.8571428571428571</v>
      </c>
      <c r="L40" s="49">
        <f>AVERAGE('22.07 Kampala-Wakiso'!L40,'23.07 KAMPALA-WAKISO'!L40,'24.07 Kampala-Wakiso'!L40,'25.07 Kampala-Wakiso'!L40,'26.07 Kampala-Wakiso-24h'!L40,'27.07 Kampala-Wakiso-24h'!L40,'28.07 Kampala-wakiso'!L40)</f>
        <v>1.1428571428571428</v>
      </c>
      <c r="M40" s="49">
        <f>AVERAGE('22.07 Kampala-Wakiso'!M40,'23.07 KAMPALA-WAKISO'!M40,'24.07 Kampala-Wakiso'!M40,'25.07 Kampala-Wakiso'!M40,'26.07 Kampala-Wakiso-24h'!M40,'27.07 Kampala-Wakiso-24h'!M40,'28.07 Kampala-wakiso'!M40)</f>
        <v>77.428571428571431</v>
      </c>
      <c r="N40" s="49">
        <f>AVERAGE('22.07 Kampala-Wakiso'!N40,'23.07 KAMPALA-WAKISO'!N40,'24.07 Kampala-Wakiso'!N40,'25.07 Kampala-Wakiso'!N40,'26.07 Kampala-Wakiso-24h'!N40,'27.07 Kampala-Wakiso-24h'!N40,'28.07 Kampala-wakiso'!N40)</f>
        <v>0</v>
      </c>
      <c r="O40" s="15">
        <f t="shared" si="0"/>
        <v>156.85714285714286</v>
      </c>
      <c r="P40" s="15">
        <f t="shared" si="1"/>
        <v>234.28571428571428</v>
      </c>
      <c r="R40" s="5" t="s">
        <v>17</v>
      </c>
      <c r="S40" s="16">
        <f t="shared" ref="S40:AF40" si="32">SUM(S10:S21)</f>
        <v>2353.1428571428569</v>
      </c>
      <c r="T40" s="16">
        <f t="shared" si="32"/>
        <v>2073.5714285714284</v>
      </c>
      <c r="U40" s="16">
        <f t="shared" si="32"/>
        <v>450</v>
      </c>
      <c r="V40" s="16">
        <f t="shared" si="32"/>
        <v>2430.2857142857147</v>
      </c>
      <c r="W40" s="16">
        <f t="shared" si="32"/>
        <v>56.285714285714299</v>
      </c>
      <c r="X40" s="16">
        <f t="shared" si="32"/>
        <v>20.452380952380956</v>
      </c>
      <c r="Y40" s="16">
        <f t="shared" si="32"/>
        <v>540.71428571428578</v>
      </c>
      <c r="Z40" s="16">
        <f t="shared" si="32"/>
        <v>127.28571428571426</v>
      </c>
      <c r="AA40" s="16">
        <f t="shared" si="32"/>
        <v>51.428571428571423</v>
      </c>
      <c r="AB40" s="16">
        <f t="shared" si="32"/>
        <v>58.714285714285715</v>
      </c>
      <c r="AC40" s="16">
        <f t="shared" si="32"/>
        <v>3930.2857142857147</v>
      </c>
      <c r="AD40" s="16">
        <f t="shared" si="32"/>
        <v>0.5714285714285714</v>
      </c>
      <c r="AE40" s="32">
        <f t="shared" si="32"/>
        <v>8162.4523809523798</v>
      </c>
      <c r="AF40" s="32">
        <f t="shared" si="32"/>
        <v>12092.738095238095</v>
      </c>
    </row>
    <row r="41" spans="2:32" ht="23.1" customHeight="1" x14ac:dyDescent="0.25">
      <c r="B41" s="23" t="s">
        <v>68</v>
      </c>
      <c r="C41" s="49">
        <f>AVERAGE('22.07 Kampala-Wakiso'!C41,'23.07 KAMPALA-WAKISO'!C41,'24.07 Kampala-Wakiso'!C41,'25.07 Kampala-Wakiso'!C41,'26.07 Kampala-Wakiso-24h'!C41,'27.07 Kampala-Wakiso-24h'!C41,'28.07 Kampala-wakiso'!C41)</f>
        <v>40.428571428571431</v>
      </c>
      <c r="D41" s="49">
        <f>AVERAGE('22.07 Kampala-Wakiso'!D41,'23.07 KAMPALA-WAKISO'!D41,'24.07 Kampala-Wakiso'!D41,'25.07 Kampala-Wakiso'!D41,'26.07 Kampala-Wakiso-24h'!D41,'27.07 Kampala-Wakiso-24h'!D41,'28.07 Kampala-wakiso'!D41)</f>
        <v>48.714285714285715</v>
      </c>
      <c r="E41" s="49">
        <f>AVERAGE('22.07 Kampala-Wakiso'!E41,'23.07 KAMPALA-WAKISO'!E41,'24.07 Kampala-Wakiso'!E41,'25.07 Kampala-Wakiso'!E41,'26.07 Kampala-Wakiso-24h'!E41,'27.07 Kampala-Wakiso-24h'!E41,'28.07 Kampala-wakiso'!E41)</f>
        <v>7.2857142857142856</v>
      </c>
      <c r="F41" s="49">
        <f>AVERAGE('22.07 Kampala-Wakiso'!F41,'23.07 KAMPALA-WAKISO'!F41,'24.07 Kampala-Wakiso'!F41,'25.07 Kampala-Wakiso'!F41,'26.07 Kampala-Wakiso-24h'!F41,'27.07 Kampala-Wakiso-24h'!F41,'28.07 Kampala-wakiso'!F41)</f>
        <v>37</v>
      </c>
      <c r="G41" s="49">
        <f>AVERAGE('22.07 Kampala-Wakiso'!G41,'23.07 KAMPALA-WAKISO'!G41,'24.07 Kampala-Wakiso'!G41,'25.07 Kampala-Wakiso'!G41,'26.07 Kampala-Wakiso-24h'!G41,'27.07 Kampala-Wakiso-24h'!G41,'28.07 Kampala-wakiso'!G41)</f>
        <v>0</v>
      </c>
      <c r="H41" s="49">
        <f>AVERAGE('22.07 Kampala-Wakiso'!H41,'23.07 KAMPALA-WAKISO'!H41,'24.07 Kampala-Wakiso'!H41,'25.07 Kampala-Wakiso'!H41,'26.07 Kampala-Wakiso-24h'!H41,'27.07 Kampala-Wakiso-24h'!H41,'28.07 Kampala-wakiso'!H41)</f>
        <v>0</v>
      </c>
      <c r="I41" s="49">
        <f>AVERAGE('22.07 Kampala-Wakiso'!I41,'23.07 KAMPALA-WAKISO'!I41,'24.07 Kampala-Wakiso'!I41,'25.07 Kampala-Wakiso'!I41,'26.07 Kampala-Wakiso-24h'!I41,'27.07 Kampala-Wakiso-24h'!I41,'28.07 Kampala-wakiso'!I41)</f>
        <v>10.714285714285714</v>
      </c>
      <c r="J41" s="49">
        <f>AVERAGE('22.07 Kampala-Wakiso'!J41,'23.07 KAMPALA-WAKISO'!J41,'24.07 Kampala-Wakiso'!J41,'25.07 Kampala-Wakiso'!J41,'26.07 Kampala-Wakiso-24h'!J41,'27.07 Kampala-Wakiso-24h'!J41,'28.07 Kampala-wakiso'!J41)</f>
        <v>1.4285714285714286</v>
      </c>
      <c r="K41" s="49">
        <f>AVERAGE('22.07 Kampala-Wakiso'!K41,'23.07 KAMPALA-WAKISO'!K41,'24.07 Kampala-Wakiso'!K41,'25.07 Kampala-Wakiso'!K41,'26.07 Kampala-Wakiso-24h'!K41,'27.07 Kampala-Wakiso-24h'!K41,'28.07 Kampala-wakiso'!K41)</f>
        <v>0</v>
      </c>
      <c r="L41" s="49">
        <f>AVERAGE('22.07 Kampala-Wakiso'!L41,'23.07 KAMPALA-WAKISO'!L41,'24.07 Kampala-Wakiso'!L41,'25.07 Kampala-Wakiso'!L41,'26.07 Kampala-Wakiso-24h'!L41,'27.07 Kampala-Wakiso-24h'!L41,'28.07 Kampala-wakiso'!L41)</f>
        <v>0.8571428571428571</v>
      </c>
      <c r="M41" s="49">
        <f>AVERAGE('22.07 Kampala-Wakiso'!M41,'23.07 KAMPALA-WAKISO'!M41,'24.07 Kampala-Wakiso'!M41,'25.07 Kampala-Wakiso'!M41,'26.07 Kampala-Wakiso-24h'!M41,'27.07 Kampala-Wakiso-24h'!M41,'28.07 Kampala-wakiso'!M41)</f>
        <v>75.714285714285708</v>
      </c>
      <c r="N41" s="49">
        <f>AVERAGE('22.07 Kampala-Wakiso'!N41,'23.07 KAMPALA-WAKISO'!N41,'24.07 Kampala-Wakiso'!N41,'25.07 Kampala-Wakiso'!N41,'26.07 Kampala-Wakiso-24h'!N41,'27.07 Kampala-Wakiso-24h'!N41,'28.07 Kampala-wakiso'!N41)</f>
        <v>0</v>
      </c>
      <c r="O41" s="15">
        <f t="shared" si="0"/>
        <v>146.42857142857144</v>
      </c>
      <c r="P41" s="15">
        <f t="shared" si="1"/>
        <v>222.14285714285717</v>
      </c>
      <c r="R41" s="5" t="s">
        <v>178</v>
      </c>
      <c r="S41" s="16">
        <f>SUM(S10:S33)</f>
        <v>3784.1428571428569</v>
      </c>
      <c r="T41" s="16">
        <f t="shared" ref="T41:AD41" si="33">SUM(T10:T33)</f>
        <v>3434.0714285714284</v>
      </c>
      <c r="U41" s="16">
        <f t="shared" si="33"/>
        <v>693.5</v>
      </c>
      <c r="V41" s="16">
        <f t="shared" si="33"/>
        <v>3802.7857142857147</v>
      </c>
      <c r="W41" s="16">
        <f t="shared" si="33"/>
        <v>92.285714285714306</v>
      </c>
      <c r="X41" s="16">
        <f t="shared" si="33"/>
        <v>40.452380952380956</v>
      </c>
      <c r="Y41" s="16">
        <f t="shared" si="33"/>
        <v>675.21428571428578</v>
      </c>
      <c r="Z41" s="16">
        <f t="shared" si="33"/>
        <v>173.78571428571428</v>
      </c>
      <c r="AA41" s="16">
        <f t="shared" si="33"/>
        <v>68.428571428571416</v>
      </c>
      <c r="AB41" s="16">
        <f t="shared" si="33"/>
        <v>78.714285714285722</v>
      </c>
      <c r="AC41" s="16">
        <f t="shared" si="33"/>
        <v>6120.2857142857147</v>
      </c>
      <c r="AD41" s="16">
        <f t="shared" si="33"/>
        <v>0.5714285714285714</v>
      </c>
      <c r="AE41" s="32">
        <f>SUM(AE10:AE33)</f>
        <v>12843.95238095238</v>
      </c>
      <c r="AF41" s="32">
        <f>SUM(AF10:AF33)</f>
        <v>18964.238095238095</v>
      </c>
    </row>
    <row r="42" spans="2:32" ht="23.1" customHeight="1" x14ac:dyDescent="0.25">
      <c r="B42" s="24" t="s">
        <v>69</v>
      </c>
      <c r="C42" s="49">
        <f>AVERAGE('22.07 Kampala-Wakiso'!C42,'23.07 KAMPALA-WAKISO'!C42,'24.07 Kampala-Wakiso'!C42,'25.07 Kampala-Wakiso'!C42,'26.07 Kampala-Wakiso-24h'!C42,'27.07 Kampala-Wakiso-24h'!C42,'28.07 Kampala-wakiso'!C42)</f>
        <v>44.285714285714285</v>
      </c>
      <c r="D42" s="49">
        <f>AVERAGE('22.07 Kampala-Wakiso'!D42,'23.07 KAMPALA-WAKISO'!D42,'24.07 Kampala-Wakiso'!D42,'25.07 Kampala-Wakiso'!D42,'26.07 Kampala-Wakiso-24h'!D42,'27.07 Kampala-Wakiso-24h'!D42,'28.07 Kampala-wakiso'!D42)</f>
        <v>43.714285714285715</v>
      </c>
      <c r="E42" s="49">
        <f>AVERAGE('22.07 Kampala-Wakiso'!E42,'23.07 KAMPALA-WAKISO'!E42,'24.07 Kampala-Wakiso'!E42,'25.07 Kampala-Wakiso'!E42,'26.07 Kampala-Wakiso-24h'!E42,'27.07 Kampala-Wakiso-24h'!E42,'28.07 Kampala-wakiso'!E42)</f>
        <v>8.7142857142857135</v>
      </c>
      <c r="F42" s="49">
        <f>AVERAGE('22.07 Kampala-Wakiso'!F42,'23.07 KAMPALA-WAKISO'!F42,'24.07 Kampala-Wakiso'!F42,'25.07 Kampala-Wakiso'!F42,'26.07 Kampala-Wakiso-24h'!F42,'27.07 Kampala-Wakiso-24h'!F42,'28.07 Kampala-wakiso'!F42)</f>
        <v>48.428571428571431</v>
      </c>
      <c r="G42" s="49">
        <f>AVERAGE('22.07 Kampala-Wakiso'!G42,'23.07 KAMPALA-WAKISO'!G42,'24.07 Kampala-Wakiso'!G42,'25.07 Kampala-Wakiso'!G42,'26.07 Kampala-Wakiso-24h'!G42,'27.07 Kampala-Wakiso-24h'!G42,'28.07 Kampala-wakiso'!G42)</f>
        <v>0.14285714285714285</v>
      </c>
      <c r="H42" s="49">
        <f>AVERAGE('22.07 Kampala-Wakiso'!H42,'23.07 KAMPALA-WAKISO'!H42,'24.07 Kampala-Wakiso'!H42,'25.07 Kampala-Wakiso'!H42,'26.07 Kampala-Wakiso-24h'!H42,'27.07 Kampala-Wakiso-24h'!H42,'28.07 Kampala-wakiso'!H42)</f>
        <v>0.42857142857142855</v>
      </c>
      <c r="I42" s="49">
        <f>AVERAGE('22.07 Kampala-Wakiso'!I42,'23.07 KAMPALA-WAKISO'!I42,'24.07 Kampala-Wakiso'!I42,'25.07 Kampala-Wakiso'!I42,'26.07 Kampala-Wakiso-24h'!I42,'27.07 Kampala-Wakiso-24h'!I42,'28.07 Kampala-wakiso'!I42)</f>
        <v>7.4285714285714288</v>
      </c>
      <c r="J42" s="49">
        <f>AVERAGE('22.07 Kampala-Wakiso'!J42,'23.07 KAMPALA-WAKISO'!J42,'24.07 Kampala-Wakiso'!J42,'25.07 Kampala-Wakiso'!J42,'26.07 Kampala-Wakiso-24h'!J42,'27.07 Kampala-Wakiso-24h'!J42,'28.07 Kampala-wakiso'!J42)</f>
        <v>2.7142857142857144</v>
      </c>
      <c r="K42" s="49">
        <f>AVERAGE('22.07 Kampala-Wakiso'!K42,'23.07 KAMPALA-WAKISO'!K42,'24.07 Kampala-Wakiso'!K42,'25.07 Kampala-Wakiso'!K42,'26.07 Kampala-Wakiso-24h'!K42,'27.07 Kampala-Wakiso-24h'!K42,'28.07 Kampala-wakiso'!K42)</f>
        <v>0.42857142857142855</v>
      </c>
      <c r="L42" s="49">
        <f>AVERAGE('22.07 Kampala-Wakiso'!L42,'23.07 KAMPALA-WAKISO'!L42,'24.07 Kampala-Wakiso'!L42,'25.07 Kampala-Wakiso'!L42,'26.07 Kampala-Wakiso-24h'!L42,'27.07 Kampala-Wakiso-24h'!L42,'28.07 Kampala-wakiso'!L42)</f>
        <v>0.7142857142857143</v>
      </c>
      <c r="M42" s="49">
        <f>AVERAGE('22.07 Kampala-Wakiso'!M42,'23.07 KAMPALA-WAKISO'!M42,'24.07 Kampala-Wakiso'!M42,'25.07 Kampala-Wakiso'!M42,'26.07 Kampala-Wakiso-24h'!M42,'27.07 Kampala-Wakiso-24h'!M42,'28.07 Kampala-wakiso'!M42)</f>
        <v>72.857142857142861</v>
      </c>
      <c r="N42" s="49">
        <f>AVERAGE('22.07 Kampala-Wakiso'!N42,'23.07 KAMPALA-WAKISO'!N42,'24.07 Kampala-Wakiso'!N42,'25.07 Kampala-Wakiso'!N42,'26.07 Kampala-Wakiso-24h'!N42,'27.07 Kampala-Wakiso-24h'!N42,'28.07 Kampala-wakiso'!N42)</f>
        <v>0</v>
      </c>
      <c r="O42" s="15">
        <f t="shared" si="0"/>
        <v>156.99999999999997</v>
      </c>
      <c r="P42" s="15">
        <f t="shared" si="1"/>
        <v>229.85714285714283</v>
      </c>
      <c r="R42" s="5" t="s">
        <v>160</v>
      </c>
      <c r="S42" s="48">
        <f>S41/S40</f>
        <v>1.6081228751821273</v>
      </c>
      <c r="T42" s="48">
        <f t="shared" ref="T42:AF42" si="34">T41/T40</f>
        <v>1.6561143644505685</v>
      </c>
      <c r="U42" s="48">
        <f t="shared" si="34"/>
        <v>1.5411111111111111</v>
      </c>
      <c r="V42" s="48">
        <f t="shared" si="34"/>
        <v>1.5647484128850222</v>
      </c>
      <c r="W42" s="48">
        <f t="shared" si="34"/>
        <v>1.6395939086294415</v>
      </c>
      <c r="X42" s="48">
        <f t="shared" si="34"/>
        <v>1.9778812572759021</v>
      </c>
      <c r="Y42" s="48">
        <f t="shared" si="34"/>
        <v>1.2487450462351386</v>
      </c>
      <c r="Z42" s="48">
        <f t="shared" si="34"/>
        <v>1.3653198653198655</v>
      </c>
      <c r="AA42" s="48">
        <f t="shared" si="34"/>
        <v>1.3305555555555555</v>
      </c>
      <c r="AB42" s="48">
        <f t="shared" si="34"/>
        <v>1.3406326034063261</v>
      </c>
      <c r="AC42" s="48">
        <f t="shared" si="34"/>
        <v>1.5572113986624019</v>
      </c>
      <c r="AD42" s="48">
        <f t="shared" si="34"/>
        <v>1</v>
      </c>
      <c r="AE42" s="54">
        <f t="shared" si="34"/>
        <v>1.5735408651111507</v>
      </c>
      <c r="AF42" s="54">
        <f t="shared" si="34"/>
        <v>1.5682335915888126</v>
      </c>
    </row>
    <row r="43" spans="2:32" ht="23.1" customHeight="1" x14ac:dyDescent="0.25">
      <c r="B43" s="23" t="s">
        <v>70</v>
      </c>
      <c r="C43" s="49">
        <f>AVERAGE('22.07 Kampala-Wakiso'!C43,'23.07 KAMPALA-WAKISO'!C43,'24.07 Kampala-Wakiso'!C43,'25.07 Kampala-Wakiso'!C43,'26.07 Kampala-Wakiso-24h'!C43,'27.07 Kampala-Wakiso-24h'!C43,'28.07 Kampala-wakiso'!C43)</f>
        <v>55.857142857142854</v>
      </c>
      <c r="D43" s="49">
        <f>AVERAGE('22.07 Kampala-Wakiso'!D43,'23.07 KAMPALA-WAKISO'!D43,'24.07 Kampala-Wakiso'!D43,'25.07 Kampala-Wakiso'!D43,'26.07 Kampala-Wakiso-24h'!D43,'27.07 Kampala-Wakiso-24h'!D43,'28.07 Kampala-wakiso'!D43)</f>
        <v>46.714285714285715</v>
      </c>
      <c r="E43" s="49">
        <f>AVERAGE('22.07 Kampala-Wakiso'!E43,'23.07 KAMPALA-WAKISO'!E43,'24.07 Kampala-Wakiso'!E43,'25.07 Kampala-Wakiso'!E43,'26.07 Kampala-Wakiso-24h'!E43,'27.07 Kampala-Wakiso-24h'!E43,'28.07 Kampala-wakiso'!E43)</f>
        <v>7.7142857142857144</v>
      </c>
      <c r="F43" s="49">
        <f>AVERAGE('22.07 Kampala-Wakiso'!F43,'23.07 KAMPALA-WAKISO'!F43,'24.07 Kampala-Wakiso'!F43,'25.07 Kampala-Wakiso'!F43,'26.07 Kampala-Wakiso-24h'!F43,'27.07 Kampala-Wakiso-24h'!F43,'28.07 Kampala-wakiso'!F43)</f>
        <v>43.571428571428569</v>
      </c>
      <c r="G43" s="49">
        <f>AVERAGE('22.07 Kampala-Wakiso'!G43,'23.07 KAMPALA-WAKISO'!G43,'24.07 Kampala-Wakiso'!G43,'25.07 Kampala-Wakiso'!G43,'26.07 Kampala-Wakiso-24h'!G43,'27.07 Kampala-Wakiso-24h'!G43,'28.07 Kampala-wakiso'!G43)</f>
        <v>0</v>
      </c>
      <c r="H43" s="49">
        <f>AVERAGE('22.07 Kampala-Wakiso'!H43,'23.07 KAMPALA-WAKISO'!H43,'24.07 Kampala-Wakiso'!H43,'25.07 Kampala-Wakiso'!H43,'26.07 Kampala-Wakiso-24h'!H43,'27.07 Kampala-Wakiso-24h'!H43,'28.07 Kampala-wakiso'!H43)</f>
        <v>0.42857142857142855</v>
      </c>
      <c r="I43" s="49">
        <f>AVERAGE('22.07 Kampala-Wakiso'!I43,'23.07 KAMPALA-WAKISO'!I43,'24.07 Kampala-Wakiso'!I43,'25.07 Kampala-Wakiso'!I43,'26.07 Kampala-Wakiso-24h'!I43,'27.07 Kampala-Wakiso-24h'!I43,'28.07 Kampala-wakiso'!I43)</f>
        <v>10</v>
      </c>
      <c r="J43" s="49">
        <f>AVERAGE('22.07 Kampala-Wakiso'!J43,'23.07 KAMPALA-WAKISO'!J43,'24.07 Kampala-Wakiso'!J43,'25.07 Kampala-Wakiso'!J43,'26.07 Kampala-Wakiso-24h'!J43,'27.07 Kampala-Wakiso-24h'!J43,'28.07 Kampala-wakiso'!J43)</f>
        <v>1.5714285714285714</v>
      </c>
      <c r="K43" s="49">
        <f>AVERAGE('22.07 Kampala-Wakiso'!K43,'23.07 KAMPALA-WAKISO'!K43,'24.07 Kampala-Wakiso'!K43,'25.07 Kampala-Wakiso'!K43,'26.07 Kampala-Wakiso-24h'!K43,'27.07 Kampala-Wakiso-24h'!K43,'28.07 Kampala-wakiso'!K43)</f>
        <v>1.2857142857142858</v>
      </c>
      <c r="L43" s="49">
        <f>AVERAGE('22.07 Kampala-Wakiso'!L43,'23.07 KAMPALA-WAKISO'!L43,'24.07 Kampala-Wakiso'!L43,'25.07 Kampala-Wakiso'!L43,'26.07 Kampala-Wakiso-24h'!L43,'27.07 Kampala-Wakiso-24h'!L43,'28.07 Kampala-wakiso'!L43)</f>
        <v>0.42857142857142855</v>
      </c>
      <c r="M43" s="49">
        <f>AVERAGE('22.07 Kampala-Wakiso'!M43,'23.07 KAMPALA-WAKISO'!M43,'24.07 Kampala-Wakiso'!M43,'25.07 Kampala-Wakiso'!M43,'26.07 Kampala-Wakiso-24h'!M43,'27.07 Kampala-Wakiso-24h'!M43,'28.07 Kampala-wakiso'!M43)</f>
        <v>85.142857142857139</v>
      </c>
      <c r="N43" s="49">
        <f>AVERAGE('22.07 Kampala-Wakiso'!N43,'23.07 KAMPALA-WAKISO'!N43,'24.07 Kampala-Wakiso'!N43,'25.07 Kampala-Wakiso'!N43,'26.07 Kampala-Wakiso-24h'!N43,'27.07 Kampala-Wakiso-24h'!N43,'28.07 Kampala-wakiso'!N43)</f>
        <v>0</v>
      </c>
      <c r="O43" s="15">
        <f t="shared" si="0"/>
        <v>167.57142857142853</v>
      </c>
      <c r="P43" s="15">
        <f t="shared" si="1"/>
        <v>252.71428571428567</v>
      </c>
    </row>
    <row r="44" spans="2:32" ht="23.1" customHeight="1" x14ac:dyDescent="0.25">
      <c r="B44" s="25" t="s">
        <v>71</v>
      </c>
      <c r="C44" s="49">
        <f>AVERAGE('22.07 Kampala-Wakiso'!C44,'23.07 KAMPALA-WAKISO'!C44,'24.07 Kampala-Wakiso'!C44,'25.07 Kampala-Wakiso'!C44,'26.07 Kampala-Wakiso-24h'!C44,'27.07 Kampala-Wakiso-24h'!C44,'28.07 Kampala-wakiso'!C44)</f>
        <v>126.71428571428571</v>
      </c>
      <c r="D44" s="49">
        <f>AVERAGE('22.07 Kampala-Wakiso'!D44,'23.07 KAMPALA-WAKISO'!D44,'24.07 Kampala-Wakiso'!D44,'25.07 Kampala-Wakiso'!D44,'26.07 Kampala-Wakiso-24h'!D44,'27.07 Kampala-Wakiso-24h'!D44,'28.07 Kampala-wakiso'!D44)</f>
        <v>58.285714285714285</v>
      </c>
      <c r="E44" s="49">
        <f>AVERAGE('22.07 Kampala-Wakiso'!E44,'23.07 KAMPALA-WAKISO'!E44,'24.07 Kampala-Wakiso'!E44,'25.07 Kampala-Wakiso'!E44,'26.07 Kampala-Wakiso-24h'!E44,'27.07 Kampala-Wakiso-24h'!E44,'28.07 Kampala-wakiso'!E44)</f>
        <v>13.571428571428571</v>
      </c>
      <c r="F44" s="49">
        <f>AVERAGE('22.07 Kampala-Wakiso'!F44,'23.07 KAMPALA-WAKISO'!F44,'24.07 Kampala-Wakiso'!F44,'25.07 Kampala-Wakiso'!F44,'26.07 Kampala-Wakiso-24h'!F44,'27.07 Kampala-Wakiso-24h'!F44,'28.07 Kampala-wakiso'!F44)</f>
        <v>45.428571428571431</v>
      </c>
      <c r="G44" s="49">
        <f>AVERAGE('22.07 Kampala-Wakiso'!G44,'23.07 KAMPALA-WAKISO'!G44,'24.07 Kampala-Wakiso'!G44,'25.07 Kampala-Wakiso'!G44,'26.07 Kampala-Wakiso-24h'!G44,'27.07 Kampala-Wakiso-24h'!G44,'28.07 Kampala-wakiso'!G44)</f>
        <v>0.14285714285714285</v>
      </c>
      <c r="H44" s="49">
        <f>AVERAGE('22.07 Kampala-Wakiso'!H44,'23.07 KAMPALA-WAKISO'!H44,'24.07 Kampala-Wakiso'!H44,'25.07 Kampala-Wakiso'!H44,'26.07 Kampala-Wakiso-24h'!H44,'27.07 Kampala-Wakiso-24h'!H44,'28.07 Kampala-wakiso'!H44)</f>
        <v>0.2857142857142857</v>
      </c>
      <c r="I44" s="49">
        <f>AVERAGE('22.07 Kampala-Wakiso'!I44,'23.07 KAMPALA-WAKISO'!I44,'24.07 Kampala-Wakiso'!I44,'25.07 Kampala-Wakiso'!I44,'26.07 Kampala-Wakiso-24h'!I44,'27.07 Kampala-Wakiso-24h'!I44,'28.07 Kampala-wakiso'!I44)</f>
        <v>6.5714285714285712</v>
      </c>
      <c r="J44" s="49">
        <f>AVERAGE('22.07 Kampala-Wakiso'!J44,'23.07 KAMPALA-WAKISO'!J44,'24.07 Kampala-Wakiso'!J44,'25.07 Kampala-Wakiso'!J44,'26.07 Kampala-Wakiso-24h'!J44,'27.07 Kampala-Wakiso-24h'!J44,'28.07 Kampala-wakiso'!J44)</f>
        <v>4</v>
      </c>
      <c r="K44" s="49">
        <f>AVERAGE('22.07 Kampala-Wakiso'!K44,'23.07 KAMPALA-WAKISO'!K44,'24.07 Kampala-Wakiso'!K44,'25.07 Kampala-Wakiso'!K44,'26.07 Kampala-Wakiso-24h'!K44,'27.07 Kampala-Wakiso-24h'!K44,'28.07 Kampala-wakiso'!K44)</f>
        <v>0.8571428571428571</v>
      </c>
      <c r="L44" s="49">
        <f>AVERAGE('22.07 Kampala-Wakiso'!L44,'23.07 KAMPALA-WAKISO'!L44,'24.07 Kampala-Wakiso'!L44,'25.07 Kampala-Wakiso'!L44,'26.07 Kampala-Wakiso-24h'!L44,'27.07 Kampala-Wakiso-24h'!L44,'28.07 Kampala-wakiso'!L44)</f>
        <v>2.4285714285714284</v>
      </c>
      <c r="M44" s="49">
        <f>AVERAGE('22.07 Kampala-Wakiso'!M44,'23.07 KAMPALA-WAKISO'!M44,'24.07 Kampala-Wakiso'!M44,'25.07 Kampala-Wakiso'!M44,'26.07 Kampala-Wakiso-24h'!M44,'27.07 Kampala-Wakiso-24h'!M44,'28.07 Kampala-wakiso'!M44)</f>
        <v>91.857142857142861</v>
      </c>
      <c r="N44" s="49">
        <f>AVERAGE('22.07 Kampala-Wakiso'!N44,'23.07 KAMPALA-WAKISO'!N44,'24.07 Kampala-Wakiso'!N44,'25.07 Kampala-Wakiso'!N44,'26.07 Kampala-Wakiso-24h'!N44,'27.07 Kampala-Wakiso-24h'!N44,'28.07 Kampala-wakiso'!N44)</f>
        <v>0</v>
      </c>
      <c r="O44" s="15">
        <f t="shared" si="0"/>
        <v>258.28571428571428</v>
      </c>
      <c r="P44" s="15">
        <f t="shared" si="1"/>
        <v>350.14285714285711</v>
      </c>
    </row>
    <row r="45" spans="2:32" ht="23.1" customHeight="1" x14ac:dyDescent="0.25">
      <c r="B45" s="23" t="s">
        <v>72</v>
      </c>
      <c r="C45" s="49">
        <f>AVERAGE('22.07 Kampala-Wakiso'!C45,'23.07 KAMPALA-WAKISO'!C45,'24.07 Kampala-Wakiso'!C45,'25.07 Kampala-Wakiso'!C45,'26.07 Kampala-Wakiso-24h'!C45,'27.07 Kampala-Wakiso-24h'!C45,'28.07 Kampala-wakiso'!C45)</f>
        <v>50.857142857142854</v>
      </c>
      <c r="D45" s="49">
        <f>AVERAGE('22.07 Kampala-Wakiso'!D45,'23.07 KAMPALA-WAKISO'!D45,'24.07 Kampala-Wakiso'!D45,'25.07 Kampala-Wakiso'!D45,'26.07 Kampala-Wakiso-24h'!D45,'27.07 Kampala-Wakiso-24h'!D45,'28.07 Kampala-wakiso'!D45)</f>
        <v>40.857142857142854</v>
      </c>
      <c r="E45" s="49">
        <f>AVERAGE('22.07 Kampala-Wakiso'!E45,'23.07 KAMPALA-WAKISO'!E45,'24.07 Kampala-Wakiso'!E45,'25.07 Kampala-Wakiso'!E45,'26.07 Kampala-Wakiso-24h'!E45,'27.07 Kampala-Wakiso-24h'!E45,'28.07 Kampala-wakiso'!E45)</f>
        <v>6.7142857142857144</v>
      </c>
      <c r="F45" s="49">
        <f>AVERAGE('22.07 Kampala-Wakiso'!F45,'23.07 KAMPALA-WAKISO'!F45,'24.07 Kampala-Wakiso'!F45,'25.07 Kampala-Wakiso'!F45,'26.07 Kampala-Wakiso-24h'!F45,'27.07 Kampala-Wakiso-24h'!F45,'28.07 Kampala-wakiso'!F45)</f>
        <v>38.571428571428569</v>
      </c>
      <c r="G45" s="49">
        <f>AVERAGE('22.07 Kampala-Wakiso'!G45,'23.07 KAMPALA-WAKISO'!G45,'24.07 Kampala-Wakiso'!G45,'25.07 Kampala-Wakiso'!G45,'26.07 Kampala-Wakiso-24h'!G45,'27.07 Kampala-Wakiso-24h'!G45,'28.07 Kampala-wakiso'!G45)</f>
        <v>0.14285714285714285</v>
      </c>
      <c r="H45" s="49">
        <f>AVERAGE('22.07 Kampala-Wakiso'!H45,'23.07 KAMPALA-WAKISO'!H45,'24.07 Kampala-Wakiso'!H45,'25.07 Kampala-Wakiso'!H45,'26.07 Kampala-Wakiso-24h'!H45,'27.07 Kampala-Wakiso-24h'!H45,'28.07 Kampala-wakiso'!H45)</f>
        <v>0.14285714285714285</v>
      </c>
      <c r="I45" s="49">
        <f>AVERAGE('22.07 Kampala-Wakiso'!I45,'23.07 KAMPALA-WAKISO'!I45,'24.07 Kampala-Wakiso'!I45,'25.07 Kampala-Wakiso'!I45,'26.07 Kampala-Wakiso-24h'!I45,'27.07 Kampala-Wakiso-24h'!I45,'28.07 Kampala-wakiso'!I45)</f>
        <v>8.2857142857142865</v>
      </c>
      <c r="J45" s="49">
        <f>AVERAGE('22.07 Kampala-Wakiso'!J45,'23.07 KAMPALA-WAKISO'!J45,'24.07 Kampala-Wakiso'!J45,'25.07 Kampala-Wakiso'!J45,'26.07 Kampala-Wakiso-24h'!J45,'27.07 Kampala-Wakiso-24h'!J45,'28.07 Kampala-wakiso'!J45)</f>
        <v>1.7142857142857142</v>
      </c>
      <c r="K45" s="49">
        <f>AVERAGE('22.07 Kampala-Wakiso'!K45,'23.07 KAMPALA-WAKISO'!K45,'24.07 Kampala-Wakiso'!K45,'25.07 Kampala-Wakiso'!K45,'26.07 Kampala-Wakiso-24h'!K45,'27.07 Kampala-Wakiso-24h'!K45,'28.07 Kampala-wakiso'!K45)</f>
        <v>0.42857142857142855</v>
      </c>
      <c r="L45" s="49">
        <f>AVERAGE('22.07 Kampala-Wakiso'!L45,'23.07 KAMPALA-WAKISO'!L45,'24.07 Kampala-Wakiso'!L45,'25.07 Kampala-Wakiso'!L45,'26.07 Kampala-Wakiso-24h'!L45,'27.07 Kampala-Wakiso-24h'!L45,'28.07 Kampala-wakiso'!L45)</f>
        <v>0.7142857142857143</v>
      </c>
      <c r="M45" s="49">
        <f>AVERAGE('22.07 Kampala-Wakiso'!M45,'23.07 KAMPALA-WAKISO'!M45,'24.07 Kampala-Wakiso'!M45,'25.07 Kampala-Wakiso'!M45,'26.07 Kampala-Wakiso-24h'!M45,'27.07 Kampala-Wakiso-24h'!M45,'28.07 Kampala-wakiso'!M45)</f>
        <v>59.857142857142854</v>
      </c>
      <c r="N45" s="49">
        <f>AVERAGE('22.07 Kampala-Wakiso'!N45,'23.07 KAMPALA-WAKISO'!N45,'24.07 Kampala-Wakiso'!N45,'25.07 Kampala-Wakiso'!N45,'26.07 Kampala-Wakiso-24h'!N45,'27.07 Kampala-Wakiso-24h'!N45,'28.07 Kampala-wakiso'!N45)</f>
        <v>0</v>
      </c>
      <c r="O45" s="15">
        <f t="shared" si="0"/>
        <v>148.42857142857142</v>
      </c>
      <c r="P45" s="15">
        <f t="shared" si="1"/>
        <v>208.28571428571428</v>
      </c>
    </row>
    <row r="46" spans="2:32" ht="23.1" customHeight="1" x14ac:dyDescent="0.25">
      <c r="B46" s="24" t="s">
        <v>73</v>
      </c>
      <c r="C46" s="49">
        <f>AVERAGE('22.07 Kampala-Wakiso'!C46,'23.07 KAMPALA-WAKISO'!C46,'24.07 Kampala-Wakiso'!C46,'25.07 Kampala-Wakiso'!C46,'26.07 Kampala-Wakiso-24h'!C46,'27.07 Kampala-Wakiso-24h'!C46,'28.07 Kampala-wakiso'!C46)</f>
        <v>56.285714285714285</v>
      </c>
      <c r="D46" s="49">
        <f>AVERAGE('22.07 Kampala-Wakiso'!D46,'23.07 KAMPALA-WAKISO'!D46,'24.07 Kampala-Wakiso'!D46,'25.07 Kampala-Wakiso'!D46,'26.07 Kampala-Wakiso-24h'!D46,'27.07 Kampala-Wakiso-24h'!D46,'28.07 Kampala-wakiso'!D46)</f>
        <v>45</v>
      </c>
      <c r="E46" s="49">
        <f>AVERAGE('22.07 Kampala-Wakiso'!E46,'23.07 KAMPALA-WAKISO'!E46,'24.07 Kampala-Wakiso'!E46,'25.07 Kampala-Wakiso'!E46,'26.07 Kampala-Wakiso-24h'!E46,'27.07 Kampala-Wakiso-24h'!E46,'28.07 Kampala-wakiso'!E46)</f>
        <v>14.142857142857142</v>
      </c>
      <c r="F46" s="49">
        <f>AVERAGE('22.07 Kampala-Wakiso'!F46,'23.07 KAMPALA-WAKISO'!F46,'24.07 Kampala-Wakiso'!F46,'25.07 Kampala-Wakiso'!F46,'26.07 Kampala-Wakiso-24h'!F46,'27.07 Kampala-Wakiso-24h'!F46,'28.07 Kampala-wakiso'!F46)</f>
        <v>48.142857142857146</v>
      </c>
      <c r="G46" s="49">
        <f>AVERAGE('22.07 Kampala-Wakiso'!G46,'23.07 KAMPALA-WAKISO'!G46,'24.07 Kampala-Wakiso'!G46,'25.07 Kampala-Wakiso'!G46,'26.07 Kampala-Wakiso-24h'!G46,'27.07 Kampala-Wakiso-24h'!G46,'28.07 Kampala-wakiso'!G46)</f>
        <v>0.5714285714285714</v>
      </c>
      <c r="H46" s="49">
        <f>AVERAGE('22.07 Kampala-Wakiso'!H46,'23.07 KAMPALA-WAKISO'!H46,'24.07 Kampala-Wakiso'!H46,'25.07 Kampala-Wakiso'!H46,'26.07 Kampala-Wakiso-24h'!H46,'27.07 Kampala-Wakiso-24h'!H46,'28.07 Kampala-wakiso'!H46)</f>
        <v>0</v>
      </c>
      <c r="I46" s="49">
        <f>AVERAGE('22.07 Kampala-Wakiso'!I46,'23.07 KAMPALA-WAKISO'!I46,'24.07 Kampala-Wakiso'!I46,'25.07 Kampala-Wakiso'!I46,'26.07 Kampala-Wakiso-24h'!I46,'27.07 Kampala-Wakiso-24h'!I46,'28.07 Kampala-wakiso'!I46)</f>
        <v>11.857142857142858</v>
      </c>
      <c r="J46" s="49">
        <f>AVERAGE('22.07 Kampala-Wakiso'!J46,'23.07 KAMPALA-WAKISO'!J46,'24.07 Kampala-Wakiso'!J46,'25.07 Kampala-Wakiso'!J46,'26.07 Kampala-Wakiso-24h'!J46,'27.07 Kampala-Wakiso-24h'!J46,'28.07 Kampala-wakiso'!J46)</f>
        <v>5.5714285714285712</v>
      </c>
      <c r="K46" s="49">
        <f>AVERAGE('22.07 Kampala-Wakiso'!K46,'23.07 KAMPALA-WAKISO'!K46,'24.07 Kampala-Wakiso'!K46,'25.07 Kampala-Wakiso'!K46,'26.07 Kampala-Wakiso-24h'!K46,'27.07 Kampala-Wakiso-24h'!K46,'28.07 Kampala-wakiso'!K46)</f>
        <v>0.42857142857142855</v>
      </c>
      <c r="L46" s="49">
        <f>AVERAGE('22.07 Kampala-Wakiso'!L46,'23.07 KAMPALA-WAKISO'!L46,'24.07 Kampala-Wakiso'!L46,'25.07 Kampala-Wakiso'!L46,'26.07 Kampala-Wakiso-24h'!L46,'27.07 Kampala-Wakiso-24h'!L46,'28.07 Kampala-wakiso'!L46)</f>
        <v>0.7142857142857143</v>
      </c>
      <c r="M46" s="49">
        <f>AVERAGE('22.07 Kampala-Wakiso'!M46,'23.07 KAMPALA-WAKISO'!M46,'24.07 Kampala-Wakiso'!M46,'25.07 Kampala-Wakiso'!M46,'26.07 Kampala-Wakiso-24h'!M46,'27.07 Kampala-Wakiso-24h'!M46,'28.07 Kampala-wakiso'!M46)</f>
        <v>91.714285714285708</v>
      </c>
      <c r="N46" s="49">
        <f>AVERAGE('22.07 Kampala-Wakiso'!N46,'23.07 KAMPALA-WAKISO'!N46,'24.07 Kampala-Wakiso'!N46,'25.07 Kampala-Wakiso'!N46,'26.07 Kampala-Wakiso-24h'!N46,'27.07 Kampala-Wakiso-24h'!N46,'28.07 Kampala-wakiso'!N46)</f>
        <v>0</v>
      </c>
      <c r="O46" s="15">
        <f t="shared" si="0"/>
        <v>182.71428571428572</v>
      </c>
      <c r="P46" s="15">
        <f t="shared" si="1"/>
        <v>274.42857142857144</v>
      </c>
      <c r="R46" s="8"/>
      <c r="T46"/>
    </row>
    <row r="47" spans="2:32" ht="23.1" customHeight="1" x14ac:dyDescent="0.25">
      <c r="B47" s="24" t="s">
        <v>74</v>
      </c>
      <c r="C47" s="49">
        <f>AVERAGE('22.07 Kampala-Wakiso'!C47,'23.07 KAMPALA-WAKISO'!C47,'24.07 Kampala-Wakiso'!C47,'25.07 Kampala-Wakiso'!C47,'26.07 Kampala-Wakiso-24h'!C47,'27.07 Kampala-Wakiso-24h'!C47,'28.07 Kampala-wakiso'!C47)</f>
        <v>58.142857142857146</v>
      </c>
      <c r="D47" s="49">
        <f>AVERAGE('22.07 Kampala-Wakiso'!D47,'23.07 KAMPALA-WAKISO'!D47,'24.07 Kampala-Wakiso'!D47,'25.07 Kampala-Wakiso'!D47,'26.07 Kampala-Wakiso-24h'!D47,'27.07 Kampala-Wakiso-24h'!D47,'28.07 Kampala-wakiso'!D47)</f>
        <v>55.714285714285715</v>
      </c>
      <c r="E47" s="49">
        <f>AVERAGE('22.07 Kampala-Wakiso'!E47,'23.07 KAMPALA-WAKISO'!E47,'24.07 Kampala-Wakiso'!E47,'25.07 Kampala-Wakiso'!E47,'26.07 Kampala-Wakiso-24h'!E47,'27.07 Kampala-Wakiso-24h'!E47,'28.07 Kampala-wakiso'!E47)</f>
        <v>15</v>
      </c>
      <c r="F47" s="49">
        <f>AVERAGE('22.07 Kampala-Wakiso'!F47,'23.07 KAMPALA-WAKISO'!F47,'24.07 Kampala-Wakiso'!F47,'25.07 Kampala-Wakiso'!F47,'26.07 Kampala-Wakiso-24h'!F47,'27.07 Kampala-Wakiso-24h'!F47,'28.07 Kampala-wakiso'!F47)</f>
        <v>61.571428571428569</v>
      </c>
      <c r="G47" s="49">
        <f>AVERAGE('22.07 Kampala-Wakiso'!G47,'23.07 KAMPALA-WAKISO'!G47,'24.07 Kampala-Wakiso'!G47,'25.07 Kampala-Wakiso'!G47,'26.07 Kampala-Wakiso-24h'!G47,'27.07 Kampala-Wakiso-24h'!G47,'28.07 Kampala-wakiso'!G47)</f>
        <v>0.14285714285714285</v>
      </c>
      <c r="H47" s="49">
        <f>AVERAGE('22.07 Kampala-Wakiso'!H47,'23.07 KAMPALA-WAKISO'!H47,'24.07 Kampala-Wakiso'!H47,'25.07 Kampala-Wakiso'!H47,'26.07 Kampala-Wakiso-24h'!H47,'27.07 Kampala-Wakiso-24h'!H47,'28.07 Kampala-wakiso'!H47)</f>
        <v>0.2857142857142857</v>
      </c>
      <c r="I47" s="49">
        <f>AVERAGE('22.07 Kampala-Wakiso'!I47,'23.07 KAMPALA-WAKISO'!I47,'24.07 Kampala-Wakiso'!I47,'25.07 Kampala-Wakiso'!I47,'26.07 Kampala-Wakiso-24h'!I47,'27.07 Kampala-Wakiso-24h'!I47,'28.07 Kampala-wakiso'!I47)</f>
        <v>18</v>
      </c>
      <c r="J47" s="49">
        <f>AVERAGE('22.07 Kampala-Wakiso'!J47,'23.07 KAMPALA-WAKISO'!J47,'24.07 Kampala-Wakiso'!J47,'25.07 Kampala-Wakiso'!J47,'26.07 Kampala-Wakiso-24h'!J47,'27.07 Kampala-Wakiso-24h'!J47,'28.07 Kampala-wakiso'!J47)</f>
        <v>2</v>
      </c>
      <c r="K47" s="49">
        <f>AVERAGE('22.07 Kampala-Wakiso'!K47,'23.07 KAMPALA-WAKISO'!K47,'24.07 Kampala-Wakiso'!K47,'25.07 Kampala-Wakiso'!K47,'26.07 Kampala-Wakiso-24h'!K47,'27.07 Kampala-Wakiso-24h'!K47,'28.07 Kampala-wakiso'!K47)</f>
        <v>1.1428571428571428</v>
      </c>
      <c r="L47" s="49">
        <f>AVERAGE('22.07 Kampala-Wakiso'!L47,'23.07 KAMPALA-WAKISO'!L47,'24.07 Kampala-Wakiso'!L47,'25.07 Kampala-Wakiso'!L47,'26.07 Kampala-Wakiso-24h'!L47,'27.07 Kampala-Wakiso-24h'!L47,'28.07 Kampala-wakiso'!L47)</f>
        <v>0.7142857142857143</v>
      </c>
      <c r="M47" s="49">
        <f>AVERAGE('22.07 Kampala-Wakiso'!M47,'23.07 KAMPALA-WAKISO'!M47,'24.07 Kampala-Wakiso'!M47,'25.07 Kampala-Wakiso'!M47,'26.07 Kampala-Wakiso-24h'!M47,'27.07 Kampala-Wakiso-24h'!M47,'28.07 Kampala-wakiso'!M47)</f>
        <v>80.142857142857139</v>
      </c>
      <c r="N47" s="49">
        <f>AVERAGE('22.07 Kampala-Wakiso'!N47,'23.07 KAMPALA-WAKISO'!N47,'24.07 Kampala-Wakiso'!N47,'25.07 Kampala-Wakiso'!N47,'26.07 Kampala-Wakiso-24h'!N47,'27.07 Kampala-Wakiso-24h'!N47,'28.07 Kampala-wakiso'!N47)</f>
        <v>0</v>
      </c>
      <c r="O47" s="15">
        <f t="shared" si="0"/>
        <v>212.71428571428572</v>
      </c>
      <c r="P47" s="15">
        <f t="shared" si="1"/>
        <v>292.85714285714289</v>
      </c>
      <c r="R47" s="8"/>
      <c r="T47"/>
    </row>
    <row r="48" spans="2:32" ht="23.1" customHeight="1" x14ac:dyDescent="0.25">
      <c r="B48" s="24" t="s">
        <v>75</v>
      </c>
      <c r="C48" s="49">
        <f>AVERAGE('22.07 Kampala-Wakiso'!C48,'23.07 KAMPALA-WAKISO'!C48,'24.07 Kampala-Wakiso'!C48,'25.07 Kampala-Wakiso'!C48,'26.07 Kampala-Wakiso-24h'!C48,'27.07 Kampala-Wakiso-24h'!C48,'28.07 Kampala-wakiso'!C48)</f>
        <v>64</v>
      </c>
      <c r="D48" s="49">
        <f>AVERAGE('22.07 Kampala-Wakiso'!D48,'23.07 KAMPALA-WAKISO'!D48,'24.07 Kampala-Wakiso'!D48,'25.07 Kampala-Wakiso'!D48,'26.07 Kampala-Wakiso-24h'!D48,'27.07 Kampala-Wakiso-24h'!D48,'28.07 Kampala-wakiso'!D48)</f>
        <v>65.714285714285708</v>
      </c>
      <c r="E48" s="49">
        <f>AVERAGE('22.07 Kampala-Wakiso'!E48,'23.07 KAMPALA-WAKISO'!E48,'24.07 Kampala-Wakiso'!E48,'25.07 Kampala-Wakiso'!E48,'26.07 Kampala-Wakiso-24h'!E48,'27.07 Kampala-Wakiso-24h'!E48,'28.07 Kampala-wakiso'!E48)</f>
        <v>22.857142857142858</v>
      </c>
      <c r="F48" s="49">
        <f>AVERAGE('22.07 Kampala-Wakiso'!F48,'23.07 KAMPALA-WAKISO'!F48,'24.07 Kampala-Wakiso'!F48,'25.07 Kampala-Wakiso'!F48,'26.07 Kampala-Wakiso-24h'!F48,'27.07 Kampala-Wakiso-24h'!F48,'28.07 Kampala-wakiso'!F48)</f>
        <v>51.142857142857146</v>
      </c>
      <c r="G48" s="49">
        <f>AVERAGE('22.07 Kampala-Wakiso'!G48,'23.07 KAMPALA-WAKISO'!G48,'24.07 Kampala-Wakiso'!G48,'25.07 Kampala-Wakiso'!G48,'26.07 Kampala-Wakiso-24h'!G48,'27.07 Kampala-Wakiso-24h'!G48,'28.07 Kampala-wakiso'!G48)</f>
        <v>0.8571428571428571</v>
      </c>
      <c r="H48" s="49">
        <f>AVERAGE('22.07 Kampala-Wakiso'!H48,'23.07 KAMPALA-WAKISO'!H48,'24.07 Kampala-Wakiso'!H48,'25.07 Kampala-Wakiso'!H48,'26.07 Kampala-Wakiso-24h'!H48,'27.07 Kampala-Wakiso-24h'!H48,'28.07 Kampala-wakiso'!H48)</f>
        <v>1</v>
      </c>
      <c r="I48" s="49">
        <f>AVERAGE('22.07 Kampala-Wakiso'!I48,'23.07 KAMPALA-WAKISO'!I48,'24.07 Kampala-Wakiso'!I48,'25.07 Kampala-Wakiso'!I48,'26.07 Kampala-Wakiso-24h'!I48,'27.07 Kampala-Wakiso-24h'!I48,'28.07 Kampala-wakiso'!I48)</f>
        <v>16.428571428571427</v>
      </c>
      <c r="J48" s="49">
        <f>AVERAGE('22.07 Kampala-Wakiso'!J48,'23.07 KAMPALA-WAKISO'!J48,'24.07 Kampala-Wakiso'!J48,'25.07 Kampala-Wakiso'!J48,'26.07 Kampala-Wakiso-24h'!J48,'27.07 Kampala-Wakiso-24h'!J48,'28.07 Kampala-wakiso'!J48)</f>
        <v>11</v>
      </c>
      <c r="K48" s="49">
        <f>AVERAGE('22.07 Kampala-Wakiso'!K48,'23.07 KAMPALA-WAKISO'!K48,'24.07 Kampala-Wakiso'!K48,'25.07 Kampala-Wakiso'!K48,'26.07 Kampala-Wakiso-24h'!K48,'27.07 Kampala-Wakiso-24h'!K48,'28.07 Kampala-wakiso'!K48)</f>
        <v>0.5714285714285714</v>
      </c>
      <c r="L48" s="49">
        <f>AVERAGE('22.07 Kampala-Wakiso'!L48,'23.07 KAMPALA-WAKISO'!L48,'24.07 Kampala-Wakiso'!L48,'25.07 Kampala-Wakiso'!L48,'26.07 Kampala-Wakiso-24h'!L48,'27.07 Kampala-Wakiso-24h'!L48,'28.07 Kampala-wakiso'!L48)</f>
        <v>1.1428571428571428</v>
      </c>
      <c r="M48" s="49">
        <f>AVERAGE('22.07 Kampala-Wakiso'!M48,'23.07 KAMPALA-WAKISO'!M48,'24.07 Kampala-Wakiso'!M48,'25.07 Kampala-Wakiso'!M48,'26.07 Kampala-Wakiso-24h'!M48,'27.07 Kampala-Wakiso-24h'!M48,'28.07 Kampala-wakiso'!M48)</f>
        <v>80</v>
      </c>
      <c r="N48" s="49">
        <f>AVERAGE('22.07 Kampala-Wakiso'!N48,'23.07 KAMPALA-WAKISO'!N48,'24.07 Kampala-Wakiso'!N48,'25.07 Kampala-Wakiso'!N48,'26.07 Kampala-Wakiso-24h'!N48,'27.07 Kampala-Wakiso-24h'!N48,'28.07 Kampala-wakiso'!N48)</f>
        <v>0</v>
      </c>
      <c r="O48" s="15">
        <f t="shared" si="0"/>
        <v>234.71428571428572</v>
      </c>
      <c r="P48" s="15">
        <f t="shared" si="1"/>
        <v>314.71428571428572</v>
      </c>
      <c r="R48" s="8"/>
      <c r="T48"/>
    </row>
    <row r="49" spans="2:20" ht="23.1" customHeight="1" x14ac:dyDescent="0.25">
      <c r="B49" s="23" t="s">
        <v>76</v>
      </c>
      <c r="C49" s="49">
        <f>AVERAGE('22.07 Kampala-Wakiso'!C49,'23.07 KAMPALA-WAKISO'!C49,'24.07 Kampala-Wakiso'!C49,'25.07 Kampala-Wakiso'!C49,'26.07 Kampala-Wakiso-24h'!C49,'27.07 Kampala-Wakiso-24h'!C49,'28.07 Kampala-wakiso'!C49)</f>
        <v>65</v>
      </c>
      <c r="D49" s="49">
        <f>AVERAGE('22.07 Kampala-Wakiso'!D49,'23.07 KAMPALA-WAKISO'!D49,'24.07 Kampala-Wakiso'!D49,'25.07 Kampala-Wakiso'!D49,'26.07 Kampala-Wakiso-24h'!D49,'27.07 Kampala-Wakiso-24h'!D49,'28.07 Kampala-wakiso'!D49)</f>
        <v>64</v>
      </c>
      <c r="E49" s="49">
        <f>AVERAGE('22.07 Kampala-Wakiso'!E49,'23.07 KAMPALA-WAKISO'!E49,'24.07 Kampala-Wakiso'!E49,'25.07 Kampala-Wakiso'!E49,'26.07 Kampala-Wakiso-24h'!E49,'27.07 Kampala-Wakiso-24h'!E49,'28.07 Kampala-wakiso'!E49)</f>
        <v>10.571428571428571</v>
      </c>
      <c r="F49" s="49">
        <f>AVERAGE('22.07 Kampala-Wakiso'!F49,'23.07 KAMPALA-WAKISO'!F49,'24.07 Kampala-Wakiso'!F49,'25.07 Kampala-Wakiso'!F49,'26.07 Kampala-Wakiso-24h'!F49,'27.07 Kampala-Wakiso-24h'!F49,'28.07 Kampala-wakiso'!F49)</f>
        <v>45.142857142857146</v>
      </c>
      <c r="G49" s="49">
        <f>AVERAGE('22.07 Kampala-Wakiso'!G49,'23.07 KAMPALA-WAKISO'!G49,'24.07 Kampala-Wakiso'!G49,'25.07 Kampala-Wakiso'!G49,'26.07 Kampala-Wakiso-24h'!G49,'27.07 Kampala-Wakiso-24h'!G49,'28.07 Kampala-wakiso'!G49)</f>
        <v>0.42857142857142855</v>
      </c>
      <c r="H49" s="49">
        <f>AVERAGE('22.07 Kampala-Wakiso'!H49,'23.07 KAMPALA-WAKISO'!H49,'24.07 Kampala-Wakiso'!H49,'25.07 Kampala-Wakiso'!H49,'26.07 Kampala-Wakiso-24h'!H49,'27.07 Kampala-Wakiso-24h'!H49,'28.07 Kampala-wakiso'!H49)</f>
        <v>0.14285714285714285</v>
      </c>
      <c r="I49" s="49">
        <f>AVERAGE('22.07 Kampala-Wakiso'!I49,'23.07 KAMPALA-WAKISO'!I49,'24.07 Kampala-Wakiso'!I49,'25.07 Kampala-Wakiso'!I49,'26.07 Kampala-Wakiso-24h'!I49,'27.07 Kampala-Wakiso-24h'!I49,'28.07 Kampala-wakiso'!I49)</f>
        <v>10</v>
      </c>
      <c r="J49" s="49">
        <f>AVERAGE('22.07 Kampala-Wakiso'!J49,'23.07 KAMPALA-WAKISO'!J49,'24.07 Kampala-Wakiso'!J49,'25.07 Kampala-Wakiso'!J49,'26.07 Kampala-Wakiso-24h'!J49,'27.07 Kampala-Wakiso-24h'!J49,'28.07 Kampala-wakiso'!J49)</f>
        <v>4.2857142857142856</v>
      </c>
      <c r="K49" s="49">
        <f>AVERAGE('22.07 Kampala-Wakiso'!K49,'23.07 KAMPALA-WAKISO'!K49,'24.07 Kampala-Wakiso'!K49,'25.07 Kampala-Wakiso'!K49,'26.07 Kampala-Wakiso-24h'!K49,'27.07 Kampala-Wakiso-24h'!K49,'28.07 Kampala-wakiso'!K49)</f>
        <v>0.5714285714285714</v>
      </c>
      <c r="L49" s="49">
        <f>AVERAGE('22.07 Kampala-Wakiso'!L49,'23.07 KAMPALA-WAKISO'!L49,'24.07 Kampala-Wakiso'!L49,'25.07 Kampala-Wakiso'!L49,'26.07 Kampala-Wakiso-24h'!L49,'27.07 Kampala-Wakiso-24h'!L49,'28.07 Kampala-wakiso'!L49)</f>
        <v>1</v>
      </c>
      <c r="M49" s="49">
        <f>AVERAGE('22.07 Kampala-Wakiso'!M49,'23.07 KAMPALA-WAKISO'!M49,'24.07 Kampala-Wakiso'!M49,'25.07 Kampala-Wakiso'!M49,'26.07 Kampala-Wakiso-24h'!M49,'27.07 Kampala-Wakiso-24h'!M49,'28.07 Kampala-wakiso'!M49)</f>
        <v>87.857142857142861</v>
      </c>
      <c r="N49" s="49">
        <f>AVERAGE('22.07 Kampala-Wakiso'!N49,'23.07 KAMPALA-WAKISO'!N49,'24.07 Kampala-Wakiso'!N49,'25.07 Kampala-Wakiso'!N49,'26.07 Kampala-Wakiso-24h'!N49,'27.07 Kampala-Wakiso-24h'!N49,'28.07 Kampala-wakiso'!N49)</f>
        <v>0</v>
      </c>
      <c r="O49" s="15">
        <f t="shared" si="0"/>
        <v>201.14285714285714</v>
      </c>
      <c r="P49" s="15">
        <f t="shared" si="1"/>
        <v>289</v>
      </c>
      <c r="R49" s="8"/>
      <c r="T49"/>
    </row>
    <row r="50" spans="2:20" ht="23.1" customHeight="1" x14ac:dyDescent="0.25">
      <c r="B50" s="24" t="s">
        <v>77</v>
      </c>
      <c r="C50" s="49">
        <f>AVERAGE('22.07 Kampala-Wakiso'!C50,'23.07 KAMPALA-WAKISO'!C50,'24.07 Kampala-Wakiso'!C50,'25.07 Kampala-Wakiso'!C50,'26.07 Kampala-Wakiso-24h'!C50,'27.07 Kampala-Wakiso-24h'!C50,'28.07 Kampala-wakiso'!C50)</f>
        <v>61.714285714285715</v>
      </c>
      <c r="D50" s="49">
        <f>AVERAGE('22.07 Kampala-Wakiso'!D50,'23.07 KAMPALA-WAKISO'!D50,'24.07 Kampala-Wakiso'!D50,'25.07 Kampala-Wakiso'!D50,'26.07 Kampala-Wakiso-24h'!D50,'27.07 Kampala-Wakiso-24h'!D50,'28.07 Kampala-wakiso'!D50)</f>
        <v>50</v>
      </c>
      <c r="E50" s="49">
        <f>AVERAGE('22.07 Kampala-Wakiso'!E50,'23.07 KAMPALA-WAKISO'!E50,'24.07 Kampala-Wakiso'!E50,'25.07 Kampala-Wakiso'!E50,'26.07 Kampala-Wakiso-24h'!E50,'27.07 Kampala-Wakiso-24h'!E50,'28.07 Kampala-wakiso'!E50)</f>
        <v>11.857142857142858</v>
      </c>
      <c r="F50" s="49">
        <f>AVERAGE('22.07 Kampala-Wakiso'!F50,'23.07 KAMPALA-WAKISO'!F50,'24.07 Kampala-Wakiso'!F50,'25.07 Kampala-Wakiso'!F50,'26.07 Kampala-Wakiso-24h'!F50,'27.07 Kampala-Wakiso-24h'!F50,'28.07 Kampala-wakiso'!F50)</f>
        <v>54.428571428571431</v>
      </c>
      <c r="G50" s="49">
        <f>AVERAGE('22.07 Kampala-Wakiso'!G50,'23.07 KAMPALA-WAKISO'!G50,'24.07 Kampala-Wakiso'!G50,'25.07 Kampala-Wakiso'!G50,'26.07 Kampala-Wakiso-24h'!G50,'27.07 Kampala-Wakiso-24h'!G50,'28.07 Kampala-wakiso'!G50)</f>
        <v>1</v>
      </c>
      <c r="H50" s="49">
        <f>AVERAGE('22.07 Kampala-Wakiso'!H50,'23.07 KAMPALA-WAKISO'!H50,'24.07 Kampala-Wakiso'!H50,'25.07 Kampala-Wakiso'!H50,'26.07 Kampala-Wakiso-24h'!H50,'27.07 Kampala-Wakiso-24h'!H50,'28.07 Kampala-wakiso'!H50)</f>
        <v>0.42857142857142855</v>
      </c>
      <c r="I50" s="49">
        <f>AVERAGE('22.07 Kampala-Wakiso'!I50,'23.07 KAMPALA-WAKISO'!I50,'24.07 Kampala-Wakiso'!I50,'25.07 Kampala-Wakiso'!I50,'26.07 Kampala-Wakiso-24h'!I50,'27.07 Kampala-Wakiso-24h'!I50,'28.07 Kampala-wakiso'!I50)</f>
        <v>17.714285714285715</v>
      </c>
      <c r="J50" s="49">
        <f>AVERAGE('22.07 Kampala-Wakiso'!J50,'23.07 KAMPALA-WAKISO'!J50,'24.07 Kampala-Wakiso'!J50,'25.07 Kampala-Wakiso'!J50,'26.07 Kampala-Wakiso-24h'!J50,'27.07 Kampala-Wakiso-24h'!J50,'28.07 Kampala-wakiso'!J50)</f>
        <v>2.8571428571428572</v>
      </c>
      <c r="K50" s="49">
        <f>AVERAGE('22.07 Kampala-Wakiso'!K50,'23.07 KAMPALA-WAKISO'!K50,'24.07 Kampala-Wakiso'!K50,'25.07 Kampala-Wakiso'!K50,'26.07 Kampala-Wakiso-24h'!K50,'27.07 Kampala-Wakiso-24h'!K50,'28.07 Kampala-wakiso'!K50)</f>
        <v>0.42857142857142855</v>
      </c>
      <c r="L50" s="49">
        <f>AVERAGE('22.07 Kampala-Wakiso'!L50,'23.07 KAMPALA-WAKISO'!L50,'24.07 Kampala-Wakiso'!L50,'25.07 Kampala-Wakiso'!L50,'26.07 Kampala-Wakiso-24h'!L50,'27.07 Kampala-Wakiso-24h'!L50,'28.07 Kampala-wakiso'!L50)</f>
        <v>1.4285714285714286</v>
      </c>
      <c r="M50" s="49">
        <f>AVERAGE('22.07 Kampala-Wakiso'!M50,'23.07 KAMPALA-WAKISO'!M50,'24.07 Kampala-Wakiso'!M50,'25.07 Kampala-Wakiso'!M50,'26.07 Kampala-Wakiso-24h'!M50,'27.07 Kampala-Wakiso-24h'!M50,'28.07 Kampala-wakiso'!M50)</f>
        <v>87.857142857142861</v>
      </c>
      <c r="N50" s="49">
        <f>AVERAGE('22.07 Kampala-Wakiso'!N50,'23.07 KAMPALA-WAKISO'!N50,'24.07 Kampala-Wakiso'!N50,'25.07 Kampala-Wakiso'!N50,'26.07 Kampala-Wakiso-24h'!N50,'27.07 Kampala-Wakiso-24h'!N50,'28.07 Kampala-wakiso'!N50)</f>
        <v>0</v>
      </c>
      <c r="O50" s="15">
        <f t="shared" si="0"/>
        <v>201.85714285714283</v>
      </c>
      <c r="P50" s="15">
        <f t="shared" si="1"/>
        <v>289.71428571428567</v>
      </c>
      <c r="R50" s="8"/>
      <c r="T50"/>
    </row>
    <row r="51" spans="2:20" ht="23.1" customHeight="1" x14ac:dyDescent="0.25">
      <c r="B51" s="24" t="s">
        <v>78</v>
      </c>
      <c r="C51" s="49">
        <f>AVERAGE('22.07 Kampala-Wakiso'!C51,'23.07 KAMPALA-WAKISO'!C51,'24.07 Kampala-Wakiso'!C51,'25.07 Kampala-Wakiso'!C51,'26.07 Kampala-Wakiso-24h'!C51,'27.07 Kampala-Wakiso-24h'!C51,'28.07 Kampala-wakiso'!C51)</f>
        <v>63.142857142857146</v>
      </c>
      <c r="D51" s="49">
        <f>AVERAGE('22.07 Kampala-Wakiso'!D51,'23.07 KAMPALA-WAKISO'!D51,'24.07 Kampala-Wakiso'!D51,'25.07 Kampala-Wakiso'!D51,'26.07 Kampala-Wakiso-24h'!D51,'27.07 Kampala-Wakiso-24h'!D51,'28.07 Kampala-wakiso'!D51)</f>
        <v>57.571428571428569</v>
      </c>
      <c r="E51" s="49">
        <f>AVERAGE('22.07 Kampala-Wakiso'!E51,'23.07 KAMPALA-WAKISO'!E51,'24.07 Kampala-Wakiso'!E51,'25.07 Kampala-Wakiso'!E51,'26.07 Kampala-Wakiso-24h'!E51,'27.07 Kampala-Wakiso-24h'!E51,'28.07 Kampala-wakiso'!E51)</f>
        <v>6.8571428571428568</v>
      </c>
      <c r="F51" s="49">
        <f>AVERAGE('22.07 Kampala-Wakiso'!F51,'23.07 KAMPALA-WAKISO'!F51,'24.07 Kampala-Wakiso'!F51,'25.07 Kampala-Wakiso'!F51,'26.07 Kampala-Wakiso-24h'!F51,'27.07 Kampala-Wakiso-24h'!F51,'28.07 Kampala-wakiso'!F51)</f>
        <v>74.571428571428569</v>
      </c>
      <c r="G51" s="49">
        <f>AVERAGE('22.07 Kampala-Wakiso'!G51,'23.07 KAMPALA-WAKISO'!G51,'24.07 Kampala-Wakiso'!G51,'25.07 Kampala-Wakiso'!G51,'26.07 Kampala-Wakiso-24h'!G51,'27.07 Kampala-Wakiso-24h'!G51,'28.07 Kampala-wakiso'!G51)</f>
        <v>0.5714285714285714</v>
      </c>
      <c r="H51" s="49">
        <f>AVERAGE('22.07 Kampala-Wakiso'!H51,'23.07 KAMPALA-WAKISO'!H51,'24.07 Kampala-Wakiso'!H51,'25.07 Kampala-Wakiso'!H51,'26.07 Kampala-Wakiso-24h'!H51,'27.07 Kampala-Wakiso-24h'!H51,'28.07 Kampala-wakiso'!H51)</f>
        <v>0</v>
      </c>
      <c r="I51" s="49">
        <f>AVERAGE('22.07 Kampala-Wakiso'!I51,'23.07 KAMPALA-WAKISO'!I51,'24.07 Kampala-Wakiso'!I51,'25.07 Kampala-Wakiso'!I51,'26.07 Kampala-Wakiso-24h'!I51,'27.07 Kampala-Wakiso-24h'!I51,'28.07 Kampala-wakiso'!I51)</f>
        <v>9</v>
      </c>
      <c r="J51" s="49">
        <f>AVERAGE('22.07 Kampala-Wakiso'!J51,'23.07 KAMPALA-WAKISO'!J51,'24.07 Kampala-Wakiso'!J51,'25.07 Kampala-Wakiso'!J51,'26.07 Kampala-Wakiso-24h'!J51,'27.07 Kampala-Wakiso-24h'!J51,'28.07 Kampala-wakiso'!J51)</f>
        <v>2</v>
      </c>
      <c r="K51" s="49">
        <f>AVERAGE('22.07 Kampala-Wakiso'!K51,'23.07 KAMPALA-WAKISO'!K51,'24.07 Kampala-Wakiso'!K51,'25.07 Kampala-Wakiso'!K51,'26.07 Kampala-Wakiso-24h'!K51,'27.07 Kampala-Wakiso-24h'!K51,'28.07 Kampala-wakiso'!K51)</f>
        <v>0.7142857142857143</v>
      </c>
      <c r="L51" s="49">
        <f>AVERAGE('22.07 Kampala-Wakiso'!L51,'23.07 KAMPALA-WAKISO'!L51,'24.07 Kampala-Wakiso'!L51,'25.07 Kampala-Wakiso'!L51,'26.07 Kampala-Wakiso-24h'!L51,'27.07 Kampala-Wakiso-24h'!L51,'28.07 Kampala-wakiso'!L51)</f>
        <v>1.2857142857142858</v>
      </c>
      <c r="M51" s="49">
        <f>AVERAGE('22.07 Kampala-Wakiso'!M51,'23.07 KAMPALA-WAKISO'!M51,'24.07 Kampala-Wakiso'!M51,'25.07 Kampala-Wakiso'!M51,'26.07 Kampala-Wakiso-24h'!M51,'27.07 Kampala-Wakiso-24h'!M51,'28.07 Kampala-wakiso'!M51)</f>
        <v>114.28571428571429</v>
      </c>
      <c r="N51" s="49">
        <f>AVERAGE('22.07 Kampala-Wakiso'!N51,'23.07 KAMPALA-WAKISO'!N51,'24.07 Kampala-Wakiso'!N51,'25.07 Kampala-Wakiso'!N51,'26.07 Kampala-Wakiso-24h'!N51,'27.07 Kampala-Wakiso-24h'!N51,'28.07 Kampala-wakiso'!N51)</f>
        <v>0</v>
      </c>
      <c r="O51" s="15">
        <f t="shared" si="0"/>
        <v>215.71428571428575</v>
      </c>
      <c r="P51" s="15">
        <f t="shared" si="1"/>
        <v>330.00000000000006</v>
      </c>
      <c r="R51" s="8"/>
      <c r="T51"/>
    </row>
    <row r="52" spans="2:20" ht="23.1" customHeight="1" x14ac:dyDescent="0.25">
      <c r="B52" s="24" t="s">
        <v>79</v>
      </c>
      <c r="C52" s="49">
        <f>AVERAGE('22.07 Kampala-Wakiso'!C52,'23.07 KAMPALA-WAKISO'!C52,'24.07 Kampala-Wakiso'!C52,'25.07 Kampala-Wakiso'!C52,'26.07 Kampala-Wakiso-24h'!C52,'27.07 Kampala-Wakiso-24h'!C52,'28.07 Kampala-wakiso'!C52)</f>
        <v>76</v>
      </c>
      <c r="D52" s="49">
        <f>AVERAGE('22.07 Kampala-Wakiso'!D52,'23.07 KAMPALA-WAKISO'!D52,'24.07 Kampala-Wakiso'!D52,'25.07 Kampala-Wakiso'!D52,'26.07 Kampala-Wakiso-24h'!D52,'27.07 Kampala-Wakiso-24h'!D52,'28.07 Kampala-wakiso'!D52)</f>
        <v>68.857142857142861</v>
      </c>
      <c r="E52" s="49">
        <f>AVERAGE('22.07 Kampala-Wakiso'!E52,'23.07 KAMPALA-WAKISO'!E52,'24.07 Kampala-Wakiso'!E52,'25.07 Kampala-Wakiso'!E52,'26.07 Kampala-Wakiso-24h'!E52,'27.07 Kampala-Wakiso-24h'!E52,'28.07 Kampala-wakiso'!E52)</f>
        <v>8.2857142857142865</v>
      </c>
      <c r="F52" s="49">
        <f>AVERAGE('22.07 Kampala-Wakiso'!F52,'23.07 KAMPALA-WAKISO'!F52,'24.07 Kampala-Wakiso'!F52,'25.07 Kampala-Wakiso'!F52,'26.07 Kampala-Wakiso-24h'!F52,'27.07 Kampala-Wakiso-24h'!F52,'28.07 Kampala-wakiso'!F52)</f>
        <v>63.428571428571431</v>
      </c>
      <c r="G52" s="49">
        <f>AVERAGE('22.07 Kampala-Wakiso'!G52,'23.07 KAMPALA-WAKISO'!G52,'24.07 Kampala-Wakiso'!G52,'25.07 Kampala-Wakiso'!G52,'26.07 Kampala-Wakiso-24h'!G52,'27.07 Kampala-Wakiso-24h'!G52,'28.07 Kampala-wakiso'!G52)</f>
        <v>1.7142857142857142</v>
      </c>
      <c r="H52" s="49">
        <f>AVERAGE('22.07 Kampala-Wakiso'!H52,'23.07 KAMPALA-WAKISO'!H52,'24.07 Kampala-Wakiso'!H52,'25.07 Kampala-Wakiso'!H52,'26.07 Kampala-Wakiso-24h'!H52,'27.07 Kampala-Wakiso-24h'!H52,'28.07 Kampala-wakiso'!H52)</f>
        <v>0.14285714285714285</v>
      </c>
      <c r="I52" s="49">
        <f>AVERAGE('22.07 Kampala-Wakiso'!I52,'23.07 KAMPALA-WAKISO'!I52,'24.07 Kampala-Wakiso'!I52,'25.07 Kampala-Wakiso'!I52,'26.07 Kampala-Wakiso-24h'!I52,'27.07 Kampala-Wakiso-24h'!I52,'28.07 Kampala-wakiso'!I52)</f>
        <v>10.857142857142858</v>
      </c>
      <c r="J52" s="49">
        <f>AVERAGE('22.07 Kampala-Wakiso'!J52,'23.07 KAMPALA-WAKISO'!J52,'24.07 Kampala-Wakiso'!J52,'25.07 Kampala-Wakiso'!J52,'26.07 Kampala-Wakiso-24h'!J52,'27.07 Kampala-Wakiso-24h'!J52,'28.07 Kampala-wakiso'!J52)</f>
        <v>3.1428571428571428</v>
      </c>
      <c r="K52" s="49">
        <f>AVERAGE('22.07 Kampala-Wakiso'!K52,'23.07 KAMPALA-WAKISO'!K52,'24.07 Kampala-Wakiso'!K52,'25.07 Kampala-Wakiso'!K52,'26.07 Kampala-Wakiso-24h'!K52,'27.07 Kampala-Wakiso-24h'!K52,'28.07 Kampala-wakiso'!K52)</f>
        <v>3.5714285714285716</v>
      </c>
      <c r="L52" s="49">
        <f>AVERAGE('22.07 Kampala-Wakiso'!L52,'23.07 KAMPALA-WAKISO'!L52,'24.07 Kampala-Wakiso'!L52,'25.07 Kampala-Wakiso'!L52,'26.07 Kampala-Wakiso-24h'!L52,'27.07 Kampala-Wakiso-24h'!L52,'28.07 Kampala-wakiso'!L52)</f>
        <v>1</v>
      </c>
      <c r="M52" s="49">
        <f>AVERAGE('22.07 Kampala-Wakiso'!M52,'23.07 KAMPALA-WAKISO'!M52,'24.07 Kampala-Wakiso'!M52,'25.07 Kampala-Wakiso'!M52,'26.07 Kampala-Wakiso-24h'!M52,'27.07 Kampala-Wakiso-24h'!M52,'28.07 Kampala-wakiso'!M52)</f>
        <v>87.142857142857139</v>
      </c>
      <c r="N52" s="49">
        <f>AVERAGE('22.07 Kampala-Wakiso'!N52,'23.07 KAMPALA-WAKISO'!N52,'24.07 Kampala-Wakiso'!N52,'25.07 Kampala-Wakiso'!N52,'26.07 Kampala-Wakiso-24h'!N52,'27.07 Kampala-Wakiso-24h'!N52,'28.07 Kampala-wakiso'!N52)</f>
        <v>0</v>
      </c>
      <c r="O52" s="15">
        <f t="shared" si="0"/>
        <v>237</v>
      </c>
      <c r="P52" s="15">
        <f t="shared" si="1"/>
        <v>324.14285714285711</v>
      </c>
      <c r="R52" s="8"/>
      <c r="T52"/>
    </row>
    <row r="53" spans="2:20" ht="23.1" customHeight="1" x14ac:dyDescent="0.25">
      <c r="B53" s="23" t="s">
        <v>80</v>
      </c>
      <c r="C53" s="49">
        <f>AVERAGE('22.07 Kampala-Wakiso'!C53,'23.07 KAMPALA-WAKISO'!C53,'24.07 Kampala-Wakiso'!C53,'25.07 Kampala-Wakiso'!C53,'26.07 Kampala-Wakiso-24h'!C53,'27.07 Kampala-Wakiso-24h'!C53,'28.07 Kampala-wakiso'!C53)</f>
        <v>67.857142857142861</v>
      </c>
      <c r="D53" s="49">
        <f>AVERAGE('22.07 Kampala-Wakiso'!D53,'23.07 KAMPALA-WAKISO'!D53,'24.07 Kampala-Wakiso'!D53,'25.07 Kampala-Wakiso'!D53,'26.07 Kampala-Wakiso-24h'!D53,'27.07 Kampala-Wakiso-24h'!D53,'28.07 Kampala-wakiso'!D53)</f>
        <v>50</v>
      </c>
      <c r="E53" s="49">
        <f>AVERAGE('22.07 Kampala-Wakiso'!E53,'23.07 KAMPALA-WAKISO'!E53,'24.07 Kampala-Wakiso'!E53,'25.07 Kampala-Wakiso'!E53,'26.07 Kampala-Wakiso-24h'!E53,'27.07 Kampala-Wakiso-24h'!E53,'28.07 Kampala-wakiso'!E53)</f>
        <v>11.428571428571429</v>
      </c>
      <c r="F53" s="49">
        <f>AVERAGE('22.07 Kampala-Wakiso'!F53,'23.07 KAMPALA-WAKISO'!F53,'24.07 Kampala-Wakiso'!F53,'25.07 Kampala-Wakiso'!F53,'26.07 Kampala-Wakiso-24h'!F53,'27.07 Kampala-Wakiso-24h'!F53,'28.07 Kampala-wakiso'!F53)</f>
        <v>71.428571428571431</v>
      </c>
      <c r="G53" s="49">
        <f>AVERAGE('22.07 Kampala-Wakiso'!G53,'23.07 KAMPALA-WAKISO'!G53,'24.07 Kampala-Wakiso'!G53,'25.07 Kampala-Wakiso'!G53,'26.07 Kampala-Wakiso-24h'!G53,'27.07 Kampala-Wakiso-24h'!G53,'28.07 Kampala-wakiso'!G53)</f>
        <v>1.1428571428571428</v>
      </c>
      <c r="H53" s="49">
        <f>AVERAGE('22.07 Kampala-Wakiso'!H53,'23.07 KAMPALA-WAKISO'!H53,'24.07 Kampala-Wakiso'!H53,'25.07 Kampala-Wakiso'!H53,'26.07 Kampala-Wakiso-24h'!H53,'27.07 Kampala-Wakiso-24h'!H53,'28.07 Kampala-wakiso'!H53)</f>
        <v>0.14285714285714285</v>
      </c>
      <c r="I53" s="49">
        <f>AVERAGE('22.07 Kampala-Wakiso'!I53,'23.07 KAMPALA-WAKISO'!I53,'24.07 Kampala-Wakiso'!I53,'25.07 Kampala-Wakiso'!I53,'26.07 Kampala-Wakiso-24h'!I53,'27.07 Kampala-Wakiso-24h'!I53,'28.07 Kampala-wakiso'!I53)</f>
        <v>8.1428571428571423</v>
      </c>
      <c r="J53" s="49">
        <f>AVERAGE('22.07 Kampala-Wakiso'!J53,'23.07 KAMPALA-WAKISO'!J53,'24.07 Kampala-Wakiso'!J53,'25.07 Kampala-Wakiso'!J53,'26.07 Kampala-Wakiso-24h'!J53,'27.07 Kampala-Wakiso-24h'!J53,'28.07 Kampala-wakiso'!J53)</f>
        <v>4.1428571428571432</v>
      </c>
      <c r="K53" s="49">
        <f>AVERAGE('22.07 Kampala-Wakiso'!K53,'23.07 KAMPALA-WAKISO'!K53,'24.07 Kampala-Wakiso'!K53,'25.07 Kampala-Wakiso'!K53,'26.07 Kampala-Wakiso-24h'!K53,'27.07 Kampala-Wakiso-24h'!K53,'28.07 Kampala-wakiso'!K53)</f>
        <v>1.2857142857142858</v>
      </c>
      <c r="L53" s="49">
        <f>AVERAGE('22.07 Kampala-Wakiso'!L53,'23.07 KAMPALA-WAKISO'!L53,'24.07 Kampala-Wakiso'!L53,'25.07 Kampala-Wakiso'!L53,'26.07 Kampala-Wakiso-24h'!L53,'27.07 Kampala-Wakiso-24h'!L53,'28.07 Kampala-wakiso'!L53)</f>
        <v>1.5714285714285714</v>
      </c>
      <c r="M53" s="49">
        <f>AVERAGE('22.07 Kampala-Wakiso'!M53,'23.07 KAMPALA-WAKISO'!M53,'24.07 Kampala-Wakiso'!M53,'25.07 Kampala-Wakiso'!M53,'26.07 Kampala-Wakiso-24h'!M53,'27.07 Kampala-Wakiso-24h'!M53,'28.07 Kampala-wakiso'!M53)</f>
        <v>83.857142857142861</v>
      </c>
      <c r="N53" s="49">
        <f>AVERAGE('22.07 Kampala-Wakiso'!N53,'23.07 KAMPALA-WAKISO'!N53,'24.07 Kampala-Wakiso'!N53,'25.07 Kampala-Wakiso'!N53,'26.07 Kampala-Wakiso-24h'!N53,'27.07 Kampala-Wakiso-24h'!N53,'28.07 Kampala-wakiso'!N53)</f>
        <v>0</v>
      </c>
      <c r="O53" s="15">
        <f t="shared" si="0"/>
        <v>217.14285714285714</v>
      </c>
      <c r="P53" s="15">
        <f t="shared" si="1"/>
        <v>301</v>
      </c>
      <c r="R53" s="8"/>
      <c r="T53"/>
    </row>
    <row r="54" spans="2:20" ht="23.1" customHeight="1" x14ac:dyDescent="0.25">
      <c r="B54" s="23" t="s">
        <v>81</v>
      </c>
      <c r="C54" s="49">
        <f>AVERAGE('22.07 Kampala-Wakiso'!C54,'23.07 KAMPALA-WAKISO'!C54,'24.07 Kampala-Wakiso'!C54,'25.07 Kampala-Wakiso'!C54,'26.07 Kampala-Wakiso-24h'!C54,'27.07 Kampala-Wakiso-24h'!C54,'28.07 Kampala-wakiso'!C54)</f>
        <v>52.571428571428569</v>
      </c>
      <c r="D54" s="49">
        <f>AVERAGE('22.07 Kampala-Wakiso'!D54,'23.07 KAMPALA-WAKISO'!D54,'24.07 Kampala-Wakiso'!D54,'25.07 Kampala-Wakiso'!D54,'26.07 Kampala-Wakiso-24h'!D54,'27.07 Kampala-Wakiso-24h'!D54,'28.07 Kampala-wakiso'!D54)</f>
        <v>58.428571428571431</v>
      </c>
      <c r="E54" s="49">
        <f>AVERAGE('22.07 Kampala-Wakiso'!E54,'23.07 KAMPALA-WAKISO'!E54,'24.07 Kampala-Wakiso'!E54,'25.07 Kampala-Wakiso'!E54,'26.07 Kampala-Wakiso-24h'!E54,'27.07 Kampala-Wakiso-24h'!E54,'28.07 Kampala-wakiso'!E54)</f>
        <v>15</v>
      </c>
      <c r="F54" s="49">
        <f>AVERAGE('22.07 Kampala-Wakiso'!F54,'23.07 KAMPALA-WAKISO'!F54,'24.07 Kampala-Wakiso'!F54,'25.07 Kampala-Wakiso'!F54,'26.07 Kampala-Wakiso-24h'!F54,'27.07 Kampala-Wakiso-24h'!F54,'28.07 Kampala-wakiso'!F54)</f>
        <v>56</v>
      </c>
      <c r="G54" s="49">
        <f>AVERAGE('22.07 Kampala-Wakiso'!G54,'23.07 KAMPALA-WAKISO'!G54,'24.07 Kampala-Wakiso'!G54,'25.07 Kampala-Wakiso'!G54,'26.07 Kampala-Wakiso-24h'!G54,'27.07 Kampala-Wakiso-24h'!G54,'28.07 Kampala-wakiso'!G54)</f>
        <v>1.2857142857142858</v>
      </c>
      <c r="H54" s="49">
        <f>AVERAGE('22.07 Kampala-Wakiso'!H54,'23.07 KAMPALA-WAKISO'!H54,'24.07 Kampala-Wakiso'!H54,'25.07 Kampala-Wakiso'!H54,'26.07 Kampala-Wakiso-24h'!H54,'27.07 Kampala-Wakiso-24h'!H54,'28.07 Kampala-wakiso'!H54)</f>
        <v>0.42857142857142855</v>
      </c>
      <c r="I54" s="49">
        <f>AVERAGE('22.07 Kampala-Wakiso'!I54,'23.07 KAMPALA-WAKISO'!I54,'24.07 Kampala-Wakiso'!I54,'25.07 Kampala-Wakiso'!I54,'26.07 Kampala-Wakiso-24h'!I54,'27.07 Kampala-Wakiso-24h'!I54,'28.07 Kampala-wakiso'!I54)</f>
        <v>9.1428571428571423</v>
      </c>
      <c r="J54" s="49">
        <f>AVERAGE('22.07 Kampala-Wakiso'!J54,'23.07 KAMPALA-WAKISO'!J54,'24.07 Kampala-Wakiso'!J54,'25.07 Kampala-Wakiso'!J54,'26.07 Kampala-Wakiso-24h'!J54,'27.07 Kampala-Wakiso-24h'!J54,'28.07 Kampala-wakiso'!J54)</f>
        <v>4.5714285714285712</v>
      </c>
      <c r="K54" s="49">
        <f>AVERAGE('22.07 Kampala-Wakiso'!K54,'23.07 KAMPALA-WAKISO'!K54,'24.07 Kampala-Wakiso'!K54,'25.07 Kampala-Wakiso'!K54,'26.07 Kampala-Wakiso-24h'!K54,'27.07 Kampala-Wakiso-24h'!K54,'28.07 Kampala-wakiso'!K54)</f>
        <v>1.5714285714285714</v>
      </c>
      <c r="L54" s="49">
        <f>AVERAGE('22.07 Kampala-Wakiso'!L54,'23.07 KAMPALA-WAKISO'!L54,'24.07 Kampala-Wakiso'!L54,'25.07 Kampala-Wakiso'!L54,'26.07 Kampala-Wakiso-24h'!L54,'27.07 Kampala-Wakiso-24h'!L54,'28.07 Kampala-wakiso'!L54)</f>
        <v>0.5714285714285714</v>
      </c>
      <c r="M54" s="49">
        <f>AVERAGE('22.07 Kampala-Wakiso'!M54,'23.07 KAMPALA-WAKISO'!M54,'24.07 Kampala-Wakiso'!M54,'25.07 Kampala-Wakiso'!M54,'26.07 Kampala-Wakiso-24h'!M54,'27.07 Kampala-Wakiso-24h'!M54,'28.07 Kampala-wakiso'!M54)</f>
        <v>85.714285714285708</v>
      </c>
      <c r="N54" s="49">
        <f>AVERAGE('22.07 Kampala-Wakiso'!N54,'23.07 KAMPALA-WAKISO'!N54,'24.07 Kampala-Wakiso'!N54,'25.07 Kampala-Wakiso'!N54,'26.07 Kampala-Wakiso-24h'!N54,'27.07 Kampala-Wakiso-24h'!N54,'28.07 Kampala-wakiso'!N54)</f>
        <v>0</v>
      </c>
      <c r="O54" s="15">
        <f t="shared" si="0"/>
        <v>199.57142857142858</v>
      </c>
      <c r="P54" s="15">
        <f t="shared" si="1"/>
        <v>285.28571428571428</v>
      </c>
      <c r="R54" s="8"/>
      <c r="T54"/>
    </row>
    <row r="55" spans="2:20" ht="23.1" customHeight="1" x14ac:dyDescent="0.25">
      <c r="B55" s="23" t="s">
        <v>82</v>
      </c>
      <c r="C55" s="49">
        <f>AVERAGE('22.07 Kampala-Wakiso'!C55,'23.07 KAMPALA-WAKISO'!C55,'24.07 Kampala-Wakiso'!C55,'25.07 Kampala-Wakiso'!C55,'26.07 Kampala-Wakiso-24h'!C55,'27.07 Kampala-Wakiso-24h'!C55,'28.07 Kampala-wakiso'!C55)</f>
        <v>51.142857142857146</v>
      </c>
      <c r="D55" s="49">
        <f>AVERAGE('22.07 Kampala-Wakiso'!D55,'23.07 KAMPALA-WAKISO'!D55,'24.07 Kampala-Wakiso'!D55,'25.07 Kampala-Wakiso'!D55,'26.07 Kampala-Wakiso-24h'!D55,'27.07 Kampala-Wakiso-24h'!D55,'28.07 Kampala-wakiso'!D55)</f>
        <v>58</v>
      </c>
      <c r="E55" s="49">
        <f>AVERAGE('22.07 Kampala-Wakiso'!E55,'23.07 KAMPALA-WAKISO'!E55,'24.07 Kampala-Wakiso'!E55,'25.07 Kampala-Wakiso'!E55,'26.07 Kampala-Wakiso-24h'!E55,'27.07 Kampala-Wakiso-24h'!E55,'28.07 Kampala-wakiso'!E55)</f>
        <v>11</v>
      </c>
      <c r="F55" s="49">
        <f>AVERAGE('22.07 Kampala-Wakiso'!F55,'23.07 KAMPALA-WAKISO'!F55,'24.07 Kampala-Wakiso'!F55,'25.07 Kampala-Wakiso'!F55,'26.07 Kampala-Wakiso-24h'!F55,'27.07 Kampala-Wakiso-24h'!F55,'28.07 Kampala-wakiso'!F55)</f>
        <v>55.857142857142854</v>
      </c>
      <c r="G55" s="49">
        <f>AVERAGE('22.07 Kampala-Wakiso'!G55,'23.07 KAMPALA-WAKISO'!G55,'24.07 Kampala-Wakiso'!G55,'25.07 Kampala-Wakiso'!G55,'26.07 Kampala-Wakiso-24h'!G55,'27.07 Kampala-Wakiso-24h'!G55,'28.07 Kampala-wakiso'!G55)</f>
        <v>4.2857142857142856</v>
      </c>
      <c r="H55" s="49">
        <f>AVERAGE('22.07 Kampala-Wakiso'!H55,'23.07 KAMPALA-WAKISO'!H55,'24.07 Kampala-Wakiso'!H55,'25.07 Kampala-Wakiso'!H55,'26.07 Kampala-Wakiso-24h'!H55,'27.07 Kampala-Wakiso-24h'!H55,'28.07 Kampala-wakiso'!H55)</f>
        <v>0.2857142857142857</v>
      </c>
      <c r="I55" s="49">
        <f>AVERAGE('22.07 Kampala-Wakiso'!I55,'23.07 KAMPALA-WAKISO'!I55,'24.07 Kampala-Wakiso'!I55,'25.07 Kampala-Wakiso'!I55,'26.07 Kampala-Wakiso-24h'!I55,'27.07 Kampala-Wakiso-24h'!I55,'28.07 Kampala-wakiso'!I55)</f>
        <v>9.7142857142857135</v>
      </c>
      <c r="J55" s="49">
        <f>AVERAGE('22.07 Kampala-Wakiso'!J55,'23.07 KAMPALA-WAKISO'!J55,'24.07 Kampala-Wakiso'!J55,'25.07 Kampala-Wakiso'!J55,'26.07 Kampala-Wakiso-24h'!J55,'27.07 Kampala-Wakiso-24h'!J55,'28.07 Kampala-wakiso'!J55)</f>
        <v>3.5714285714285716</v>
      </c>
      <c r="K55" s="49">
        <f>AVERAGE('22.07 Kampala-Wakiso'!K55,'23.07 KAMPALA-WAKISO'!K55,'24.07 Kampala-Wakiso'!K55,'25.07 Kampala-Wakiso'!K55,'26.07 Kampala-Wakiso-24h'!K55,'27.07 Kampala-Wakiso-24h'!K55,'28.07 Kampala-wakiso'!K55)</f>
        <v>0.5714285714285714</v>
      </c>
      <c r="L55" s="49">
        <f>AVERAGE('22.07 Kampala-Wakiso'!L55,'23.07 KAMPALA-WAKISO'!L55,'24.07 Kampala-Wakiso'!L55,'25.07 Kampala-Wakiso'!L55,'26.07 Kampala-Wakiso-24h'!L55,'27.07 Kampala-Wakiso-24h'!L55,'28.07 Kampala-wakiso'!L55)</f>
        <v>0.5714285714285714</v>
      </c>
      <c r="M55" s="49">
        <f>AVERAGE('22.07 Kampala-Wakiso'!M55,'23.07 KAMPALA-WAKISO'!M55,'24.07 Kampala-Wakiso'!M55,'25.07 Kampala-Wakiso'!M55,'26.07 Kampala-Wakiso-24h'!M55,'27.07 Kampala-Wakiso-24h'!M55,'28.07 Kampala-wakiso'!M55)</f>
        <v>86</v>
      </c>
      <c r="N55" s="49">
        <f>AVERAGE('22.07 Kampala-Wakiso'!N55,'23.07 KAMPALA-WAKISO'!N55,'24.07 Kampala-Wakiso'!N55,'25.07 Kampala-Wakiso'!N55,'26.07 Kampala-Wakiso-24h'!N55,'27.07 Kampala-Wakiso-24h'!N55,'28.07 Kampala-wakiso'!N55)</f>
        <v>0</v>
      </c>
      <c r="O55" s="15">
        <f t="shared" si="0"/>
        <v>195.00000000000003</v>
      </c>
      <c r="P55" s="15">
        <f t="shared" si="1"/>
        <v>281</v>
      </c>
      <c r="R55" s="8"/>
      <c r="T55"/>
    </row>
    <row r="56" spans="2:20" ht="23.1" customHeight="1" x14ac:dyDescent="0.25">
      <c r="B56" s="23" t="s">
        <v>83</v>
      </c>
      <c r="C56" s="49">
        <f>AVERAGE('22.07 Kampala-Wakiso'!C56,'23.07 KAMPALA-WAKISO'!C56,'24.07 Kampala-Wakiso'!C56,'25.07 Kampala-Wakiso'!C56,'26.07 Kampala-Wakiso-24h'!C56,'27.07 Kampala-Wakiso-24h'!C56,'28.07 Kampala-wakiso'!C56)</f>
        <v>52.857142857142854</v>
      </c>
      <c r="D56" s="49">
        <f>AVERAGE('22.07 Kampala-Wakiso'!D56,'23.07 KAMPALA-WAKISO'!D56,'24.07 Kampala-Wakiso'!D56,'25.07 Kampala-Wakiso'!D56,'26.07 Kampala-Wakiso-24h'!D56,'27.07 Kampala-Wakiso-24h'!D56,'28.07 Kampala-wakiso'!D56)</f>
        <v>52.714285714285715</v>
      </c>
      <c r="E56" s="49">
        <f>AVERAGE('22.07 Kampala-Wakiso'!E56,'23.07 KAMPALA-WAKISO'!E56,'24.07 Kampala-Wakiso'!E56,'25.07 Kampala-Wakiso'!E56,'26.07 Kampala-Wakiso-24h'!E56,'27.07 Kampala-Wakiso-24h'!E56,'28.07 Kampala-wakiso'!E56)</f>
        <v>5.5714285714285712</v>
      </c>
      <c r="F56" s="49">
        <f>AVERAGE('22.07 Kampala-Wakiso'!F56,'23.07 KAMPALA-WAKISO'!F56,'24.07 Kampala-Wakiso'!F56,'25.07 Kampala-Wakiso'!F56,'26.07 Kampala-Wakiso-24h'!F56,'27.07 Kampala-Wakiso-24h'!F56,'28.07 Kampala-wakiso'!F56)</f>
        <v>47.571428571428569</v>
      </c>
      <c r="G56" s="49">
        <f>AVERAGE('22.07 Kampala-Wakiso'!G56,'23.07 KAMPALA-WAKISO'!G56,'24.07 Kampala-Wakiso'!G56,'25.07 Kampala-Wakiso'!G56,'26.07 Kampala-Wakiso-24h'!G56,'27.07 Kampala-Wakiso-24h'!G56,'28.07 Kampala-wakiso'!G56)</f>
        <v>0.8571428571428571</v>
      </c>
      <c r="H56" s="49">
        <f>AVERAGE('22.07 Kampala-Wakiso'!H56,'23.07 KAMPALA-WAKISO'!H56,'24.07 Kampala-Wakiso'!H56,'25.07 Kampala-Wakiso'!H56,'26.07 Kampala-Wakiso-24h'!H56,'27.07 Kampala-Wakiso-24h'!H56,'28.07 Kampala-wakiso'!H56)</f>
        <v>0.2857142857142857</v>
      </c>
      <c r="I56" s="49">
        <f>AVERAGE('22.07 Kampala-Wakiso'!I56,'23.07 KAMPALA-WAKISO'!I56,'24.07 Kampala-Wakiso'!I56,'25.07 Kampala-Wakiso'!I56,'26.07 Kampala-Wakiso-24h'!I56,'27.07 Kampala-Wakiso-24h'!I56,'28.07 Kampala-wakiso'!I56)</f>
        <v>9.5714285714285712</v>
      </c>
      <c r="J56" s="49">
        <f>AVERAGE('22.07 Kampala-Wakiso'!J56,'23.07 KAMPALA-WAKISO'!J56,'24.07 Kampala-Wakiso'!J56,'25.07 Kampala-Wakiso'!J56,'26.07 Kampala-Wakiso-24h'!J56,'27.07 Kampala-Wakiso-24h'!J56,'28.07 Kampala-wakiso'!J56)</f>
        <v>5.1428571428571432</v>
      </c>
      <c r="K56" s="49">
        <f>AVERAGE('22.07 Kampala-Wakiso'!K56,'23.07 KAMPALA-WAKISO'!K56,'24.07 Kampala-Wakiso'!K56,'25.07 Kampala-Wakiso'!K56,'26.07 Kampala-Wakiso-24h'!K56,'27.07 Kampala-Wakiso-24h'!K56,'28.07 Kampala-wakiso'!K56)</f>
        <v>2.1428571428571428</v>
      </c>
      <c r="L56" s="49">
        <f>AVERAGE('22.07 Kampala-Wakiso'!L56,'23.07 KAMPALA-WAKISO'!L56,'24.07 Kampala-Wakiso'!L56,'25.07 Kampala-Wakiso'!L56,'26.07 Kampala-Wakiso-24h'!L56,'27.07 Kampala-Wakiso-24h'!L56,'28.07 Kampala-wakiso'!L56)</f>
        <v>0.7142857142857143</v>
      </c>
      <c r="M56" s="49">
        <f>AVERAGE('22.07 Kampala-Wakiso'!M56,'23.07 KAMPALA-WAKISO'!M56,'24.07 Kampala-Wakiso'!M56,'25.07 Kampala-Wakiso'!M56,'26.07 Kampala-Wakiso-24h'!M56,'27.07 Kampala-Wakiso-24h'!M56,'28.07 Kampala-wakiso'!M56)</f>
        <v>78.285714285714292</v>
      </c>
      <c r="N56" s="49">
        <f>AVERAGE('22.07 Kampala-Wakiso'!N56,'23.07 KAMPALA-WAKISO'!N56,'24.07 Kampala-Wakiso'!N56,'25.07 Kampala-Wakiso'!N56,'26.07 Kampala-Wakiso-24h'!N56,'27.07 Kampala-Wakiso-24h'!N56,'28.07 Kampala-wakiso'!N56)</f>
        <v>0.2857142857142857</v>
      </c>
      <c r="O56" s="15">
        <f t="shared" si="0"/>
        <v>177.71428571428572</v>
      </c>
      <c r="P56" s="15">
        <f t="shared" si="1"/>
        <v>256</v>
      </c>
      <c r="R56" s="8"/>
      <c r="T56"/>
    </row>
    <row r="57" spans="2:20" ht="23.1" customHeight="1" x14ac:dyDescent="0.25">
      <c r="B57" s="23" t="s">
        <v>84</v>
      </c>
      <c r="C57" s="49">
        <f>AVERAGE('22.07 Kampala-Wakiso'!C57,'23.07 KAMPALA-WAKISO'!C57,'24.07 Kampala-Wakiso'!C57,'25.07 Kampala-Wakiso'!C57,'26.07 Kampala-Wakiso-24h'!C57,'27.07 Kampala-Wakiso-24h'!C57,'28.07 Kampala-wakiso'!C57)</f>
        <v>57.285714285714285</v>
      </c>
      <c r="D57" s="49">
        <f>AVERAGE('22.07 Kampala-Wakiso'!D57,'23.07 KAMPALA-WAKISO'!D57,'24.07 Kampala-Wakiso'!D57,'25.07 Kampala-Wakiso'!D57,'26.07 Kampala-Wakiso-24h'!D57,'27.07 Kampala-Wakiso-24h'!D57,'28.07 Kampala-wakiso'!D57)</f>
        <v>50.428571428571431</v>
      </c>
      <c r="E57" s="49">
        <f>AVERAGE('22.07 Kampala-Wakiso'!E57,'23.07 KAMPALA-WAKISO'!E57,'24.07 Kampala-Wakiso'!E57,'25.07 Kampala-Wakiso'!E57,'26.07 Kampala-Wakiso-24h'!E57,'27.07 Kampala-Wakiso-24h'!E57,'28.07 Kampala-wakiso'!E57)</f>
        <v>5.1428571428571432</v>
      </c>
      <c r="F57" s="49">
        <f>AVERAGE('22.07 Kampala-Wakiso'!F57,'23.07 KAMPALA-WAKISO'!F57,'24.07 Kampala-Wakiso'!F57,'25.07 Kampala-Wakiso'!F57,'26.07 Kampala-Wakiso-24h'!F57,'27.07 Kampala-Wakiso-24h'!F57,'28.07 Kampala-wakiso'!F57)</f>
        <v>53.142857142857146</v>
      </c>
      <c r="G57" s="49">
        <f>AVERAGE('22.07 Kampala-Wakiso'!G57,'23.07 KAMPALA-WAKISO'!G57,'24.07 Kampala-Wakiso'!G57,'25.07 Kampala-Wakiso'!G57,'26.07 Kampala-Wakiso-24h'!G57,'27.07 Kampala-Wakiso-24h'!G57,'28.07 Kampala-wakiso'!G57)</f>
        <v>1.2857142857142858</v>
      </c>
      <c r="H57" s="49">
        <f>AVERAGE('22.07 Kampala-Wakiso'!H57,'23.07 KAMPALA-WAKISO'!H57,'24.07 Kampala-Wakiso'!H57,'25.07 Kampala-Wakiso'!H57,'26.07 Kampala-Wakiso-24h'!H57,'27.07 Kampala-Wakiso-24h'!H57,'28.07 Kampala-wakiso'!H57)</f>
        <v>0.5714285714285714</v>
      </c>
      <c r="I57" s="49">
        <f>AVERAGE('22.07 Kampala-Wakiso'!I57,'23.07 KAMPALA-WAKISO'!I57,'24.07 Kampala-Wakiso'!I57,'25.07 Kampala-Wakiso'!I57,'26.07 Kampala-Wakiso-24h'!I57,'27.07 Kampala-Wakiso-24h'!I57,'28.07 Kampala-wakiso'!I57)</f>
        <v>6.8571428571428568</v>
      </c>
      <c r="J57" s="49">
        <f>AVERAGE('22.07 Kampala-Wakiso'!J57,'23.07 KAMPALA-WAKISO'!J57,'24.07 Kampala-Wakiso'!J57,'25.07 Kampala-Wakiso'!J57,'26.07 Kampala-Wakiso-24h'!J57,'27.07 Kampala-Wakiso-24h'!J57,'28.07 Kampala-wakiso'!J57)</f>
        <v>3.4285714285714284</v>
      </c>
      <c r="K57" s="49">
        <f>AVERAGE('22.07 Kampala-Wakiso'!K57,'23.07 KAMPALA-WAKISO'!K57,'24.07 Kampala-Wakiso'!K57,'25.07 Kampala-Wakiso'!K57,'26.07 Kampala-Wakiso-24h'!K57,'27.07 Kampala-Wakiso-24h'!K57,'28.07 Kampala-wakiso'!K57)</f>
        <v>1.5714285714285714</v>
      </c>
      <c r="L57" s="49">
        <f>AVERAGE('22.07 Kampala-Wakiso'!L57,'23.07 KAMPALA-WAKISO'!L57,'24.07 Kampala-Wakiso'!L57,'25.07 Kampala-Wakiso'!L57,'26.07 Kampala-Wakiso-24h'!L57,'27.07 Kampala-Wakiso-24h'!L57,'28.07 Kampala-wakiso'!L57)</f>
        <v>1.4285714285714286</v>
      </c>
      <c r="M57" s="49">
        <f>AVERAGE('22.07 Kampala-Wakiso'!M57,'23.07 KAMPALA-WAKISO'!M57,'24.07 Kampala-Wakiso'!M57,'25.07 Kampala-Wakiso'!M57,'26.07 Kampala-Wakiso-24h'!M57,'27.07 Kampala-Wakiso-24h'!M57,'28.07 Kampala-wakiso'!M57)</f>
        <v>88.285714285714292</v>
      </c>
      <c r="N57" s="49">
        <f>AVERAGE('22.07 Kampala-Wakiso'!N57,'23.07 KAMPALA-WAKISO'!N57,'24.07 Kampala-Wakiso'!N57,'25.07 Kampala-Wakiso'!N57,'26.07 Kampala-Wakiso-24h'!N57,'27.07 Kampala-Wakiso-24h'!N57,'28.07 Kampala-wakiso'!N57)</f>
        <v>0</v>
      </c>
      <c r="O57" s="15">
        <f t="shared" si="0"/>
        <v>181.14285714285714</v>
      </c>
      <c r="P57" s="15">
        <f t="shared" si="1"/>
        <v>269.42857142857144</v>
      </c>
      <c r="R57" s="8"/>
      <c r="T57"/>
    </row>
    <row r="58" spans="2:20" ht="23.1" customHeight="1" x14ac:dyDescent="0.25">
      <c r="B58" s="23" t="s">
        <v>99</v>
      </c>
      <c r="C58" s="49">
        <f>AVERAGE('26.07 Kampala-Wakiso-24h'!C58,'27.07 Kampala-Wakiso-24h'!C58)</f>
        <v>47.5</v>
      </c>
      <c r="D58" s="49">
        <f>AVERAGE('26.07 Kampala-Wakiso-24h'!D58,'27.07 Kampala-Wakiso-24h'!D58)</f>
        <v>50</v>
      </c>
      <c r="E58" s="49">
        <f>AVERAGE('26.07 Kampala-Wakiso-24h'!E58,'27.07 Kampala-Wakiso-24h'!E58)</f>
        <v>38</v>
      </c>
      <c r="F58" s="49">
        <f>AVERAGE('26.07 Kampala-Wakiso-24h'!F58,'27.07 Kampala-Wakiso-24h'!F58)</f>
        <v>29</v>
      </c>
      <c r="G58" s="49">
        <f>AVERAGE('26.07 Kampala-Wakiso-24h'!G58,'27.07 Kampala-Wakiso-24h'!G58)</f>
        <v>3</v>
      </c>
      <c r="H58" s="49">
        <f>AVERAGE('26.07 Kampala-Wakiso-24h'!H58,'27.07 Kampala-Wakiso-24h'!H58)</f>
        <v>1</v>
      </c>
      <c r="I58" s="49">
        <f>AVERAGE('26.07 Kampala-Wakiso-24h'!I58,'27.07 Kampala-Wakiso-24h'!I58)</f>
        <v>5.5</v>
      </c>
      <c r="J58" s="49">
        <f>AVERAGE('26.07 Kampala-Wakiso-24h'!J58,'27.07 Kampala-Wakiso-24h'!J58)</f>
        <v>0.5</v>
      </c>
      <c r="K58" s="49">
        <f>AVERAGE('26.07 Kampala-Wakiso-24h'!K58,'27.07 Kampala-Wakiso-24h'!K58)</f>
        <v>1</v>
      </c>
      <c r="L58" s="49">
        <f>AVERAGE('26.07 Kampala-Wakiso-24h'!L58,'27.07 Kampala-Wakiso-24h'!L58)</f>
        <v>0</v>
      </c>
      <c r="M58" s="49">
        <f>AVERAGE('26.07 Kampala-Wakiso-24h'!M58,'27.07 Kampala-Wakiso-24h'!M58)</f>
        <v>72.5</v>
      </c>
      <c r="N58" s="49">
        <f>AVERAGE('26.07 Kampala-Wakiso-24h'!N58,'27.07 Kampala-Wakiso-24h'!N58)</f>
        <v>0</v>
      </c>
      <c r="O58" s="15">
        <f t="shared" si="0"/>
        <v>175.5</v>
      </c>
      <c r="P58" s="15">
        <f t="shared" si="1"/>
        <v>248</v>
      </c>
      <c r="R58" s="8"/>
      <c r="T58"/>
    </row>
    <row r="59" spans="2:20" ht="23.1" customHeight="1" x14ac:dyDescent="0.25">
      <c r="B59" s="23" t="s">
        <v>100</v>
      </c>
      <c r="C59" s="49">
        <f>AVERAGE('26.07 Kampala-Wakiso-24h'!C59,'27.07 Kampala-Wakiso-24h'!C59)</f>
        <v>40.5</v>
      </c>
      <c r="D59" s="49">
        <f>AVERAGE('26.07 Kampala-Wakiso-24h'!D59,'27.07 Kampala-Wakiso-24h'!D59)</f>
        <v>42.5</v>
      </c>
      <c r="E59" s="49">
        <f>AVERAGE('26.07 Kampala-Wakiso-24h'!E59,'27.07 Kampala-Wakiso-24h'!E59)</f>
        <v>36.5</v>
      </c>
      <c r="F59" s="49">
        <f>AVERAGE('26.07 Kampala-Wakiso-24h'!F59,'27.07 Kampala-Wakiso-24h'!F59)</f>
        <v>27.5</v>
      </c>
      <c r="G59" s="49">
        <f>AVERAGE('26.07 Kampala-Wakiso-24h'!G59,'27.07 Kampala-Wakiso-24h'!G59)</f>
        <v>2</v>
      </c>
      <c r="H59" s="49">
        <f>AVERAGE('26.07 Kampala-Wakiso-24h'!H59,'27.07 Kampala-Wakiso-24h'!H59)</f>
        <v>0.5</v>
      </c>
      <c r="I59" s="49">
        <f>AVERAGE('26.07 Kampala-Wakiso-24h'!I59,'27.07 Kampala-Wakiso-24h'!I59)</f>
        <v>2.5</v>
      </c>
      <c r="J59" s="49">
        <f>AVERAGE('26.07 Kampala-Wakiso-24h'!J59,'27.07 Kampala-Wakiso-24h'!J59)</f>
        <v>1</v>
      </c>
      <c r="K59" s="49">
        <f>AVERAGE('26.07 Kampala-Wakiso-24h'!K59,'27.07 Kampala-Wakiso-24h'!K59)</f>
        <v>0</v>
      </c>
      <c r="L59" s="49">
        <f>AVERAGE('26.07 Kampala-Wakiso-24h'!L59,'27.07 Kampala-Wakiso-24h'!L59)</f>
        <v>0.5</v>
      </c>
      <c r="M59" s="49">
        <f>AVERAGE('26.07 Kampala-Wakiso-24h'!M59,'27.07 Kampala-Wakiso-24h'!M59)</f>
        <v>75</v>
      </c>
      <c r="N59" s="49">
        <f>AVERAGE('26.07 Kampala-Wakiso-24h'!N59,'27.07 Kampala-Wakiso-24h'!N59)</f>
        <v>0</v>
      </c>
      <c r="O59" s="15">
        <f t="shared" si="0"/>
        <v>153.5</v>
      </c>
      <c r="P59" s="15">
        <f t="shared" si="1"/>
        <v>228.5</v>
      </c>
      <c r="R59" s="8"/>
      <c r="T59"/>
    </row>
    <row r="60" spans="2:20" ht="23.1" customHeight="1" x14ac:dyDescent="0.25">
      <c r="B60" s="23" t="s">
        <v>101</v>
      </c>
      <c r="C60" s="49">
        <f>AVERAGE('26.07 Kampala-Wakiso-24h'!C60,'27.07 Kampala-Wakiso-24h'!C60)</f>
        <v>37.5</v>
      </c>
      <c r="D60" s="49">
        <f>AVERAGE('26.07 Kampala-Wakiso-24h'!D60,'27.07 Kampala-Wakiso-24h'!D60)</f>
        <v>45</v>
      </c>
      <c r="E60" s="49">
        <f>AVERAGE('26.07 Kampala-Wakiso-24h'!E60,'27.07 Kampala-Wakiso-24h'!E60)</f>
        <v>6</v>
      </c>
      <c r="F60" s="49">
        <f>AVERAGE('26.07 Kampala-Wakiso-24h'!F60,'27.07 Kampala-Wakiso-24h'!F60)</f>
        <v>55</v>
      </c>
      <c r="G60" s="49">
        <f>AVERAGE('26.07 Kampala-Wakiso-24h'!G60,'27.07 Kampala-Wakiso-24h'!G60)</f>
        <v>1</v>
      </c>
      <c r="H60" s="49">
        <f>AVERAGE('26.07 Kampala-Wakiso-24h'!H60,'27.07 Kampala-Wakiso-24h'!H60)</f>
        <v>0</v>
      </c>
      <c r="I60" s="49">
        <f>AVERAGE('26.07 Kampala-Wakiso-24h'!I60,'27.07 Kampala-Wakiso-24h'!I60)</f>
        <v>2.5</v>
      </c>
      <c r="J60" s="49">
        <f>AVERAGE('26.07 Kampala-Wakiso-24h'!J60,'27.07 Kampala-Wakiso-24h'!J60)</f>
        <v>0</v>
      </c>
      <c r="K60" s="49">
        <f>AVERAGE('26.07 Kampala-Wakiso-24h'!K60,'27.07 Kampala-Wakiso-24h'!K60)</f>
        <v>0</v>
      </c>
      <c r="L60" s="49">
        <f>AVERAGE('26.07 Kampala-Wakiso-24h'!L60,'27.07 Kampala-Wakiso-24h'!L60)</f>
        <v>3</v>
      </c>
      <c r="M60" s="49">
        <f>AVERAGE('26.07 Kampala-Wakiso-24h'!M60,'27.07 Kampala-Wakiso-24h'!M60)</f>
        <v>52.5</v>
      </c>
      <c r="N60" s="49">
        <f>AVERAGE('26.07 Kampala-Wakiso-24h'!N60,'27.07 Kampala-Wakiso-24h'!N60)</f>
        <v>0</v>
      </c>
      <c r="O60" s="15">
        <f t="shared" si="0"/>
        <v>150</v>
      </c>
      <c r="P60" s="15">
        <f t="shared" si="1"/>
        <v>202.5</v>
      </c>
      <c r="R60" s="8"/>
      <c r="T60"/>
    </row>
    <row r="61" spans="2:20" ht="23.1" customHeight="1" x14ac:dyDescent="0.25">
      <c r="B61" s="23" t="s">
        <v>102</v>
      </c>
      <c r="C61" s="49">
        <f>AVERAGE('26.07 Kampala-Wakiso-24h'!C61,'27.07 Kampala-Wakiso-24h'!C61)</f>
        <v>52.5</v>
      </c>
      <c r="D61" s="49">
        <f>AVERAGE('26.07 Kampala-Wakiso-24h'!D61,'27.07 Kampala-Wakiso-24h'!D61)</f>
        <v>45</v>
      </c>
      <c r="E61" s="49">
        <f>AVERAGE('26.07 Kampala-Wakiso-24h'!E61,'27.07 Kampala-Wakiso-24h'!E61)</f>
        <v>3.5</v>
      </c>
      <c r="F61" s="49">
        <f>AVERAGE('26.07 Kampala-Wakiso-24h'!F61,'27.07 Kampala-Wakiso-24h'!F61)</f>
        <v>50</v>
      </c>
      <c r="G61" s="49">
        <f>AVERAGE('26.07 Kampala-Wakiso-24h'!G61,'27.07 Kampala-Wakiso-24h'!G61)</f>
        <v>0</v>
      </c>
      <c r="H61" s="49">
        <f>AVERAGE('26.07 Kampala-Wakiso-24h'!H61,'27.07 Kampala-Wakiso-24h'!H61)</f>
        <v>1.5</v>
      </c>
      <c r="I61" s="49">
        <f>AVERAGE('26.07 Kampala-Wakiso-24h'!I61,'27.07 Kampala-Wakiso-24h'!I61)</f>
        <v>3</v>
      </c>
      <c r="J61" s="49">
        <f>AVERAGE('26.07 Kampala-Wakiso-24h'!J61,'27.07 Kampala-Wakiso-24h'!J61)</f>
        <v>0</v>
      </c>
      <c r="K61" s="49">
        <f>AVERAGE('26.07 Kampala-Wakiso-24h'!K61,'27.07 Kampala-Wakiso-24h'!K61)</f>
        <v>0</v>
      </c>
      <c r="L61" s="49">
        <f>AVERAGE('26.07 Kampala-Wakiso-24h'!L61,'27.07 Kampala-Wakiso-24h'!L61)</f>
        <v>0</v>
      </c>
      <c r="M61" s="49">
        <f>AVERAGE('26.07 Kampala-Wakiso-24h'!M61,'27.07 Kampala-Wakiso-24h'!M61)</f>
        <v>80</v>
      </c>
      <c r="N61" s="49">
        <f>AVERAGE('26.07 Kampala-Wakiso-24h'!N61,'27.07 Kampala-Wakiso-24h'!N61)</f>
        <v>0</v>
      </c>
      <c r="O61" s="15">
        <f t="shared" si="0"/>
        <v>155.5</v>
      </c>
      <c r="P61" s="15">
        <f t="shared" si="1"/>
        <v>235.5</v>
      </c>
      <c r="R61" s="8"/>
      <c r="T61"/>
    </row>
    <row r="62" spans="2:20" ht="23.1" customHeight="1" x14ac:dyDescent="0.25">
      <c r="B62" s="23" t="s">
        <v>107</v>
      </c>
      <c r="C62" s="49">
        <f>AVERAGE('26.07 Kampala-Wakiso-24h'!C62,'27.07 Kampala-Wakiso-24h'!C62)</f>
        <v>52.5</v>
      </c>
      <c r="D62" s="49">
        <f>AVERAGE('26.07 Kampala-Wakiso-24h'!D62,'27.07 Kampala-Wakiso-24h'!D62)</f>
        <v>62.5</v>
      </c>
      <c r="E62" s="49">
        <f>AVERAGE('26.07 Kampala-Wakiso-24h'!E62,'27.07 Kampala-Wakiso-24h'!E62)</f>
        <v>8.5</v>
      </c>
      <c r="F62" s="49">
        <f>AVERAGE('26.07 Kampala-Wakiso-24h'!F62,'27.07 Kampala-Wakiso-24h'!F62)</f>
        <v>60</v>
      </c>
      <c r="G62" s="49">
        <f>AVERAGE('26.07 Kampala-Wakiso-24h'!G62,'27.07 Kampala-Wakiso-24h'!G62)</f>
        <v>1</v>
      </c>
      <c r="H62" s="49">
        <f>AVERAGE('26.07 Kampala-Wakiso-24h'!H62,'27.07 Kampala-Wakiso-24h'!H62)</f>
        <v>2.5</v>
      </c>
      <c r="I62" s="49">
        <f>AVERAGE('26.07 Kampala-Wakiso-24h'!I62,'27.07 Kampala-Wakiso-24h'!I62)</f>
        <v>5</v>
      </c>
      <c r="J62" s="49">
        <f>AVERAGE('26.07 Kampala-Wakiso-24h'!J62,'27.07 Kampala-Wakiso-24h'!J62)</f>
        <v>1</v>
      </c>
      <c r="K62" s="49">
        <f>AVERAGE('26.07 Kampala-Wakiso-24h'!K62,'27.07 Kampala-Wakiso-24h'!K62)</f>
        <v>0</v>
      </c>
      <c r="L62" s="49">
        <f>AVERAGE('26.07 Kampala-Wakiso-24h'!L62,'27.07 Kampala-Wakiso-24h'!L62)</f>
        <v>0</v>
      </c>
      <c r="M62" s="49">
        <f>AVERAGE('26.07 Kampala-Wakiso-24h'!M62,'27.07 Kampala-Wakiso-24h'!M62)</f>
        <v>85</v>
      </c>
      <c r="N62" s="49">
        <f>AVERAGE('26.07 Kampala-Wakiso-24h'!N62,'27.07 Kampala-Wakiso-24h'!N62)</f>
        <v>0</v>
      </c>
      <c r="O62" s="15">
        <f t="shared" si="0"/>
        <v>193</v>
      </c>
      <c r="P62" s="15">
        <f t="shared" si="1"/>
        <v>278</v>
      </c>
      <c r="R62" s="8"/>
      <c r="T62"/>
    </row>
    <row r="63" spans="2:20" ht="23.1" customHeight="1" x14ac:dyDescent="0.25">
      <c r="B63" s="23" t="s">
        <v>108</v>
      </c>
      <c r="C63" s="49">
        <f>AVERAGE('26.07 Kampala-Wakiso-24h'!C63,'27.07 Kampala-Wakiso-24h'!C63)</f>
        <v>70</v>
      </c>
      <c r="D63" s="49">
        <f>AVERAGE('26.07 Kampala-Wakiso-24h'!D63,'27.07 Kampala-Wakiso-24h'!D63)</f>
        <v>67.5</v>
      </c>
      <c r="E63" s="49">
        <f>AVERAGE('26.07 Kampala-Wakiso-24h'!E63,'27.07 Kampala-Wakiso-24h'!E63)</f>
        <v>8</v>
      </c>
      <c r="F63" s="49">
        <f>AVERAGE('26.07 Kampala-Wakiso-24h'!F63,'27.07 Kampala-Wakiso-24h'!F63)</f>
        <v>67.5</v>
      </c>
      <c r="G63" s="49">
        <f>AVERAGE('26.07 Kampala-Wakiso-24h'!G63,'27.07 Kampala-Wakiso-24h'!G63)</f>
        <v>3.5</v>
      </c>
      <c r="H63" s="49">
        <f>AVERAGE('26.07 Kampala-Wakiso-24h'!H63,'27.07 Kampala-Wakiso-24h'!H63)</f>
        <v>0.5</v>
      </c>
      <c r="I63" s="49">
        <f>AVERAGE('26.07 Kampala-Wakiso-24h'!I63,'27.07 Kampala-Wakiso-24h'!I63)</f>
        <v>15</v>
      </c>
      <c r="J63" s="49">
        <f>AVERAGE('26.07 Kampala-Wakiso-24h'!J63,'27.07 Kampala-Wakiso-24h'!J63)</f>
        <v>0.5</v>
      </c>
      <c r="K63" s="49">
        <f>AVERAGE('26.07 Kampala-Wakiso-24h'!K63,'27.07 Kampala-Wakiso-24h'!K63)</f>
        <v>0</v>
      </c>
      <c r="L63" s="49">
        <f>AVERAGE('26.07 Kampala-Wakiso-24h'!L63,'27.07 Kampala-Wakiso-24h'!L63)</f>
        <v>0.5</v>
      </c>
      <c r="M63" s="49">
        <f>AVERAGE('26.07 Kampala-Wakiso-24h'!M63,'27.07 Kampala-Wakiso-24h'!M63)</f>
        <v>87.5</v>
      </c>
      <c r="N63" s="49">
        <f>AVERAGE('26.07 Kampala-Wakiso-24h'!N63,'27.07 Kampala-Wakiso-24h'!N63)</f>
        <v>0</v>
      </c>
      <c r="O63" s="15">
        <f t="shared" si="0"/>
        <v>233</v>
      </c>
      <c r="P63" s="15">
        <f t="shared" si="1"/>
        <v>320.5</v>
      </c>
      <c r="R63" s="8"/>
      <c r="T63"/>
    </row>
    <row r="64" spans="2:20" ht="23.1" customHeight="1" x14ac:dyDescent="0.25">
      <c r="B64" s="23" t="s">
        <v>109</v>
      </c>
      <c r="C64" s="49">
        <f>AVERAGE('26.07 Kampala-Wakiso-24h'!C64,'27.07 Kampala-Wakiso-24h'!C64)</f>
        <v>70</v>
      </c>
      <c r="D64" s="49">
        <f>AVERAGE('26.07 Kampala-Wakiso-24h'!D64,'27.07 Kampala-Wakiso-24h'!D64)</f>
        <v>75</v>
      </c>
      <c r="E64" s="49">
        <f>AVERAGE('26.07 Kampala-Wakiso-24h'!E64,'27.07 Kampala-Wakiso-24h'!E64)</f>
        <v>14.5</v>
      </c>
      <c r="F64" s="49">
        <f>AVERAGE('26.07 Kampala-Wakiso-24h'!F64,'27.07 Kampala-Wakiso-24h'!F64)</f>
        <v>44</v>
      </c>
      <c r="G64" s="49">
        <f>AVERAGE('26.07 Kampala-Wakiso-24h'!G64,'27.07 Kampala-Wakiso-24h'!G64)</f>
        <v>3</v>
      </c>
      <c r="H64" s="49">
        <f>AVERAGE('26.07 Kampala-Wakiso-24h'!H64,'27.07 Kampala-Wakiso-24h'!H64)</f>
        <v>3</v>
      </c>
      <c r="I64" s="49">
        <f>AVERAGE('26.07 Kampala-Wakiso-24h'!I64,'27.07 Kampala-Wakiso-24h'!I64)</f>
        <v>0</v>
      </c>
      <c r="J64" s="49">
        <f>AVERAGE('26.07 Kampala-Wakiso-24h'!J64,'27.07 Kampala-Wakiso-24h'!J64)</f>
        <v>0</v>
      </c>
      <c r="K64" s="49">
        <f>AVERAGE('26.07 Kampala-Wakiso-24h'!K64,'27.07 Kampala-Wakiso-24h'!K64)</f>
        <v>0</v>
      </c>
      <c r="L64" s="49">
        <f>AVERAGE('26.07 Kampala-Wakiso-24h'!L64,'27.07 Kampala-Wakiso-24h'!L64)</f>
        <v>0.5</v>
      </c>
      <c r="M64" s="49">
        <f>AVERAGE('26.07 Kampala-Wakiso-24h'!M64,'27.07 Kampala-Wakiso-24h'!M64)</f>
        <v>97.5</v>
      </c>
      <c r="N64" s="49">
        <f>AVERAGE('26.07 Kampala-Wakiso-24h'!N64,'27.07 Kampala-Wakiso-24h'!N64)</f>
        <v>0</v>
      </c>
      <c r="O64" s="15">
        <f t="shared" si="0"/>
        <v>210</v>
      </c>
      <c r="P64" s="15">
        <f t="shared" si="1"/>
        <v>307.5</v>
      </c>
      <c r="R64" s="8"/>
      <c r="T64"/>
    </row>
    <row r="65" spans="2:20" ht="23.1" customHeight="1" x14ac:dyDescent="0.25">
      <c r="B65" s="23" t="s">
        <v>158</v>
      </c>
      <c r="C65" s="49">
        <f>AVERAGE('26.07 Kampala-Wakiso-24h'!C65,'27.07 Kampala-Wakiso-24h'!C65)</f>
        <v>68.5</v>
      </c>
      <c r="D65" s="49">
        <f>AVERAGE('26.07 Kampala-Wakiso-24h'!D65,'27.07 Kampala-Wakiso-24h'!D65)</f>
        <v>75</v>
      </c>
      <c r="E65" s="49">
        <f>AVERAGE('26.07 Kampala-Wakiso-24h'!E65,'27.07 Kampala-Wakiso-24h'!E65)</f>
        <v>6.5</v>
      </c>
      <c r="F65" s="49">
        <f>AVERAGE('26.07 Kampala-Wakiso-24h'!F65,'27.07 Kampala-Wakiso-24h'!F65)</f>
        <v>85</v>
      </c>
      <c r="G65" s="49">
        <f>AVERAGE('26.07 Kampala-Wakiso-24h'!G65,'27.07 Kampala-Wakiso-24h'!G65)</f>
        <v>1</v>
      </c>
      <c r="H65" s="49">
        <f>AVERAGE('26.07 Kampala-Wakiso-24h'!H65,'27.07 Kampala-Wakiso-24h'!H65)</f>
        <v>1</v>
      </c>
      <c r="I65" s="49">
        <f>AVERAGE('26.07 Kampala-Wakiso-24h'!I65,'27.07 Kampala-Wakiso-24h'!I65)</f>
        <v>7.5</v>
      </c>
      <c r="J65" s="49">
        <f>AVERAGE('26.07 Kampala-Wakiso-24h'!J65,'27.07 Kampala-Wakiso-24h'!J65)</f>
        <v>0</v>
      </c>
      <c r="K65" s="49">
        <f>AVERAGE('26.07 Kampala-Wakiso-24h'!K65,'27.07 Kampala-Wakiso-24h'!K65)</f>
        <v>0</v>
      </c>
      <c r="L65" s="49">
        <f>AVERAGE('26.07 Kampala-Wakiso-24h'!L65,'27.07 Kampala-Wakiso-24h'!L65)</f>
        <v>0.5</v>
      </c>
      <c r="M65" s="49">
        <f>AVERAGE('26.07 Kampala-Wakiso-24h'!M65,'27.07 Kampala-Wakiso-24h'!M65)</f>
        <v>87.5</v>
      </c>
      <c r="N65" s="49">
        <f>AVERAGE('26.07 Kampala-Wakiso-24h'!N65,'27.07 Kampala-Wakiso-24h'!N65)</f>
        <v>0</v>
      </c>
      <c r="O65" s="15">
        <f t="shared" si="0"/>
        <v>245</v>
      </c>
      <c r="P65" s="15">
        <f t="shared" si="1"/>
        <v>332.5</v>
      </c>
      <c r="R65" s="8"/>
      <c r="T65"/>
    </row>
    <row r="66" spans="2:20" ht="23.1" customHeight="1" x14ac:dyDescent="0.25">
      <c r="B66" s="23" t="s">
        <v>103</v>
      </c>
      <c r="C66" s="49">
        <f>AVERAGE('26.07 Kampala-Wakiso-24h'!C66,'27.07 Kampala-Wakiso-24h'!C66)</f>
        <v>57.5</v>
      </c>
      <c r="D66" s="49">
        <f>AVERAGE('26.07 Kampala-Wakiso-24h'!D66,'27.07 Kampala-Wakiso-24h'!D66)</f>
        <v>60</v>
      </c>
      <c r="E66" s="49">
        <f>AVERAGE('26.07 Kampala-Wakiso-24h'!E66,'27.07 Kampala-Wakiso-24h'!E66)</f>
        <v>6</v>
      </c>
      <c r="F66" s="49">
        <f>AVERAGE('26.07 Kampala-Wakiso-24h'!F66,'27.07 Kampala-Wakiso-24h'!F66)</f>
        <v>72.5</v>
      </c>
      <c r="G66" s="49">
        <f>AVERAGE('26.07 Kampala-Wakiso-24h'!G66,'27.07 Kampala-Wakiso-24h'!G66)</f>
        <v>1.5</v>
      </c>
      <c r="H66" s="49">
        <f>AVERAGE('26.07 Kampala-Wakiso-24h'!H66,'27.07 Kampala-Wakiso-24h'!H66)</f>
        <v>0</v>
      </c>
      <c r="I66" s="49">
        <f>AVERAGE('26.07 Kampala-Wakiso-24h'!I66,'27.07 Kampala-Wakiso-24h'!I66)</f>
        <v>3</v>
      </c>
      <c r="J66" s="49">
        <f>AVERAGE('26.07 Kampala-Wakiso-24h'!J66,'27.07 Kampala-Wakiso-24h'!J66)</f>
        <v>7.5</v>
      </c>
      <c r="K66" s="49">
        <f>AVERAGE('26.07 Kampala-Wakiso-24h'!K66,'27.07 Kampala-Wakiso-24h'!K66)</f>
        <v>0</v>
      </c>
      <c r="L66" s="49">
        <f>AVERAGE('26.07 Kampala-Wakiso-24h'!L66,'27.07 Kampala-Wakiso-24h'!L66)</f>
        <v>0.5</v>
      </c>
      <c r="M66" s="49">
        <f>AVERAGE('26.07 Kampala-Wakiso-24h'!M66,'27.07 Kampala-Wakiso-24h'!M66)</f>
        <v>87.5</v>
      </c>
      <c r="N66" s="49">
        <f>AVERAGE('26.07 Kampala-Wakiso-24h'!N66,'27.07 Kampala-Wakiso-24h'!N66)</f>
        <v>0</v>
      </c>
      <c r="O66" s="15">
        <f t="shared" si="0"/>
        <v>208.5</v>
      </c>
      <c r="P66" s="15">
        <f t="shared" si="1"/>
        <v>296</v>
      </c>
      <c r="R66" s="8"/>
      <c r="T66"/>
    </row>
    <row r="67" spans="2:20" ht="23.1" customHeight="1" x14ac:dyDescent="0.25">
      <c r="B67" s="23" t="s">
        <v>104</v>
      </c>
      <c r="C67" s="49">
        <f>AVERAGE('26.07 Kampala-Wakiso-24h'!C67,'27.07 Kampala-Wakiso-24h'!C67)</f>
        <v>62.5</v>
      </c>
      <c r="D67" s="49">
        <f>AVERAGE('26.07 Kampala-Wakiso-24h'!D67,'27.07 Kampala-Wakiso-24h'!D67)</f>
        <v>65</v>
      </c>
      <c r="E67" s="49">
        <f>AVERAGE('26.07 Kampala-Wakiso-24h'!E67,'27.07 Kampala-Wakiso-24h'!E67)</f>
        <v>3</v>
      </c>
      <c r="F67" s="49">
        <f>AVERAGE('26.07 Kampala-Wakiso-24h'!F67,'27.07 Kampala-Wakiso-24h'!F67)</f>
        <v>77.5</v>
      </c>
      <c r="G67" s="49">
        <f>AVERAGE('26.07 Kampala-Wakiso-24h'!G67,'27.07 Kampala-Wakiso-24h'!G67)</f>
        <v>2</v>
      </c>
      <c r="H67" s="49">
        <f>AVERAGE('26.07 Kampala-Wakiso-24h'!H67,'27.07 Kampala-Wakiso-24h'!H67)</f>
        <v>0</v>
      </c>
      <c r="I67" s="49">
        <f>AVERAGE('26.07 Kampala-Wakiso-24h'!I67,'27.07 Kampala-Wakiso-24h'!I67)</f>
        <v>4</v>
      </c>
      <c r="J67" s="49">
        <f>AVERAGE('26.07 Kampala-Wakiso-24h'!J67,'27.07 Kampala-Wakiso-24h'!J67)</f>
        <v>1.5</v>
      </c>
      <c r="K67" s="49">
        <f>AVERAGE('26.07 Kampala-Wakiso-24h'!K67,'27.07 Kampala-Wakiso-24h'!K67)</f>
        <v>0</v>
      </c>
      <c r="L67" s="49">
        <f>AVERAGE('26.07 Kampala-Wakiso-24h'!L67,'27.07 Kampala-Wakiso-24h'!L67)</f>
        <v>0</v>
      </c>
      <c r="M67" s="49">
        <f>AVERAGE('26.07 Kampala-Wakiso-24h'!M67,'27.07 Kampala-Wakiso-24h'!M67)</f>
        <v>95</v>
      </c>
      <c r="N67" s="49">
        <f>AVERAGE('26.07 Kampala-Wakiso-24h'!N67,'27.07 Kampala-Wakiso-24h'!N67)</f>
        <v>0</v>
      </c>
      <c r="O67" s="15">
        <f t="shared" si="0"/>
        <v>215.5</v>
      </c>
      <c r="P67" s="15">
        <f t="shared" si="1"/>
        <v>310.5</v>
      </c>
      <c r="R67" s="8"/>
      <c r="T67"/>
    </row>
    <row r="68" spans="2:20" ht="23.1" customHeight="1" x14ac:dyDescent="0.25">
      <c r="B68" s="23" t="s">
        <v>105</v>
      </c>
      <c r="C68" s="49">
        <f>AVERAGE('26.07 Kampala-Wakiso-24h'!C68,'27.07 Kampala-Wakiso-24h'!C68)</f>
        <v>42.5</v>
      </c>
      <c r="D68" s="49">
        <f>AVERAGE('26.07 Kampala-Wakiso-24h'!D68,'27.07 Kampala-Wakiso-24h'!D68)</f>
        <v>57.5</v>
      </c>
      <c r="E68" s="49">
        <f>AVERAGE('26.07 Kampala-Wakiso-24h'!E68,'27.07 Kampala-Wakiso-24h'!E68)</f>
        <v>9</v>
      </c>
      <c r="F68" s="49">
        <f>AVERAGE('26.07 Kampala-Wakiso-24h'!F68,'27.07 Kampala-Wakiso-24h'!F68)</f>
        <v>80</v>
      </c>
      <c r="G68" s="49">
        <f>AVERAGE('26.07 Kampala-Wakiso-24h'!G68,'27.07 Kampala-Wakiso-24h'!G68)</f>
        <v>0</v>
      </c>
      <c r="H68" s="49">
        <f>AVERAGE('26.07 Kampala-Wakiso-24h'!H68,'27.07 Kampala-Wakiso-24h'!H68)</f>
        <v>2</v>
      </c>
      <c r="I68" s="49">
        <f>AVERAGE('26.07 Kampala-Wakiso-24h'!I68,'27.07 Kampala-Wakiso-24h'!I68)</f>
        <v>3</v>
      </c>
      <c r="J68" s="49">
        <f>AVERAGE('26.07 Kampala-Wakiso-24h'!J68,'27.07 Kampala-Wakiso-24h'!J68)</f>
        <v>1</v>
      </c>
      <c r="K68" s="49">
        <f>AVERAGE('26.07 Kampala-Wakiso-24h'!K68,'27.07 Kampala-Wakiso-24h'!K68)</f>
        <v>0</v>
      </c>
      <c r="L68" s="49">
        <f>AVERAGE('26.07 Kampala-Wakiso-24h'!L68,'27.07 Kampala-Wakiso-24h'!L68)</f>
        <v>1</v>
      </c>
      <c r="M68" s="49">
        <f>AVERAGE('26.07 Kampala-Wakiso-24h'!M68,'27.07 Kampala-Wakiso-24h'!M68)</f>
        <v>75</v>
      </c>
      <c r="N68" s="49">
        <f>AVERAGE('26.07 Kampala-Wakiso-24h'!N68,'27.07 Kampala-Wakiso-24h'!N68)</f>
        <v>0</v>
      </c>
      <c r="O68" s="15">
        <f t="shared" si="0"/>
        <v>196</v>
      </c>
      <c r="P68" s="15">
        <f t="shared" si="1"/>
        <v>271</v>
      </c>
      <c r="R68" s="8"/>
      <c r="T68"/>
    </row>
    <row r="69" spans="2:20" ht="23.1" customHeight="1" x14ac:dyDescent="0.25">
      <c r="B69" s="23" t="s">
        <v>106</v>
      </c>
      <c r="C69" s="49">
        <f>AVERAGE('26.07 Kampala-Wakiso-24h'!C69,'27.07 Kampala-Wakiso-24h'!C69)</f>
        <v>62.5</v>
      </c>
      <c r="D69" s="49">
        <f>AVERAGE('26.07 Kampala-Wakiso-24h'!D69,'27.07 Kampala-Wakiso-24h'!D69)</f>
        <v>65</v>
      </c>
      <c r="E69" s="49">
        <f>AVERAGE('26.07 Kampala-Wakiso-24h'!E69,'27.07 Kampala-Wakiso-24h'!E69)</f>
        <v>3.5</v>
      </c>
      <c r="F69" s="49">
        <f>AVERAGE('26.07 Kampala-Wakiso-24h'!F69,'27.07 Kampala-Wakiso-24h'!F69)</f>
        <v>72.5</v>
      </c>
      <c r="G69" s="49">
        <f>AVERAGE('26.07 Kampala-Wakiso-24h'!G69,'27.07 Kampala-Wakiso-24h'!G69)</f>
        <v>2.5</v>
      </c>
      <c r="H69" s="49">
        <f>AVERAGE('26.07 Kampala-Wakiso-24h'!H69,'27.07 Kampala-Wakiso-24h'!H69)</f>
        <v>0</v>
      </c>
      <c r="I69" s="49">
        <f>AVERAGE('26.07 Kampala-Wakiso-24h'!I69,'27.07 Kampala-Wakiso-24h'!I69)</f>
        <v>3.5</v>
      </c>
      <c r="J69" s="49">
        <f>AVERAGE('26.07 Kampala-Wakiso-24h'!J69,'27.07 Kampala-Wakiso-24h'!J69)</f>
        <v>0</v>
      </c>
      <c r="K69" s="49">
        <f>AVERAGE('26.07 Kampala-Wakiso-24h'!K69,'27.07 Kampala-Wakiso-24h'!K69)</f>
        <v>0</v>
      </c>
      <c r="L69" s="49">
        <f>AVERAGE('26.07 Kampala-Wakiso-24h'!L69,'27.07 Kampala-Wakiso-24h'!L69)</f>
        <v>2</v>
      </c>
      <c r="M69" s="49">
        <f>AVERAGE('26.07 Kampala-Wakiso-24h'!M69,'27.07 Kampala-Wakiso-24h'!M69)</f>
        <v>75</v>
      </c>
      <c r="N69" s="49">
        <f>AVERAGE('26.07 Kampala-Wakiso-24h'!N69,'27.07 Kampala-Wakiso-24h'!N69)</f>
        <v>0</v>
      </c>
      <c r="O69" s="15">
        <f t="shared" si="0"/>
        <v>211.5</v>
      </c>
      <c r="P69" s="15">
        <f t="shared" si="1"/>
        <v>286.5</v>
      </c>
      <c r="R69" s="8"/>
      <c r="T69"/>
    </row>
    <row r="70" spans="2:20" ht="23.1" customHeight="1" x14ac:dyDescent="0.25">
      <c r="B70" s="23" t="s">
        <v>110</v>
      </c>
      <c r="C70" s="49">
        <f>AVERAGE('26.07 Kampala-Wakiso-24h'!C70,'27.07 Kampala-Wakiso-24h'!C70)</f>
        <v>60</v>
      </c>
      <c r="D70" s="49">
        <f>AVERAGE('26.07 Kampala-Wakiso-24h'!D70,'27.07 Kampala-Wakiso-24h'!D70)</f>
        <v>57.5</v>
      </c>
      <c r="E70" s="49">
        <f>AVERAGE('26.07 Kampala-Wakiso-24h'!E70,'27.07 Kampala-Wakiso-24h'!E70)</f>
        <v>6</v>
      </c>
      <c r="F70" s="49">
        <f>AVERAGE('26.07 Kampala-Wakiso-24h'!F70,'27.07 Kampala-Wakiso-24h'!F70)</f>
        <v>50</v>
      </c>
      <c r="G70" s="49">
        <f>AVERAGE('26.07 Kampala-Wakiso-24h'!G70,'27.07 Kampala-Wakiso-24h'!G70)</f>
        <v>5</v>
      </c>
      <c r="H70" s="49">
        <f>AVERAGE('26.07 Kampala-Wakiso-24h'!H70,'27.07 Kampala-Wakiso-24h'!H70)</f>
        <v>0</v>
      </c>
      <c r="I70" s="49">
        <f>AVERAGE('26.07 Kampala-Wakiso-24h'!I70,'27.07 Kampala-Wakiso-24h'!I70)</f>
        <v>2.5</v>
      </c>
      <c r="J70" s="49">
        <f>AVERAGE('26.07 Kampala-Wakiso-24h'!J70,'27.07 Kampala-Wakiso-24h'!J70)</f>
        <v>1</v>
      </c>
      <c r="K70" s="49">
        <f>AVERAGE('26.07 Kampala-Wakiso-24h'!K70,'27.07 Kampala-Wakiso-24h'!K70)</f>
        <v>0</v>
      </c>
      <c r="L70" s="49">
        <f>AVERAGE('26.07 Kampala-Wakiso-24h'!L70,'27.07 Kampala-Wakiso-24h'!L70)</f>
        <v>0</v>
      </c>
      <c r="M70" s="49">
        <f>AVERAGE('26.07 Kampala-Wakiso-24h'!M70,'27.07 Kampala-Wakiso-24h'!M70)</f>
        <v>97.5</v>
      </c>
      <c r="N70" s="49">
        <f>AVERAGE('26.07 Kampala-Wakiso-24h'!N70,'27.07 Kampala-Wakiso-24h'!N70)</f>
        <v>0</v>
      </c>
      <c r="O70" s="15">
        <f t="shared" si="0"/>
        <v>182</v>
      </c>
      <c r="P70" s="15">
        <f t="shared" si="1"/>
        <v>279.5</v>
      </c>
      <c r="R70" s="8"/>
      <c r="T70"/>
    </row>
    <row r="71" spans="2:20" ht="23.1" customHeight="1" x14ac:dyDescent="0.25">
      <c r="B71" s="23" t="s">
        <v>111</v>
      </c>
      <c r="C71" s="49">
        <f>AVERAGE('26.07 Kampala-Wakiso-24h'!C71,'27.07 Kampala-Wakiso-24h'!C71)</f>
        <v>67.5</v>
      </c>
      <c r="D71" s="49">
        <f>AVERAGE('26.07 Kampala-Wakiso-24h'!D71,'27.07 Kampala-Wakiso-24h'!D71)</f>
        <v>75</v>
      </c>
      <c r="E71" s="49">
        <f>AVERAGE('26.07 Kampala-Wakiso-24h'!E71,'27.07 Kampala-Wakiso-24h'!E71)</f>
        <v>6</v>
      </c>
      <c r="F71" s="49">
        <f>AVERAGE('26.07 Kampala-Wakiso-24h'!F71,'27.07 Kampala-Wakiso-24h'!F71)</f>
        <v>75</v>
      </c>
      <c r="G71" s="49">
        <f>AVERAGE('26.07 Kampala-Wakiso-24h'!G71,'27.07 Kampala-Wakiso-24h'!G71)</f>
        <v>3</v>
      </c>
      <c r="H71" s="49">
        <f>AVERAGE('26.07 Kampala-Wakiso-24h'!H71,'27.07 Kampala-Wakiso-24h'!H71)</f>
        <v>0</v>
      </c>
      <c r="I71" s="49">
        <f>AVERAGE('26.07 Kampala-Wakiso-24h'!I71,'27.07 Kampala-Wakiso-24h'!I71)</f>
        <v>4</v>
      </c>
      <c r="J71" s="49">
        <f>AVERAGE('26.07 Kampala-Wakiso-24h'!J71,'27.07 Kampala-Wakiso-24h'!J71)</f>
        <v>0</v>
      </c>
      <c r="K71" s="49">
        <f>AVERAGE('26.07 Kampala-Wakiso-24h'!K71,'27.07 Kampala-Wakiso-24h'!K71)</f>
        <v>0</v>
      </c>
      <c r="L71" s="49">
        <f>AVERAGE('26.07 Kampala-Wakiso-24h'!L71,'27.07 Kampala-Wakiso-24h'!L71)</f>
        <v>0.5</v>
      </c>
      <c r="M71" s="49">
        <f>AVERAGE('26.07 Kampala-Wakiso-24h'!M71,'27.07 Kampala-Wakiso-24h'!M71)</f>
        <v>105</v>
      </c>
      <c r="N71" s="49">
        <f>AVERAGE('26.07 Kampala-Wakiso-24h'!N71,'27.07 Kampala-Wakiso-24h'!N71)</f>
        <v>0</v>
      </c>
      <c r="O71" s="15">
        <f t="shared" si="0"/>
        <v>231</v>
      </c>
      <c r="P71" s="15">
        <f t="shared" si="1"/>
        <v>336</v>
      </c>
      <c r="R71" s="8"/>
      <c r="T71"/>
    </row>
    <row r="72" spans="2:20" ht="23.1" customHeight="1" x14ac:dyDescent="0.25">
      <c r="B72" s="23" t="s">
        <v>112</v>
      </c>
      <c r="C72" s="49">
        <f>AVERAGE('26.07 Kampala-Wakiso-24h'!C72,'27.07 Kampala-Wakiso-24h'!C72)</f>
        <v>57.5</v>
      </c>
      <c r="D72" s="49">
        <f>AVERAGE('26.07 Kampala-Wakiso-24h'!D72,'27.07 Kampala-Wakiso-24h'!D72)</f>
        <v>47.5</v>
      </c>
      <c r="E72" s="49">
        <f>AVERAGE('26.07 Kampala-Wakiso-24h'!E72,'27.07 Kampala-Wakiso-24h'!E72)</f>
        <v>7.5</v>
      </c>
      <c r="F72" s="49">
        <f>AVERAGE('26.07 Kampala-Wakiso-24h'!F72,'27.07 Kampala-Wakiso-24h'!F72)</f>
        <v>72.5</v>
      </c>
      <c r="G72" s="49">
        <f>AVERAGE('26.07 Kampala-Wakiso-24h'!G72,'27.07 Kampala-Wakiso-24h'!G72)</f>
        <v>0</v>
      </c>
      <c r="H72" s="49">
        <f>AVERAGE('26.07 Kampala-Wakiso-24h'!H72,'27.07 Kampala-Wakiso-24h'!H72)</f>
        <v>0</v>
      </c>
      <c r="I72" s="49">
        <f>AVERAGE('26.07 Kampala-Wakiso-24h'!I72,'27.07 Kampala-Wakiso-24h'!I72)</f>
        <v>4.5</v>
      </c>
      <c r="J72" s="49">
        <f>AVERAGE('26.07 Kampala-Wakiso-24h'!J72,'27.07 Kampala-Wakiso-24h'!J72)</f>
        <v>1</v>
      </c>
      <c r="K72" s="49">
        <f>AVERAGE('26.07 Kampala-Wakiso-24h'!K72,'27.07 Kampala-Wakiso-24h'!K72)</f>
        <v>0</v>
      </c>
      <c r="L72" s="49">
        <f>AVERAGE('26.07 Kampala-Wakiso-24h'!L72,'27.07 Kampala-Wakiso-24h'!L72)</f>
        <v>0</v>
      </c>
      <c r="M72" s="49">
        <f>AVERAGE('26.07 Kampala-Wakiso-24h'!M72,'27.07 Kampala-Wakiso-24h'!M72)</f>
        <v>85</v>
      </c>
      <c r="N72" s="49">
        <f>AVERAGE('26.07 Kampala-Wakiso-24h'!N72,'27.07 Kampala-Wakiso-24h'!N72)</f>
        <v>0</v>
      </c>
      <c r="O72" s="15">
        <f t="shared" si="0"/>
        <v>190.5</v>
      </c>
      <c r="P72" s="15">
        <f t="shared" si="1"/>
        <v>275.5</v>
      </c>
      <c r="R72" s="8"/>
      <c r="T72"/>
    </row>
    <row r="73" spans="2:20" ht="23.1" customHeight="1" x14ac:dyDescent="0.25">
      <c r="B73" s="23" t="s">
        <v>113</v>
      </c>
      <c r="C73" s="49">
        <f>AVERAGE('26.07 Kampala-Wakiso-24h'!C73,'27.07 Kampala-Wakiso-24h'!C73)</f>
        <v>57.5</v>
      </c>
      <c r="D73" s="49">
        <f>AVERAGE('26.07 Kampala-Wakiso-24h'!D73,'27.07 Kampala-Wakiso-24h'!D73)</f>
        <v>62.5</v>
      </c>
      <c r="E73" s="49">
        <f>AVERAGE('26.07 Kampala-Wakiso-24h'!E73,'27.07 Kampala-Wakiso-24h'!E73)</f>
        <v>4.5</v>
      </c>
      <c r="F73" s="49">
        <f>AVERAGE('26.07 Kampala-Wakiso-24h'!F73,'27.07 Kampala-Wakiso-24h'!F73)</f>
        <v>35</v>
      </c>
      <c r="G73" s="49">
        <f>AVERAGE('26.07 Kampala-Wakiso-24h'!G73,'27.07 Kampala-Wakiso-24h'!G73)</f>
        <v>0.5</v>
      </c>
      <c r="H73" s="49">
        <f>AVERAGE('26.07 Kampala-Wakiso-24h'!H73,'27.07 Kampala-Wakiso-24h'!H73)</f>
        <v>0</v>
      </c>
      <c r="I73" s="49">
        <f>AVERAGE('26.07 Kampala-Wakiso-24h'!I73,'27.07 Kampala-Wakiso-24h'!I73)</f>
        <v>4.5</v>
      </c>
      <c r="J73" s="49">
        <f>AVERAGE('26.07 Kampala-Wakiso-24h'!J73,'27.07 Kampala-Wakiso-24h'!J73)</f>
        <v>1</v>
      </c>
      <c r="K73" s="49">
        <f>AVERAGE('26.07 Kampala-Wakiso-24h'!K73,'27.07 Kampala-Wakiso-24h'!K73)</f>
        <v>0.5</v>
      </c>
      <c r="L73" s="49">
        <f>AVERAGE('26.07 Kampala-Wakiso-24h'!L73,'27.07 Kampala-Wakiso-24h'!L73)</f>
        <v>0</v>
      </c>
      <c r="M73" s="49">
        <f>AVERAGE('26.07 Kampala-Wakiso-24h'!M73,'27.07 Kampala-Wakiso-24h'!M73)</f>
        <v>60</v>
      </c>
      <c r="N73" s="49">
        <f>AVERAGE('26.07 Kampala-Wakiso-24h'!N73,'27.07 Kampala-Wakiso-24h'!N73)</f>
        <v>0</v>
      </c>
      <c r="O73" s="15">
        <f t="shared" si="0"/>
        <v>166</v>
      </c>
      <c r="P73" s="15">
        <f t="shared" si="1"/>
        <v>226</v>
      </c>
      <c r="R73" s="8"/>
      <c r="T73"/>
    </row>
    <row r="74" spans="2:20" ht="23.1" customHeight="1" x14ac:dyDescent="0.25">
      <c r="B74" s="23" t="s">
        <v>114</v>
      </c>
      <c r="C74" s="49">
        <f>AVERAGE('26.07 Kampala-Wakiso-24h'!C74,'27.07 Kampala-Wakiso-24h'!C74)</f>
        <v>42.5</v>
      </c>
      <c r="D74" s="49">
        <f>AVERAGE('26.07 Kampala-Wakiso-24h'!D74,'27.07 Kampala-Wakiso-24h'!D74)</f>
        <v>46</v>
      </c>
      <c r="E74" s="49">
        <f>AVERAGE('26.07 Kampala-Wakiso-24h'!E74,'27.07 Kampala-Wakiso-24h'!E74)</f>
        <v>5</v>
      </c>
      <c r="F74" s="49">
        <f>AVERAGE('26.07 Kampala-Wakiso-24h'!F74,'27.07 Kampala-Wakiso-24h'!F74)</f>
        <v>50</v>
      </c>
      <c r="G74" s="49">
        <f>AVERAGE('26.07 Kampala-Wakiso-24h'!G74,'27.07 Kampala-Wakiso-24h'!G74)</f>
        <v>0</v>
      </c>
      <c r="H74" s="49">
        <f>AVERAGE('26.07 Kampala-Wakiso-24h'!H74,'27.07 Kampala-Wakiso-24h'!H74)</f>
        <v>0</v>
      </c>
      <c r="I74" s="49">
        <f>AVERAGE('26.07 Kampala-Wakiso-24h'!I74,'27.07 Kampala-Wakiso-24h'!I74)</f>
        <v>3.5</v>
      </c>
      <c r="J74" s="49">
        <f>AVERAGE('26.07 Kampala-Wakiso-24h'!J74,'27.07 Kampala-Wakiso-24h'!J74)</f>
        <v>2.5</v>
      </c>
      <c r="K74" s="49">
        <f>AVERAGE('26.07 Kampala-Wakiso-24h'!K74,'27.07 Kampala-Wakiso-24h'!K74)</f>
        <v>0.5</v>
      </c>
      <c r="L74" s="49">
        <f>AVERAGE('26.07 Kampala-Wakiso-24h'!L74,'27.07 Kampala-Wakiso-24h'!L74)</f>
        <v>0.5</v>
      </c>
      <c r="M74" s="49">
        <f>AVERAGE('26.07 Kampala-Wakiso-24h'!M74,'27.07 Kampala-Wakiso-24h'!M74)</f>
        <v>47.5</v>
      </c>
      <c r="N74" s="49">
        <f>AVERAGE('26.07 Kampala-Wakiso-24h'!N74,'27.07 Kampala-Wakiso-24h'!N74)</f>
        <v>0</v>
      </c>
      <c r="O74" s="15">
        <f t="shared" ref="O74:O105" si="35">SUM(C74:L74,N74)</f>
        <v>150.5</v>
      </c>
      <c r="P74" s="15">
        <f t="shared" ref="P74:P105" si="36">SUM(C74:N74)</f>
        <v>198</v>
      </c>
      <c r="R74" s="8"/>
      <c r="T74"/>
    </row>
    <row r="75" spans="2:20" ht="23.1" customHeight="1" x14ac:dyDescent="0.25">
      <c r="B75" s="23" t="s">
        <v>115</v>
      </c>
      <c r="C75" s="49">
        <f>AVERAGE('26.07 Kampala-Wakiso-24h'!C75,'27.07 Kampala-Wakiso-24h'!C75)</f>
        <v>35</v>
      </c>
      <c r="D75" s="49">
        <f>AVERAGE('26.07 Kampala-Wakiso-24h'!D75,'27.07 Kampala-Wakiso-24h'!D75)</f>
        <v>35</v>
      </c>
      <c r="E75" s="49">
        <f>AVERAGE('26.07 Kampala-Wakiso-24h'!E75,'27.07 Kampala-Wakiso-24h'!E75)</f>
        <v>3</v>
      </c>
      <c r="F75" s="49">
        <f>AVERAGE('26.07 Kampala-Wakiso-24h'!F75,'27.07 Kampala-Wakiso-24h'!F75)</f>
        <v>48</v>
      </c>
      <c r="G75" s="49">
        <f>AVERAGE('26.07 Kampala-Wakiso-24h'!G75,'27.07 Kampala-Wakiso-24h'!G75)</f>
        <v>0</v>
      </c>
      <c r="H75" s="49">
        <f>AVERAGE('26.07 Kampala-Wakiso-24h'!H75,'27.07 Kampala-Wakiso-24h'!H75)</f>
        <v>0</v>
      </c>
      <c r="I75" s="49">
        <f>AVERAGE('26.07 Kampala-Wakiso-24h'!I75,'27.07 Kampala-Wakiso-24h'!I75)</f>
        <v>1.5</v>
      </c>
      <c r="J75" s="49">
        <f>AVERAGE('26.07 Kampala-Wakiso-24h'!J75,'27.07 Kampala-Wakiso-24h'!J75)</f>
        <v>1</v>
      </c>
      <c r="K75" s="49">
        <f>AVERAGE('26.07 Kampala-Wakiso-24h'!K75,'27.07 Kampala-Wakiso-24h'!K75)</f>
        <v>0.5</v>
      </c>
      <c r="L75" s="49">
        <f>AVERAGE('26.07 Kampala-Wakiso-24h'!L75,'27.07 Kampala-Wakiso-24h'!L75)</f>
        <v>0</v>
      </c>
      <c r="M75" s="49">
        <f>AVERAGE('26.07 Kampala-Wakiso-24h'!M75,'27.07 Kampala-Wakiso-24h'!M75)</f>
        <v>40</v>
      </c>
      <c r="N75" s="49">
        <f>AVERAGE('26.07 Kampala-Wakiso-24h'!N75,'27.07 Kampala-Wakiso-24h'!N75)</f>
        <v>0</v>
      </c>
      <c r="O75" s="15">
        <f t="shared" si="35"/>
        <v>124</v>
      </c>
      <c r="P75" s="15">
        <f t="shared" si="36"/>
        <v>164</v>
      </c>
      <c r="R75" s="8"/>
      <c r="T75"/>
    </row>
    <row r="76" spans="2:20" ht="23.1" customHeight="1" x14ac:dyDescent="0.25">
      <c r="B76" s="23" t="s">
        <v>116</v>
      </c>
      <c r="C76" s="49">
        <f>AVERAGE('26.07 Kampala-Wakiso-24h'!C76,'27.07 Kampala-Wakiso-24h'!C76)</f>
        <v>34.5</v>
      </c>
      <c r="D76" s="49">
        <f>AVERAGE('26.07 Kampala-Wakiso-24h'!D76,'27.07 Kampala-Wakiso-24h'!D76)</f>
        <v>32.5</v>
      </c>
      <c r="E76" s="49">
        <f>AVERAGE('26.07 Kampala-Wakiso-24h'!E76,'27.07 Kampala-Wakiso-24h'!E76)</f>
        <v>2.5</v>
      </c>
      <c r="F76" s="49">
        <f>AVERAGE('26.07 Kampala-Wakiso-24h'!F76,'27.07 Kampala-Wakiso-24h'!F76)</f>
        <v>30</v>
      </c>
      <c r="G76" s="49">
        <f>AVERAGE('26.07 Kampala-Wakiso-24h'!G76,'27.07 Kampala-Wakiso-24h'!G76)</f>
        <v>3</v>
      </c>
      <c r="H76" s="49">
        <f>AVERAGE('26.07 Kampala-Wakiso-24h'!H76,'27.07 Kampala-Wakiso-24h'!H76)</f>
        <v>0</v>
      </c>
      <c r="I76" s="49">
        <f>AVERAGE('26.07 Kampala-Wakiso-24h'!I76,'27.07 Kampala-Wakiso-24h'!I76)</f>
        <v>4</v>
      </c>
      <c r="J76" s="49">
        <f>AVERAGE('26.07 Kampala-Wakiso-24h'!J76,'27.07 Kampala-Wakiso-24h'!J76)</f>
        <v>0.5</v>
      </c>
      <c r="K76" s="49">
        <f>AVERAGE('26.07 Kampala-Wakiso-24h'!K76,'27.07 Kampala-Wakiso-24h'!K76)</f>
        <v>0</v>
      </c>
      <c r="L76" s="49">
        <f>AVERAGE('26.07 Kampala-Wakiso-24h'!L76,'27.07 Kampala-Wakiso-24h'!L76)</f>
        <v>0.5</v>
      </c>
      <c r="M76" s="49">
        <f>AVERAGE('26.07 Kampala-Wakiso-24h'!M76,'27.07 Kampala-Wakiso-24h'!M76)</f>
        <v>45</v>
      </c>
      <c r="N76" s="49">
        <f>AVERAGE('26.07 Kampala-Wakiso-24h'!N76,'27.07 Kampala-Wakiso-24h'!N76)</f>
        <v>0</v>
      </c>
      <c r="O76" s="15">
        <f t="shared" si="35"/>
        <v>107.5</v>
      </c>
      <c r="P76" s="15">
        <f t="shared" si="36"/>
        <v>152.5</v>
      </c>
      <c r="R76" s="8"/>
      <c r="T76"/>
    </row>
    <row r="77" spans="2:20" ht="23.1" customHeight="1" x14ac:dyDescent="0.25">
      <c r="B77" s="23" t="s">
        <v>117</v>
      </c>
      <c r="C77" s="49">
        <f>AVERAGE('26.07 Kampala-Wakiso-24h'!C77,'27.07 Kampala-Wakiso-24h'!C77)</f>
        <v>24.5</v>
      </c>
      <c r="D77" s="49">
        <f>AVERAGE('26.07 Kampala-Wakiso-24h'!D77,'27.07 Kampala-Wakiso-24h'!D77)</f>
        <v>32.5</v>
      </c>
      <c r="E77" s="49">
        <f>AVERAGE('26.07 Kampala-Wakiso-24h'!E77,'27.07 Kampala-Wakiso-24h'!E77)</f>
        <v>1.5</v>
      </c>
      <c r="F77" s="49">
        <f>AVERAGE('26.07 Kampala-Wakiso-24h'!F77,'27.07 Kampala-Wakiso-24h'!F77)</f>
        <v>17.5</v>
      </c>
      <c r="G77" s="49">
        <f>AVERAGE('26.07 Kampala-Wakiso-24h'!G77,'27.07 Kampala-Wakiso-24h'!G77)</f>
        <v>0</v>
      </c>
      <c r="H77" s="49">
        <f>AVERAGE('26.07 Kampala-Wakiso-24h'!H77,'27.07 Kampala-Wakiso-24h'!H77)</f>
        <v>0</v>
      </c>
      <c r="I77" s="49">
        <f>AVERAGE('26.07 Kampala-Wakiso-24h'!I77,'27.07 Kampala-Wakiso-24h'!I77)</f>
        <v>1</v>
      </c>
      <c r="J77" s="49">
        <f>AVERAGE('26.07 Kampala-Wakiso-24h'!J77,'27.07 Kampala-Wakiso-24h'!J77)</f>
        <v>0</v>
      </c>
      <c r="K77" s="49">
        <f>AVERAGE('26.07 Kampala-Wakiso-24h'!K77,'27.07 Kampala-Wakiso-24h'!K77)</f>
        <v>0.5</v>
      </c>
      <c r="L77" s="49">
        <f>AVERAGE('26.07 Kampala-Wakiso-24h'!L77,'27.07 Kampala-Wakiso-24h'!L77)</f>
        <v>0</v>
      </c>
      <c r="M77" s="49">
        <f>AVERAGE('26.07 Kampala-Wakiso-24h'!M77,'27.07 Kampala-Wakiso-24h'!M77)</f>
        <v>42.5</v>
      </c>
      <c r="N77" s="49">
        <f>AVERAGE('26.07 Kampala-Wakiso-24h'!N77,'27.07 Kampala-Wakiso-24h'!N77)</f>
        <v>0</v>
      </c>
      <c r="O77" s="15">
        <f t="shared" si="35"/>
        <v>77.5</v>
      </c>
      <c r="P77" s="15">
        <f t="shared" si="36"/>
        <v>120</v>
      </c>
      <c r="R77" s="8"/>
      <c r="T77"/>
    </row>
    <row r="78" spans="2:20" ht="23.1" customHeight="1" x14ac:dyDescent="0.25">
      <c r="B78" s="24" t="s">
        <v>118</v>
      </c>
      <c r="C78" s="49">
        <f>AVERAGE('26.07 Kampala-Wakiso-24h'!C78,'27.07 Kampala-Wakiso-24h'!C78)</f>
        <v>31</v>
      </c>
      <c r="D78" s="49">
        <f>AVERAGE('26.07 Kampala-Wakiso-24h'!D78,'27.07 Kampala-Wakiso-24h'!D78)</f>
        <v>17</v>
      </c>
      <c r="E78" s="49">
        <f>AVERAGE('26.07 Kampala-Wakiso-24h'!E78,'27.07 Kampala-Wakiso-24h'!E78)</f>
        <v>2</v>
      </c>
      <c r="F78" s="49">
        <f>AVERAGE('26.07 Kampala-Wakiso-24h'!F78,'27.07 Kampala-Wakiso-24h'!F78)</f>
        <v>10</v>
      </c>
      <c r="G78" s="49">
        <f>AVERAGE('26.07 Kampala-Wakiso-24h'!G78,'27.07 Kampala-Wakiso-24h'!G78)</f>
        <v>0</v>
      </c>
      <c r="H78" s="49">
        <f>AVERAGE('26.07 Kampala-Wakiso-24h'!H78,'27.07 Kampala-Wakiso-24h'!H78)</f>
        <v>0</v>
      </c>
      <c r="I78" s="49">
        <f>AVERAGE('26.07 Kampala-Wakiso-24h'!I78,'27.07 Kampala-Wakiso-24h'!I78)</f>
        <v>1.5</v>
      </c>
      <c r="J78" s="49">
        <f>AVERAGE('26.07 Kampala-Wakiso-24h'!J78,'27.07 Kampala-Wakiso-24h'!J78)</f>
        <v>0.5</v>
      </c>
      <c r="K78" s="49">
        <f>AVERAGE('26.07 Kampala-Wakiso-24h'!K78,'27.07 Kampala-Wakiso-24h'!K78)</f>
        <v>0</v>
      </c>
      <c r="L78" s="49">
        <f>AVERAGE('26.07 Kampala-Wakiso-24h'!L78,'27.07 Kampala-Wakiso-24h'!L78)</f>
        <v>0.5</v>
      </c>
      <c r="M78" s="49">
        <f>AVERAGE('26.07 Kampala-Wakiso-24h'!M78,'27.07 Kampala-Wakiso-24h'!M78)</f>
        <v>27.5</v>
      </c>
      <c r="N78" s="49">
        <f>AVERAGE('26.07 Kampala-Wakiso-24h'!N78,'27.07 Kampala-Wakiso-24h'!N78)</f>
        <v>0</v>
      </c>
      <c r="O78" s="15">
        <f t="shared" si="35"/>
        <v>62.5</v>
      </c>
      <c r="P78" s="15">
        <f t="shared" si="36"/>
        <v>90</v>
      </c>
      <c r="R78" s="8"/>
      <c r="T78"/>
    </row>
    <row r="79" spans="2:20" ht="23.1" customHeight="1" x14ac:dyDescent="0.25">
      <c r="B79" s="23" t="s">
        <v>119</v>
      </c>
      <c r="C79" s="49">
        <f>AVERAGE('26.07 Kampala-Wakiso-24h'!C79,'27.07 Kampala-Wakiso-24h'!C79)</f>
        <v>28</v>
      </c>
      <c r="D79" s="49">
        <f>AVERAGE('26.07 Kampala-Wakiso-24h'!D79,'27.07 Kampala-Wakiso-24h'!D79)</f>
        <v>22</v>
      </c>
      <c r="E79" s="49">
        <f>AVERAGE('26.07 Kampala-Wakiso-24h'!E79,'27.07 Kampala-Wakiso-24h'!E79)</f>
        <v>4.5</v>
      </c>
      <c r="F79" s="49">
        <f>AVERAGE('26.07 Kampala-Wakiso-24h'!F79,'27.07 Kampala-Wakiso-24h'!F79)</f>
        <v>3</v>
      </c>
      <c r="G79" s="49">
        <f>AVERAGE('26.07 Kampala-Wakiso-24h'!G79,'27.07 Kampala-Wakiso-24h'!G79)</f>
        <v>0</v>
      </c>
      <c r="H79" s="49">
        <f>AVERAGE('26.07 Kampala-Wakiso-24h'!H79,'27.07 Kampala-Wakiso-24h'!H79)</f>
        <v>0.5</v>
      </c>
      <c r="I79" s="49">
        <f>AVERAGE('26.07 Kampala-Wakiso-24h'!I79,'27.07 Kampala-Wakiso-24h'!I79)</f>
        <v>1</v>
      </c>
      <c r="J79" s="49">
        <f>AVERAGE('26.07 Kampala-Wakiso-24h'!J79,'27.07 Kampala-Wakiso-24h'!J79)</f>
        <v>0</v>
      </c>
      <c r="K79" s="49">
        <f>AVERAGE('26.07 Kampala-Wakiso-24h'!K79,'27.07 Kampala-Wakiso-24h'!K79)</f>
        <v>0</v>
      </c>
      <c r="L79" s="49">
        <f>AVERAGE('26.07 Kampala-Wakiso-24h'!L79,'27.07 Kampala-Wakiso-24h'!L79)</f>
        <v>0.5</v>
      </c>
      <c r="M79" s="49">
        <f>AVERAGE('26.07 Kampala-Wakiso-24h'!M79,'27.07 Kampala-Wakiso-24h'!M79)</f>
        <v>25</v>
      </c>
      <c r="N79" s="49">
        <f>AVERAGE('26.07 Kampala-Wakiso-24h'!N79,'27.07 Kampala-Wakiso-24h'!N79)</f>
        <v>0</v>
      </c>
      <c r="O79" s="15">
        <f t="shared" si="35"/>
        <v>59.5</v>
      </c>
      <c r="P79" s="15">
        <f t="shared" si="36"/>
        <v>84.5</v>
      </c>
      <c r="R79" s="8"/>
      <c r="T79"/>
    </row>
    <row r="80" spans="2:20" ht="23.1" customHeight="1" x14ac:dyDescent="0.25">
      <c r="B80" s="25" t="s">
        <v>120</v>
      </c>
      <c r="C80" s="49">
        <f>AVERAGE('26.07 Kampala-Wakiso-24h'!C80,'27.07 Kampala-Wakiso-24h'!C80)</f>
        <v>16</v>
      </c>
      <c r="D80" s="49">
        <f>AVERAGE('26.07 Kampala-Wakiso-24h'!D80,'27.07 Kampala-Wakiso-24h'!D80)</f>
        <v>10</v>
      </c>
      <c r="E80" s="49">
        <f>AVERAGE('26.07 Kampala-Wakiso-24h'!E80,'27.07 Kampala-Wakiso-24h'!E80)</f>
        <v>4</v>
      </c>
      <c r="F80" s="49">
        <f>AVERAGE('26.07 Kampala-Wakiso-24h'!F80,'27.07 Kampala-Wakiso-24h'!F80)</f>
        <v>5.5</v>
      </c>
      <c r="G80" s="49">
        <f>AVERAGE('26.07 Kampala-Wakiso-24h'!G80,'27.07 Kampala-Wakiso-24h'!G80)</f>
        <v>0</v>
      </c>
      <c r="H80" s="49">
        <f>AVERAGE('26.07 Kampala-Wakiso-24h'!H80,'27.07 Kampala-Wakiso-24h'!H80)</f>
        <v>0.5</v>
      </c>
      <c r="I80" s="49">
        <f>AVERAGE('26.07 Kampala-Wakiso-24h'!I80,'27.07 Kampala-Wakiso-24h'!I80)</f>
        <v>1</v>
      </c>
      <c r="J80" s="49">
        <f>AVERAGE('26.07 Kampala-Wakiso-24h'!J80,'27.07 Kampala-Wakiso-24h'!J80)</f>
        <v>0</v>
      </c>
      <c r="K80" s="49">
        <f>AVERAGE('26.07 Kampala-Wakiso-24h'!K80,'27.07 Kampala-Wakiso-24h'!K80)</f>
        <v>0</v>
      </c>
      <c r="L80" s="49">
        <f>AVERAGE('26.07 Kampala-Wakiso-24h'!L80,'27.07 Kampala-Wakiso-24h'!L80)</f>
        <v>0</v>
      </c>
      <c r="M80" s="49">
        <f>AVERAGE('26.07 Kampala-Wakiso-24h'!M80,'27.07 Kampala-Wakiso-24h'!M80)</f>
        <v>21.5</v>
      </c>
      <c r="N80" s="49">
        <f>AVERAGE('26.07 Kampala-Wakiso-24h'!N80,'27.07 Kampala-Wakiso-24h'!N80)</f>
        <v>0</v>
      </c>
      <c r="O80" s="15">
        <f t="shared" si="35"/>
        <v>37</v>
      </c>
      <c r="P80" s="15">
        <f t="shared" si="36"/>
        <v>58.5</v>
      </c>
      <c r="R80" s="8"/>
      <c r="T80"/>
    </row>
    <row r="81" spans="2:20" ht="23.1" customHeight="1" x14ac:dyDescent="0.25">
      <c r="B81" s="23" t="s">
        <v>121</v>
      </c>
      <c r="C81" s="49">
        <f>AVERAGE('26.07 Kampala-Wakiso-24h'!C81,'27.07 Kampala-Wakiso-24h'!C81)</f>
        <v>16.5</v>
      </c>
      <c r="D81" s="49">
        <f>AVERAGE('26.07 Kampala-Wakiso-24h'!D81,'27.07 Kampala-Wakiso-24h'!D81)</f>
        <v>18</v>
      </c>
      <c r="E81" s="49">
        <f>AVERAGE('26.07 Kampala-Wakiso-24h'!E81,'27.07 Kampala-Wakiso-24h'!E81)</f>
        <v>2.5</v>
      </c>
      <c r="F81" s="49">
        <f>AVERAGE('26.07 Kampala-Wakiso-24h'!F81,'27.07 Kampala-Wakiso-24h'!F81)</f>
        <v>13</v>
      </c>
      <c r="G81" s="49">
        <f>AVERAGE('26.07 Kampala-Wakiso-24h'!G81,'27.07 Kampala-Wakiso-24h'!G81)</f>
        <v>0</v>
      </c>
      <c r="H81" s="49">
        <f>AVERAGE('26.07 Kampala-Wakiso-24h'!H81,'27.07 Kampala-Wakiso-24h'!H81)</f>
        <v>0</v>
      </c>
      <c r="I81" s="49">
        <f>AVERAGE('26.07 Kampala-Wakiso-24h'!I81,'27.07 Kampala-Wakiso-24h'!I81)</f>
        <v>0.5</v>
      </c>
      <c r="J81" s="49">
        <f>AVERAGE('26.07 Kampala-Wakiso-24h'!J81,'27.07 Kampala-Wakiso-24h'!J81)</f>
        <v>0</v>
      </c>
      <c r="K81" s="49">
        <f>AVERAGE('26.07 Kampala-Wakiso-24h'!K81,'27.07 Kampala-Wakiso-24h'!K81)</f>
        <v>0</v>
      </c>
      <c r="L81" s="49">
        <f>AVERAGE('26.07 Kampala-Wakiso-24h'!L81,'27.07 Kampala-Wakiso-24h'!L81)</f>
        <v>0</v>
      </c>
      <c r="M81" s="49">
        <f>AVERAGE('26.07 Kampala-Wakiso-24h'!M81,'27.07 Kampala-Wakiso-24h'!M81)</f>
        <v>53.5</v>
      </c>
      <c r="N81" s="49">
        <f>AVERAGE('26.07 Kampala-Wakiso-24h'!N81,'27.07 Kampala-Wakiso-24h'!N81)</f>
        <v>0</v>
      </c>
      <c r="O81" s="15">
        <f t="shared" si="35"/>
        <v>50.5</v>
      </c>
      <c r="P81" s="15">
        <f t="shared" si="36"/>
        <v>104</v>
      </c>
      <c r="R81" s="8"/>
      <c r="T81"/>
    </row>
    <row r="82" spans="2:20" ht="23.1" customHeight="1" x14ac:dyDescent="0.25">
      <c r="B82" s="24" t="s">
        <v>122</v>
      </c>
      <c r="C82" s="49">
        <f>AVERAGE('26.07 Kampala-Wakiso-24h'!C82,'27.07 Kampala-Wakiso-24h'!C82)</f>
        <v>31</v>
      </c>
      <c r="D82" s="49">
        <f>AVERAGE('26.07 Kampala-Wakiso-24h'!D82,'27.07 Kampala-Wakiso-24h'!D82)</f>
        <v>19.5</v>
      </c>
      <c r="E82" s="49">
        <f>AVERAGE('26.07 Kampala-Wakiso-24h'!E82,'27.07 Kampala-Wakiso-24h'!E82)</f>
        <v>2.5</v>
      </c>
      <c r="F82" s="49">
        <f>AVERAGE('26.07 Kampala-Wakiso-24h'!F82,'27.07 Kampala-Wakiso-24h'!F82)</f>
        <v>11.5</v>
      </c>
      <c r="G82" s="49">
        <f>AVERAGE('26.07 Kampala-Wakiso-24h'!G82,'27.07 Kampala-Wakiso-24h'!G82)</f>
        <v>0</v>
      </c>
      <c r="H82" s="49">
        <f>AVERAGE('26.07 Kampala-Wakiso-24h'!H82,'27.07 Kampala-Wakiso-24h'!H82)</f>
        <v>0</v>
      </c>
      <c r="I82" s="49">
        <f>AVERAGE('26.07 Kampala-Wakiso-24h'!I82,'27.07 Kampala-Wakiso-24h'!I82)</f>
        <v>1.5</v>
      </c>
      <c r="J82" s="49">
        <f>AVERAGE('26.07 Kampala-Wakiso-24h'!J82,'27.07 Kampala-Wakiso-24h'!J82)</f>
        <v>3</v>
      </c>
      <c r="K82" s="49">
        <f>AVERAGE('26.07 Kampala-Wakiso-24h'!K82,'27.07 Kampala-Wakiso-24h'!K82)</f>
        <v>0</v>
      </c>
      <c r="L82" s="49">
        <f>AVERAGE('26.07 Kampala-Wakiso-24h'!L82,'27.07 Kampala-Wakiso-24h'!L82)</f>
        <v>0.5</v>
      </c>
      <c r="M82" s="49">
        <f>AVERAGE('26.07 Kampala-Wakiso-24h'!M82,'27.07 Kampala-Wakiso-24h'!M82)</f>
        <v>32.5</v>
      </c>
      <c r="N82" s="49">
        <f>AVERAGE('26.07 Kampala-Wakiso-24h'!N82,'27.07 Kampala-Wakiso-24h'!N82)</f>
        <v>0</v>
      </c>
      <c r="O82" s="15">
        <f t="shared" si="35"/>
        <v>69.5</v>
      </c>
      <c r="P82" s="15">
        <f t="shared" si="36"/>
        <v>102</v>
      </c>
      <c r="R82" s="8"/>
      <c r="T82"/>
    </row>
    <row r="83" spans="2:20" ht="23.1" customHeight="1" x14ac:dyDescent="0.25">
      <c r="B83" s="23" t="s">
        <v>123</v>
      </c>
      <c r="C83" s="49">
        <f>AVERAGE('26.07 Kampala-Wakiso-24h'!C83,'27.07 Kampala-Wakiso-24h'!C83)</f>
        <v>17.5</v>
      </c>
      <c r="D83" s="49">
        <f>AVERAGE('26.07 Kampala-Wakiso-24h'!D83,'27.07 Kampala-Wakiso-24h'!D83)</f>
        <v>9.5</v>
      </c>
      <c r="E83" s="49">
        <f>AVERAGE('26.07 Kampala-Wakiso-24h'!E83,'27.07 Kampala-Wakiso-24h'!E83)</f>
        <v>0.5</v>
      </c>
      <c r="F83" s="49">
        <f>AVERAGE('26.07 Kampala-Wakiso-24h'!F83,'27.07 Kampala-Wakiso-24h'!F83)</f>
        <v>4</v>
      </c>
      <c r="G83" s="49">
        <f>AVERAGE('26.07 Kampala-Wakiso-24h'!G83,'27.07 Kampala-Wakiso-24h'!G83)</f>
        <v>0</v>
      </c>
      <c r="H83" s="49">
        <f>AVERAGE('26.07 Kampala-Wakiso-24h'!H83,'27.07 Kampala-Wakiso-24h'!H83)</f>
        <v>0</v>
      </c>
      <c r="I83" s="49">
        <f>AVERAGE('26.07 Kampala-Wakiso-24h'!I83,'27.07 Kampala-Wakiso-24h'!I83)</f>
        <v>1.5</v>
      </c>
      <c r="J83" s="49">
        <f>AVERAGE('26.07 Kampala-Wakiso-24h'!J83,'27.07 Kampala-Wakiso-24h'!J83)</f>
        <v>1.5</v>
      </c>
      <c r="K83" s="49">
        <f>AVERAGE('26.07 Kampala-Wakiso-24h'!K83,'27.07 Kampala-Wakiso-24h'!K83)</f>
        <v>1.5</v>
      </c>
      <c r="L83" s="49">
        <f>AVERAGE('26.07 Kampala-Wakiso-24h'!L83,'27.07 Kampala-Wakiso-24h'!L83)</f>
        <v>0</v>
      </c>
      <c r="M83" s="49">
        <f>AVERAGE('26.07 Kampala-Wakiso-24h'!M83,'27.07 Kampala-Wakiso-24h'!M83)</f>
        <v>37.5</v>
      </c>
      <c r="N83" s="49">
        <f>AVERAGE('26.07 Kampala-Wakiso-24h'!N83,'27.07 Kampala-Wakiso-24h'!N83)</f>
        <v>0</v>
      </c>
      <c r="O83" s="15">
        <f t="shared" si="35"/>
        <v>36</v>
      </c>
      <c r="P83" s="15">
        <f t="shared" si="36"/>
        <v>73.5</v>
      </c>
      <c r="R83" s="8"/>
      <c r="T83"/>
    </row>
    <row r="84" spans="2:20" ht="23.1" customHeight="1" x14ac:dyDescent="0.25">
      <c r="B84" s="25" t="s">
        <v>124</v>
      </c>
      <c r="C84" s="49">
        <f>AVERAGE('26.07 Kampala-Wakiso-24h'!C84,'27.07 Kampala-Wakiso-24h'!C84)</f>
        <v>15.5</v>
      </c>
      <c r="D84" s="49">
        <f>AVERAGE('26.07 Kampala-Wakiso-24h'!D84,'27.07 Kampala-Wakiso-24h'!D84)</f>
        <v>16</v>
      </c>
      <c r="E84" s="49">
        <f>AVERAGE('26.07 Kampala-Wakiso-24h'!E84,'27.07 Kampala-Wakiso-24h'!E84)</f>
        <v>6</v>
      </c>
      <c r="F84" s="49">
        <f>AVERAGE('26.07 Kampala-Wakiso-24h'!F84,'27.07 Kampala-Wakiso-24h'!F84)</f>
        <v>14</v>
      </c>
      <c r="G84" s="49">
        <f>AVERAGE('26.07 Kampala-Wakiso-24h'!G84,'27.07 Kampala-Wakiso-24h'!G84)</f>
        <v>0.5</v>
      </c>
      <c r="H84" s="49">
        <f>AVERAGE('26.07 Kampala-Wakiso-24h'!H84,'27.07 Kampala-Wakiso-24h'!H84)</f>
        <v>0.5</v>
      </c>
      <c r="I84" s="49">
        <f>AVERAGE('26.07 Kampala-Wakiso-24h'!I84,'27.07 Kampala-Wakiso-24h'!I84)</f>
        <v>1.5</v>
      </c>
      <c r="J84" s="49">
        <f>AVERAGE('26.07 Kampala-Wakiso-24h'!J84,'27.07 Kampala-Wakiso-24h'!J84)</f>
        <v>0</v>
      </c>
      <c r="K84" s="49">
        <f>AVERAGE('26.07 Kampala-Wakiso-24h'!K84,'27.07 Kampala-Wakiso-24h'!K84)</f>
        <v>0</v>
      </c>
      <c r="L84" s="49">
        <f>AVERAGE('26.07 Kampala-Wakiso-24h'!L84,'27.07 Kampala-Wakiso-24h'!L84)</f>
        <v>0</v>
      </c>
      <c r="M84" s="49">
        <f>AVERAGE('26.07 Kampala-Wakiso-24h'!M84,'27.07 Kampala-Wakiso-24h'!M84)</f>
        <v>26.5</v>
      </c>
      <c r="N84" s="49">
        <f>AVERAGE('26.07 Kampala-Wakiso-24h'!N84,'27.07 Kampala-Wakiso-24h'!N84)</f>
        <v>0</v>
      </c>
      <c r="O84" s="15">
        <f t="shared" si="35"/>
        <v>54</v>
      </c>
      <c r="P84" s="15">
        <f t="shared" si="36"/>
        <v>80.5</v>
      </c>
      <c r="R84" s="8"/>
      <c r="T84"/>
    </row>
    <row r="85" spans="2:20" ht="23.1" customHeight="1" x14ac:dyDescent="0.25">
      <c r="B85" s="23" t="s">
        <v>125</v>
      </c>
      <c r="C85" s="49">
        <f>AVERAGE('26.07 Kampala-Wakiso-24h'!C85,'27.07 Kampala-Wakiso-24h'!C85)</f>
        <v>14</v>
      </c>
      <c r="D85" s="49">
        <f>AVERAGE('26.07 Kampala-Wakiso-24h'!D85,'27.07 Kampala-Wakiso-24h'!D85)</f>
        <v>5</v>
      </c>
      <c r="E85" s="49">
        <f>AVERAGE('26.07 Kampala-Wakiso-24h'!E85,'27.07 Kampala-Wakiso-24h'!E85)</f>
        <v>4.5</v>
      </c>
      <c r="F85" s="49">
        <f>AVERAGE('26.07 Kampala-Wakiso-24h'!F85,'27.07 Kampala-Wakiso-24h'!F85)</f>
        <v>17.5</v>
      </c>
      <c r="G85" s="49">
        <f>AVERAGE('26.07 Kampala-Wakiso-24h'!G85,'27.07 Kampala-Wakiso-24h'!G85)</f>
        <v>1</v>
      </c>
      <c r="H85" s="49">
        <f>AVERAGE('26.07 Kampala-Wakiso-24h'!H85,'27.07 Kampala-Wakiso-24h'!H85)</f>
        <v>0</v>
      </c>
      <c r="I85" s="49">
        <f>AVERAGE('26.07 Kampala-Wakiso-24h'!I85,'27.07 Kampala-Wakiso-24h'!I85)</f>
        <v>0</v>
      </c>
      <c r="J85" s="49">
        <f>AVERAGE('26.07 Kampala-Wakiso-24h'!J85,'27.07 Kampala-Wakiso-24h'!J85)</f>
        <v>0</v>
      </c>
      <c r="K85" s="49">
        <f>AVERAGE('26.07 Kampala-Wakiso-24h'!K85,'27.07 Kampala-Wakiso-24h'!K85)</f>
        <v>0</v>
      </c>
      <c r="L85" s="49">
        <f>AVERAGE('26.07 Kampala-Wakiso-24h'!L85,'27.07 Kampala-Wakiso-24h'!L85)</f>
        <v>0</v>
      </c>
      <c r="M85" s="49">
        <f>AVERAGE('26.07 Kampala-Wakiso-24h'!M85,'27.07 Kampala-Wakiso-24h'!M85)</f>
        <v>22.5</v>
      </c>
      <c r="N85" s="49">
        <f>AVERAGE('26.07 Kampala-Wakiso-24h'!N85,'27.07 Kampala-Wakiso-24h'!N85)</f>
        <v>0</v>
      </c>
      <c r="O85" s="15">
        <f t="shared" si="35"/>
        <v>42</v>
      </c>
      <c r="P85" s="15">
        <f t="shared" si="36"/>
        <v>64.5</v>
      </c>
      <c r="R85" s="8"/>
      <c r="T85"/>
    </row>
    <row r="86" spans="2:20" ht="23.1" customHeight="1" x14ac:dyDescent="0.25">
      <c r="B86" s="24" t="s">
        <v>126</v>
      </c>
      <c r="C86" s="49">
        <f>AVERAGE('26.07 Kampala-Wakiso-24h'!C86,'27.07 Kampala-Wakiso-24h'!C86)</f>
        <v>12</v>
      </c>
      <c r="D86" s="49">
        <f>AVERAGE('26.07 Kampala-Wakiso-24h'!D86,'27.07 Kampala-Wakiso-24h'!D86)</f>
        <v>10</v>
      </c>
      <c r="E86" s="49">
        <f>AVERAGE('26.07 Kampala-Wakiso-24h'!E86,'27.07 Kampala-Wakiso-24h'!E86)</f>
        <v>1.5</v>
      </c>
      <c r="F86" s="49">
        <f>AVERAGE('26.07 Kampala-Wakiso-24h'!F86,'27.07 Kampala-Wakiso-24h'!F86)</f>
        <v>6.5</v>
      </c>
      <c r="G86" s="49">
        <f>AVERAGE('26.07 Kampala-Wakiso-24h'!G86,'27.07 Kampala-Wakiso-24h'!G86)</f>
        <v>0</v>
      </c>
      <c r="H86" s="49">
        <f>AVERAGE('26.07 Kampala-Wakiso-24h'!H86,'27.07 Kampala-Wakiso-24h'!H86)</f>
        <v>0</v>
      </c>
      <c r="I86" s="49">
        <f>AVERAGE('26.07 Kampala-Wakiso-24h'!I86,'27.07 Kampala-Wakiso-24h'!I86)</f>
        <v>2.5</v>
      </c>
      <c r="J86" s="49">
        <f>AVERAGE('26.07 Kampala-Wakiso-24h'!J86,'27.07 Kampala-Wakiso-24h'!J86)</f>
        <v>0</v>
      </c>
      <c r="K86" s="49">
        <f>AVERAGE('26.07 Kampala-Wakiso-24h'!K86,'27.07 Kampala-Wakiso-24h'!K86)</f>
        <v>0.5</v>
      </c>
      <c r="L86" s="49">
        <f>AVERAGE('26.07 Kampala-Wakiso-24h'!L86,'27.07 Kampala-Wakiso-24h'!L86)</f>
        <v>0.5</v>
      </c>
      <c r="M86" s="49">
        <f>AVERAGE('26.07 Kampala-Wakiso-24h'!M86,'27.07 Kampala-Wakiso-24h'!M86)</f>
        <v>25.5</v>
      </c>
      <c r="N86" s="49">
        <f>AVERAGE('26.07 Kampala-Wakiso-24h'!N86,'27.07 Kampala-Wakiso-24h'!N86)</f>
        <v>0</v>
      </c>
      <c r="O86" s="15">
        <f t="shared" si="35"/>
        <v>33.5</v>
      </c>
      <c r="P86" s="15">
        <f t="shared" si="36"/>
        <v>59</v>
      </c>
      <c r="R86" s="8"/>
      <c r="T86"/>
    </row>
    <row r="87" spans="2:20" ht="23.1" customHeight="1" x14ac:dyDescent="0.25">
      <c r="B87" s="23" t="s">
        <v>127</v>
      </c>
      <c r="C87" s="49">
        <f>AVERAGE('26.07 Kampala-Wakiso-24h'!C87,'27.07 Kampala-Wakiso-24h'!C87)</f>
        <v>11.5</v>
      </c>
      <c r="D87" s="49">
        <f>AVERAGE('26.07 Kampala-Wakiso-24h'!D87,'27.07 Kampala-Wakiso-24h'!D87)</f>
        <v>6.5</v>
      </c>
      <c r="E87" s="49">
        <f>AVERAGE('26.07 Kampala-Wakiso-24h'!E87,'27.07 Kampala-Wakiso-24h'!E87)</f>
        <v>1.5</v>
      </c>
      <c r="F87" s="49">
        <f>AVERAGE('26.07 Kampala-Wakiso-24h'!F87,'27.07 Kampala-Wakiso-24h'!F87)</f>
        <v>7.5</v>
      </c>
      <c r="G87" s="49">
        <f>AVERAGE('26.07 Kampala-Wakiso-24h'!G87,'27.07 Kampala-Wakiso-24h'!G87)</f>
        <v>0</v>
      </c>
      <c r="H87" s="49">
        <f>AVERAGE('26.07 Kampala-Wakiso-24h'!H87,'27.07 Kampala-Wakiso-24h'!H87)</f>
        <v>0</v>
      </c>
      <c r="I87" s="49">
        <f>AVERAGE('26.07 Kampala-Wakiso-24h'!I87,'27.07 Kampala-Wakiso-24h'!I87)</f>
        <v>0.5</v>
      </c>
      <c r="J87" s="49">
        <f>AVERAGE('26.07 Kampala-Wakiso-24h'!J87,'27.07 Kampala-Wakiso-24h'!J87)</f>
        <v>1.5</v>
      </c>
      <c r="K87" s="49">
        <f>AVERAGE('26.07 Kampala-Wakiso-24h'!K87,'27.07 Kampala-Wakiso-24h'!K87)</f>
        <v>0</v>
      </c>
      <c r="L87" s="49">
        <f>AVERAGE('26.07 Kampala-Wakiso-24h'!L87,'27.07 Kampala-Wakiso-24h'!L87)</f>
        <v>0</v>
      </c>
      <c r="M87" s="49">
        <f>AVERAGE('26.07 Kampala-Wakiso-24h'!M87,'27.07 Kampala-Wakiso-24h'!M87)</f>
        <v>17.5</v>
      </c>
      <c r="N87" s="49">
        <f>AVERAGE('26.07 Kampala-Wakiso-24h'!N87,'27.07 Kampala-Wakiso-24h'!N87)</f>
        <v>0</v>
      </c>
      <c r="O87" s="15">
        <f t="shared" si="35"/>
        <v>29</v>
      </c>
      <c r="P87" s="15">
        <f t="shared" si="36"/>
        <v>46.5</v>
      </c>
      <c r="R87" s="8"/>
      <c r="T87"/>
    </row>
    <row r="88" spans="2:20" ht="23.1" customHeight="1" x14ac:dyDescent="0.25">
      <c r="B88" s="25" t="s">
        <v>128</v>
      </c>
      <c r="C88" s="49">
        <f>AVERAGE('26.07 Kampala-Wakiso-24h'!C88,'27.07 Kampala-Wakiso-24h'!C88)</f>
        <v>11.5</v>
      </c>
      <c r="D88" s="49">
        <f>AVERAGE('26.07 Kampala-Wakiso-24h'!D88,'27.07 Kampala-Wakiso-24h'!D88)</f>
        <v>7.5</v>
      </c>
      <c r="E88" s="49">
        <f>AVERAGE('26.07 Kampala-Wakiso-24h'!E88,'27.07 Kampala-Wakiso-24h'!E88)</f>
        <v>1.5</v>
      </c>
      <c r="F88" s="49">
        <f>AVERAGE('26.07 Kampala-Wakiso-24h'!F88,'27.07 Kampala-Wakiso-24h'!F88)</f>
        <v>11.5</v>
      </c>
      <c r="G88" s="49">
        <f>AVERAGE('26.07 Kampala-Wakiso-24h'!G88,'27.07 Kampala-Wakiso-24h'!G88)</f>
        <v>0</v>
      </c>
      <c r="H88" s="49">
        <f>AVERAGE('26.07 Kampala-Wakiso-24h'!H88,'27.07 Kampala-Wakiso-24h'!H88)</f>
        <v>0</v>
      </c>
      <c r="I88" s="49">
        <f>AVERAGE('26.07 Kampala-Wakiso-24h'!I88,'27.07 Kampala-Wakiso-24h'!I88)</f>
        <v>2</v>
      </c>
      <c r="J88" s="49">
        <f>AVERAGE('26.07 Kampala-Wakiso-24h'!J88,'27.07 Kampala-Wakiso-24h'!J88)</f>
        <v>0.5</v>
      </c>
      <c r="K88" s="49">
        <f>AVERAGE('26.07 Kampala-Wakiso-24h'!K88,'27.07 Kampala-Wakiso-24h'!K88)</f>
        <v>0</v>
      </c>
      <c r="L88" s="49">
        <f>AVERAGE('26.07 Kampala-Wakiso-24h'!L88,'27.07 Kampala-Wakiso-24h'!L88)</f>
        <v>0.5</v>
      </c>
      <c r="M88" s="49">
        <f>AVERAGE('26.07 Kampala-Wakiso-24h'!M88,'27.07 Kampala-Wakiso-24h'!M88)</f>
        <v>27.5</v>
      </c>
      <c r="N88" s="49">
        <f>AVERAGE('26.07 Kampala-Wakiso-24h'!N88,'27.07 Kampala-Wakiso-24h'!N88)</f>
        <v>0</v>
      </c>
      <c r="O88" s="15">
        <f t="shared" si="35"/>
        <v>35</v>
      </c>
      <c r="P88" s="15">
        <f t="shared" si="36"/>
        <v>62.5</v>
      </c>
      <c r="R88" s="8"/>
      <c r="T88"/>
    </row>
    <row r="89" spans="2:20" ht="23.1" customHeight="1" x14ac:dyDescent="0.25">
      <c r="B89" s="23" t="s">
        <v>129</v>
      </c>
      <c r="C89" s="49">
        <f>AVERAGE('26.07 Kampala-Wakiso-24h'!C89,'27.07 Kampala-Wakiso-24h'!C89)</f>
        <v>13.5</v>
      </c>
      <c r="D89" s="49">
        <f>AVERAGE('26.07 Kampala-Wakiso-24h'!D89,'27.07 Kampala-Wakiso-24h'!D89)</f>
        <v>9</v>
      </c>
      <c r="E89" s="49">
        <f>AVERAGE('26.07 Kampala-Wakiso-24h'!E89,'27.07 Kampala-Wakiso-24h'!E89)</f>
        <v>2</v>
      </c>
      <c r="F89" s="49">
        <f>AVERAGE('26.07 Kampala-Wakiso-24h'!F89,'27.07 Kampala-Wakiso-24h'!F89)</f>
        <v>9</v>
      </c>
      <c r="G89" s="49">
        <f>AVERAGE('26.07 Kampala-Wakiso-24h'!G89,'27.07 Kampala-Wakiso-24h'!G89)</f>
        <v>0</v>
      </c>
      <c r="H89" s="49">
        <f>AVERAGE('26.07 Kampala-Wakiso-24h'!H89,'27.07 Kampala-Wakiso-24h'!H89)</f>
        <v>0</v>
      </c>
      <c r="I89" s="49">
        <f>AVERAGE('26.07 Kampala-Wakiso-24h'!I89,'27.07 Kampala-Wakiso-24h'!I89)</f>
        <v>3</v>
      </c>
      <c r="J89" s="49">
        <f>AVERAGE('26.07 Kampala-Wakiso-24h'!J89,'27.07 Kampala-Wakiso-24h'!J89)</f>
        <v>0</v>
      </c>
      <c r="K89" s="49">
        <f>AVERAGE('26.07 Kampala-Wakiso-24h'!K89,'27.07 Kampala-Wakiso-24h'!K89)</f>
        <v>1.5</v>
      </c>
      <c r="L89" s="49">
        <f>AVERAGE('26.07 Kampala-Wakiso-24h'!L89,'27.07 Kampala-Wakiso-24h'!L89)</f>
        <v>0.5</v>
      </c>
      <c r="M89" s="49">
        <f>AVERAGE('26.07 Kampala-Wakiso-24h'!M89,'27.07 Kampala-Wakiso-24h'!M89)</f>
        <v>29.5</v>
      </c>
      <c r="N89" s="49">
        <f>AVERAGE('26.07 Kampala-Wakiso-24h'!N89,'27.07 Kampala-Wakiso-24h'!N89)</f>
        <v>0</v>
      </c>
      <c r="O89" s="15">
        <f t="shared" si="35"/>
        <v>38.5</v>
      </c>
      <c r="P89" s="15">
        <f t="shared" si="36"/>
        <v>68</v>
      </c>
      <c r="R89" s="8"/>
      <c r="T89"/>
    </row>
    <row r="90" spans="2:20" ht="23.1" customHeight="1" x14ac:dyDescent="0.25">
      <c r="B90" s="24" t="s">
        <v>130</v>
      </c>
      <c r="C90" s="49">
        <f>AVERAGE('26.07 Kampala-Wakiso-24h'!C90,'27.07 Kampala-Wakiso-24h'!C90)</f>
        <v>19</v>
      </c>
      <c r="D90" s="49">
        <f>AVERAGE('26.07 Kampala-Wakiso-24h'!D90,'27.07 Kampala-Wakiso-24h'!D90)</f>
        <v>16</v>
      </c>
      <c r="E90" s="49">
        <f>AVERAGE('26.07 Kampala-Wakiso-24h'!E90,'27.07 Kampala-Wakiso-24h'!E90)</f>
        <v>1.5</v>
      </c>
      <c r="F90" s="49">
        <f>AVERAGE('26.07 Kampala-Wakiso-24h'!F90,'27.07 Kampala-Wakiso-24h'!F90)</f>
        <v>10.5</v>
      </c>
      <c r="G90" s="49">
        <f>AVERAGE('26.07 Kampala-Wakiso-24h'!G90,'27.07 Kampala-Wakiso-24h'!G90)</f>
        <v>0.5</v>
      </c>
      <c r="H90" s="49">
        <f>AVERAGE('26.07 Kampala-Wakiso-24h'!H90,'27.07 Kampala-Wakiso-24h'!H90)</f>
        <v>0</v>
      </c>
      <c r="I90" s="49">
        <f>AVERAGE('26.07 Kampala-Wakiso-24h'!I90,'27.07 Kampala-Wakiso-24h'!I90)</f>
        <v>5</v>
      </c>
      <c r="J90" s="49">
        <f>AVERAGE('26.07 Kampala-Wakiso-24h'!J90,'27.07 Kampala-Wakiso-24h'!J90)</f>
        <v>1.5</v>
      </c>
      <c r="K90" s="49">
        <f>AVERAGE('26.07 Kampala-Wakiso-24h'!K90,'27.07 Kampala-Wakiso-24h'!K90)</f>
        <v>1</v>
      </c>
      <c r="L90" s="49">
        <f>AVERAGE('26.07 Kampala-Wakiso-24h'!L90,'27.07 Kampala-Wakiso-24h'!L90)</f>
        <v>0</v>
      </c>
      <c r="M90" s="49">
        <f>AVERAGE('26.07 Kampala-Wakiso-24h'!M90,'27.07 Kampala-Wakiso-24h'!M90)</f>
        <v>7.5</v>
      </c>
      <c r="N90" s="49">
        <f>AVERAGE('26.07 Kampala-Wakiso-24h'!N90,'27.07 Kampala-Wakiso-24h'!N90)</f>
        <v>0</v>
      </c>
      <c r="O90" s="15">
        <f t="shared" si="35"/>
        <v>55</v>
      </c>
      <c r="P90" s="15">
        <f t="shared" si="36"/>
        <v>62.5</v>
      </c>
      <c r="R90" s="8"/>
      <c r="T90"/>
    </row>
    <row r="91" spans="2:20" ht="23.1" customHeight="1" x14ac:dyDescent="0.25">
      <c r="B91" s="23" t="s">
        <v>131</v>
      </c>
      <c r="C91" s="49">
        <f>AVERAGE('26.07 Kampala-Wakiso-24h'!C91,'27.07 Kampala-Wakiso-24h'!C91)</f>
        <v>13.5</v>
      </c>
      <c r="D91" s="49">
        <f>AVERAGE('26.07 Kampala-Wakiso-24h'!D91,'27.07 Kampala-Wakiso-24h'!D91)</f>
        <v>8</v>
      </c>
      <c r="E91" s="49">
        <f>AVERAGE('26.07 Kampala-Wakiso-24h'!E91,'27.07 Kampala-Wakiso-24h'!E91)</f>
        <v>1</v>
      </c>
      <c r="F91" s="49">
        <f>AVERAGE('26.07 Kampala-Wakiso-24h'!F91,'27.07 Kampala-Wakiso-24h'!F91)</f>
        <v>6</v>
      </c>
      <c r="G91" s="49">
        <f>AVERAGE('26.07 Kampala-Wakiso-24h'!G91,'27.07 Kampala-Wakiso-24h'!G91)</f>
        <v>0</v>
      </c>
      <c r="H91" s="49">
        <f>AVERAGE('26.07 Kampala-Wakiso-24h'!H91,'27.07 Kampala-Wakiso-24h'!H91)</f>
        <v>0</v>
      </c>
      <c r="I91" s="49">
        <f>AVERAGE('26.07 Kampala-Wakiso-24h'!I91,'27.07 Kampala-Wakiso-24h'!I91)</f>
        <v>0</v>
      </c>
      <c r="J91" s="49">
        <f>AVERAGE('26.07 Kampala-Wakiso-24h'!J91,'27.07 Kampala-Wakiso-24h'!J91)</f>
        <v>1.5</v>
      </c>
      <c r="K91" s="49">
        <f>AVERAGE('26.07 Kampala-Wakiso-24h'!K91,'27.07 Kampala-Wakiso-24h'!K91)</f>
        <v>1</v>
      </c>
      <c r="L91" s="49">
        <f>AVERAGE('26.07 Kampala-Wakiso-24h'!L91,'27.07 Kampala-Wakiso-24h'!L91)</f>
        <v>0.5</v>
      </c>
      <c r="M91" s="49">
        <f>AVERAGE('26.07 Kampala-Wakiso-24h'!M91,'27.07 Kampala-Wakiso-24h'!M91)</f>
        <v>9.5</v>
      </c>
      <c r="N91" s="49">
        <f>AVERAGE('26.07 Kampala-Wakiso-24h'!N91,'27.07 Kampala-Wakiso-24h'!N91)</f>
        <v>0</v>
      </c>
      <c r="O91" s="15">
        <f t="shared" si="35"/>
        <v>31.5</v>
      </c>
      <c r="P91" s="15">
        <f t="shared" si="36"/>
        <v>41</v>
      </c>
      <c r="R91" s="8"/>
      <c r="T91"/>
    </row>
    <row r="92" spans="2:20" ht="23.1" customHeight="1" x14ac:dyDescent="0.25">
      <c r="B92" s="25" t="s">
        <v>132</v>
      </c>
      <c r="C92" s="49">
        <f>AVERAGE('26.07 Kampala-Wakiso-24h'!C92,'27.07 Kampala-Wakiso-24h'!C92)</f>
        <v>4.5</v>
      </c>
      <c r="D92" s="49">
        <f>AVERAGE('26.07 Kampala-Wakiso-24h'!D92,'27.07 Kampala-Wakiso-24h'!D92)</f>
        <v>7.5</v>
      </c>
      <c r="E92" s="49">
        <f>AVERAGE('26.07 Kampala-Wakiso-24h'!E92,'27.07 Kampala-Wakiso-24h'!E92)</f>
        <v>2</v>
      </c>
      <c r="F92" s="49">
        <f>AVERAGE('26.07 Kampala-Wakiso-24h'!F92,'27.07 Kampala-Wakiso-24h'!F92)</f>
        <v>0.5</v>
      </c>
      <c r="G92" s="49">
        <f>AVERAGE('26.07 Kampala-Wakiso-24h'!G92,'27.07 Kampala-Wakiso-24h'!G92)</f>
        <v>0</v>
      </c>
      <c r="H92" s="49">
        <f>AVERAGE('26.07 Kampala-Wakiso-24h'!H92,'27.07 Kampala-Wakiso-24h'!H92)</f>
        <v>0</v>
      </c>
      <c r="I92" s="49">
        <f>AVERAGE('26.07 Kampala-Wakiso-24h'!I92,'27.07 Kampala-Wakiso-24h'!I92)</f>
        <v>1</v>
      </c>
      <c r="J92" s="49">
        <f>AVERAGE('26.07 Kampala-Wakiso-24h'!J92,'27.07 Kampala-Wakiso-24h'!J92)</f>
        <v>1.5</v>
      </c>
      <c r="K92" s="49">
        <f>AVERAGE('26.07 Kampala-Wakiso-24h'!K92,'27.07 Kampala-Wakiso-24h'!K92)</f>
        <v>0</v>
      </c>
      <c r="L92" s="49">
        <f>AVERAGE('26.07 Kampala-Wakiso-24h'!L92,'27.07 Kampala-Wakiso-24h'!L92)</f>
        <v>0</v>
      </c>
      <c r="M92" s="49">
        <f>AVERAGE('26.07 Kampala-Wakiso-24h'!M92,'27.07 Kampala-Wakiso-24h'!M92)</f>
        <v>7.5</v>
      </c>
      <c r="N92" s="49">
        <f>AVERAGE('26.07 Kampala-Wakiso-24h'!N92,'27.07 Kampala-Wakiso-24h'!N92)</f>
        <v>0</v>
      </c>
      <c r="O92" s="15">
        <f t="shared" si="35"/>
        <v>17</v>
      </c>
      <c r="P92" s="15">
        <f t="shared" si="36"/>
        <v>24.5</v>
      </c>
      <c r="R92" s="8"/>
      <c r="T92"/>
    </row>
    <row r="93" spans="2:20" ht="23.1" customHeight="1" x14ac:dyDescent="0.25">
      <c r="B93" s="23" t="s">
        <v>133</v>
      </c>
      <c r="C93" s="49">
        <f>AVERAGE('26.07 Kampala-Wakiso-24h'!C93,'27.07 Kampala-Wakiso-24h'!C93)</f>
        <v>15</v>
      </c>
      <c r="D93" s="49">
        <f>AVERAGE('26.07 Kampala-Wakiso-24h'!D93,'27.07 Kampala-Wakiso-24h'!D93)</f>
        <v>7.5</v>
      </c>
      <c r="E93" s="49">
        <f>AVERAGE('26.07 Kampala-Wakiso-24h'!E93,'27.07 Kampala-Wakiso-24h'!E93)</f>
        <v>0.5</v>
      </c>
      <c r="F93" s="49">
        <f>AVERAGE('26.07 Kampala-Wakiso-24h'!F93,'27.07 Kampala-Wakiso-24h'!F93)</f>
        <v>3.5</v>
      </c>
      <c r="G93" s="49">
        <f>AVERAGE('26.07 Kampala-Wakiso-24h'!G93,'27.07 Kampala-Wakiso-24h'!G93)</f>
        <v>0</v>
      </c>
      <c r="H93" s="49">
        <f>AVERAGE('26.07 Kampala-Wakiso-24h'!H93,'27.07 Kampala-Wakiso-24h'!H93)</f>
        <v>0</v>
      </c>
      <c r="I93" s="49">
        <f>AVERAGE('26.07 Kampala-Wakiso-24h'!I93,'27.07 Kampala-Wakiso-24h'!I93)</f>
        <v>1.5</v>
      </c>
      <c r="J93" s="49">
        <f>AVERAGE('26.07 Kampala-Wakiso-24h'!J93,'27.07 Kampala-Wakiso-24h'!J93)</f>
        <v>0.5</v>
      </c>
      <c r="K93" s="49">
        <f>AVERAGE('26.07 Kampala-Wakiso-24h'!K93,'27.07 Kampala-Wakiso-24h'!K93)</f>
        <v>0.5</v>
      </c>
      <c r="L93" s="49">
        <f>AVERAGE('26.07 Kampala-Wakiso-24h'!L93,'27.07 Kampala-Wakiso-24h'!L93)</f>
        <v>0.5</v>
      </c>
      <c r="M93" s="49">
        <f>AVERAGE('26.07 Kampala-Wakiso-24h'!M93,'27.07 Kampala-Wakiso-24h'!M93)</f>
        <v>18.5</v>
      </c>
      <c r="N93" s="49">
        <f>AVERAGE('26.07 Kampala-Wakiso-24h'!N93,'27.07 Kampala-Wakiso-24h'!N93)</f>
        <v>0</v>
      </c>
      <c r="O93" s="15">
        <f t="shared" si="35"/>
        <v>29.5</v>
      </c>
      <c r="P93" s="15">
        <f t="shared" si="36"/>
        <v>48</v>
      </c>
      <c r="R93" s="8"/>
      <c r="T93"/>
    </row>
    <row r="94" spans="2:20" ht="23.1" customHeight="1" x14ac:dyDescent="0.25">
      <c r="B94" s="24" t="s">
        <v>134</v>
      </c>
      <c r="C94" s="49">
        <f>AVERAGE('26.07 Kampala-Wakiso-24h'!C94,'27.07 Kampala-Wakiso-24h'!C94)</f>
        <v>8.5</v>
      </c>
      <c r="D94" s="49">
        <f>AVERAGE('26.07 Kampala-Wakiso-24h'!D94,'27.07 Kampala-Wakiso-24h'!D94)</f>
        <v>3.5</v>
      </c>
      <c r="E94" s="49">
        <f>AVERAGE('26.07 Kampala-Wakiso-24h'!E94,'27.07 Kampala-Wakiso-24h'!E94)</f>
        <v>1</v>
      </c>
      <c r="F94" s="49">
        <f>AVERAGE('26.07 Kampala-Wakiso-24h'!F94,'27.07 Kampala-Wakiso-24h'!F94)</f>
        <v>0.5</v>
      </c>
      <c r="G94" s="49">
        <f>AVERAGE('26.07 Kampala-Wakiso-24h'!G94,'27.07 Kampala-Wakiso-24h'!G94)</f>
        <v>0</v>
      </c>
      <c r="H94" s="49">
        <f>AVERAGE('26.07 Kampala-Wakiso-24h'!H94,'27.07 Kampala-Wakiso-24h'!H94)</f>
        <v>0</v>
      </c>
      <c r="I94" s="49">
        <f>AVERAGE('26.07 Kampala-Wakiso-24h'!I94,'27.07 Kampala-Wakiso-24h'!I94)</f>
        <v>2</v>
      </c>
      <c r="J94" s="49">
        <f>AVERAGE('26.07 Kampala-Wakiso-24h'!J94,'27.07 Kampala-Wakiso-24h'!J94)</f>
        <v>1</v>
      </c>
      <c r="K94" s="49">
        <f>AVERAGE('26.07 Kampala-Wakiso-24h'!K94,'27.07 Kampala-Wakiso-24h'!K94)</f>
        <v>0</v>
      </c>
      <c r="L94" s="49">
        <f>AVERAGE('26.07 Kampala-Wakiso-24h'!L94,'27.07 Kampala-Wakiso-24h'!L94)</f>
        <v>0</v>
      </c>
      <c r="M94" s="49">
        <f>AVERAGE('26.07 Kampala-Wakiso-24h'!M94,'27.07 Kampala-Wakiso-24h'!M94)</f>
        <v>14.5</v>
      </c>
      <c r="N94" s="49">
        <f>AVERAGE('26.07 Kampala-Wakiso-24h'!N94,'27.07 Kampala-Wakiso-24h'!N94)</f>
        <v>0</v>
      </c>
      <c r="O94" s="15">
        <f t="shared" si="35"/>
        <v>16.5</v>
      </c>
      <c r="P94" s="15">
        <f t="shared" si="36"/>
        <v>31</v>
      </c>
      <c r="R94" s="8"/>
      <c r="T94"/>
    </row>
    <row r="95" spans="2:20" ht="23.1" customHeight="1" x14ac:dyDescent="0.25">
      <c r="B95" s="23" t="s">
        <v>135</v>
      </c>
      <c r="C95" s="49">
        <f>AVERAGE('26.07 Kampala-Wakiso-24h'!C95,'27.07 Kampala-Wakiso-24h'!C95)</f>
        <v>8</v>
      </c>
      <c r="D95" s="49">
        <f>AVERAGE('26.07 Kampala-Wakiso-24h'!D95,'27.07 Kampala-Wakiso-24h'!D95)</f>
        <v>5</v>
      </c>
      <c r="E95" s="49">
        <f>AVERAGE('26.07 Kampala-Wakiso-24h'!E95,'27.07 Kampala-Wakiso-24h'!E95)</f>
        <v>0</v>
      </c>
      <c r="F95" s="49">
        <f>AVERAGE('26.07 Kampala-Wakiso-24h'!F95,'27.07 Kampala-Wakiso-24h'!F95)</f>
        <v>3.5</v>
      </c>
      <c r="G95" s="49">
        <f>AVERAGE('26.07 Kampala-Wakiso-24h'!G95,'27.07 Kampala-Wakiso-24h'!G95)</f>
        <v>0</v>
      </c>
      <c r="H95" s="49">
        <f>AVERAGE('26.07 Kampala-Wakiso-24h'!H95,'27.07 Kampala-Wakiso-24h'!H95)</f>
        <v>0</v>
      </c>
      <c r="I95" s="49">
        <f>AVERAGE('26.07 Kampala-Wakiso-24h'!I95,'27.07 Kampala-Wakiso-24h'!I95)</f>
        <v>2</v>
      </c>
      <c r="J95" s="49">
        <f>AVERAGE('26.07 Kampala-Wakiso-24h'!J95,'27.07 Kampala-Wakiso-24h'!J95)</f>
        <v>2.5</v>
      </c>
      <c r="K95" s="49">
        <f>AVERAGE('26.07 Kampala-Wakiso-24h'!K95,'27.07 Kampala-Wakiso-24h'!K95)</f>
        <v>1</v>
      </c>
      <c r="L95" s="49">
        <f>AVERAGE('26.07 Kampala-Wakiso-24h'!L95,'27.07 Kampala-Wakiso-24h'!L95)</f>
        <v>1</v>
      </c>
      <c r="M95" s="49">
        <f>AVERAGE('26.07 Kampala-Wakiso-24h'!M95,'27.07 Kampala-Wakiso-24h'!M95)</f>
        <v>20.5</v>
      </c>
      <c r="N95" s="49">
        <f>AVERAGE('26.07 Kampala-Wakiso-24h'!N95,'27.07 Kampala-Wakiso-24h'!N95)</f>
        <v>0</v>
      </c>
      <c r="O95" s="15">
        <f t="shared" si="35"/>
        <v>23</v>
      </c>
      <c r="P95" s="15">
        <f t="shared" si="36"/>
        <v>43.5</v>
      </c>
      <c r="R95" s="8"/>
      <c r="T95"/>
    </row>
    <row r="96" spans="2:20" ht="23.1" customHeight="1" x14ac:dyDescent="0.25">
      <c r="B96" s="25" t="s">
        <v>136</v>
      </c>
      <c r="C96" s="49">
        <f>AVERAGE('26.07 Kampala-Wakiso-24h'!C96,'27.07 Kampala-Wakiso-24h'!C96)</f>
        <v>11.5</v>
      </c>
      <c r="D96" s="49">
        <f>AVERAGE('26.07 Kampala-Wakiso-24h'!D96,'27.07 Kampala-Wakiso-24h'!D96)</f>
        <v>3.5</v>
      </c>
      <c r="E96" s="49">
        <f>AVERAGE('26.07 Kampala-Wakiso-24h'!E96,'27.07 Kampala-Wakiso-24h'!E96)</f>
        <v>0</v>
      </c>
      <c r="F96" s="49">
        <f>AVERAGE('26.07 Kampala-Wakiso-24h'!F96,'27.07 Kampala-Wakiso-24h'!F96)</f>
        <v>6</v>
      </c>
      <c r="G96" s="49">
        <f>AVERAGE('26.07 Kampala-Wakiso-24h'!G96,'27.07 Kampala-Wakiso-24h'!G96)</f>
        <v>0</v>
      </c>
      <c r="H96" s="49">
        <f>AVERAGE('26.07 Kampala-Wakiso-24h'!H96,'27.07 Kampala-Wakiso-24h'!H96)</f>
        <v>0</v>
      </c>
      <c r="I96" s="49">
        <f>AVERAGE('26.07 Kampala-Wakiso-24h'!I96,'27.07 Kampala-Wakiso-24h'!I96)</f>
        <v>2.5</v>
      </c>
      <c r="J96" s="49">
        <f>AVERAGE('26.07 Kampala-Wakiso-24h'!J96,'27.07 Kampala-Wakiso-24h'!J96)</f>
        <v>2</v>
      </c>
      <c r="K96" s="49">
        <f>AVERAGE('26.07 Kampala-Wakiso-24h'!K96,'27.07 Kampala-Wakiso-24h'!K96)</f>
        <v>0.5</v>
      </c>
      <c r="L96" s="49">
        <f>AVERAGE('26.07 Kampala-Wakiso-24h'!L96,'27.07 Kampala-Wakiso-24h'!L96)</f>
        <v>0</v>
      </c>
      <c r="M96" s="49">
        <f>AVERAGE('26.07 Kampala-Wakiso-24h'!M96,'27.07 Kampala-Wakiso-24h'!M96)</f>
        <v>20</v>
      </c>
      <c r="N96" s="49">
        <f>AVERAGE('26.07 Kampala-Wakiso-24h'!N96,'27.07 Kampala-Wakiso-24h'!N96)</f>
        <v>0</v>
      </c>
      <c r="O96" s="15">
        <f t="shared" si="35"/>
        <v>26</v>
      </c>
      <c r="P96" s="15">
        <f t="shared" si="36"/>
        <v>46</v>
      </c>
      <c r="R96" s="8"/>
      <c r="T96"/>
    </row>
    <row r="97" spans="2:20" ht="23.1" customHeight="1" x14ac:dyDescent="0.25">
      <c r="B97" s="23" t="s">
        <v>137</v>
      </c>
      <c r="C97" s="49">
        <f>AVERAGE('26.07 Kampala-Wakiso-24h'!C97,'27.07 Kampala-Wakiso-24h'!C97)</f>
        <v>6</v>
      </c>
      <c r="D97" s="49">
        <f>AVERAGE('26.07 Kampala-Wakiso-24h'!D97,'27.07 Kampala-Wakiso-24h'!D97)</f>
        <v>2</v>
      </c>
      <c r="E97" s="49">
        <f>AVERAGE('26.07 Kampala-Wakiso-24h'!E97,'27.07 Kampala-Wakiso-24h'!E97)</f>
        <v>0</v>
      </c>
      <c r="F97" s="49">
        <f>AVERAGE('26.07 Kampala-Wakiso-24h'!F97,'27.07 Kampala-Wakiso-24h'!F97)</f>
        <v>3</v>
      </c>
      <c r="G97" s="49">
        <f>AVERAGE('26.07 Kampala-Wakiso-24h'!G97,'27.07 Kampala-Wakiso-24h'!G97)</f>
        <v>1</v>
      </c>
      <c r="H97" s="49">
        <f>AVERAGE('26.07 Kampala-Wakiso-24h'!H97,'27.07 Kampala-Wakiso-24h'!H97)</f>
        <v>0</v>
      </c>
      <c r="I97" s="49">
        <f>AVERAGE('26.07 Kampala-Wakiso-24h'!I97,'27.07 Kampala-Wakiso-24h'!I97)</f>
        <v>0.5</v>
      </c>
      <c r="J97" s="49">
        <f>AVERAGE('26.07 Kampala-Wakiso-24h'!J97,'27.07 Kampala-Wakiso-24h'!J97)</f>
        <v>0</v>
      </c>
      <c r="K97" s="49">
        <f>AVERAGE('26.07 Kampala-Wakiso-24h'!K97,'27.07 Kampala-Wakiso-24h'!K97)</f>
        <v>0.5</v>
      </c>
      <c r="L97" s="49">
        <f>AVERAGE('26.07 Kampala-Wakiso-24h'!L97,'27.07 Kampala-Wakiso-24h'!L97)</f>
        <v>0</v>
      </c>
      <c r="M97" s="49">
        <f>AVERAGE('26.07 Kampala-Wakiso-24h'!M97,'27.07 Kampala-Wakiso-24h'!M97)</f>
        <v>21.5</v>
      </c>
      <c r="N97" s="49">
        <f>AVERAGE('26.07 Kampala-Wakiso-24h'!N97,'27.07 Kampala-Wakiso-24h'!N97)</f>
        <v>0</v>
      </c>
      <c r="O97" s="15">
        <f t="shared" si="35"/>
        <v>13</v>
      </c>
      <c r="P97" s="15">
        <f t="shared" si="36"/>
        <v>34.5</v>
      </c>
      <c r="R97" s="8"/>
      <c r="T97"/>
    </row>
    <row r="98" spans="2:20" ht="23.1" customHeight="1" x14ac:dyDescent="0.25">
      <c r="B98" s="24" t="s">
        <v>138</v>
      </c>
      <c r="C98" s="49">
        <f>AVERAGE('26.07 Kampala-Wakiso-24h'!C98,'27.07 Kampala-Wakiso-24h'!C98)</f>
        <v>4.5</v>
      </c>
      <c r="D98" s="49">
        <f>AVERAGE('26.07 Kampala-Wakiso-24h'!D98,'27.07 Kampala-Wakiso-24h'!D98)</f>
        <v>6</v>
      </c>
      <c r="E98" s="49">
        <f>AVERAGE('26.07 Kampala-Wakiso-24h'!E98,'27.07 Kampala-Wakiso-24h'!E98)</f>
        <v>0</v>
      </c>
      <c r="F98" s="49">
        <f>AVERAGE('26.07 Kampala-Wakiso-24h'!F98,'27.07 Kampala-Wakiso-24h'!F98)</f>
        <v>6.5</v>
      </c>
      <c r="G98" s="49">
        <f>AVERAGE('26.07 Kampala-Wakiso-24h'!G98,'27.07 Kampala-Wakiso-24h'!G98)</f>
        <v>0</v>
      </c>
      <c r="H98" s="49">
        <f>AVERAGE('26.07 Kampala-Wakiso-24h'!H98,'27.07 Kampala-Wakiso-24h'!H98)</f>
        <v>0.5</v>
      </c>
      <c r="I98" s="49">
        <f>AVERAGE('26.07 Kampala-Wakiso-24h'!I98,'27.07 Kampala-Wakiso-24h'!I98)</f>
        <v>1.5</v>
      </c>
      <c r="J98" s="49">
        <f>AVERAGE('26.07 Kampala-Wakiso-24h'!J98,'27.07 Kampala-Wakiso-24h'!J98)</f>
        <v>0</v>
      </c>
      <c r="K98" s="49">
        <f>AVERAGE('26.07 Kampala-Wakiso-24h'!K98,'27.07 Kampala-Wakiso-24h'!K98)</f>
        <v>2</v>
      </c>
      <c r="L98" s="49">
        <f>AVERAGE('26.07 Kampala-Wakiso-24h'!L98,'27.07 Kampala-Wakiso-24h'!L98)</f>
        <v>3</v>
      </c>
      <c r="M98" s="49">
        <f>AVERAGE('26.07 Kampala-Wakiso-24h'!M98,'27.07 Kampala-Wakiso-24h'!M98)</f>
        <v>29</v>
      </c>
      <c r="N98" s="49">
        <f>AVERAGE('26.07 Kampala-Wakiso-24h'!N98,'27.07 Kampala-Wakiso-24h'!N98)</f>
        <v>0</v>
      </c>
      <c r="O98" s="15">
        <f t="shared" si="35"/>
        <v>24</v>
      </c>
      <c r="P98" s="15">
        <f t="shared" si="36"/>
        <v>53</v>
      </c>
      <c r="R98" s="8"/>
      <c r="T98"/>
    </row>
    <row r="99" spans="2:20" ht="23.1" customHeight="1" x14ac:dyDescent="0.25">
      <c r="B99" s="23" t="s">
        <v>139</v>
      </c>
      <c r="C99" s="49">
        <f>AVERAGE('26.07 Kampala-Wakiso-24h'!C99,'27.07 Kampala-Wakiso-24h'!C99)</f>
        <v>9.5</v>
      </c>
      <c r="D99" s="49">
        <f>AVERAGE('26.07 Kampala-Wakiso-24h'!D99,'27.07 Kampala-Wakiso-24h'!D99)</f>
        <v>3.5</v>
      </c>
      <c r="E99" s="49">
        <f>AVERAGE('26.07 Kampala-Wakiso-24h'!E99,'27.07 Kampala-Wakiso-24h'!E99)</f>
        <v>1.5</v>
      </c>
      <c r="F99" s="49">
        <f>AVERAGE('26.07 Kampala-Wakiso-24h'!F99,'27.07 Kampala-Wakiso-24h'!F99)</f>
        <v>22.5</v>
      </c>
      <c r="G99" s="49">
        <f>AVERAGE('26.07 Kampala-Wakiso-24h'!G99,'27.07 Kampala-Wakiso-24h'!G99)</f>
        <v>0</v>
      </c>
      <c r="H99" s="49">
        <f>AVERAGE('26.07 Kampala-Wakiso-24h'!H99,'27.07 Kampala-Wakiso-24h'!H99)</f>
        <v>0.5</v>
      </c>
      <c r="I99" s="49">
        <f>AVERAGE('26.07 Kampala-Wakiso-24h'!I99,'27.07 Kampala-Wakiso-24h'!I99)</f>
        <v>4</v>
      </c>
      <c r="J99" s="49">
        <f>AVERAGE('26.07 Kampala-Wakiso-24h'!J99,'27.07 Kampala-Wakiso-24h'!J99)</f>
        <v>1.5</v>
      </c>
      <c r="K99" s="49">
        <f>AVERAGE('26.07 Kampala-Wakiso-24h'!K99,'27.07 Kampala-Wakiso-24h'!K99)</f>
        <v>1</v>
      </c>
      <c r="L99" s="49">
        <f>AVERAGE('26.07 Kampala-Wakiso-24h'!L99,'27.07 Kampala-Wakiso-24h'!L99)</f>
        <v>0</v>
      </c>
      <c r="M99" s="49">
        <f>AVERAGE('26.07 Kampala-Wakiso-24h'!M99,'27.07 Kampala-Wakiso-24h'!M99)</f>
        <v>23</v>
      </c>
      <c r="N99" s="49">
        <f>AVERAGE('26.07 Kampala-Wakiso-24h'!N99,'27.07 Kampala-Wakiso-24h'!N99)</f>
        <v>0</v>
      </c>
      <c r="O99" s="15">
        <f t="shared" si="35"/>
        <v>44</v>
      </c>
      <c r="P99" s="15">
        <f t="shared" si="36"/>
        <v>67</v>
      </c>
      <c r="R99" s="8"/>
      <c r="T99"/>
    </row>
    <row r="100" spans="2:20" ht="23.1" customHeight="1" x14ac:dyDescent="0.25">
      <c r="B100" s="25" t="s">
        <v>140</v>
      </c>
      <c r="C100" s="49">
        <f>AVERAGE('26.07 Kampala-Wakiso-24h'!C100,'27.07 Kampala-Wakiso-24h'!C100)</f>
        <v>9</v>
      </c>
      <c r="D100" s="49">
        <f>AVERAGE('26.07 Kampala-Wakiso-24h'!D100,'27.07 Kampala-Wakiso-24h'!D100)</f>
        <v>2</v>
      </c>
      <c r="E100" s="49">
        <f>AVERAGE('26.07 Kampala-Wakiso-24h'!E100,'27.07 Kampala-Wakiso-24h'!E100)</f>
        <v>3.5</v>
      </c>
      <c r="F100" s="49">
        <f>AVERAGE('26.07 Kampala-Wakiso-24h'!F100,'27.07 Kampala-Wakiso-24h'!F100)</f>
        <v>13.5</v>
      </c>
      <c r="G100" s="49">
        <f>AVERAGE('26.07 Kampala-Wakiso-24h'!G100,'27.07 Kampala-Wakiso-24h'!G100)</f>
        <v>0.5</v>
      </c>
      <c r="H100" s="49">
        <f>AVERAGE('26.07 Kampala-Wakiso-24h'!H100,'27.07 Kampala-Wakiso-24h'!H100)</f>
        <v>0</v>
      </c>
      <c r="I100" s="49">
        <f>AVERAGE('26.07 Kampala-Wakiso-24h'!I100,'27.07 Kampala-Wakiso-24h'!I100)</f>
        <v>3.5</v>
      </c>
      <c r="J100" s="49">
        <f>AVERAGE('26.07 Kampala-Wakiso-24h'!J100,'27.07 Kampala-Wakiso-24h'!J100)</f>
        <v>1</v>
      </c>
      <c r="K100" s="49">
        <f>AVERAGE('26.07 Kampala-Wakiso-24h'!K100,'27.07 Kampala-Wakiso-24h'!K100)</f>
        <v>2.5</v>
      </c>
      <c r="L100" s="49">
        <f>AVERAGE('26.07 Kampala-Wakiso-24h'!L100,'27.07 Kampala-Wakiso-24h'!L100)</f>
        <v>0</v>
      </c>
      <c r="M100" s="49">
        <f>AVERAGE('26.07 Kampala-Wakiso-24h'!M100,'27.07 Kampala-Wakiso-24h'!M100)</f>
        <v>17.5</v>
      </c>
      <c r="N100" s="49">
        <f>AVERAGE('26.07 Kampala-Wakiso-24h'!N100,'27.07 Kampala-Wakiso-24h'!N100)</f>
        <v>0</v>
      </c>
      <c r="O100" s="15">
        <f t="shared" si="35"/>
        <v>35.5</v>
      </c>
      <c r="P100" s="15">
        <f t="shared" si="36"/>
        <v>53</v>
      </c>
      <c r="R100" s="8"/>
      <c r="T100"/>
    </row>
    <row r="101" spans="2:20" ht="23.1" customHeight="1" x14ac:dyDescent="0.25">
      <c r="B101" s="23" t="s">
        <v>141</v>
      </c>
      <c r="C101" s="49">
        <f>AVERAGE('26.07 Kampala-Wakiso-24h'!C101,'27.07 Kampala-Wakiso-24h'!C101)</f>
        <v>7</v>
      </c>
      <c r="D101" s="49">
        <f>AVERAGE('26.07 Kampala-Wakiso-24h'!D101,'27.07 Kampala-Wakiso-24h'!D101)</f>
        <v>4</v>
      </c>
      <c r="E101" s="49">
        <f>AVERAGE('26.07 Kampala-Wakiso-24h'!E101,'27.07 Kampala-Wakiso-24h'!E101)</f>
        <v>2</v>
      </c>
      <c r="F101" s="49">
        <f>AVERAGE('26.07 Kampala-Wakiso-24h'!F101,'27.07 Kampala-Wakiso-24h'!F101)</f>
        <v>12.5</v>
      </c>
      <c r="G101" s="49">
        <f>AVERAGE('26.07 Kampala-Wakiso-24h'!G101,'27.07 Kampala-Wakiso-24h'!G101)</f>
        <v>0</v>
      </c>
      <c r="H101" s="49">
        <f>AVERAGE('26.07 Kampala-Wakiso-24h'!H101,'27.07 Kampala-Wakiso-24h'!H101)</f>
        <v>0</v>
      </c>
      <c r="I101" s="49">
        <f>AVERAGE('26.07 Kampala-Wakiso-24h'!I101,'27.07 Kampala-Wakiso-24h'!I101)</f>
        <v>3.5</v>
      </c>
      <c r="J101" s="49">
        <f>AVERAGE('26.07 Kampala-Wakiso-24h'!J101,'27.07 Kampala-Wakiso-24h'!J101)</f>
        <v>1.5</v>
      </c>
      <c r="K101" s="49">
        <f>AVERAGE('26.07 Kampala-Wakiso-24h'!K101,'27.07 Kampala-Wakiso-24h'!K101)</f>
        <v>0.5</v>
      </c>
      <c r="L101" s="49">
        <f>AVERAGE('26.07 Kampala-Wakiso-24h'!L101,'27.07 Kampala-Wakiso-24h'!L101)</f>
        <v>0</v>
      </c>
      <c r="M101" s="49">
        <f>AVERAGE('26.07 Kampala-Wakiso-24h'!M101,'27.07 Kampala-Wakiso-24h'!M101)</f>
        <v>22.5</v>
      </c>
      <c r="N101" s="49">
        <f>AVERAGE('26.07 Kampala-Wakiso-24h'!N101,'27.07 Kampala-Wakiso-24h'!N101)</f>
        <v>0</v>
      </c>
      <c r="O101" s="15">
        <f t="shared" si="35"/>
        <v>31</v>
      </c>
      <c r="P101" s="15">
        <f t="shared" si="36"/>
        <v>53.5</v>
      </c>
      <c r="R101" s="8"/>
      <c r="T101"/>
    </row>
    <row r="102" spans="2:20" ht="23.1" customHeight="1" x14ac:dyDescent="0.25">
      <c r="B102" s="24" t="s">
        <v>142</v>
      </c>
      <c r="C102" s="49">
        <f>AVERAGE('26.07 Kampala-Wakiso-24h'!C102,'27.07 Kampala-Wakiso-24h'!C102)</f>
        <v>6</v>
      </c>
      <c r="D102" s="49">
        <f>AVERAGE('26.07 Kampala-Wakiso-24h'!D102,'27.07 Kampala-Wakiso-24h'!D102)</f>
        <v>5</v>
      </c>
      <c r="E102" s="49">
        <f>AVERAGE('26.07 Kampala-Wakiso-24h'!E102,'27.07 Kampala-Wakiso-24h'!E102)</f>
        <v>2.5</v>
      </c>
      <c r="F102" s="49">
        <f>AVERAGE('26.07 Kampala-Wakiso-24h'!F102,'27.07 Kampala-Wakiso-24h'!F102)</f>
        <v>20</v>
      </c>
      <c r="G102" s="49">
        <f>AVERAGE('26.07 Kampala-Wakiso-24h'!G102,'27.07 Kampala-Wakiso-24h'!G102)</f>
        <v>0</v>
      </c>
      <c r="H102" s="49">
        <f>AVERAGE('26.07 Kampala-Wakiso-24h'!H102,'27.07 Kampala-Wakiso-24h'!H102)</f>
        <v>0</v>
      </c>
      <c r="I102" s="49">
        <f>AVERAGE('26.07 Kampala-Wakiso-24h'!I102,'27.07 Kampala-Wakiso-24h'!I102)</f>
        <v>1</v>
      </c>
      <c r="J102" s="49">
        <f>AVERAGE('26.07 Kampala-Wakiso-24h'!J102,'27.07 Kampala-Wakiso-24h'!J102)</f>
        <v>0</v>
      </c>
      <c r="K102" s="49">
        <f>AVERAGE('26.07 Kampala-Wakiso-24h'!K102,'27.07 Kampala-Wakiso-24h'!K102)</f>
        <v>0</v>
      </c>
      <c r="L102" s="49">
        <f>AVERAGE('26.07 Kampala-Wakiso-24h'!L102,'27.07 Kampala-Wakiso-24h'!L102)</f>
        <v>0.5</v>
      </c>
      <c r="M102" s="49">
        <f>AVERAGE('26.07 Kampala-Wakiso-24h'!M102,'27.07 Kampala-Wakiso-24h'!M102)</f>
        <v>22.5</v>
      </c>
      <c r="N102" s="49">
        <f>AVERAGE('26.07 Kampala-Wakiso-24h'!N102,'27.07 Kampala-Wakiso-24h'!N102)</f>
        <v>0</v>
      </c>
      <c r="O102" s="15">
        <f t="shared" si="35"/>
        <v>35</v>
      </c>
      <c r="P102" s="15">
        <f t="shared" si="36"/>
        <v>57.5</v>
      </c>
      <c r="R102" s="8"/>
      <c r="T102"/>
    </row>
    <row r="103" spans="2:20" ht="23.1" customHeight="1" x14ac:dyDescent="0.25">
      <c r="B103" s="23" t="s">
        <v>143</v>
      </c>
      <c r="C103" s="49">
        <f>AVERAGE('26.07 Kampala-Wakiso-24h'!C103,'27.07 Kampala-Wakiso-24h'!C103)</f>
        <v>7.5</v>
      </c>
      <c r="D103" s="49">
        <f>AVERAGE('26.07 Kampala-Wakiso-24h'!D103,'27.07 Kampala-Wakiso-24h'!D103)</f>
        <v>5</v>
      </c>
      <c r="E103" s="49">
        <f>AVERAGE('26.07 Kampala-Wakiso-24h'!E103,'27.07 Kampala-Wakiso-24h'!E103)</f>
        <v>8.5</v>
      </c>
      <c r="F103" s="49">
        <f>AVERAGE('26.07 Kampala-Wakiso-24h'!F103,'27.07 Kampala-Wakiso-24h'!F103)</f>
        <v>5.5</v>
      </c>
      <c r="G103" s="49">
        <f>AVERAGE('26.07 Kampala-Wakiso-24h'!G103,'27.07 Kampala-Wakiso-24h'!G103)</f>
        <v>0.5</v>
      </c>
      <c r="H103" s="49">
        <f>AVERAGE('26.07 Kampala-Wakiso-24h'!H103,'27.07 Kampala-Wakiso-24h'!H103)</f>
        <v>0</v>
      </c>
      <c r="I103" s="49">
        <f>AVERAGE('26.07 Kampala-Wakiso-24h'!I103,'27.07 Kampala-Wakiso-24h'!I103)</f>
        <v>3.5</v>
      </c>
      <c r="J103" s="49">
        <f>AVERAGE('26.07 Kampala-Wakiso-24h'!J103,'27.07 Kampala-Wakiso-24h'!J103)</f>
        <v>1</v>
      </c>
      <c r="K103" s="49">
        <f>AVERAGE('26.07 Kampala-Wakiso-24h'!K103,'27.07 Kampala-Wakiso-24h'!K103)</f>
        <v>0</v>
      </c>
      <c r="L103" s="49">
        <f>AVERAGE('26.07 Kampala-Wakiso-24h'!L103,'27.07 Kampala-Wakiso-24h'!L103)</f>
        <v>1</v>
      </c>
      <c r="M103" s="49">
        <f>AVERAGE('26.07 Kampala-Wakiso-24h'!M103,'27.07 Kampala-Wakiso-24h'!M103)</f>
        <v>27</v>
      </c>
      <c r="N103" s="49">
        <f>AVERAGE('26.07 Kampala-Wakiso-24h'!N103,'27.07 Kampala-Wakiso-24h'!N103)</f>
        <v>0</v>
      </c>
      <c r="O103" s="15">
        <f t="shared" si="35"/>
        <v>32.5</v>
      </c>
      <c r="P103" s="15">
        <f t="shared" si="36"/>
        <v>59.5</v>
      </c>
      <c r="R103" s="8"/>
      <c r="T103"/>
    </row>
    <row r="104" spans="2:20" ht="23.1" customHeight="1" x14ac:dyDescent="0.25">
      <c r="B104" s="25" t="s">
        <v>144</v>
      </c>
      <c r="C104" s="49">
        <f>AVERAGE('26.07 Kampala-Wakiso-24h'!C104,'27.07 Kampala-Wakiso-24h'!C104)</f>
        <v>18</v>
      </c>
      <c r="D104" s="49">
        <f>AVERAGE('26.07 Kampala-Wakiso-24h'!D104,'27.07 Kampala-Wakiso-24h'!D104)</f>
        <v>13.5</v>
      </c>
      <c r="E104" s="49">
        <f>AVERAGE('26.07 Kampala-Wakiso-24h'!E104,'27.07 Kampala-Wakiso-24h'!E104)</f>
        <v>2.5</v>
      </c>
      <c r="F104" s="49">
        <f>AVERAGE('26.07 Kampala-Wakiso-24h'!F104,'27.07 Kampala-Wakiso-24h'!F104)</f>
        <v>22.5</v>
      </c>
      <c r="G104" s="49">
        <f>AVERAGE('26.07 Kampala-Wakiso-24h'!G104,'27.07 Kampala-Wakiso-24h'!G104)</f>
        <v>0</v>
      </c>
      <c r="H104" s="49">
        <f>AVERAGE('26.07 Kampala-Wakiso-24h'!H104,'27.07 Kampala-Wakiso-24h'!H104)</f>
        <v>0.5</v>
      </c>
      <c r="I104" s="49">
        <f>AVERAGE('26.07 Kampala-Wakiso-24h'!I104,'27.07 Kampala-Wakiso-24h'!I104)</f>
        <v>4</v>
      </c>
      <c r="J104" s="49">
        <f>AVERAGE('26.07 Kampala-Wakiso-24h'!J104,'27.07 Kampala-Wakiso-24h'!J104)</f>
        <v>0.5</v>
      </c>
      <c r="K104" s="49">
        <f>AVERAGE('26.07 Kampala-Wakiso-24h'!K104,'27.07 Kampala-Wakiso-24h'!K104)</f>
        <v>0</v>
      </c>
      <c r="L104" s="49">
        <f>AVERAGE('26.07 Kampala-Wakiso-24h'!L104,'27.07 Kampala-Wakiso-24h'!L104)</f>
        <v>0.5</v>
      </c>
      <c r="M104" s="49">
        <f>AVERAGE('26.07 Kampala-Wakiso-24h'!M104,'27.07 Kampala-Wakiso-24h'!M104)</f>
        <v>40</v>
      </c>
      <c r="N104" s="49">
        <f>AVERAGE('26.07 Kampala-Wakiso-24h'!N104,'27.07 Kampala-Wakiso-24h'!N104)</f>
        <v>0</v>
      </c>
      <c r="O104" s="15">
        <f t="shared" si="35"/>
        <v>62</v>
      </c>
      <c r="P104" s="15">
        <f t="shared" si="36"/>
        <v>102</v>
      </c>
      <c r="R104" s="8"/>
      <c r="T104"/>
    </row>
    <row r="105" spans="2:20" ht="23.1" customHeight="1" x14ac:dyDescent="0.25">
      <c r="B105" s="23" t="s">
        <v>145</v>
      </c>
      <c r="C105" s="49">
        <f>AVERAGE('26.07 Kampala-Wakiso-24h'!C105,'27.07 Kampala-Wakiso-24h'!C105)</f>
        <v>22.5</v>
      </c>
      <c r="D105" s="49">
        <f>AVERAGE('26.07 Kampala-Wakiso-24h'!D105,'27.07 Kampala-Wakiso-24h'!D105)</f>
        <v>20</v>
      </c>
      <c r="E105" s="49">
        <f>AVERAGE('26.07 Kampala-Wakiso-24h'!E105,'27.07 Kampala-Wakiso-24h'!E105)</f>
        <v>5</v>
      </c>
      <c r="F105" s="49">
        <f>AVERAGE('26.07 Kampala-Wakiso-24h'!F105,'27.07 Kampala-Wakiso-24h'!F105)</f>
        <v>24.5</v>
      </c>
      <c r="G105" s="49">
        <f>AVERAGE('26.07 Kampala-Wakiso-24h'!G105,'27.07 Kampala-Wakiso-24h'!G105)</f>
        <v>0</v>
      </c>
      <c r="H105" s="49">
        <f>AVERAGE('26.07 Kampala-Wakiso-24h'!H105,'27.07 Kampala-Wakiso-24h'!H105)</f>
        <v>5</v>
      </c>
      <c r="I105" s="49">
        <f>AVERAGE('26.07 Kampala-Wakiso-24h'!I105,'27.07 Kampala-Wakiso-24h'!I105)</f>
        <v>2.5</v>
      </c>
      <c r="J105" s="49">
        <f>AVERAGE('26.07 Kampala-Wakiso-24h'!J105,'27.07 Kampala-Wakiso-24h'!J105)</f>
        <v>3.5</v>
      </c>
      <c r="K105" s="49">
        <f>AVERAGE('26.07 Kampala-Wakiso-24h'!K105,'27.07 Kampala-Wakiso-24h'!K105)</f>
        <v>0</v>
      </c>
      <c r="L105" s="49">
        <f>AVERAGE('26.07 Kampala-Wakiso-24h'!L105,'27.07 Kampala-Wakiso-24h'!L105)</f>
        <v>0</v>
      </c>
      <c r="M105" s="49">
        <f>AVERAGE('26.07 Kampala-Wakiso-24h'!M105,'27.07 Kampala-Wakiso-24h'!M105)</f>
        <v>50</v>
      </c>
      <c r="N105" s="49">
        <f>AVERAGE('26.07 Kampala-Wakiso-24h'!N105,'27.07 Kampala-Wakiso-24h'!N105)</f>
        <v>0</v>
      </c>
      <c r="O105" s="15">
        <f t="shared" si="35"/>
        <v>83</v>
      </c>
      <c r="P105" s="15">
        <f t="shared" si="36"/>
        <v>133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3784.142857142856</v>
      </c>
      <c r="D106" s="16">
        <f t="shared" ref="D106:Q106" si="37">SUM(D10:D105)</f>
        <v>3434.0714285714289</v>
      </c>
      <c r="E106" s="16">
        <f t="shared" si="37"/>
        <v>693.49999999999989</v>
      </c>
      <c r="F106" s="16">
        <f t="shared" si="37"/>
        <v>3802.7857142857142</v>
      </c>
      <c r="G106" s="16">
        <f t="shared" si="37"/>
        <v>92.285714285714306</v>
      </c>
      <c r="H106" s="16">
        <f t="shared" si="37"/>
        <v>40.452380952380942</v>
      </c>
      <c r="I106" s="16">
        <f t="shared" si="37"/>
        <v>675.21428571428567</v>
      </c>
      <c r="J106" s="16">
        <f t="shared" si="37"/>
        <v>173.78571428571428</v>
      </c>
      <c r="K106" s="16">
        <f t="shared" si="37"/>
        <v>68.428571428571431</v>
      </c>
      <c r="L106" s="16">
        <f t="shared" si="37"/>
        <v>78.714285714285722</v>
      </c>
      <c r="M106" s="16">
        <f t="shared" si="37"/>
        <v>6120.2857142857138</v>
      </c>
      <c r="N106" s="16">
        <f t="shared" si="37"/>
        <v>0.5714285714285714</v>
      </c>
      <c r="O106" s="16">
        <f t="shared" si="37"/>
        <v>12843.952380952378</v>
      </c>
      <c r="P106" s="16">
        <f t="shared" si="37"/>
        <v>18964.238095238092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0.19954099068673115</v>
      </c>
      <c r="D107" s="43">
        <f t="shared" si="38"/>
        <v>0.18108143397723539</v>
      </c>
      <c r="E107" s="43">
        <f t="shared" si="38"/>
        <v>3.6568830053559459E-2</v>
      </c>
      <c r="F107" s="43">
        <f t="shared" si="38"/>
        <v>0.2005240440026215</v>
      </c>
      <c r="G107" s="43">
        <f t="shared" si="38"/>
        <v>4.8663022380470529E-3</v>
      </c>
      <c r="H107" s="43">
        <f t="shared" si="38"/>
        <v>2.133087590929293E-3</v>
      </c>
      <c r="I107" s="43">
        <f t="shared" si="38"/>
        <v>3.5604609176670882E-2</v>
      </c>
      <c r="J107" s="43">
        <f t="shared" si="38"/>
        <v>9.1638648182418552E-3</v>
      </c>
      <c r="K107" s="43">
        <f t="shared" si="38"/>
        <v>3.6082953127314827E-3</v>
      </c>
      <c r="L107" s="43">
        <f t="shared" si="38"/>
        <v>4.1506695559813097E-3</v>
      </c>
      <c r="M107" s="43">
        <f t="shared" si="38"/>
        <v>0.32272774068484794</v>
      </c>
      <c r="N107" s="43">
        <f t="shared" si="38"/>
        <v>3.0131902402768121E-5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0.29462448511991929</v>
      </c>
      <c r="D108" s="44">
        <f t="shared" ref="D108:N108" si="39">D106/$O$106</f>
        <v>0.26736874497169327</v>
      </c>
      <c r="E108" s="44">
        <f t="shared" si="39"/>
        <v>5.3994283023694682E-2</v>
      </c>
      <c r="F108" s="44">
        <f t="shared" si="39"/>
        <v>0.29607597424023913</v>
      </c>
      <c r="G108" s="44">
        <f t="shared" si="39"/>
        <v>7.1851492086325635E-3</v>
      </c>
      <c r="H108" s="44">
        <f t="shared" si="39"/>
        <v>3.1495274781905879E-3</v>
      </c>
      <c r="I108" s="44">
        <f t="shared" si="39"/>
        <v>5.257060020836192E-2</v>
      </c>
      <c r="J108" s="44">
        <f t="shared" si="39"/>
        <v>1.3530548006658686E-2</v>
      </c>
      <c r="K108" s="44">
        <f t="shared" si="39"/>
        <v>5.3276880355030915E-3</v>
      </c>
      <c r="L108" s="44">
        <f t="shared" si="39"/>
        <v>6.1285096191277741E-3</v>
      </c>
      <c r="M108" s="44"/>
      <c r="N108" s="44">
        <f t="shared" si="39"/>
        <v>4.4490087979148986E-5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52" zoomScale="60" workbookViewId="0">
      <selection activeCell="Y79" sqref="Y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'28.07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169</v>
      </c>
      <c r="E5" s="69"/>
      <c r="F5" s="41" t="s">
        <v>1</v>
      </c>
      <c r="G5" s="66" t="str">
        <f>'28.07 Wakiso-Kampala'!G5:H5</f>
        <v>AFTER STABEX NANSANA</v>
      </c>
      <c r="H5" s="67"/>
      <c r="I5" s="14"/>
      <c r="J5" s="2" t="s">
        <v>5</v>
      </c>
      <c r="K5" s="66" t="str">
        <f>'28.07 Wakiso-Kampala'!K5:L5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'28.07 Wakiso-Kampala'!D6:E6</f>
        <v>Wakiso</v>
      </c>
      <c r="E6" s="67"/>
      <c r="F6" s="2" t="s">
        <v>2</v>
      </c>
      <c r="G6" s="66" t="str">
        <f>'28.07 Wakiso-Kampala'!G6:H6</f>
        <v>Kampala</v>
      </c>
      <c r="H6" s="67"/>
      <c r="J6" s="2" t="s">
        <v>21</v>
      </c>
      <c r="K6" s="66" t="str">
        <f>'28.07 Wakiso-Kampala'!K6:L6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Wakiso-Kampala'!C10,'23.07 Wakiso-Kampala'!C10,'24.07 Wakiso-Kampala'!C10,'25.07 Wakiso-Kampala'!C10,'26.07 Wakiso-Kampala-24h'!C10,'27.07 Wakiso-Kampala-24h'!C10,'28.07 Wakiso-Kampala'!C10)</f>
        <v>61.714285714285715</v>
      </c>
      <c r="D10" s="49">
        <f>AVERAGE('22.07 Wakiso-Kampala'!D10,'23.07 Wakiso-Kampala'!D10,'24.07 Wakiso-Kampala'!D10,'25.07 Wakiso-Kampala'!D10,'26.07 Wakiso-Kampala-24h'!D10,'27.07 Wakiso-Kampala-24h'!D10,'28.07 Wakiso-Kampala'!D10)</f>
        <v>21.142857142857142</v>
      </c>
      <c r="E10" s="49">
        <f>AVERAGE('22.07 Wakiso-Kampala'!E10,'23.07 Wakiso-Kampala'!E10,'24.07 Wakiso-Kampala'!E10,'25.07 Wakiso-Kampala'!E10,'26.07 Wakiso-Kampala-24h'!E10,'27.07 Wakiso-Kampala-24h'!E10,'28.07 Wakiso-Kampala'!E10)</f>
        <v>7.8571428571428568</v>
      </c>
      <c r="F10" s="49">
        <f>AVERAGE('22.07 Wakiso-Kampala'!F10,'23.07 Wakiso-Kampala'!F10,'24.07 Wakiso-Kampala'!F10,'25.07 Wakiso-Kampala'!F10,'26.07 Wakiso-Kampala-24h'!F10,'27.07 Wakiso-Kampala-24h'!F10,'28.07 Wakiso-Kampala'!F10)</f>
        <v>68.571428571428569</v>
      </c>
      <c r="G10" s="49">
        <f>AVERAGE('22.07 Wakiso-Kampala'!G10,'23.07 Wakiso-Kampala'!G10,'24.07 Wakiso-Kampala'!G10,'25.07 Wakiso-Kampala'!G10,'26.07 Wakiso-Kampala-24h'!G10,'27.07 Wakiso-Kampala-24h'!G10,'28.07 Wakiso-Kampala'!G10)</f>
        <v>13.857142857142858</v>
      </c>
      <c r="H10" s="49">
        <f>AVERAGE('22.07 Wakiso-Kampala'!H10,'23.07 Wakiso-Kampala'!H10,'24.07 Wakiso-Kampala'!H10,'25.07 Wakiso-Kampala'!H10,'26.07 Wakiso-Kampala-24h'!H10,'27.07 Wakiso-Kampala-24h'!H10,'28.07 Wakiso-Kampala'!H10)</f>
        <v>0.42857142857142855</v>
      </c>
      <c r="I10" s="49">
        <f>AVERAGE('22.07 Wakiso-Kampala'!I10,'23.07 Wakiso-Kampala'!I10,'24.07 Wakiso-Kampala'!I10,'25.07 Wakiso-Kampala'!I10,'26.07 Wakiso-Kampala-24h'!I10,'27.07 Wakiso-Kampala-24h'!I10,'28.07 Wakiso-Kampala'!I10)</f>
        <v>5.5714285714285712</v>
      </c>
      <c r="J10" s="49">
        <f>AVERAGE('22.07 Wakiso-Kampala'!J10,'23.07 Wakiso-Kampala'!J10,'24.07 Wakiso-Kampala'!J10,'25.07 Wakiso-Kampala'!J10,'26.07 Wakiso-Kampala-24h'!J10,'27.07 Wakiso-Kampala-24h'!J10,'28.07 Wakiso-Kampala'!J10)</f>
        <v>1.2857142857142858</v>
      </c>
      <c r="K10" s="49">
        <f>AVERAGE('22.07 Wakiso-Kampala'!K10,'23.07 Wakiso-Kampala'!K10,'24.07 Wakiso-Kampala'!K10,'25.07 Wakiso-Kampala'!K10,'26.07 Wakiso-Kampala-24h'!K10,'27.07 Wakiso-Kampala-24h'!K10,'28.07 Wakiso-Kampala'!K10)</f>
        <v>0</v>
      </c>
      <c r="L10" s="49">
        <f>AVERAGE('22.07 Wakiso-Kampala'!L10,'23.07 Wakiso-Kampala'!L10,'24.07 Wakiso-Kampala'!L10,'25.07 Wakiso-Kampala'!L10,'26.07 Wakiso-Kampala-24h'!L10,'27.07 Wakiso-Kampala-24h'!L10,'28.07 Wakiso-Kampala'!L10)</f>
        <v>0.2857142857142857</v>
      </c>
      <c r="M10" s="49">
        <f>AVERAGE('22.07 Wakiso-Kampala'!M10,'23.07 Wakiso-Kampala'!M10,'24.07 Wakiso-Kampala'!M10,'25.07 Wakiso-Kampala'!M10,'26.07 Wakiso-Kampala-24h'!M10,'27.07 Wakiso-Kampala-24h'!M10,'28.07 Wakiso-Kampala'!M10)</f>
        <v>116</v>
      </c>
      <c r="N10" s="49">
        <f>AVERAGE('22.07 Wakiso-Kampala'!N10,'23.07 Wakiso-Kampala'!N10,'24.07 Wakiso-Kampala'!N10,'25.07 Wakiso-Kampala'!N10,'26.07 Wakiso-Kampala-24h'!N10,'27.07 Wakiso-Kampala-24h'!N10,'28.07 Wakiso-Kampala'!N10)</f>
        <v>0</v>
      </c>
      <c r="O10" s="15">
        <f t="shared" ref="O10:O73" si="0">SUM(C10:L10,N10)</f>
        <v>180.71428571428569</v>
      </c>
      <c r="P10" s="15">
        <f t="shared" ref="P10:P73" si="1">SUM(C10:N10)</f>
        <v>296.71428571428567</v>
      </c>
      <c r="R10" s="1" t="s">
        <v>6</v>
      </c>
      <c r="S10" s="17">
        <f t="shared" ref="S10:AF10" si="2">SUM(C10:C13)</f>
        <v>294.57142857142861</v>
      </c>
      <c r="T10" s="17">
        <f t="shared" si="2"/>
        <v>99</v>
      </c>
      <c r="U10" s="17">
        <f t="shared" si="2"/>
        <v>55.428571428571431</v>
      </c>
      <c r="V10" s="17">
        <f t="shared" si="2"/>
        <v>332.85714285714289</v>
      </c>
      <c r="W10" s="17">
        <f t="shared" si="2"/>
        <v>19.571428571428573</v>
      </c>
      <c r="X10" s="17">
        <f t="shared" si="2"/>
        <v>1.7142857142857142</v>
      </c>
      <c r="Y10" s="17">
        <f t="shared" si="2"/>
        <v>32.142857142857139</v>
      </c>
      <c r="Z10" s="17">
        <f t="shared" si="2"/>
        <v>6.5714285714285721</v>
      </c>
      <c r="AA10" s="17">
        <f t="shared" si="2"/>
        <v>1.7142857142857142</v>
      </c>
      <c r="AB10" s="17">
        <f t="shared" si="2"/>
        <v>0.8571428571428571</v>
      </c>
      <c r="AC10" s="17">
        <f t="shared" si="2"/>
        <v>589</v>
      </c>
      <c r="AD10" s="17">
        <f t="shared" si="2"/>
        <v>0</v>
      </c>
      <c r="AE10" s="31">
        <f t="shared" si="2"/>
        <v>844.42857142857133</v>
      </c>
      <c r="AF10" s="31">
        <f t="shared" si="2"/>
        <v>1433.4285714285711</v>
      </c>
    </row>
    <row r="11" spans="2:32" s="6" customFormat="1" ht="23.1" customHeight="1" x14ac:dyDescent="0.25">
      <c r="B11" s="23" t="s">
        <v>38</v>
      </c>
      <c r="C11" s="49">
        <f>AVERAGE('22.07 Wakiso-Kampala'!C11,'23.07 Wakiso-Kampala'!C11,'24.07 Wakiso-Kampala'!C11,'25.07 Wakiso-Kampala'!C11,'26.07 Wakiso-Kampala-24h'!C11,'27.07 Wakiso-Kampala-24h'!C11,'28.07 Wakiso-Kampala'!C11)</f>
        <v>71.857142857142861</v>
      </c>
      <c r="D11" s="49">
        <f>AVERAGE('22.07 Wakiso-Kampala'!D11,'23.07 Wakiso-Kampala'!D11,'24.07 Wakiso-Kampala'!D11,'25.07 Wakiso-Kampala'!D11,'26.07 Wakiso-Kampala-24h'!D11,'27.07 Wakiso-Kampala-24h'!D11,'28.07 Wakiso-Kampala'!D11)</f>
        <v>22.571428571428573</v>
      </c>
      <c r="E11" s="49">
        <f>AVERAGE('22.07 Wakiso-Kampala'!E11,'23.07 Wakiso-Kampala'!E11,'24.07 Wakiso-Kampala'!E11,'25.07 Wakiso-Kampala'!E11,'26.07 Wakiso-Kampala-24h'!E11,'27.07 Wakiso-Kampala-24h'!E11,'28.07 Wakiso-Kampala'!E11)</f>
        <v>10.142857142857142</v>
      </c>
      <c r="F11" s="49">
        <f>AVERAGE('22.07 Wakiso-Kampala'!F11,'23.07 Wakiso-Kampala'!F11,'24.07 Wakiso-Kampala'!F11,'25.07 Wakiso-Kampala'!F11,'26.07 Wakiso-Kampala-24h'!F11,'27.07 Wakiso-Kampala-24h'!F11,'28.07 Wakiso-Kampala'!F11)</f>
        <v>93.142857142857139</v>
      </c>
      <c r="G11" s="49">
        <f>AVERAGE('22.07 Wakiso-Kampala'!G11,'23.07 Wakiso-Kampala'!G11,'24.07 Wakiso-Kampala'!G11,'25.07 Wakiso-Kampala'!G11,'26.07 Wakiso-Kampala-24h'!G11,'27.07 Wakiso-Kampala-24h'!G11,'28.07 Wakiso-Kampala'!G11)</f>
        <v>2</v>
      </c>
      <c r="H11" s="49">
        <f>AVERAGE('22.07 Wakiso-Kampala'!H11,'23.07 Wakiso-Kampala'!H11,'24.07 Wakiso-Kampala'!H11,'25.07 Wakiso-Kampala'!H11,'26.07 Wakiso-Kampala-24h'!H11,'27.07 Wakiso-Kampala-24h'!H11,'28.07 Wakiso-Kampala'!H11)</f>
        <v>0.42857142857142855</v>
      </c>
      <c r="I11" s="49">
        <f>AVERAGE('22.07 Wakiso-Kampala'!I11,'23.07 Wakiso-Kampala'!I11,'24.07 Wakiso-Kampala'!I11,'25.07 Wakiso-Kampala'!I11,'26.07 Wakiso-Kampala-24h'!I11,'27.07 Wakiso-Kampala-24h'!I11,'28.07 Wakiso-Kampala'!I11)</f>
        <v>9.7142857142857135</v>
      </c>
      <c r="J11" s="49">
        <f>AVERAGE('22.07 Wakiso-Kampala'!J11,'23.07 Wakiso-Kampala'!J11,'24.07 Wakiso-Kampala'!J11,'25.07 Wakiso-Kampala'!J11,'26.07 Wakiso-Kampala-24h'!J11,'27.07 Wakiso-Kampala-24h'!J11,'28.07 Wakiso-Kampala'!J11)</f>
        <v>1.2857142857142858</v>
      </c>
      <c r="K11" s="49">
        <f>AVERAGE('22.07 Wakiso-Kampala'!K11,'23.07 Wakiso-Kampala'!K11,'24.07 Wakiso-Kampala'!K11,'25.07 Wakiso-Kampala'!K11,'26.07 Wakiso-Kampala-24h'!K11,'27.07 Wakiso-Kampala-24h'!K11,'28.07 Wakiso-Kampala'!K11)</f>
        <v>0.2857142857142857</v>
      </c>
      <c r="L11" s="49">
        <f>AVERAGE('22.07 Wakiso-Kampala'!L11,'23.07 Wakiso-Kampala'!L11,'24.07 Wakiso-Kampala'!L11,'25.07 Wakiso-Kampala'!L11,'26.07 Wakiso-Kampala-24h'!L11,'27.07 Wakiso-Kampala-24h'!L11,'28.07 Wakiso-Kampala'!L11)</f>
        <v>0</v>
      </c>
      <c r="M11" s="49">
        <f>AVERAGE('22.07 Wakiso-Kampala'!M11,'23.07 Wakiso-Kampala'!M11,'24.07 Wakiso-Kampala'!M11,'25.07 Wakiso-Kampala'!M11,'26.07 Wakiso-Kampala-24h'!M11,'27.07 Wakiso-Kampala-24h'!M11,'28.07 Wakiso-Kampala'!M11)</f>
        <v>139.85714285714286</v>
      </c>
      <c r="N11" s="49">
        <f>AVERAGE('22.07 Wakiso-Kampala'!N11,'23.07 Wakiso-Kampala'!N11,'24.07 Wakiso-Kampala'!N11,'25.07 Wakiso-Kampala'!N11,'26.07 Wakiso-Kampala-24h'!N11,'27.07 Wakiso-Kampala-24h'!N11,'28.07 Wakiso-Kampala'!N11)</f>
        <v>0</v>
      </c>
      <c r="O11" s="15">
        <f t="shared" si="0"/>
        <v>211.42857142857142</v>
      </c>
      <c r="P11" s="15">
        <f t="shared" si="1"/>
        <v>351.28571428571428</v>
      </c>
      <c r="R11" s="1" t="s">
        <v>7</v>
      </c>
      <c r="S11" s="17">
        <f t="shared" ref="S11:AF11" si="3">SUM(C14:C17)</f>
        <v>264.71428571428572</v>
      </c>
      <c r="T11" s="17">
        <f t="shared" si="3"/>
        <v>105.42857142857142</v>
      </c>
      <c r="U11" s="17">
        <f t="shared" si="3"/>
        <v>45.857142857142847</v>
      </c>
      <c r="V11" s="17">
        <f t="shared" si="3"/>
        <v>257.42857142857144</v>
      </c>
      <c r="W11" s="17">
        <f t="shared" si="3"/>
        <v>3.4285714285714284</v>
      </c>
      <c r="X11" s="17">
        <f t="shared" si="3"/>
        <v>2</v>
      </c>
      <c r="Y11" s="17">
        <f t="shared" si="3"/>
        <v>36.571428571428569</v>
      </c>
      <c r="Z11" s="17">
        <f t="shared" si="3"/>
        <v>10</v>
      </c>
      <c r="AA11" s="17">
        <f t="shared" si="3"/>
        <v>2.7142857142857144</v>
      </c>
      <c r="AB11" s="17">
        <f t="shared" si="3"/>
        <v>1.2857142857142856</v>
      </c>
      <c r="AC11" s="17">
        <f t="shared" si="3"/>
        <v>657.14285714285711</v>
      </c>
      <c r="AD11" s="17">
        <f t="shared" si="3"/>
        <v>0</v>
      </c>
      <c r="AE11" s="31">
        <f t="shared" si="3"/>
        <v>729.42857142857133</v>
      </c>
      <c r="AF11" s="31">
        <f t="shared" si="3"/>
        <v>1386.5714285714284</v>
      </c>
    </row>
    <row r="12" spans="2:32" ht="23.1" customHeight="1" x14ac:dyDescent="0.25">
      <c r="B12" s="23" t="s">
        <v>39</v>
      </c>
      <c r="C12" s="49">
        <f>AVERAGE('22.07 Wakiso-Kampala'!C12,'23.07 Wakiso-Kampala'!C12,'24.07 Wakiso-Kampala'!C12,'25.07 Wakiso-Kampala'!C12,'26.07 Wakiso-Kampala-24h'!C12,'27.07 Wakiso-Kampala-24h'!C12,'28.07 Wakiso-Kampala'!C12)</f>
        <v>83.571428571428569</v>
      </c>
      <c r="D12" s="49">
        <f>AVERAGE('22.07 Wakiso-Kampala'!D12,'23.07 Wakiso-Kampala'!D12,'24.07 Wakiso-Kampala'!D12,'25.07 Wakiso-Kampala'!D12,'26.07 Wakiso-Kampala-24h'!D12,'27.07 Wakiso-Kampala-24h'!D12,'28.07 Wakiso-Kampala'!D12)</f>
        <v>29.571428571428573</v>
      </c>
      <c r="E12" s="49">
        <f>AVERAGE('22.07 Wakiso-Kampala'!E12,'23.07 Wakiso-Kampala'!E12,'24.07 Wakiso-Kampala'!E12,'25.07 Wakiso-Kampala'!E12,'26.07 Wakiso-Kampala-24h'!E12,'27.07 Wakiso-Kampala-24h'!E12,'28.07 Wakiso-Kampala'!E12)</f>
        <v>10</v>
      </c>
      <c r="F12" s="49">
        <f>AVERAGE('22.07 Wakiso-Kampala'!F12,'23.07 Wakiso-Kampala'!F12,'24.07 Wakiso-Kampala'!F12,'25.07 Wakiso-Kampala'!F12,'26.07 Wakiso-Kampala-24h'!F12,'27.07 Wakiso-Kampala-24h'!F12,'28.07 Wakiso-Kampala'!F12)</f>
        <v>93.714285714285708</v>
      </c>
      <c r="G12" s="49">
        <f>AVERAGE('22.07 Wakiso-Kampala'!G12,'23.07 Wakiso-Kampala'!G12,'24.07 Wakiso-Kampala'!G12,'25.07 Wakiso-Kampala'!G12,'26.07 Wakiso-Kampala-24h'!G12,'27.07 Wakiso-Kampala-24h'!G12,'28.07 Wakiso-Kampala'!G12)</f>
        <v>2</v>
      </c>
      <c r="H12" s="49">
        <f>AVERAGE('22.07 Wakiso-Kampala'!H12,'23.07 Wakiso-Kampala'!H12,'24.07 Wakiso-Kampala'!H12,'25.07 Wakiso-Kampala'!H12,'26.07 Wakiso-Kampala-24h'!H12,'27.07 Wakiso-Kampala-24h'!H12,'28.07 Wakiso-Kampala'!H12)</f>
        <v>0.42857142857142855</v>
      </c>
      <c r="I12" s="49">
        <f>AVERAGE('22.07 Wakiso-Kampala'!I12,'23.07 Wakiso-Kampala'!I12,'24.07 Wakiso-Kampala'!I12,'25.07 Wakiso-Kampala'!I12,'26.07 Wakiso-Kampala-24h'!I12,'27.07 Wakiso-Kampala-24h'!I12,'28.07 Wakiso-Kampala'!I12)</f>
        <v>7.2857142857142856</v>
      </c>
      <c r="J12" s="49">
        <f>AVERAGE('22.07 Wakiso-Kampala'!J12,'23.07 Wakiso-Kampala'!J12,'24.07 Wakiso-Kampala'!J12,'25.07 Wakiso-Kampala'!J12,'26.07 Wakiso-Kampala-24h'!J12,'27.07 Wakiso-Kampala-24h'!J12,'28.07 Wakiso-Kampala'!J12)</f>
        <v>2.2857142857142856</v>
      </c>
      <c r="K12" s="49">
        <f>AVERAGE('22.07 Wakiso-Kampala'!K12,'23.07 Wakiso-Kampala'!K12,'24.07 Wakiso-Kampala'!K12,'25.07 Wakiso-Kampala'!K12,'26.07 Wakiso-Kampala-24h'!K12,'27.07 Wakiso-Kampala-24h'!K12,'28.07 Wakiso-Kampala'!K12)</f>
        <v>0.2857142857142857</v>
      </c>
      <c r="L12" s="49">
        <f>AVERAGE('22.07 Wakiso-Kampala'!L12,'23.07 Wakiso-Kampala'!L12,'24.07 Wakiso-Kampala'!L12,'25.07 Wakiso-Kampala'!L12,'26.07 Wakiso-Kampala-24h'!L12,'27.07 Wakiso-Kampala-24h'!L12,'28.07 Wakiso-Kampala'!L12)</f>
        <v>0</v>
      </c>
      <c r="M12" s="49">
        <f>AVERAGE('22.07 Wakiso-Kampala'!M12,'23.07 Wakiso-Kampala'!M12,'24.07 Wakiso-Kampala'!M12,'25.07 Wakiso-Kampala'!M12,'26.07 Wakiso-Kampala-24h'!M12,'27.07 Wakiso-Kampala-24h'!M12,'28.07 Wakiso-Kampala'!M12)</f>
        <v>168.71428571428572</v>
      </c>
      <c r="N12" s="49">
        <f>AVERAGE('22.07 Wakiso-Kampala'!N12,'23.07 Wakiso-Kampala'!N12,'24.07 Wakiso-Kampala'!N12,'25.07 Wakiso-Kampala'!N12,'26.07 Wakiso-Kampala-24h'!N12,'27.07 Wakiso-Kampala-24h'!N12,'28.07 Wakiso-Kampala'!N12)</f>
        <v>0</v>
      </c>
      <c r="O12" s="15">
        <f t="shared" si="0"/>
        <v>229.14285714285708</v>
      </c>
      <c r="P12" s="15">
        <f t="shared" si="1"/>
        <v>397.85714285714278</v>
      </c>
      <c r="R12" s="1" t="s">
        <v>8</v>
      </c>
      <c r="S12" s="17">
        <f t="shared" ref="S12:AF12" si="4">SUM(C18:C21)</f>
        <v>285.14285714285711</v>
      </c>
      <c r="T12" s="17">
        <f t="shared" si="4"/>
        <v>119.71428571428569</v>
      </c>
      <c r="U12" s="17">
        <f t="shared" si="4"/>
        <v>50.285714285714285</v>
      </c>
      <c r="V12" s="17">
        <f t="shared" si="4"/>
        <v>295.85714285714289</v>
      </c>
      <c r="W12" s="17">
        <f t="shared" si="4"/>
        <v>7.8571428571428568</v>
      </c>
      <c r="X12" s="17">
        <f t="shared" si="4"/>
        <v>3.5714285714285712</v>
      </c>
      <c r="Y12" s="17">
        <f t="shared" si="4"/>
        <v>37.428571428571423</v>
      </c>
      <c r="Z12" s="17">
        <f t="shared" si="4"/>
        <v>14.428571428571429</v>
      </c>
      <c r="AA12" s="17">
        <f t="shared" si="4"/>
        <v>1.857142857142857</v>
      </c>
      <c r="AB12" s="17">
        <f t="shared" si="4"/>
        <v>2.2857142857142856</v>
      </c>
      <c r="AC12" s="17">
        <f t="shared" si="4"/>
        <v>546.28571428571422</v>
      </c>
      <c r="AD12" s="17">
        <f t="shared" si="4"/>
        <v>0</v>
      </c>
      <c r="AE12" s="31">
        <f t="shared" si="4"/>
        <v>818.42857142857144</v>
      </c>
      <c r="AF12" s="31">
        <f t="shared" si="4"/>
        <v>1364.7142857142856</v>
      </c>
    </row>
    <row r="13" spans="2:32" ht="23.1" customHeight="1" x14ac:dyDescent="0.25">
      <c r="B13" s="23" t="s">
        <v>40</v>
      </c>
      <c r="C13" s="49">
        <f>AVERAGE('22.07 Wakiso-Kampala'!C13,'23.07 Wakiso-Kampala'!C13,'24.07 Wakiso-Kampala'!C13,'25.07 Wakiso-Kampala'!C13,'26.07 Wakiso-Kampala-24h'!C13,'27.07 Wakiso-Kampala-24h'!C13,'28.07 Wakiso-Kampala'!C13)</f>
        <v>77.428571428571431</v>
      </c>
      <c r="D13" s="49">
        <f>AVERAGE('22.07 Wakiso-Kampala'!D13,'23.07 Wakiso-Kampala'!D13,'24.07 Wakiso-Kampala'!D13,'25.07 Wakiso-Kampala'!D13,'26.07 Wakiso-Kampala-24h'!D13,'27.07 Wakiso-Kampala-24h'!D13,'28.07 Wakiso-Kampala'!D13)</f>
        <v>25.714285714285715</v>
      </c>
      <c r="E13" s="49">
        <f>AVERAGE('22.07 Wakiso-Kampala'!E13,'23.07 Wakiso-Kampala'!E13,'24.07 Wakiso-Kampala'!E13,'25.07 Wakiso-Kampala'!E13,'26.07 Wakiso-Kampala-24h'!E13,'27.07 Wakiso-Kampala-24h'!E13,'28.07 Wakiso-Kampala'!E13)</f>
        <v>27.428571428571427</v>
      </c>
      <c r="F13" s="49">
        <f>AVERAGE('22.07 Wakiso-Kampala'!F13,'23.07 Wakiso-Kampala'!F13,'24.07 Wakiso-Kampala'!F13,'25.07 Wakiso-Kampala'!F13,'26.07 Wakiso-Kampala-24h'!F13,'27.07 Wakiso-Kampala-24h'!F13,'28.07 Wakiso-Kampala'!F13)</f>
        <v>77.428571428571431</v>
      </c>
      <c r="G13" s="49">
        <f>AVERAGE('22.07 Wakiso-Kampala'!G13,'23.07 Wakiso-Kampala'!G13,'24.07 Wakiso-Kampala'!G13,'25.07 Wakiso-Kampala'!G13,'26.07 Wakiso-Kampala-24h'!G13,'27.07 Wakiso-Kampala-24h'!G13,'28.07 Wakiso-Kampala'!G13)</f>
        <v>1.7142857142857142</v>
      </c>
      <c r="H13" s="49">
        <f>AVERAGE('22.07 Wakiso-Kampala'!H13,'23.07 Wakiso-Kampala'!H13,'24.07 Wakiso-Kampala'!H13,'25.07 Wakiso-Kampala'!H13,'26.07 Wakiso-Kampala-24h'!H13,'27.07 Wakiso-Kampala-24h'!H13,'28.07 Wakiso-Kampala'!H13)</f>
        <v>0.42857142857142855</v>
      </c>
      <c r="I13" s="49">
        <f>AVERAGE('22.07 Wakiso-Kampala'!I13,'23.07 Wakiso-Kampala'!I13,'24.07 Wakiso-Kampala'!I13,'25.07 Wakiso-Kampala'!I13,'26.07 Wakiso-Kampala-24h'!I13,'27.07 Wakiso-Kampala-24h'!I13,'28.07 Wakiso-Kampala'!I13)</f>
        <v>9.5714285714285712</v>
      </c>
      <c r="J13" s="49">
        <f>AVERAGE('22.07 Wakiso-Kampala'!J13,'23.07 Wakiso-Kampala'!J13,'24.07 Wakiso-Kampala'!J13,'25.07 Wakiso-Kampala'!J13,'26.07 Wakiso-Kampala-24h'!J13,'27.07 Wakiso-Kampala-24h'!J13,'28.07 Wakiso-Kampala'!J13)</f>
        <v>1.7142857142857142</v>
      </c>
      <c r="K13" s="49">
        <f>AVERAGE('22.07 Wakiso-Kampala'!K13,'23.07 Wakiso-Kampala'!K13,'24.07 Wakiso-Kampala'!K13,'25.07 Wakiso-Kampala'!K13,'26.07 Wakiso-Kampala-24h'!K13,'27.07 Wakiso-Kampala-24h'!K13,'28.07 Wakiso-Kampala'!K13)</f>
        <v>1.1428571428571428</v>
      </c>
      <c r="L13" s="49">
        <f>AVERAGE('22.07 Wakiso-Kampala'!L13,'23.07 Wakiso-Kampala'!L13,'24.07 Wakiso-Kampala'!L13,'25.07 Wakiso-Kampala'!L13,'26.07 Wakiso-Kampala-24h'!L13,'27.07 Wakiso-Kampala-24h'!L13,'28.07 Wakiso-Kampala'!L13)</f>
        <v>0.5714285714285714</v>
      </c>
      <c r="M13" s="49">
        <f>AVERAGE('22.07 Wakiso-Kampala'!M13,'23.07 Wakiso-Kampala'!M13,'24.07 Wakiso-Kampala'!M13,'25.07 Wakiso-Kampala'!M13,'26.07 Wakiso-Kampala-24h'!M13,'27.07 Wakiso-Kampala-24h'!M13,'28.07 Wakiso-Kampala'!M13)</f>
        <v>164.42857142857142</v>
      </c>
      <c r="N13" s="49">
        <f>AVERAGE('22.07 Wakiso-Kampala'!N13,'23.07 Wakiso-Kampala'!N13,'24.07 Wakiso-Kampala'!N13,'25.07 Wakiso-Kampala'!N13,'26.07 Wakiso-Kampala-24h'!N13,'27.07 Wakiso-Kampala-24h'!N13,'28.07 Wakiso-Kampala'!N13)</f>
        <v>0</v>
      </c>
      <c r="O13" s="15">
        <f t="shared" si="0"/>
        <v>223.14285714285717</v>
      </c>
      <c r="P13" s="15">
        <f t="shared" si="1"/>
        <v>387.57142857142856</v>
      </c>
      <c r="R13" s="1" t="s">
        <v>9</v>
      </c>
      <c r="S13" s="17">
        <f t="shared" ref="S13:AF13" si="5">SUM(C22:C25)</f>
        <v>243.42857142857142</v>
      </c>
      <c r="T13" s="17">
        <f t="shared" si="5"/>
        <v>108.71428571428572</v>
      </c>
      <c r="U13" s="17">
        <f t="shared" si="5"/>
        <v>36.571428571428577</v>
      </c>
      <c r="V13" s="17">
        <f t="shared" si="5"/>
        <v>255.71428571428572</v>
      </c>
      <c r="W13" s="17">
        <f t="shared" si="5"/>
        <v>5.1428571428571432</v>
      </c>
      <c r="X13" s="17">
        <f t="shared" si="5"/>
        <v>2.1428571428571428</v>
      </c>
      <c r="Y13" s="17">
        <f t="shared" si="5"/>
        <v>36.428571428571431</v>
      </c>
      <c r="Z13" s="17">
        <f t="shared" si="5"/>
        <v>13.571428571428571</v>
      </c>
      <c r="AA13" s="17">
        <f t="shared" si="5"/>
        <v>2.2857142857142856</v>
      </c>
      <c r="AB13" s="17">
        <f t="shared" si="5"/>
        <v>1.5714285714285714</v>
      </c>
      <c r="AC13" s="17">
        <f t="shared" si="5"/>
        <v>482.71428571428572</v>
      </c>
      <c r="AD13" s="17">
        <f t="shared" si="5"/>
        <v>0</v>
      </c>
      <c r="AE13" s="31">
        <f t="shared" si="5"/>
        <v>705.57142857142856</v>
      </c>
      <c r="AF13" s="31">
        <f t="shared" si="5"/>
        <v>1188.2857142857142</v>
      </c>
    </row>
    <row r="14" spans="2:32" ht="23.1" customHeight="1" x14ac:dyDescent="0.25">
      <c r="B14" s="23" t="s">
        <v>41</v>
      </c>
      <c r="C14" s="49">
        <f>AVERAGE('22.07 Wakiso-Kampala'!C14,'23.07 Wakiso-Kampala'!C14,'24.07 Wakiso-Kampala'!C14,'25.07 Wakiso-Kampala'!C14,'26.07 Wakiso-Kampala-24h'!C14,'27.07 Wakiso-Kampala-24h'!C14,'28.07 Wakiso-Kampala'!C14)</f>
        <v>65.571428571428569</v>
      </c>
      <c r="D14" s="49">
        <f>AVERAGE('22.07 Wakiso-Kampala'!D14,'23.07 Wakiso-Kampala'!D14,'24.07 Wakiso-Kampala'!D14,'25.07 Wakiso-Kampala'!D14,'26.07 Wakiso-Kampala-24h'!D14,'27.07 Wakiso-Kampala-24h'!D14,'28.07 Wakiso-Kampala'!D14)</f>
        <v>24.714285714285715</v>
      </c>
      <c r="E14" s="49">
        <f>AVERAGE('22.07 Wakiso-Kampala'!E14,'23.07 Wakiso-Kampala'!E14,'24.07 Wakiso-Kampala'!E14,'25.07 Wakiso-Kampala'!E14,'26.07 Wakiso-Kampala-24h'!E14,'27.07 Wakiso-Kampala-24h'!E14,'28.07 Wakiso-Kampala'!E14)</f>
        <v>8.1428571428571423</v>
      </c>
      <c r="F14" s="49">
        <f>AVERAGE('22.07 Wakiso-Kampala'!F14,'23.07 Wakiso-Kampala'!F14,'24.07 Wakiso-Kampala'!F14,'25.07 Wakiso-Kampala'!F14,'26.07 Wakiso-Kampala-24h'!F14,'27.07 Wakiso-Kampala-24h'!F14,'28.07 Wakiso-Kampala'!F14)</f>
        <v>59.285714285714285</v>
      </c>
      <c r="G14" s="49">
        <f>AVERAGE('22.07 Wakiso-Kampala'!G14,'23.07 Wakiso-Kampala'!G14,'24.07 Wakiso-Kampala'!G14,'25.07 Wakiso-Kampala'!G14,'26.07 Wakiso-Kampala-24h'!G14,'27.07 Wakiso-Kampala-24h'!G14,'28.07 Wakiso-Kampala'!G14)</f>
        <v>0.8571428571428571</v>
      </c>
      <c r="H14" s="49">
        <f>AVERAGE('22.07 Wakiso-Kampala'!H14,'23.07 Wakiso-Kampala'!H14,'24.07 Wakiso-Kampala'!H14,'25.07 Wakiso-Kampala'!H14,'26.07 Wakiso-Kampala-24h'!H14,'27.07 Wakiso-Kampala-24h'!H14,'28.07 Wakiso-Kampala'!H14)</f>
        <v>0</v>
      </c>
      <c r="I14" s="49">
        <f>AVERAGE('22.07 Wakiso-Kampala'!I14,'23.07 Wakiso-Kampala'!I14,'24.07 Wakiso-Kampala'!I14,'25.07 Wakiso-Kampala'!I14,'26.07 Wakiso-Kampala-24h'!I14,'27.07 Wakiso-Kampala-24h'!I14,'28.07 Wakiso-Kampala'!I14)</f>
        <v>9.7142857142857135</v>
      </c>
      <c r="J14" s="49">
        <f>AVERAGE('22.07 Wakiso-Kampala'!J14,'23.07 Wakiso-Kampala'!J14,'24.07 Wakiso-Kampala'!J14,'25.07 Wakiso-Kampala'!J14,'26.07 Wakiso-Kampala-24h'!J14,'27.07 Wakiso-Kampala-24h'!J14,'28.07 Wakiso-Kampala'!J14)</f>
        <v>2.4285714285714284</v>
      </c>
      <c r="K14" s="49">
        <f>AVERAGE('22.07 Wakiso-Kampala'!K14,'23.07 Wakiso-Kampala'!K14,'24.07 Wakiso-Kampala'!K14,'25.07 Wakiso-Kampala'!K14,'26.07 Wakiso-Kampala-24h'!K14,'27.07 Wakiso-Kampala-24h'!K14,'28.07 Wakiso-Kampala'!K14)</f>
        <v>0</v>
      </c>
      <c r="L14" s="49">
        <f>AVERAGE('22.07 Wakiso-Kampala'!L14,'23.07 Wakiso-Kampala'!L14,'24.07 Wakiso-Kampala'!L14,'25.07 Wakiso-Kampala'!L14,'26.07 Wakiso-Kampala-24h'!L14,'27.07 Wakiso-Kampala-24h'!L14,'28.07 Wakiso-Kampala'!L14)</f>
        <v>0.42857142857142855</v>
      </c>
      <c r="M14" s="49">
        <f>AVERAGE('22.07 Wakiso-Kampala'!M14,'23.07 Wakiso-Kampala'!M14,'24.07 Wakiso-Kampala'!M14,'25.07 Wakiso-Kampala'!M14,'26.07 Wakiso-Kampala-24h'!M14,'27.07 Wakiso-Kampala-24h'!M14,'28.07 Wakiso-Kampala'!M14)</f>
        <v>170.71428571428572</v>
      </c>
      <c r="N14" s="49">
        <f>AVERAGE('22.07 Wakiso-Kampala'!N14,'23.07 Wakiso-Kampala'!N14,'24.07 Wakiso-Kampala'!N14,'25.07 Wakiso-Kampala'!N14,'26.07 Wakiso-Kampala-24h'!N14,'27.07 Wakiso-Kampala-24h'!N14,'28.07 Wakiso-Kampala'!N14)</f>
        <v>0</v>
      </c>
      <c r="O14" s="15">
        <f t="shared" si="0"/>
        <v>171.14285714285711</v>
      </c>
      <c r="P14" s="15">
        <f t="shared" si="1"/>
        <v>341.85714285714283</v>
      </c>
      <c r="R14" s="1" t="s">
        <v>10</v>
      </c>
      <c r="S14" s="17">
        <f t="shared" ref="S14:AF14" si="6">SUM(C26:C29)</f>
        <v>201.14285714285717</v>
      </c>
      <c r="T14" s="17">
        <f t="shared" si="6"/>
        <v>89.714285714285708</v>
      </c>
      <c r="U14" s="17">
        <f t="shared" si="6"/>
        <v>37.142857142857139</v>
      </c>
      <c r="V14" s="17">
        <f t="shared" si="6"/>
        <v>211.28571428571428</v>
      </c>
      <c r="W14" s="17">
        <f t="shared" si="6"/>
        <v>1.4285714285714284</v>
      </c>
      <c r="X14" s="17">
        <f t="shared" si="6"/>
        <v>1</v>
      </c>
      <c r="Y14" s="17">
        <f t="shared" si="6"/>
        <v>29.285714285714285</v>
      </c>
      <c r="Z14" s="17">
        <f t="shared" si="6"/>
        <v>13.571428571428569</v>
      </c>
      <c r="AA14" s="17">
        <f t="shared" si="6"/>
        <v>2.2857142857142856</v>
      </c>
      <c r="AB14" s="17">
        <f t="shared" si="6"/>
        <v>3.8571428571428572</v>
      </c>
      <c r="AC14" s="17">
        <f t="shared" si="6"/>
        <v>430.42857142857144</v>
      </c>
      <c r="AD14" s="17">
        <f t="shared" si="6"/>
        <v>0</v>
      </c>
      <c r="AE14" s="31">
        <f t="shared" si="6"/>
        <v>590.71428571428567</v>
      </c>
      <c r="AF14" s="31">
        <f t="shared" si="6"/>
        <v>1021.1428571428571</v>
      </c>
    </row>
    <row r="15" spans="2:32" ht="23.1" customHeight="1" x14ac:dyDescent="0.25">
      <c r="B15" s="23" t="s">
        <v>42</v>
      </c>
      <c r="C15" s="49">
        <f>AVERAGE('22.07 Wakiso-Kampala'!C15,'23.07 Wakiso-Kampala'!C15,'24.07 Wakiso-Kampala'!C15,'25.07 Wakiso-Kampala'!C15,'26.07 Wakiso-Kampala-24h'!C15,'27.07 Wakiso-Kampala-24h'!C15,'28.07 Wakiso-Kampala'!C15)</f>
        <v>68.142857142857139</v>
      </c>
      <c r="D15" s="49">
        <f>AVERAGE('22.07 Wakiso-Kampala'!D15,'23.07 Wakiso-Kampala'!D15,'24.07 Wakiso-Kampala'!D15,'25.07 Wakiso-Kampala'!D15,'26.07 Wakiso-Kampala-24h'!D15,'27.07 Wakiso-Kampala-24h'!D15,'28.07 Wakiso-Kampala'!D15)</f>
        <v>24.285714285714285</v>
      </c>
      <c r="E15" s="49">
        <f>AVERAGE('22.07 Wakiso-Kampala'!E15,'23.07 Wakiso-Kampala'!E15,'24.07 Wakiso-Kampala'!E15,'25.07 Wakiso-Kampala'!E15,'26.07 Wakiso-Kampala-24h'!E15,'27.07 Wakiso-Kampala-24h'!E15,'28.07 Wakiso-Kampala'!E15)</f>
        <v>10.714285714285714</v>
      </c>
      <c r="F15" s="49">
        <f>AVERAGE('22.07 Wakiso-Kampala'!F15,'23.07 Wakiso-Kampala'!F15,'24.07 Wakiso-Kampala'!F15,'25.07 Wakiso-Kampala'!F15,'26.07 Wakiso-Kampala-24h'!F15,'27.07 Wakiso-Kampala-24h'!F15,'28.07 Wakiso-Kampala'!F15)</f>
        <v>65.142857142857139</v>
      </c>
      <c r="G15" s="49">
        <f>AVERAGE('22.07 Wakiso-Kampala'!G15,'23.07 Wakiso-Kampala'!G15,'24.07 Wakiso-Kampala'!G15,'25.07 Wakiso-Kampala'!G15,'26.07 Wakiso-Kampala-24h'!G15,'27.07 Wakiso-Kampala-24h'!G15,'28.07 Wakiso-Kampala'!G15)</f>
        <v>0.7142857142857143</v>
      </c>
      <c r="H15" s="49">
        <f>AVERAGE('22.07 Wakiso-Kampala'!H15,'23.07 Wakiso-Kampala'!H15,'24.07 Wakiso-Kampala'!H15,'25.07 Wakiso-Kampala'!H15,'26.07 Wakiso-Kampala-24h'!H15,'27.07 Wakiso-Kampala-24h'!H15,'28.07 Wakiso-Kampala'!H15)</f>
        <v>0</v>
      </c>
      <c r="I15" s="49">
        <f>AVERAGE('22.07 Wakiso-Kampala'!I15,'23.07 Wakiso-Kampala'!I15,'24.07 Wakiso-Kampala'!I15,'25.07 Wakiso-Kampala'!I15,'26.07 Wakiso-Kampala-24h'!I15,'27.07 Wakiso-Kampala-24h'!I15,'28.07 Wakiso-Kampala'!I15)</f>
        <v>8.8571428571428577</v>
      </c>
      <c r="J15" s="49">
        <f>AVERAGE('22.07 Wakiso-Kampala'!J15,'23.07 Wakiso-Kampala'!J15,'24.07 Wakiso-Kampala'!J15,'25.07 Wakiso-Kampala'!J15,'26.07 Wakiso-Kampala-24h'!J15,'27.07 Wakiso-Kampala-24h'!J15,'28.07 Wakiso-Kampala'!J15)</f>
        <v>3.4285714285714284</v>
      </c>
      <c r="K15" s="49">
        <f>AVERAGE('22.07 Wakiso-Kampala'!K15,'23.07 Wakiso-Kampala'!K15,'24.07 Wakiso-Kampala'!K15,'25.07 Wakiso-Kampala'!K15,'26.07 Wakiso-Kampala-24h'!K15,'27.07 Wakiso-Kampala-24h'!K15,'28.07 Wakiso-Kampala'!K15)</f>
        <v>1</v>
      </c>
      <c r="L15" s="49">
        <f>AVERAGE('22.07 Wakiso-Kampala'!L15,'23.07 Wakiso-Kampala'!L15,'24.07 Wakiso-Kampala'!L15,'25.07 Wakiso-Kampala'!L15,'26.07 Wakiso-Kampala-24h'!L15,'27.07 Wakiso-Kampala-24h'!L15,'28.07 Wakiso-Kampala'!L15)</f>
        <v>0.5714285714285714</v>
      </c>
      <c r="M15" s="49">
        <f>AVERAGE('22.07 Wakiso-Kampala'!M15,'23.07 Wakiso-Kampala'!M15,'24.07 Wakiso-Kampala'!M15,'25.07 Wakiso-Kampala'!M15,'26.07 Wakiso-Kampala-24h'!M15,'27.07 Wakiso-Kampala-24h'!M15,'28.07 Wakiso-Kampala'!M15)</f>
        <v>163.71428571428572</v>
      </c>
      <c r="N15" s="49">
        <f>AVERAGE('22.07 Wakiso-Kampala'!N15,'23.07 Wakiso-Kampala'!N15,'24.07 Wakiso-Kampala'!N15,'25.07 Wakiso-Kampala'!N15,'26.07 Wakiso-Kampala-24h'!N15,'27.07 Wakiso-Kampala-24h'!N15,'28.07 Wakiso-Kampala'!N15)</f>
        <v>0</v>
      </c>
      <c r="O15" s="15">
        <f t="shared" si="0"/>
        <v>182.85714285714286</v>
      </c>
      <c r="P15" s="15">
        <f t="shared" si="1"/>
        <v>346.57142857142856</v>
      </c>
      <c r="R15" s="1" t="s">
        <v>11</v>
      </c>
      <c r="S15" s="17">
        <f t="shared" ref="S15:AF15" si="7">SUM(C30:C33)</f>
        <v>181.14285714285714</v>
      </c>
      <c r="T15" s="17">
        <f t="shared" si="7"/>
        <v>68</v>
      </c>
      <c r="U15" s="17">
        <f t="shared" si="7"/>
        <v>28.714285714285715</v>
      </c>
      <c r="V15" s="17">
        <f t="shared" si="7"/>
        <v>187.00000000000003</v>
      </c>
      <c r="W15" s="17">
        <f t="shared" si="7"/>
        <v>1.2857142857142856</v>
      </c>
      <c r="X15" s="17">
        <f t="shared" si="7"/>
        <v>0.71428571428571419</v>
      </c>
      <c r="Y15" s="17">
        <f t="shared" si="7"/>
        <v>27.428571428571431</v>
      </c>
      <c r="Z15" s="17">
        <f t="shared" si="7"/>
        <v>8.428571428571427</v>
      </c>
      <c r="AA15" s="17">
        <f t="shared" si="7"/>
        <v>1.857142857142857</v>
      </c>
      <c r="AB15" s="17">
        <f t="shared" si="7"/>
        <v>3.8571428571428572</v>
      </c>
      <c r="AC15" s="17">
        <f t="shared" si="7"/>
        <v>355.57142857142856</v>
      </c>
      <c r="AD15" s="17">
        <f t="shared" si="7"/>
        <v>0</v>
      </c>
      <c r="AE15" s="31">
        <f t="shared" si="7"/>
        <v>508.42857142857144</v>
      </c>
      <c r="AF15" s="31">
        <f t="shared" si="7"/>
        <v>864</v>
      </c>
    </row>
    <row r="16" spans="2:32" ht="23.1" customHeight="1" x14ac:dyDescent="0.25">
      <c r="B16" s="23" t="s">
        <v>43</v>
      </c>
      <c r="C16" s="49">
        <f>AVERAGE('22.07 Wakiso-Kampala'!C16,'23.07 Wakiso-Kampala'!C16,'24.07 Wakiso-Kampala'!C16,'25.07 Wakiso-Kampala'!C16,'26.07 Wakiso-Kampala-24h'!C16,'27.07 Wakiso-Kampala-24h'!C16,'28.07 Wakiso-Kampala'!C16)</f>
        <v>67.142857142857139</v>
      </c>
      <c r="D16" s="49">
        <f>AVERAGE('22.07 Wakiso-Kampala'!D16,'23.07 Wakiso-Kampala'!D16,'24.07 Wakiso-Kampala'!D16,'25.07 Wakiso-Kampala'!D16,'26.07 Wakiso-Kampala-24h'!D16,'27.07 Wakiso-Kampala-24h'!D16,'28.07 Wakiso-Kampala'!D16)</f>
        <v>25.285714285714285</v>
      </c>
      <c r="E16" s="49">
        <f>AVERAGE('22.07 Wakiso-Kampala'!E16,'23.07 Wakiso-Kampala'!E16,'24.07 Wakiso-Kampala'!E16,'25.07 Wakiso-Kampala'!E16,'26.07 Wakiso-Kampala-24h'!E16,'27.07 Wakiso-Kampala-24h'!E16,'28.07 Wakiso-Kampala'!E16)</f>
        <v>13.857142857142858</v>
      </c>
      <c r="F16" s="49">
        <f>AVERAGE('22.07 Wakiso-Kampala'!F16,'23.07 Wakiso-Kampala'!F16,'24.07 Wakiso-Kampala'!F16,'25.07 Wakiso-Kampala'!F16,'26.07 Wakiso-Kampala-24h'!F16,'27.07 Wakiso-Kampala-24h'!F16,'28.07 Wakiso-Kampala'!F16)</f>
        <v>68.142857142857139</v>
      </c>
      <c r="G16" s="49">
        <f>AVERAGE('22.07 Wakiso-Kampala'!G16,'23.07 Wakiso-Kampala'!G16,'24.07 Wakiso-Kampala'!G16,'25.07 Wakiso-Kampala'!G16,'26.07 Wakiso-Kampala-24h'!G16,'27.07 Wakiso-Kampala-24h'!G16,'28.07 Wakiso-Kampala'!G16)</f>
        <v>0.7142857142857143</v>
      </c>
      <c r="H16" s="49">
        <f>AVERAGE('22.07 Wakiso-Kampala'!H16,'23.07 Wakiso-Kampala'!H16,'24.07 Wakiso-Kampala'!H16,'25.07 Wakiso-Kampala'!H16,'26.07 Wakiso-Kampala-24h'!H16,'27.07 Wakiso-Kampala-24h'!H16,'28.07 Wakiso-Kampala'!H16)</f>
        <v>0.14285714285714285</v>
      </c>
      <c r="I16" s="49">
        <f>AVERAGE('22.07 Wakiso-Kampala'!I16,'23.07 Wakiso-Kampala'!I16,'24.07 Wakiso-Kampala'!I16,'25.07 Wakiso-Kampala'!I16,'26.07 Wakiso-Kampala-24h'!I16,'27.07 Wakiso-Kampala-24h'!I16,'28.07 Wakiso-Kampala'!I16)</f>
        <v>8.8571428571428577</v>
      </c>
      <c r="J16" s="49">
        <f>AVERAGE('22.07 Wakiso-Kampala'!J16,'23.07 Wakiso-Kampala'!J16,'24.07 Wakiso-Kampala'!J16,'25.07 Wakiso-Kampala'!J16,'26.07 Wakiso-Kampala-24h'!J16,'27.07 Wakiso-Kampala-24h'!J16,'28.07 Wakiso-Kampala'!J16)</f>
        <v>3.2857142857142856</v>
      </c>
      <c r="K16" s="49">
        <f>AVERAGE('22.07 Wakiso-Kampala'!K16,'23.07 Wakiso-Kampala'!K16,'24.07 Wakiso-Kampala'!K16,'25.07 Wakiso-Kampala'!K16,'26.07 Wakiso-Kampala-24h'!K16,'27.07 Wakiso-Kampala-24h'!K16,'28.07 Wakiso-Kampala'!K16)</f>
        <v>0.7142857142857143</v>
      </c>
      <c r="L16" s="49">
        <f>AVERAGE('22.07 Wakiso-Kampala'!L16,'23.07 Wakiso-Kampala'!L16,'24.07 Wakiso-Kampala'!L16,'25.07 Wakiso-Kampala'!L16,'26.07 Wakiso-Kampala-24h'!L16,'27.07 Wakiso-Kampala-24h'!L16,'28.07 Wakiso-Kampala'!L16)</f>
        <v>0</v>
      </c>
      <c r="M16" s="49">
        <f>AVERAGE('22.07 Wakiso-Kampala'!M16,'23.07 Wakiso-Kampala'!M16,'24.07 Wakiso-Kampala'!M16,'25.07 Wakiso-Kampala'!M16,'26.07 Wakiso-Kampala-24h'!M16,'27.07 Wakiso-Kampala-24h'!M16,'28.07 Wakiso-Kampala'!M16)</f>
        <v>162.57142857142858</v>
      </c>
      <c r="N16" s="49">
        <f>AVERAGE('22.07 Wakiso-Kampala'!N16,'23.07 Wakiso-Kampala'!N16,'24.07 Wakiso-Kampala'!N16,'25.07 Wakiso-Kampala'!N16,'26.07 Wakiso-Kampala-24h'!N16,'27.07 Wakiso-Kampala-24h'!N16,'28.07 Wakiso-Kampala'!N16)</f>
        <v>0</v>
      </c>
      <c r="O16" s="15">
        <f t="shared" si="0"/>
        <v>188.14285714285714</v>
      </c>
      <c r="P16" s="15">
        <f t="shared" si="1"/>
        <v>350.71428571428572</v>
      </c>
      <c r="R16" s="1" t="s">
        <v>12</v>
      </c>
      <c r="S16" s="17">
        <f t="shared" ref="S16:AF16" si="8">SUM(C34:C37)</f>
        <v>176.85714285714283</v>
      </c>
      <c r="T16" s="17">
        <f t="shared" si="8"/>
        <v>77.142857142857139</v>
      </c>
      <c r="U16" s="17">
        <f t="shared" si="8"/>
        <v>27.428571428571431</v>
      </c>
      <c r="V16" s="17">
        <f t="shared" si="8"/>
        <v>185.71428571428572</v>
      </c>
      <c r="W16" s="17">
        <f t="shared" si="8"/>
        <v>1.5714285714285712</v>
      </c>
      <c r="X16" s="17">
        <f t="shared" si="8"/>
        <v>3.5714285714285712</v>
      </c>
      <c r="Y16" s="17">
        <f t="shared" si="8"/>
        <v>35.285714285714285</v>
      </c>
      <c r="Z16" s="17">
        <f t="shared" si="8"/>
        <v>10.857142857142858</v>
      </c>
      <c r="AA16" s="17">
        <f t="shared" si="8"/>
        <v>2.5714285714285712</v>
      </c>
      <c r="AB16" s="17">
        <f t="shared" si="8"/>
        <v>3.5714285714285716</v>
      </c>
      <c r="AC16" s="17">
        <f t="shared" si="8"/>
        <v>338.42857142857144</v>
      </c>
      <c r="AD16" s="17">
        <f t="shared" si="8"/>
        <v>0</v>
      </c>
      <c r="AE16" s="31">
        <f t="shared" si="8"/>
        <v>524.57142857142856</v>
      </c>
      <c r="AF16" s="31">
        <f t="shared" si="8"/>
        <v>863</v>
      </c>
    </row>
    <row r="17" spans="2:32" ht="23.1" customHeight="1" x14ac:dyDescent="0.25">
      <c r="B17" s="23" t="s">
        <v>44</v>
      </c>
      <c r="C17" s="49">
        <f>AVERAGE('22.07 Wakiso-Kampala'!C17,'23.07 Wakiso-Kampala'!C17,'24.07 Wakiso-Kampala'!C17,'25.07 Wakiso-Kampala'!C17,'26.07 Wakiso-Kampala-24h'!C17,'27.07 Wakiso-Kampala-24h'!C17,'28.07 Wakiso-Kampala'!C17)</f>
        <v>63.857142857142854</v>
      </c>
      <c r="D17" s="49">
        <f>AVERAGE('22.07 Wakiso-Kampala'!D17,'23.07 Wakiso-Kampala'!D17,'24.07 Wakiso-Kampala'!D17,'25.07 Wakiso-Kampala'!D17,'26.07 Wakiso-Kampala-24h'!D17,'27.07 Wakiso-Kampala-24h'!D17,'28.07 Wakiso-Kampala'!D17)</f>
        <v>31.142857142857142</v>
      </c>
      <c r="E17" s="49">
        <f>AVERAGE('22.07 Wakiso-Kampala'!E17,'23.07 Wakiso-Kampala'!E17,'24.07 Wakiso-Kampala'!E17,'25.07 Wakiso-Kampala'!E17,'26.07 Wakiso-Kampala-24h'!E17,'27.07 Wakiso-Kampala-24h'!E17,'28.07 Wakiso-Kampala'!E17)</f>
        <v>13.142857142857142</v>
      </c>
      <c r="F17" s="49">
        <f>AVERAGE('22.07 Wakiso-Kampala'!F17,'23.07 Wakiso-Kampala'!F17,'24.07 Wakiso-Kampala'!F17,'25.07 Wakiso-Kampala'!F17,'26.07 Wakiso-Kampala-24h'!F17,'27.07 Wakiso-Kampala-24h'!F17,'28.07 Wakiso-Kampala'!F17)</f>
        <v>64.857142857142861</v>
      </c>
      <c r="G17" s="49">
        <f>AVERAGE('22.07 Wakiso-Kampala'!G17,'23.07 Wakiso-Kampala'!G17,'24.07 Wakiso-Kampala'!G17,'25.07 Wakiso-Kampala'!G17,'26.07 Wakiso-Kampala-24h'!G17,'27.07 Wakiso-Kampala-24h'!G17,'28.07 Wakiso-Kampala'!G17)</f>
        <v>1.1428571428571428</v>
      </c>
      <c r="H17" s="49">
        <f>AVERAGE('22.07 Wakiso-Kampala'!H17,'23.07 Wakiso-Kampala'!H17,'24.07 Wakiso-Kampala'!H17,'25.07 Wakiso-Kampala'!H17,'26.07 Wakiso-Kampala-24h'!H17,'27.07 Wakiso-Kampala-24h'!H17,'28.07 Wakiso-Kampala'!H17)</f>
        <v>1.8571428571428572</v>
      </c>
      <c r="I17" s="49">
        <f>AVERAGE('22.07 Wakiso-Kampala'!I17,'23.07 Wakiso-Kampala'!I17,'24.07 Wakiso-Kampala'!I17,'25.07 Wakiso-Kampala'!I17,'26.07 Wakiso-Kampala-24h'!I17,'27.07 Wakiso-Kampala-24h'!I17,'28.07 Wakiso-Kampala'!I17)</f>
        <v>9.1428571428571423</v>
      </c>
      <c r="J17" s="49">
        <f>AVERAGE('22.07 Wakiso-Kampala'!J17,'23.07 Wakiso-Kampala'!J17,'24.07 Wakiso-Kampala'!J17,'25.07 Wakiso-Kampala'!J17,'26.07 Wakiso-Kampala-24h'!J17,'27.07 Wakiso-Kampala-24h'!J17,'28.07 Wakiso-Kampala'!J17)</f>
        <v>0.8571428571428571</v>
      </c>
      <c r="K17" s="49">
        <f>AVERAGE('22.07 Wakiso-Kampala'!K17,'23.07 Wakiso-Kampala'!K17,'24.07 Wakiso-Kampala'!K17,'25.07 Wakiso-Kampala'!K17,'26.07 Wakiso-Kampala-24h'!K17,'27.07 Wakiso-Kampala-24h'!K17,'28.07 Wakiso-Kampala'!K17)</f>
        <v>1</v>
      </c>
      <c r="L17" s="49">
        <f>AVERAGE('22.07 Wakiso-Kampala'!L17,'23.07 Wakiso-Kampala'!L17,'24.07 Wakiso-Kampala'!L17,'25.07 Wakiso-Kampala'!L17,'26.07 Wakiso-Kampala-24h'!L17,'27.07 Wakiso-Kampala-24h'!L17,'28.07 Wakiso-Kampala'!L17)</f>
        <v>0.2857142857142857</v>
      </c>
      <c r="M17" s="49">
        <f>AVERAGE('22.07 Wakiso-Kampala'!M17,'23.07 Wakiso-Kampala'!M17,'24.07 Wakiso-Kampala'!M17,'25.07 Wakiso-Kampala'!M17,'26.07 Wakiso-Kampala-24h'!M17,'27.07 Wakiso-Kampala-24h'!M17,'28.07 Wakiso-Kampala'!M17)</f>
        <v>160.14285714285714</v>
      </c>
      <c r="N17" s="49">
        <f>AVERAGE('22.07 Wakiso-Kampala'!N17,'23.07 Wakiso-Kampala'!N17,'24.07 Wakiso-Kampala'!N17,'25.07 Wakiso-Kampala'!N17,'26.07 Wakiso-Kampala-24h'!N17,'27.07 Wakiso-Kampala-24h'!N17,'28.07 Wakiso-Kampala'!N17)</f>
        <v>0</v>
      </c>
      <c r="O17" s="15">
        <f t="shared" si="0"/>
        <v>187.28571428571428</v>
      </c>
      <c r="P17" s="15">
        <f t="shared" si="1"/>
        <v>347.42857142857144</v>
      </c>
      <c r="R17" s="1" t="s">
        <v>13</v>
      </c>
      <c r="S17" s="17">
        <f t="shared" ref="S17:AF17" si="9">SUM(C38:C41)</f>
        <v>157.14285714285714</v>
      </c>
      <c r="T17" s="17">
        <f t="shared" si="9"/>
        <v>73.285714285714292</v>
      </c>
      <c r="U17" s="17">
        <f t="shared" si="9"/>
        <v>28.714285714285715</v>
      </c>
      <c r="V17" s="17">
        <f t="shared" si="9"/>
        <v>186.14285714285714</v>
      </c>
      <c r="W17" s="17">
        <f t="shared" si="9"/>
        <v>1.5714285714285714</v>
      </c>
      <c r="X17" s="17">
        <f t="shared" si="9"/>
        <v>0.42857142857142855</v>
      </c>
      <c r="Y17" s="17">
        <f t="shared" si="9"/>
        <v>37.428571428571431</v>
      </c>
      <c r="Z17" s="17">
        <f t="shared" si="9"/>
        <v>12.285714285714286</v>
      </c>
      <c r="AA17" s="17">
        <f t="shared" si="9"/>
        <v>2.2857142857142856</v>
      </c>
      <c r="AB17" s="17">
        <f t="shared" si="9"/>
        <v>2.1428571428571428</v>
      </c>
      <c r="AC17" s="17">
        <f t="shared" si="9"/>
        <v>293.85714285714283</v>
      </c>
      <c r="AD17" s="17">
        <f t="shared" si="9"/>
        <v>0</v>
      </c>
      <c r="AE17" s="31">
        <f t="shared" si="9"/>
        <v>501.42857142857133</v>
      </c>
      <c r="AF17" s="31">
        <f t="shared" si="9"/>
        <v>795.28571428571422</v>
      </c>
    </row>
    <row r="18" spans="2:32" ht="23.1" customHeight="1" x14ac:dyDescent="0.25">
      <c r="B18" s="23" t="s">
        <v>45</v>
      </c>
      <c r="C18" s="49">
        <f>AVERAGE('22.07 Wakiso-Kampala'!C18,'23.07 Wakiso-Kampala'!C18,'24.07 Wakiso-Kampala'!C18,'25.07 Wakiso-Kampala'!C18,'26.07 Wakiso-Kampala-24h'!C18,'27.07 Wakiso-Kampala-24h'!C18,'28.07 Wakiso-Kampala'!C18)</f>
        <v>78.285714285714292</v>
      </c>
      <c r="D18" s="49">
        <f>AVERAGE('22.07 Wakiso-Kampala'!D18,'23.07 Wakiso-Kampala'!D18,'24.07 Wakiso-Kampala'!D18,'25.07 Wakiso-Kampala'!D18,'26.07 Wakiso-Kampala-24h'!D18,'27.07 Wakiso-Kampala-24h'!D18,'28.07 Wakiso-Kampala'!D18)</f>
        <v>32.571428571428569</v>
      </c>
      <c r="E18" s="49">
        <f>AVERAGE('22.07 Wakiso-Kampala'!E18,'23.07 Wakiso-Kampala'!E18,'24.07 Wakiso-Kampala'!E18,'25.07 Wakiso-Kampala'!E18,'26.07 Wakiso-Kampala-24h'!E18,'27.07 Wakiso-Kampala-24h'!E18,'28.07 Wakiso-Kampala'!E18)</f>
        <v>11.714285714285714</v>
      </c>
      <c r="F18" s="49">
        <f>AVERAGE('22.07 Wakiso-Kampala'!F18,'23.07 Wakiso-Kampala'!F18,'24.07 Wakiso-Kampala'!F18,'25.07 Wakiso-Kampala'!F18,'26.07 Wakiso-Kampala-24h'!F18,'27.07 Wakiso-Kampala-24h'!F18,'28.07 Wakiso-Kampala'!F18)</f>
        <v>81.857142857142861</v>
      </c>
      <c r="G18" s="49">
        <f>AVERAGE('22.07 Wakiso-Kampala'!G18,'23.07 Wakiso-Kampala'!G18,'24.07 Wakiso-Kampala'!G18,'25.07 Wakiso-Kampala'!G18,'26.07 Wakiso-Kampala-24h'!G18,'27.07 Wakiso-Kampala-24h'!G18,'28.07 Wakiso-Kampala'!G18)</f>
        <v>1.7142857142857142</v>
      </c>
      <c r="H18" s="49">
        <f>AVERAGE('22.07 Wakiso-Kampala'!H18,'23.07 Wakiso-Kampala'!H18,'24.07 Wakiso-Kampala'!H18,'25.07 Wakiso-Kampala'!H18,'26.07 Wakiso-Kampala-24h'!H18,'27.07 Wakiso-Kampala-24h'!H18,'28.07 Wakiso-Kampala'!H18)</f>
        <v>0.8571428571428571</v>
      </c>
      <c r="I18" s="49">
        <f>AVERAGE('22.07 Wakiso-Kampala'!I18,'23.07 Wakiso-Kampala'!I18,'24.07 Wakiso-Kampala'!I18,'25.07 Wakiso-Kampala'!I18,'26.07 Wakiso-Kampala-24h'!I18,'27.07 Wakiso-Kampala-24h'!I18,'28.07 Wakiso-Kampala'!I18)</f>
        <v>8.2857142857142865</v>
      </c>
      <c r="J18" s="49">
        <f>AVERAGE('22.07 Wakiso-Kampala'!J18,'23.07 Wakiso-Kampala'!J18,'24.07 Wakiso-Kampala'!J18,'25.07 Wakiso-Kampala'!J18,'26.07 Wakiso-Kampala-24h'!J18,'27.07 Wakiso-Kampala-24h'!J18,'28.07 Wakiso-Kampala'!J18)</f>
        <v>3.8571428571428572</v>
      </c>
      <c r="K18" s="49">
        <f>AVERAGE('22.07 Wakiso-Kampala'!K18,'23.07 Wakiso-Kampala'!K18,'24.07 Wakiso-Kampala'!K18,'25.07 Wakiso-Kampala'!K18,'26.07 Wakiso-Kampala-24h'!K18,'27.07 Wakiso-Kampala-24h'!K18,'28.07 Wakiso-Kampala'!K18)</f>
        <v>0.42857142857142855</v>
      </c>
      <c r="L18" s="49">
        <f>AVERAGE('22.07 Wakiso-Kampala'!L18,'23.07 Wakiso-Kampala'!L18,'24.07 Wakiso-Kampala'!L18,'25.07 Wakiso-Kampala'!L18,'26.07 Wakiso-Kampala-24h'!L18,'27.07 Wakiso-Kampala-24h'!L18,'28.07 Wakiso-Kampala'!L18)</f>
        <v>0.8571428571428571</v>
      </c>
      <c r="M18" s="49">
        <f>AVERAGE('22.07 Wakiso-Kampala'!M18,'23.07 Wakiso-Kampala'!M18,'24.07 Wakiso-Kampala'!M18,'25.07 Wakiso-Kampala'!M18,'26.07 Wakiso-Kampala-24h'!M18,'27.07 Wakiso-Kampala-24h'!M18,'28.07 Wakiso-Kampala'!M18)</f>
        <v>151.57142857142858</v>
      </c>
      <c r="N18" s="49">
        <f>AVERAGE('22.07 Wakiso-Kampala'!N18,'23.07 Wakiso-Kampala'!N18,'24.07 Wakiso-Kampala'!N18,'25.07 Wakiso-Kampala'!N18,'26.07 Wakiso-Kampala-24h'!N18,'27.07 Wakiso-Kampala-24h'!N18,'28.07 Wakiso-Kampala'!N18)</f>
        <v>0</v>
      </c>
      <c r="O18" s="15">
        <f t="shared" si="0"/>
        <v>220.42857142857144</v>
      </c>
      <c r="P18" s="15">
        <f t="shared" si="1"/>
        <v>372</v>
      </c>
      <c r="R18" s="1" t="s">
        <v>14</v>
      </c>
      <c r="S18" s="17">
        <f t="shared" ref="S18:AF18" si="10">SUM(C42:C45)</f>
        <v>156.42857142857144</v>
      </c>
      <c r="T18" s="17">
        <f t="shared" si="10"/>
        <v>70.857142857142861</v>
      </c>
      <c r="U18" s="17">
        <f t="shared" si="10"/>
        <v>31.714285714285712</v>
      </c>
      <c r="V18" s="17">
        <f t="shared" si="10"/>
        <v>191.28571428571431</v>
      </c>
      <c r="W18" s="17">
        <f t="shared" si="10"/>
        <v>2.5714285714285716</v>
      </c>
      <c r="X18" s="17">
        <f t="shared" si="10"/>
        <v>0.71428571428571419</v>
      </c>
      <c r="Y18" s="17">
        <f t="shared" si="10"/>
        <v>37.428571428571431</v>
      </c>
      <c r="Z18" s="17">
        <f t="shared" si="10"/>
        <v>12.142857142857142</v>
      </c>
      <c r="AA18" s="17">
        <f t="shared" si="10"/>
        <v>3.7142857142857144</v>
      </c>
      <c r="AB18" s="17">
        <f t="shared" si="10"/>
        <v>2.7142857142857144</v>
      </c>
      <c r="AC18" s="17">
        <f t="shared" si="10"/>
        <v>273</v>
      </c>
      <c r="AD18" s="17">
        <f t="shared" si="10"/>
        <v>0.14285714285714285</v>
      </c>
      <c r="AE18" s="31">
        <f t="shared" si="10"/>
        <v>509.71428571428567</v>
      </c>
      <c r="AF18" s="31">
        <f t="shared" si="10"/>
        <v>782.71428571428567</v>
      </c>
    </row>
    <row r="19" spans="2:32" ht="23.1" customHeight="1" x14ac:dyDescent="0.25">
      <c r="B19" s="23" t="s">
        <v>46</v>
      </c>
      <c r="C19" s="49">
        <f>AVERAGE('22.07 Wakiso-Kampala'!C19,'23.07 Wakiso-Kampala'!C19,'24.07 Wakiso-Kampala'!C19,'25.07 Wakiso-Kampala'!C19,'26.07 Wakiso-Kampala-24h'!C19,'27.07 Wakiso-Kampala-24h'!C19,'28.07 Wakiso-Kampala'!C19)</f>
        <v>63.714285714285715</v>
      </c>
      <c r="D19" s="49">
        <f>AVERAGE('22.07 Wakiso-Kampala'!D19,'23.07 Wakiso-Kampala'!D19,'24.07 Wakiso-Kampala'!D19,'25.07 Wakiso-Kampala'!D19,'26.07 Wakiso-Kampala-24h'!D19,'27.07 Wakiso-Kampala-24h'!D19,'28.07 Wakiso-Kampala'!D19)</f>
        <v>26.142857142857142</v>
      </c>
      <c r="E19" s="49">
        <f>AVERAGE('22.07 Wakiso-Kampala'!E19,'23.07 Wakiso-Kampala'!E19,'24.07 Wakiso-Kampala'!E19,'25.07 Wakiso-Kampala'!E19,'26.07 Wakiso-Kampala-24h'!E19,'27.07 Wakiso-Kampala-24h'!E19,'28.07 Wakiso-Kampala'!E19)</f>
        <v>17.142857142857142</v>
      </c>
      <c r="F19" s="49">
        <f>AVERAGE('22.07 Wakiso-Kampala'!F19,'23.07 Wakiso-Kampala'!F19,'24.07 Wakiso-Kampala'!F19,'25.07 Wakiso-Kampala'!F19,'26.07 Wakiso-Kampala-24h'!F19,'27.07 Wakiso-Kampala-24h'!F19,'28.07 Wakiso-Kampala'!F19)</f>
        <v>75.857142857142861</v>
      </c>
      <c r="G19" s="49">
        <f>AVERAGE('22.07 Wakiso-Kampala'!G19,'23.07 Wakiso-Kampala'!G19,'24.07 Wakiso-Kampala'!G19,'25.07 Wakiso-Kampala'!G19,'26.07 Wakiso-Kampala-24h'!G19,'27.07 Wakiso-Kampala-24h'!G19,'28.07 Wakiso-Kampala'!G19)</f>
        <v>2.2857142857142856</v>
      </c>
      <c r="H19" s="49">
        <f>AVERAGE('22.07 Wakiso-Kampala'!H19,'23.07 Wakiso-Kampala'!H19,'24.07 Wakiso-Kampala'!H19,'25.07 Wakiso-Kampala'!H19,'26.07 Wakiso-Kampala-24h'!H19,'27.07 Wakiso-Kampala-24h'!H19,'28.07 Wakiso-Kampala'!H19)</f>
        <v>0.8571428571428571</v>
      </c>
      <c r="I19" s="49">
        <f>AVERAGE('22.07 Wakiso-Kampala'!I19,'23.07 Wakiso-Kampala'!I19,'24.07 Wakiso-Kampala'!I19,'25.07 Wakiso-Kampala'!I19,'26.07 Wakiso-Kampala-24h'!I19,'27.07 Wakiso-Kampala-24h'!I19,'28.07 Wakiso-Kampala'!I19)</f>
        <v>11</v>
      </c>
      <c r="J19" s="49">
        <f>AVERAGE('22.07 Wakiso-Kampala'!J19,'23.07 Wakiso-Kampala'!J19,'24.07 Wakiso-Kampala'!J19,'25.07 Wakiso-Kampala'!J19,'26.07 Wakiso-Kampala-24h'!J19,'27.07 Wakiso-Kampala-24h'!J19,'28.07 Wakiso-Kampala'!J19)</f>
        <v>3.7142857142857144</v>
      </c>
      <c r="K19" s="49">
        <f>AVERAGE('22.07 Wakiso-Kampala'!K19,'23.07 Wakiso-Kampala'!K19,'24.07 Wakiso-Kampala'!K19,'25.07 Wakiso-Kampala'!K19,'26.07 Wakiso-Kampala-24h'!K19,'27.07 Wakiso-Kampala-24h'!K19,'28.07 Wakiso-Kampala'!K19)</f>
        <v>0.7142857142857143</v>
      </c>
      <c r="L19" s="49">
        <f>AVERAGE('22.07 Wakiso-Kampala'!L19,'23.07 Wakiso-Kampala'!L19,'24.07 Wakiso-Kampala'!L19,'25.07 Wakiso-Kampala'!L19,'26.07 Wakiso-Kampala-24h'!L19,'27.07 Wakiso-Kampala-24h'!L19,'28.07 Wakiso-Kampala'!L19)</f>
        <v>0.42857142857142855</v>
      </c>
      <c r="M19" s="49">
        <f>AVERAGE('22.07 Wakiso-Kampala'!M19,'23.07 Wakiso-Kampala'!M19,'24.07 Wakiso-Kampala'!M19,'25.07 Wakiso-Kampala'!M19,'26.07 Wakiso-Kampala-24h'!M19,'27.07 Wakiso-Kampala-24h'!M19,'28.07 Wakiso-Kampala'!M19)</f>
        <v>136.42857142857142</v>
      </c>
      <c r="N19" s="49">
        <f>AVERAGE('22.07 Wakiso-Kampala'!N19,'23.07 Wakiso-Kampala'!N19,'24.07 Wakiso-Kampala'!N19,'25.07 Wakiso-Kampala'!N19,'26.07 Wakiso-Kampala-24h'!N19,'27.07 Wakiso-Kampala-24h'!N19,'28.07 Wakiso-Kampala'!N19)</f>
        <v>0</v>
      </c>
      <c r="O19" s="15">
        <f t="shared" si="0"/>
        <v>201.85714285714286</v>
      </c>
      <c r="P19" s="15">
        <f t="shared" si="1"/>
        <v>338.28571428571428</v>
      </c>
      <c r="R19" s="1" t="s">
        <v>15</v>
      </c>
      <c r="S19" s="17">
        <f t="shared" ref="S19:AF19" si="11">SUM(C46:C49)</f>
        <v>178</v>
      </c>
      <c r="T19" s="17">
        <f t="shared" si="11"/>
        <v>85.714285714285708</v>
      </c>
      <c r="U19" s="17">
        <f t="shared" si="11"/>
        <v>34.571428571428577</v>
      </c>
      <c r="V19" s="17">
        <f t="shared" si="11"/>
        <v>199.14285714285717</v>
      </c>
      <c r="W19" s="17">
        <f t="shared" si="11"/>
        <v>2.4285714285714284</v>
      </c>
      <c r="X19" s="17">
        <f t="shared" si="11"/>
        <v>0.71428571428571419</v>
      </c>
      <c r="Y19" s="17">
        <f t="shared" si="11"/>
        <v>32.714285714285708</v>
      </c>
      <c r="Z19" s="17">
        <f t="shared" si="11"/>
        <v>6.4285714285714288</v>
      </c>
      <c r="AA19" s="17">
        <f t="shared" si="11"/>
        <v>2.1428571428571428</v>
      </c>
      <c r="AB19" s="17">
        <f t="shared" si="11"/>
        <v>5</v>
      </c>
      <c r="AC19" s="17">
        <f t="shared" si="11"/>
        <v>299.14285714285717</v>
      </c>
      <c r="AD19" s="17">
        <f t="shared" si="11"/>
        <v>0</v>
      </c>
      <c r="AE19" s="31">
        <f t="shared" si="11"/>
        <v>546.85714285714289</v>
      </c>
      <c r="AF19" s="31">
        <f t="shared" si="11"/>
        <v>846.00000000000011</v>
      </c>
    </row>
    <row r="20" spans="2:32" ht="23.1" customHeight="1" x14ac:dyDescent="0.25">
      <c r="B20" s="23" t="s">
        <v>47</v>
      </c>
      <c r="C20" s="49">
        <f>AVERAGE('22.07 Wakiso-Kampala'!C20,'23.07 Wakiso-Kampala'!C20,'24.07 Wakiso-Kampala'!C20,'25.07 Wakiso-Kampala'!C20,'26.07 Wakiso-Kampala-24h'!C20,'27.07 Wakiso-Kampala-24h'!C20,'28.07 Wakiso-Kampala'!C20)</f>
        <v>67</v>
      </c>
      <c r="D20" s="49">
        <f>AVERAGE('22.07 Wakiso-Kampala'!D20,'23.07 Wakiso-Kampala'!D20,'24.07 Wakiso-Kampala'!D20,'25.07 Wakiso-Kampala'!D20,'26.07 Wakiso-Kampala-24h'!D20,'27.07 Wakiso-Kampala-24h'!D20,'28.07 Wakiso-Kampala'!D20)</f>
        <v>33.714285714285715</v>
      </c>
      <c r="E20" s="49">
        <f>AVERAGE('22.07 Wakiso-Kampala'!E20,'23.07 Wakiso-Kampala'!E20,'24.07 Wakiso-Kampala'!E20,'25.07 Wakiso-Kampala'!E20,'26.07 Wakiso-Kampala-24h'!E20,'27.07 Wakiso-Kampala-24h'!E20,'28.07 Wakiso-Kampala'!E20)</f>
        <v>11.142857142857142</v>
      </c>
      <c r="F20" s="49">
        <f>AVERAGE('22.07 Wakiso-Kampala'!F20,'23.07 Wakiso-Kampala'!F20,'24.07 Wakiso-Kampala'!F20,'25.07 Wakiso-Kampala'!F20,'26.07 Wakiso-Kampala-24h'!F20,'27.07 Wakiso-Kampala-24h'!F20,'28.07 Wakiso-Kampala'!F20)</f>
        <v>65</v>
      </c>
      <c r="G20" s="49">
        <f>AVERAGE('22.07 Wakiso-Kampala'!G20,'23.07 Wakiso-Kampala'!G20,'24.07 Wakiso-Kampala'!G20,'25.07 Wakiso-Kampala'!G20,'26.07 Wakiso-Kampala-24h'!G20,'27.07 Wakiso-Kampala-24h'!G20,'28.07 Wakiso-Kampala'!G20)</f>
        <v>2.2857142857142856</v>
      </c>
      <c r="H20" s="49">
        <f>AVERAGE('22.07 Wakiso-Kampala'!H20,'23.07 Wakiso-Kampala'!H20,'24.07 Wakiso-Kampala'!H20,'25.07 Wakiso-Kampala'!H20,'26.07 Wakiso-Kampala-24h'!H20,'27.07 Wakiso-Kampala-24h'!H20,'28.07 Wakiso-Kampala'!H20)</f>
        <v>1.5714285714285714</v>
      </c>
      <c r="I20" s="49">
        <f>AVERAGE('22.07 Wakiso-Kampala'!I20,'23.07 Wakiso-Kampala'!I20,'24.07 Wakiso-Kampala'!I20,'25.07 Wakiso-Kampala'!I20,'26.07 Wakiso-Kampala-24h'!I20,'27.07 Wakiso-Kampala-24h'!I20,'28.07 Wakiso-Kampala'!I20)</f>
        <v>9.5714285714285712</v>
      </c>
      <c r="J20" s="49">
        <f>AVERAGE('22.07 Wakiso-Kampala'!J20,'23.07 Wakiso-Kampala'!J20,'24.07 Wakiso-Kampala'!J20,'25.07 Wakiso-Kampala'!J20,'26.07 Wakiso-Kampala-24h'!J20,'27.07 Wakiso-Kampala-24h'!J20,'28.07 Wakiso-Kampala'!J20)</f>
        <v>3</v>
      </c>
      <c r="K20" s="49">
        <f>AVERAGE('22.07 Wakiso-Kampala'!K20,'23.07 Wakiso-Kampala'!K20,'24.07 Wakiso-Kampala'!K20,'25.07 Wakiso-Kampala'!K20,'26.07 Wakiso-Kampala-24h'!K20,'27.07 Wakiso-Kampala-24h'!K20,'28.07 Wakiso-Kampala'!K20)</f>
        <v>0.2857142857142857</v>
      </c>
      <c r="L20" s="49">
        <f>AVERAGE('22.07 Wakiso-Kampala'!L20,'23.07 Wakiso-Kampala'!L20,'24.07 Wakiso-Kampala'!L20,'25.07 Wakiso-Kampala'!L20,'26.07 Wakiso-Kampala-24h'!L20,'27.07 Wakiso-Kampala-24h'!L20,'28.07 Wakiso-Kampala'!L20)</f>
        <v>0.42857142857142855</v>
      </c>
      <c r="M20" s="49">
        <f>AVERAGE('22.07 Wakiso-Kampala'!M20,'23.07 Wakiso-Kampala'!M20,'24.07 Wakiso-Kampala'!M20,'25.07 Wakiso-Kampala'!M20,'26.07 Wakiso-Kampala-24h'!M20,'27.07 Wakiso-Kampala-24h'!M20,'28.07 Wakiso-Kampala'!M20)</f>
        <v>119.14285714285714</v>
      </c>
      <c r="N20" s="49">
        <f>AVERAGE('22.07 Wakiso-Kampala'!N20,'23.07 Wakiso-Kampala'!N20,'24.07 Wakiso-Kampala'!N20,'25.07 Wakiso-Kampala'!N20,'26.07 Wakiso-Kampala-24h'!N20,'27.07 Wakiso-Kampala-24h'!N20,'28.07 Wakiso-Kampala'!N20)</f>
        <v>0</v>
      </c>
      <c r="O20" s="15">
        <f t="shared" si="0"/>
        <v>194</v>
      </c>
      <c r="P20" s="15">
        <f t="shared" si="1"/>
        <v>313.14285714285711</v>
      </c>
      <c r="R20" s="1" t="s">
        <v>16</v>
      </c>
      <c r="S20" s="17">
        <f t="shared" ref="S20:AF20" si="12">SUM(C50:C53)</f>
        <v>177</v>
      </c>
      <c r="T20" s="17">
        <f t="shared" si="12"/>
        <v>83</v>
      </c>
      <c r="U20" s="17">
        <f t="shared" si="12"/>
        <v>29.714285714285715</v>
      </c>
      <c r="V20" s="17">
        <f t="shared" si="12"/>
        <v>208.57142857142856</v>
      </c>
      <c r="W20" s="17">
        <f t="shared" si="12"/>
        <v>4.1428571428571432</v>
      </c>
      <c r="X20" s="17">
        <f t="shared" si="12"/>
        <v>0.14285714285714285</v>
      </c>
      <c r="Y20" s="17">
        <f t="shared" si="12"/>
        <v>33.285714285714285</v>
      </c>
      <c r="Z20" s="17">
        <f t="shared" si="12"/>
        <v>8.7142857142857135</v>
      </c>
      <c r="AA20" s="17">
        <f t="shared" si="12"/>
        <v>4.2857142857142856</v>
      </c>
      <c r="AB20" s="17">
        <f t="shared" si="12"/>
        <v>4</v>
      </c>
      <c r="AC20" s="17">
        <f t="shared" si="12"/>
        <v>381.57142857142856</v>
      </c>
      <c r="AD20" s="17">
        <f t="shared" si="12"/>
        <v>0</v>
      </c>
      <c r="AE20" s="31">
        <f t="shared" si="12"/>
        <v>552.85714285714289</v>
      </c>
      <c r="AF20" s="31">
        <f t="shared" si="12"/>
        <v>934.42857142857133</v>
      </c>
    </row>
    <row r="21" spans="2:32" ht="23.1" customHeight="1" x14ac:dyDescent="0.25">
      <c r="B21" s="23" t="s">
        <v>48</v>
      </c>
      <c r="C21" s="49">
        <f>AVERAGE('22.07 Wakiso-Kampala'!C21,'23.07 Wakiso-Kampala'!C21,'24.07 Wakiso-Kampala'!C21,'25.07 Wakiso-Kampala'!C21,'26.07 Wakiso-Kampala-24h'!C21,'27.07 Wakiso-Kampala-24h'!C21,'28.07 Wakiso-Kampala'!C21)</f>
        <v>76.142857142857139</v>
      </c>
      <c r="D21" s="49">
        <f>AVERAGE('22.07 Wakiso-Kampala'!D21,'23.07 Wakiso-Kampala'!D21,'24.07 Wakiso-Kampala'!D21,'25.07 Wakiso-Kampala'!D21,'26.07 Wakiso-Kampala-24h'!D21,'27.07 Wakiso-Kampala-24h'!D21,'28.07 Wakiso-Kampala'!D21)</f>
        <v>27.285714285714285</v>
      </c>
      <c r="E21" s="49">
        <f>AVERAGE('22.07 Wakiso-Kampala'!E21,'23.07 Wakiso-Kampala'!E21,'24.07 Wakiso-Kampala'!E21,'25.07 Wakiso-Kampala'!E21,'26.07 Wakiso-Kampala-24h'!E21,'27.07 Wakiso-Kampala-24h'!E21,'28.07 Wakiso-Kampala'!E21)</f>
        <v>10.285714285714286</v>
      </c>
      <c r="F21" s="49">
        <f>AVERAGE('22.07 Wakiso-Kampala'!F21,'23.07 Wakiso-Kampala'!F21,'24.07 Wakiso-Kampala'!F21,'25.07 Wakiso-Kampala'!F21,'26.07 Wakiso-Kampala-24h'!F21,'27.07 Wakiso-Kampala-24h'!F21,'28.07 Wakiso-Kampala'!F21)</f>
        <v>73.142857142857139</v>
      </c>
      <c r="G21" s="49">
        <f>AVERAGE('22.07 Wakiso-Kampala'!G21,'23.07 Wakiso-Kampala'!G21,'24.07 Wakiso-Kampala'!G21,'25.07 Wakiso-Kampala'!G21,'26.07 Wakiso-Kampala-24h'!G21,'27.07 Wakiso-Kampala-24h'!G21,'28.07 Wakiso-Kampala'!G21)</f>
        <v>1.5714285714285714</v>
      </c>
      <c r="H21" s="49">
        <f>AVERAGE('22.07 Wakiso-Kampala'!H21,'23.07 Wakiso-Kampala'!H21,'24.07 Wakiso-Kampala'!H21,'25.07 Wakiso-Kampala'!H21,'26.07 Wakiso-Kampala-24h'!H21,'27.07 Wakiso-Kampala-24h'!H21,'28.07 Wakiso-Kampala'!H21)</f>
        <v>0.2857142857142857</v>
      </c>
      <c r="I21" s="49">
        <f>AVERAGE('22.07 Wakiso-Kampala'!I21,'23.07 Wakiso-Kampala'!I21,'24.07 Wakiso-Kampala'!I21,'25.07 Wakiso-Kampala'!I21,'26.07 Wakiso-Kampala-24h'!I21,'27.07 Wakiso-Kampala-24h'!I21,'28.07 Wakiso-Kampala'!I21)</f>
        <v>8.5714285714285712</v>
      </c>
      <c r="J21" s="49">
        <f>AVERAGE('22.07 Wakiso-Kampala'!J21,'23.07 Wakiso-Kampala'!J21,'24.07 Wakiso-Kampala'!J21,'25.07 Wakiso-Kampala'!J21,'26.07 Wakiso-Kampala-24h'!J21,'27.07 Wakiso-Kampala-24h'!J21,'28.07 Wakiso-Kampala'!J21)</f>
        <v>3.8571428571428572</v>
      </c>
      <c r="K21" s="49">
        <f>AVERAGE('22.07 Wakiso-Kampala'!K21,'23.07 Wakiso-Kampala'!K21,'24.07 Wakiso-Kampala'!K21,'25.07 Wakiso-Kampala'!K21,'26.07 Wakiso-Kampala-24h'!K21,'27.07 Wakiso-Kampala-24h'!K21,'28.07 Wakiso-Kampala'!K21)</f>
        <v>0.42857142857142855</v>
      </c>
      <c r="L21" s="49">
        <f>AVERAGE('22.07 Wakiso-Kampala'!L21,'23.07 Wakiso-Kampala'!L21,'24.07 Wakiso-Kampala'!L21,'25.07 Wakiso-Kampala'!L21,'26.07 Wakiso-Kampala-24h'!L21,'27.07 Wakiso-Kampala-24h'!L21,'28.07 Wakiso-Kampala'!L21)</f>
        <v>0.5714285714285714</v>
      </c>
      <c r="M21" s="49">
        <f>AVERAGE('22.07 Wakiso-Kampala'!M21,'23.07 Wakiso-Kampala'!M21,'24.07 Wakiso-Kampala'!M21,'25.07 Wakiso-Kampala'!M21,'26.07 Wakiso-Kampala-24h'!M21,'27.07 Wakiso-Kampala-24h'!M21,'28.07 Wakiso-Kampala'!M21)</f>
        <v>139.14285714285714</v>
      </c>
      <c r="N21" s="49">
        <f>AVERAGE('22.07 Wakiso-Kampala'!N21,'23.07 Wakiso-Kampala'!N21,'24.07 Wakiso-Kampala'!N21,'25.07 Wakiso-Kampala'!N21,'26.07 Wakiso-Kampala-24h'!N21,'27.07 Wakiso-Kampala-24h'!N21,'28.07 Wakiso-Kampala'!N21)</f>
        <v>0</v>
      </c>
      <c r="O21" s="15">
        <f t="shared" si="0"/>
        <v>202.14285714285714</v>
      </c>
      <c r="P21" s="15">
        <f t="shared" si="1"/>
        <v>341.28571428571428</v>
      </c>
      <c r="R21" s="1" t="s">
        <v>20</v>
      </c>
      <c r="S21" s="34">
        <f t="shared" ref="S21:AF21" si="13">SUM(C54:C57)</f>
        <v>162.71428571428569</v>
      </c>
      <c r="T21" s="17">
        <f t="shared" si="13"/>
        <v>60.428571428571431</v>
      </c>
      <c r="U21" s="17">
        <f t="shared" si="13"/>
        <v>24.714285714285715</v>
      </c>
      <c r="V21" s="17">
        <f t="shared" si="13"/>
        <v>221.28571428571431</v>
      </c>
      <c r="W21" s="17">
        <f t="shared" si="13"/>
        <v>6.1428571428571432</v>
      </c>
      <c r="X21" s="17">
        <f t="shared" si="13"/>
        <v>2.1428571428571428</v>
      </c>
      <c r="Y21" s="17">
        <f t="shared" si="13"/>
        <v>26.857142857142854</v>
      </c>
      <c r="Z21" s="17">
        <f t="shared" si="13"/>
        <v>5.5714285714285712</v>
      </c>
      <c r="AA21" s="17">
        <f t="shared" si="13"/>
        <v>2.1428571428571428</v>
      </c>
      <c r="AB21" s="17">
        <f t="shared" si="13"/>
        <v>2.8571428571428568</v>
      </c>
      <c r="AC21" s="17">
        <f t="shared" si="13"/>
        <v>392.14285714285717</v>
      </c>
      <c r="AD21" s="17">
        <f t="shared" si="13"/>
        <v>0</v>
      </c>
      <c r="AE21" s="31">
        <f t="shared" si="13"/>
        <v>514.85714285714278</v>
      </c>
      <c r="AF21" s="31">
        <f t="shared" si="13"/>
        <v>906.99999999999989</v>
      </c>
    </row>
    <row r="22" spans="2:32" ht="23.1" customHeight="1" x14ac:dyDescent="0.25">
      <c r="B22" s="23" t="s">
        <v>49</v>
      </c>
      <c r="C22" s="49">
        <f>AVERAGE('22.07 Wakiso-Kampala'!C22,'23.07 Wakiso-Kampala'!C22,'24.07 Wakiso-Kampala'!C22,'25.07 Wakiso-Kampala'!C22,'26.07 Wakiso-Kampala-24h'!C22,'27.07 Wakiso-Kampala-24h'!C22,'28.07 Wakiso-Kampala'!C22)</f>
        <v>61.285714285714285</v>
      </c>
      <c r="D22" s="49">
        <f>AVERAGE('22.07 Wakiso-Kampala'!D22,'23.07 Wakiso-Kampala'!D22,'24.07 Wakiso-Kampala'!D22,'25.07 Wakiso-Kampala'!D22,'26.07 Wakiso-Kampala-24h'!D22,'27.07 Wakiso-Kampala-24h'!D22,'28.07 Wakiso-Kampala'!D22)</f>
        <v>28.285714285714285</v>
      </c>
      <c r="E22" s="49">
        <f>AVERAGE('22.07 Wakiso-Kampala'!E22,'23.07 Wakiso-Kampala'!E22,'24.07 Wakiso-Kampala'!E22,'25.07 Wakiso-Kampala'!E22,'26.07 Wakiso-Kampala-24h'!E22,'27.07 Wakiso-Kampala-24h'!E22,'28.07 Wakiso-Kampala'!E22)</f>
        <v>8.1428571428571423</v>
      </c>
      <c r="F22" s="49">
        <f>AVERAGE('22.07 Wakiso-Kampala'!F22,'23.07 Wakiso-Kampala'!F22,'24.07 Wakiso-Kampala'!F22,'25.07 Wakiso-Kampala'!F22,'26.07 Wakiso-Kampala-24h'!F22,'27.07 Wakiso-Kampala-24h'!F22,'28.07 Wakiso-Kampala'!F22)</f>
        <v>77.428571428571431</v>
      </c>
      <c r="G22" s="49">
        <f>AVERAGE('22.07 Wakiso-Kampala'!G22,'23.07 Wakiso-Kampala'!G22,'24.07 Wakiso-Kampala'!G22,'25.07 Wakiso-Kampala'!G22,'26.07 Wakiso-Kampala-24h'!G22,'27.07 Wakiso-Kampala-24h'!G22,'28.07 Wakiso-Kampala'!G22)</f>
        <v>1.8571428571428572</v>
      </c>
      <c r="H22" s="49">
        <f>AVERAGE('22.07 Wakiso-Kampala'!H22,'23.07 Wakiso-Kampala'!H22,'24.07 Wakiso-Kampala'!H22,'25.07 Wakiso-Kampala'!H22,'26.07 Wakiso-Kampala-24h'!H22,'27.07 Wakiso-Kampala-24h'!H22,'28.07 Wakiso-Kampala'!H22)</f>
        <v>0.8571428571428571</v>
      </c>
      <c r="I22" s="49">
        <f>AVERAGE('22.07 Wakiso-Kampala'!I22,'23.07 Wakiso-Kampala'!I22,'24.07 Wakiso-Kampala'!I22,'25.07 Wakiso-Kampala'!I22,'26.07 Wakiso-Kampala-24h'!I22,'27.07 Wakiso-Kampala-24h'!I22,'28.07 Wakiso-Kampala'!I22)</f>
        <v>10.285714285714286</v>
      </c>
      <c r="J22" s="49">
        <f>AVERAGE('22.07 Wakiso-Kampala'!J22,'23.07 Wakiso-Kampala'!J22,'24.07 Wakiso-Kampala'!J22,'25.07 Wakiso-Kampala'!J22,'26.07 Wakiso-Kampala-24h'!J22,'27.07 Wakiso-Kampala-24h'!J22,'28.07 Wakiso-Kampala'!J22)</f>
        <v>3.1428571428571428</v>
      </c>
      <c r="K22" s="49">
        <f>AVERAGE('22.07 Wakiso-Kampala'!K22,'23.07 Wakiso-Kampala'!K22,'24.07 Wakiso-Kampala'!K22,'25.07 Wakiso-Kampala'!K22,'26.07 Wakiso-Kampala-24h'!K22,'27.07 Wakiso-Kampala-24h'!K22,'28.07 Wakiso-Kampala'!K22)</f>
        <v>0.7142857142857143</v>
      </c>
      <c r="L22" s="49">
        <f>AVERAGE('22.07 Wakiso-Kampala'!L22,'23.07 Wakiso-Kampala'!L22,'24.07 Wakiso-Kampala'!L22,'25.07 Wakiso-Kampala'!L22,'26.07 Wakiso-Kampala-24h'!L22,'27.07 Wakiso-Kampala-24h'!L22,'28.07 Wakiso-Kampala'!L22)</f>
        <v>0.42857142857142855</v>
      </c>
      <c r="M22" s="49">
        <f>AVERAGE('22.07 Wakiso-Kampala'!M22,'23.07 Wakiso-Kampala'!M22,'24.07 Wakiso-Kampala'!M22,'25.07 Wakiso-Kampala'!M22,'26.07 Wakiso-Kampala-24h'!M22,'27.07 Wakiso-Kampala-24h'!M22,'28.07 Wakiso-Kampala'!M22)</f>
        <v>125.85714285714286</v>
      </c>
      <c r="N22" s="49">
        <f>AVERAGE('22.07 Wakiso-Kampala'!N22,'23.07 Wakiso-Kampala'!N22,'24.07 Wakiso-Kampala'!N22,'25.07 Wakiso-Kampala'!N22,'26.07 Wakiso-Kampala-24h'!N22,'27.07 Wakiso-Kampala-24h'!N22,'28.07 Wakiso-Kampala'!N22)</f>
        <v>0</v>
      </c>
      <c r="O22" s="15">
        <f t="shared" si="0"/>
        <v>192.42857142857142</v>
      </c>
      <c r="P22" s="15">
        <f t="shared" si="1"/>
        <v>318.28571428571428</v>
      </c>
      <c r="R22" s="1" t="s">
        <v>146</v>
      </c>
      <c r="S22" s="34">
        <f>SUM(C58:C61)</f>
        <v>145</v>
      </c>
      <c r="T22" s="34">
        <f t="shared" ref="T22:AF22" si="14">SUM(D58:D61)</f>
        <v>51.5</v>
      </c>
      <c r="U22" s="34">
        <f t="shared" si="14"/>
        <v>26.5</v>
      </c>
      <c r="V22" s="34">
        <f t="shared" si="14"/>
        <v>205</v>
      </c>
      <c r="W22" s="34">
        <f t="shared" si="14"/>
        <v>8</v>
      </c>
      <c r="X22" s="34">
        <f t="shared" si="14"/>
        <v>1.5</v>
      </c>
      <c r="Y22" s="34">
        <f t="shared" si="14"/>
        <v>30</v>
      </c>
      <c r="Z22" s="34">
        <f t="shared" si="14"/>
        <v>8.5</v>
      </c>
      <c r="AA22" s="34">
        <f t="shared" si="14"/>
        <v>3</v>
      </c>
      <c r="AB22" s="34">
        <f t="shared" si="14"/>
        <v>3.5</v>
      </c>
      <c r="AC22" s="34">
        <f t="shared" si="14"/>
        <v>365</v>
      </c>
      <c r="AD22" s="34">
        <f t="shared" si="14"/>
        <v>0</v>
      </c>
      <c r="AE22" s="31">
        <f t="shared" si="14"/>
        <v>482.5</v>
      </c>
      <c r="AF22" s="31">
        <f t="shared" si="14"/>
        <v>847.5</v>
      </c>
    </row>
    <row r="23" spans="2:32" ht="23.1" customHeight="1" x14ac:dyDescent="0.25">
      <c r="B23" s="23" t="s">
        <v>50</v>
      </c>
      <c r="C23" s="49">
        <f>AVERAGE('22.07 Wakiso-Kampala'!C23,'23.07 Wakiso-Kampala'!C23,'24.07 Wakiso-Kampala'!C23,'25.07 Wakiso-Kampala'!C23,'26.07 Wakiso-Kampala-24h'!C23,'27.07 Wakiso-Kampala-24h'!C23,'28.07 Wakiso-Kampala'!C23)</f>
        <v>67</v>
      </c>
      <c r="D23" s="49">
        <f>AVERAGE('22.07 Wakiso-Kampala'!D23,'23.07 Wakiso-Kampala'!D23,'24.07 Wakiso-Kampala'!D23,'25.07 Wakiso-Kampala'!D23,'26.07 Wakiso-Kampala-24h'!D23,'27.07 Wakiso-Kampala-24h'!D23,'28.07 Wakiso-Kampala'!D23)</f>
        <v>29</v>
      </c>
      <c r="E23" s="49">
        <f>AVERAGE('22.07 Wakiso-Kampala'!E23,'23.07 Wakiso-Kampala'!E23,'24.07 Wakiso-Kampala'!E23,'25.07 Wakiso-Kampala'!E23,'26.07 Wakiso-Kampala-24h'!E23,'27.07 Wakiso-Kampala-24h'!E23,'28.07 Wakiso-Kampala'!E23)</f>
        <v>9.5714285714285712</v>
      </c>
      <c r="F23" s="49">
        <f>AVERAGE('22.07 Wakiso-Kampala'!F23,'23.07 Wakiso-Kampala'!F23,'24.07 Wakiso-Kampala'!F23,'25.07 Wakiso-Kampala'!F23,'26.07 Wakiso-Kampala-24h'!F23,'27.07 Wakiso-Kampala-24h'!F23,'28.07 Wakiso-Kampala'!F23)</f>
        <v>59.142857142857146</v>
      </c>
      <c r="G23" s="49">
        <f>AVERAGE('22.07 Wakiso-Kampala'!G23,'23.07 Wakiso-Kampala'!G23,'24.07 Wakiso-Kampala'!G23,'25.07 Wakiso-Kampala'!G23,'26.07 Wakiso-Kampala-24h'!G23,'27.07 Wakiso-Kampala-24h'!G23,'28.07 Wakiso-Kampala'!G23)</f>
        <v>1.1428571428571428</v>
      </c>
      <c r="H23" s="49">
        <f>AVERAGE('22.07 Wakiso-Kampala'!H23,'23.07 Wakiso-Kampala'!H23,'24.07 Wakiso-Kampala'!H23,'25.07 Wakiso-Kampala'!H23,'26.07 Wakiso-Kampala-24h'!H23,'27.07 Wakiso-Kampala-24h'!H23,'28.07 Wakiso-Kampala'!H23)</f>
        <v>1.1428571428571428</v>
      </c>
      <c r="I23" s="49">
        <f>AVERAGE('22.07 Wakiso-Kampala'!I23,'23.07 Wakiso-Kampala'!I23,'24.07 Wakiso-Kampala'!I23,'25.07 Wakiso-Kampala'!I23,'26.07 Wakiso-Kampala-24h'!I23,'27.07 Wakiso-Kampala-24h'!I23,'28.07 Wakiso-Kampala'!I23)</f>
        <v>8.4285714285714288</v>
      </c>
      <c r="J23" s="49">
        <f>AVERAGE('22.07 Wakiso-Kampala'!J23,'23.07 Wakiso-Kampala'!J23,'24.07 Wakiso-Kampala'!J23,'25.07 Wakiso-Kampala'!J23,'26.07 Wakiso-Kampala-24h'!J23,'27.07 Wakiso-Kampala-24h'!J23,'28.07 Wakiso-Kampala'!J23)</f>
        <v>4.4285714285714288</v>
      </c>
      <c r="K23" s="49">
        <f>AVERAGE('22.07 Wakiso-Kampala'!K23,'23.07 Wakiso-Kampala'!K23,'24.07 Wakiso-Kampala'!K23,'25.07 Wakiso-Kampala'!K23,'26.07 Wakiso-Kampala-24h'!K23,'27.07 Wakiso-Kampala-24h'!K23,'28.07 Wakiso-Kampala'!K23)</f>
        <v>0.5714285714285714</v>
      </c>
      <c r="L23" s="49">
        <f>AVERAGE('22.07 Wakiso-Kampala'!L23,'23.07 Wakiso-Kampala'!L23,'24.07 Wakiso-Kampala'!L23,'25.07 Wakiso-Kampala'!L23,'26.07 Wakiso-Kampala-24h'!L23,'27.07 Wakiso-Kampala-24h'!L23,'28.07 Wakiso-Kampala'!L23)</f>
        <v>0.14285714285714285</v>
      </c>
      <c r="M23" s="49">
        <f>AVERAGE('22.07 Wakiso-Kampala'!M23,'23.07 Wakiso-Kampala'!M23,'24.07 Wakiso-Kampala'!M23,'25.07 Wakiso-Kampala'!M23,'26.07 Wakiso-Kampala-24h'!M23,'27.07 Wakiso-Kampala-24h'!M23,'28.07 Wakiso-Kampala'!M23)</f>
        <v>106.85714285714286</v>
      </c>
      <c r="N23" s="49">
        <f>AVERAGE('22.07 Wakiso-Kampala'!N23,'23.07 Wakiso-Kampala'!N23,'24.07 Wakiso-Kampala'!N23,'25.07 Wakiso-Kampala'!N23,'26.07 Wakiso-Kampala-24h'!N23,'27.07 Wakiso-Kampala-24h'!N23,'28.07 Wakiso-Kampala'!N23)</f>
        <v>0</v>
      </c>
      <c r="O23" s="15">
        <f t="shared" si="0"/>
        <v>180.57142857142856</v>
      </c>
      <c r="P23" s="15">
        <f t="shared" si="1"/>
        <v>287.42857142857144</v>
      </c>
      <c r="R23" s="1" t="s">
        <v>147</v>
      </c>
      <c r="S23" s="34">
        <f>SUM(C62:C65)</f>
        <v>159</v>
      </c>
      <c r="T23" s="34">
        <f t="shared" ref="T23:AF23" si="15">SUM(D62:D65)</f>
        <v>49.5</v>
      </c>
      <c r="U23" s="34">
        <f t="shared" si="15"/>
        <v>22</v>
      </c>
      <c r="V23" s="34">
        <f t="shared" si="15"/>
        <v>220</v>
      </c>
      <c r="W23" s="34">
        <f t="shared" si="15"/>
        <v>4</v>
      </c>
      <c r="X23" s="34">
        <f t="shared" si="15"/>
        <v>2</v>
      </c>
      <c r="Y23" s="34">
        <f t="shared" si="15"/>
        <v>27.5</v>
      </c>
      <c r="Z23" s="34">
        <f t="shared" si="15"/>
        <v>4</v>
      </c>
      <c r="AA23" s="34">
        <f t="shared" si="15"/>
        <v>2.5</v>
      </c>
      <c r="AB23" s="34">
        <f t="shared" si="15"/>
        <v>2.5</v>
      </c>
      <c r="AC23" s="34">
        <f t="shared" si="15"/>
        <v>366.5</v>
      </c>
      <c r="AD23" s="34">
        <f t="shared" si="15"/>
        <v>0</v>
      </c>
      <c r="AE23" s="31">
        <f t="shared" si="15"/>
        <v>493</v>
      </c>
      <c r="AF23" s="31">
        <f t="shared" si="15"/>
        <v>859.5</v>
      </c>
    </row>
    <row r="24" spans="2:32" ht="23.1" customHeight="1" x14ac:dyDescent="0.25">
      <c r="B24" s="23" t="s">
        <v>51</v>
      </c>
      <c r="C24" s="49">
        <f>AVERAGE('22.07 Wakiso-Kampala'!C24,'23.07 Wakiso-Kampala'!C24,'24.07 Wakiso-Kampala'!C24,'25.07 Wakiso-Kampala'!C24,'26.07 Wakiso-Kampala-24h'!C24,'27.07 Wakiso-Kampala-24h'!C24,'28.07 Wakiso-Kampala'!C24)</f>
        <v>57</v>
      </c>
      <c r="D24" s="49">
        <f>AVERAGE('22.07 Wakiso-Kampala'!D24,'23.07 Wakiso-Kampala'!D24,'24.07 Wakiso-Kampala'!D24,'25.07 Wakiso-Kampala'!D24,'26.07 Wakiso-Kampala-24h'!D24,'27.07 Wakiso-Kampala-24h'!D24,'28.07 Wakiso-Kampala'!D24)</f>
        <v>27.714285714285715</v>
      </c>
      <c r="E24" s="49">
        <f>AVERAGE('22.07 Wakiso-Kampala'!E24,'23.07 Wakiso-Kampala'!E24,'24.07 Wakiso-Kampala'!E24,'25.07 Wakiso-Kampala'!E24,'26.07 Wakiso-Kampala-24h'!E24,'27.07 Wakiso-Kampala-24h'!E24,'28.07 Wakiso-Kampala'!E24)</f>
        <v>8.4285714285714288</v>
      </c>
      <c r="F24" s="49">
        <f>AVERAGE('22.07 Wakiso-Kampala'!F24,'23.07 Wakiso-Kampala'!F24,'24.07 Wakiso-Kampala'!F24,'25.07 Wakiso-Kampala'!F24,'26.07 Wakiso-Kampala-24h'!F24,'27.07 Wakiso-Kampala-24h'!F24,'28.07 Wakiso-Kampala'!F24)</f>
        <v>61.571428571428569</v>
      </c>
      <c r="G24" s="49">
        <f>AVERAGE('22.07 Wakiso-Kampala'!G24,'23.07 Wakiso-Kampala'!G24,'24.07 Wakiso-Kampala'!G24,'25.07 Wakiso-Kampala'!G24,'26.07 Wakiso-Kampala-24h'!G24,'27.07 Wakiso-Kampala-24h'!G24,'28.07 Wakiso-Kampala'!G24)</f>
        <v>1.4285714285714286</v>
      </c>
      <c r="H24" s="49">
        <f>AVERAGE('22.07 Wakiso-Kampala'!H24,'23.07 Wakiso-Kampala'!H24,'24.07 Wakiso-Kampala'!H24,'25.07 Wakiso-Kampala'!H24,'26.07 Wakiso-Kampala-24h'!H24,'27.07 Wakiso-Kampala-24h'!H24,'28.07 Wakiso-Kampala'!H24)</f>
        <v>0</v>
      </c>
      <c r="I24" s="49">
        <f>AVERAGE('22.07 Wakiso-Kampala'!I24,'23.07 Wakiso-Kampala'!I24,'24.07 Wakiso-Kampala'!I24,'25.07 Wakiso-Kampala'!I24,'26.07 Wakiso-Kampala-24h'!I24,'27.07 Wakiso-Kampala-24h'!I24,'28.07 Wakiso-Kampala'!I24)</f>
        <v>7.1428571428571432</v>
      </c>
      <c r="J24" s="49">
        <f>AVERAGE('22.07 Wakiso-Kampala'!J24,'23.07 Wakiso-Kampala'!J24,'24.07 Wakiso-Kampala'!J24,'25.07 Wakiso-Kampala'!J24,'26.07 Wakiso-Kampala-24h'!J24,'27.07 Wakiso-Kampala-24h'!J24,'28.07 Wakiso-Kampala'!J24)</f>
        <v>2.5714285714285716</v>
      </c>
      <c r="K24" s="49">
        <f>AVERAGE('22.07 Wakiso-Kampala'!K24,'23.07 Wakiso-Kampala'!K24,'24.07 Wakiso-Kampala'!K24,'25.07 Wakiso-Kampala'!K24,'26.07 Wakiso-Kampala-24h'!K24,'27.07 Wakiso-Kampala-24h'!K24,'28.07 Wakiso-Kampala'!K24)</f>
        <v>0.5714285714285714</v>
      </c>
      <c r="L24" s="49">
        <f>AVERAGE('22.07 Wakiso-Kampala'!L24,'23.07 Wakiso-Kampala'!L24,'24.07 Wakiso-Kampala'!L24,'25.07 Wakiso-Kampala'!L24,'26.07 Wakiso-Kampala-24h'!L24,'27.07 Wakiso-Kampala-24h'!L24,'28.07 Wakiso-Kampala'!L24)</f>
        <v>0.5714285714285714</v>
      </c>
      <c r="M24" s="49">
        <f>AVERAGE('22.07 Wakiso-Kampala'!M24,'23.07 Wakiso-Kampala'!M24,'24.07 Wakiso-Kampala'!M24,'25.07 Wakiso-Kampala'!M24,'26.07 Wakiso-Kampala-24h'!M24,'27.07 Wakiso-Kampala-24h'!M24,'28.07 Wakiso-Kampala'!M24)</f>
        <v>139</v>
      </c>
      <c r="N24" s="49">
        <f>AVERAGE('22.07 Wakiso-Kampala'!N24,'23.07 Wakiso-Kampala'!N24,'24.07 Wakiso-Kampala'!N24,'25.07 Wakiso-Kampala'!N24,'26.07 Wakiso-Kampala-24h'!N24,'27.07 Wakiso-Kampala-24h'!N24,'28.07 Wakiso-Kampala'!N24)</f>
        <v>0</v>
      </c>
      <c r="O24" s="15">
        <f t="shared" si="0"/>
        <v>167.00000000000003</v>
      </c>
      <c r="P24" s="15">
        <f t="shared" si="1"/>
        <v>306</v>
      </c>
      <c r="R24" s="1" t="s">
        <v>148</v>
      </c>
      <c r="S24" s="34">
        <f>SUM(C66:C69)</f>
        <v>199</v>
      </c>
      <c r="T24" s="34">
        <f t="shared" ref="T24:AF24" si="16">SUM(D66:D69)</f>
        <v>47</v>
      </c>
      <c r="U24" s="34">
        <f t="shared" si="16"/>
        <v>25</v>
      </c>
      <c r="V24" s="34">
        <f t="shared" si="16"/>
        <v>153.5</v>
      </c>
      <c r="W24" s="34">
        <f t="shared" si="16"/>
        <v>2.5</v>
      </c>
      <c r="X24" s="34">
        <f t="shared" si="16"/>
        <v>0.5</v>
      </c>
      <c r="Y24" s="34">
        <f t="shared" si="16"/>
        <v>15.5</v>
      </c>
      <c r="Z24" s="34">
        <f t="shared" si="16"/>
        <v>3</v>
      </c>
      <c r="AA24" s="34">
        <f t="shared" si="16"/>
        <v>3.5</v>
      </c>
      <c r="AB24" s="34">
        <f t="shared" si="16"/>
        <v>3</v>
      </c>
      <c r="AC24" s="34">
        <f t="shared" si="16"/>
        <v>323.5</v>
      </c>
      <c r="AD24" s="34">
        <f t="shared" si="16"/>
        <v>0</v>
      </c>
      <c r="AE24" s="31">
        <f t="shared" si="16"/>
        <v>452.5</v>
      </c>
      <c r="AF24" s="31">
        <f t="shared" si="16"/>
        <v>776</v>
      </c>
    </row>
    <row r="25" spans="2:32" ht="23.1" customHeight="1" x14ac:dyDescent="0.25">
      <c r="B25" s="23" t="s">
        <v>52</v>
      </c>
      <c r="C25" s="49">
        <f>AVERAGE('22.07 Wakiso-Kampala'!C25,'23.07 Wakiso-Kampala'!C25,'24.07 Wakiso-Kampala'!C25,'25.07 Wakiso-Kampala'!C25,'26.07 Wakiso-Kampala-24h'!C25,'27.07 Wakiso-Kampala-24h'!C25,'28.07 Wakiso-Kampala'!C25)</f>
        <v>58.142857142857146</v>
      </c>
      <c r="D25" s="49">
        <f>AVERAGE('22.07 Wakiso-Kampala'!D25,'23.07 Wakiso-Kampala'!D25,'24.07 Wakiso-Kampala'!D25,'25.07 Wakiso-Kampala'!D25,'26.07 Wakiso-Kampala-24h'!D25,'27.07 Wakiso-Kampala-24h'!D25,'28.07 Wakiso-Kampala'!D25)</f>
        <v>23.714285714285715</v>
      </c>
      <c r="E25" s="49">
        <f>AVERAGE('22.07 Wakiso-Kampala'!E25,'23.07 Wakiso-Kampala'!E25,'24.07 Wakiso-Kampala'!E25,'25.07 Wakiso-Kampala'!E25,'26.07 Wakiso-Kampala-24h'!E25,'27.07 Wakiso-Kampala-24h'!E25,'28.07 Wakiso-Kampala'!E25)</f>
        <v>10.428571428571429</v>
      </c>
      <c r="F25" s="49">
        <f>AVERAGE('22.07 Wakiso-Kampala'!F25,'23.07 Wakiso-Kampala'!F25,'24.07 Wakiso-Kampala'!F25,'25.07 Wakiso-Kampala'!F25,'26.07 Wakiso-Kampala-24h'!F25,'27.07 Wakiso-Kampala-24h'!F25,'28.07 Wakiso-Kampala'!F25)</f>
        <v>57.571428571428569</v>
      </c>
      <c r="G25" s="49">
        <f>AVERAGE('22.07 Wakiso-Kampala'!G25,'23.07 Wakiso-Kampala'!G25,'24.07 Wakiso-Kampala'!G25,'25.07 Wakiso-Kampala'!G25,'26.07 Wakiso-Kampala-24h'!G25,'27.07 Wakiso-Kampala-24h'!G25,'28.07 Wakiso-Kampala'!G25)</f>
        <v>0.7142857142857143</v>
      </c>
      <c r="H25" s="49">
        <f>AVERAGE('22.07 Wakiso-Kampala'!H25,'23.07 Wakiso-Kampala'!H25,'24.07 Wakiso-Kampala'!H25,'25.07 Wakiso-Kampala'!H25,'26.07 Wakiso-Kampala-24h'!H25,'27.07 Wakiso-Kampala-24h'!H25,'28.07 Wakiso-Kampala'!H25)</f>
        <v>0.14285714285714285</v>
      </c>
      <c r="I25" s="49">
        <f>AVERAGE('22.07 Wakiso-Kampala'!I25,'23.07 Wakiso-Kampala'!I25,'24.07 Wakiso-Kampala'!I25,'25.07 Wakiso-Kampala'!I25,'26.07 Wakiso-Kampala-24h'!I25,'27.07 Wakiso-Kampala-24h'!I25,'28.07 Wakiso-Kampala'!I25)</f>
        <v>10.571428571428571</v>
      </c>
      <c r="J25" s="49">
        <f>AVERAGE('22.07 Wakiso-Kampala'!J25,'23.07 Wakiso-Kampala'!J25,'24.07 Wakiso-Kampala'!J25,'25.07 Wakiso-Kampala'!J25,'26.07 Wakiso-Kampala-24h'!J25,'27.07 Wakiso-Kampala-24h'!J25,'28.07 Wakiso-Kampala'!J25)</f>
        <v>3.4285714285714284</v>
      </c>
      <c r="K25" s="49">
        <f>AVERAGE('22.07 Wakiso-Kampala'!K25,'23.07 Wakiso-Kampala'!K25,'24.07 Wakiso-Kampala'!K25,'25.07 Wakiso-Kampala'!K25,'26.07 Wakiso-Kampala-24h'!K25,'27.07 Wakiso-Kampala-24h'!K25,'28.07 Wakiso-Kampala'!K25)</f>
        <v>0.42857142857142855</v>
      </c>
      <c r="L25" s="49">
        <f>AVERAGE('22.07 Wakiso-Kampala'!L25,'23.07 Wakiso-Kampala'!L25,'24.07 Wakiso-Kampala'!L25,'25.07 Wakiso-Kampala'!L25,'26.07 Wakiso-Kampala-24h'!L25,'27.07 Wakiso-Kampala-24h'!L25,'28.07 Wakiso-Kampala'!L25)</f>
        <v>0.42857142857142855</v>
      </c>
      <c r="M25" s="49">
        <f>AVERAGE('22.07 Wakiso-Kampala'!M25,'23.07 Wakiso-Kampala'!M25,'24.07 Wakiso-Kampala'!M25,'25.07 Wakiso-Kampala'!M25,'26.07 Wakiso-Kampala-24h'!M25,'27.07 Wakiso-Kampala-24h'!M25,'28.07 Wakiso-Kampala'!M25)</f>
        <v>111</v>
      </c>
      <c r="N25" s="49">
        <f>AVERAGE('22.07 Wakiso-Kampala'!N25,'23.07 Wakiso-Kampala'!N25,'24.07 Wakiso-Kampala'!N25,'25.07 Wakiso-Kampala'!N25,'26.07 Wakiso-Kampala-24h'!N25,'27.07 Wakiso-Kampala-24h'!N25,'28.07 Wakiso-Kampala'!N25)</f>
        <v>0</v>
      </c>
      <c r="O25" s="15">
        <f t="shared" si="0"/>
        <v>165.57142857142856</v>
      </c>
      <c r="P25" s="15">
        <f t="shared" si="1"/>
        <v>276.57142857142856</v>
      </c>
      <c r="R25" s="1" t="s">
        <v>149</v>
      </c>
      <c r="S25" s="34">
        <f>SUM(C70:C73)</f>
        <v>166.5</v>
      </c>
      <c r="T25" s="34">
        <f t="shared" ref="T25:AF25" si="17">SUM(D70:D73)</f>
        <v>48</v>
      </c>
      <c r="U25" s="34">
        <f t="shared" si="17"/>
        <v>22</v>
      </c>
      <c r="V25" s="34">
        <f t="shared" si="17"/>
        <v>89.5</v>
      </c>
      <c r="W25" s="34">
        <f t="shared" si="17"/>
        <v>3.5</v>
      </c>
      <c r="X25" s="34">
        <f t="shared" si="17"/>
        <v>1.5</v>
      </c>
      <c r="Y25" s="34">
        <f t="shared" si="17"/>
        <v>22.5</v>
      </c>
      <c r="Z25" s="34">
        <f t="shared" si="17"/>
        <v>3</v>
      </c>
      <c r="AA25" s="34">
        <f t="shared" si="17"/>
        <v>1</v>
      </c>
      <c r="AB25" s="34">
        <f t="shared" si="17"/>
        <v>2</v>
      </c>
      <c r="AC25" s="34">
        <f t="shared" si="17"/>
        <v>333.5</v>
      </c>
      <c r="AD25" s="34">
        <f t="shared" si="17"/>
        <v>0</v>
      </c>
      <c r="AE25" s="31">
        <f t="shared" si="17"/>
        <v>359.5</v>
      </c>
      <c r="AF25" s="31">
        <f t="shared" si="17"/>
        <v>693</v>
      </c>
    </row>
    <row r="26" spans="2:32" ht="23.1" customHeight="1" x14ac:dyDescent="0.25">
      <c r="B26" s="23" t="s">
        <v>53</v>
      </c>
      <c r="C26" s="49">
        <f>AVERAGE('22.07 Wakiso-Kampala'!C26,'23.07 Wakiso-Kampala'!C26,'24.07 Wakiso-Kampala'!C26,'25.07 Wakiso-Kampala'!C26,'26.07 Wakiso-Kampala-24h'!C26,'27.07 Wakiso-Kampala-24h'!C26,'28.07 Wakiso-Kampala'!C26)</f>
        <v>47.714285714285715</v>
      </c>
      <c r="D26" s="49">
        <f>AVERAGE('22.07 Wakiso-Kampala'!D26,'23.07 Wakiso-Kampala'!D26,'24.07 Wakiso-Kampala'!D26,'25.07 Wakiso-Kampala'!D26,'26.07 Wakiso-Kampala-24h'!D26,'27.07 Wakiso-Kampala-24h'!D26,'28.07 Wakiso-Kampala'!D26)</f>
        <v>19.285714285714285</v>
      </c>
      <c r="E26" s="49">
        <f>AVERAGE('22.07 Wakiso-Kampala'!E26,'23.07 Wakiso-Kampala'!E26,'24.07 Wakiso-Kampala'!E26,'25.07 Wakiso-Kampala'!E26,'26.07 Wakiso-Kampala-24h'!E26,'27.07 Wakiso-Kampala-24h'!E26,'28.07 Wakiso-Kampala'!E26)</f>
        <v>7.4285714285714288</v>
      </c>
      <c r="F26" s="49">
        <f>AVERAGE('22.07 Wakiso-Kampala'!F26,'23.07 Wakiso-Kampala'!F26,'24.07 Wakiso-Kampala'!F26,'25.07 Wakiso-Kampala'!F26,'26.07 Wakiso-Kampala-24h'!F26,'27.07 Wakiso-Kampala-24h'!F26,'28.07 Wakiso-Kampala'!F26)</f>
        <v>48.714285714285715</v>
      </c>
      <c r="G26" s="49">
        <f>AVERAGE('22.07 Wakiso-Kampala'!G26,'23.07 Wakiso-Kampala'!G26,'24.07 Wakiso-Kampala'!G26,'25.07 Wakiso-Kampala'!G26,'26.07 Wakiso-Kampala-24h'!G26,'27.07 Wakiso-Kampala-24h'!G26,'28.07 Wakiso-Kampala'!G26)</f>
        <v>0.5714285714285714</v>
      </c>
      <c r="H26" s="49">
        <f>AVERAGE('22.07 Wakiso-Kampala'!H26,'23.07 Wakiso-Kampala'!H26,'24.07 Wakiso-Kampala'!H26,'25.07 Wakiso-Kampala'!H26,'26.07 Wakiso-Kampala-24h'!H26,'27.07 Wakiso-Kampala-24h'!H26,'28.07 Wakiso-Kampala'!H26)</f>
        <v>0.2857142857142857</v>
      </c>
      <c r="I26" s="49">
        <f>AVERAGE('22.07 Wakiso-Kampala'!I26,'23.07 Wakiso-Kampala'!I26,'24.07 Wakiso-Kampala'!I26,'25.07 Wakiso-Kampala'!I26,'26.07 Wakiso-Kampala-24h'!I26,'27.07 Wakiso-Kampala-24h'!I26,'28.07 Wakiso-Kampala'!I26)</f>
        <v>6</v>
      </c>
      <c r="J26" s="49">
        <f>AVERAGE('22.07 Wakiso-Kampala'!J26,'23.07 Wakiso-Kampala'!J26,'24.07 Wakiso-Kampala'!J26,'25.07 Wakiso-Kampala'!J26,'26.07 Wakiso-Kampala-24h'!J26,'27.07 Wakiso-Kampala-24h'!J26,'28.07 Wakiso-Kampala'!J26)</f>
        <v>3.4285714285714284</v>
      </c>
      <c r="K26" s="49">
        <f>AVERAGE('22.07 Wakiso-Kampala'!K26,'23.07 Wakiso-Kampala'!K26,'24.07 Wakiso-Kampala'!K26,'25.07 Wakiso-Kampala'!K26,'26.07 Wakiso-Kampala-24h'!K26,'27.07 Wakiso-Kampala-24h'!K26,'28.07 Wakiso-Kampala'!K26)</f>
        <v>1</v>
      </c>
      <c r="L26" s="49">
        <f>AVERAGE('22.07 Wakiso-Kampala'!L26,'23.07 Wakiso-Kampala'!L26,'24.07 Wakiso-Kampala'!L26,'25.07 Wakiso-Kampala'!L26,'26.07 Wakiso-Kampala-24h'!L26,'27.07 Wakiso-Kampala-24h'!L26,'28.07 Wakiso-Kampala'!L26)</f>
        <v>1.8571428571428572</v>
      </c>
      <c r="M26" s="49">
        <f>AVERAGE('22.07 Wakiso-Kampala'!M26,'23.07 Wakiso-Kampala'!M26,'24.07 Wakiso-Kampala'!M26,'25.07 Wakiso-Kampala'!M26,'26.07 Wakiso-Kampala-24h'!M26,'27.07 Wakiso-Kampala-24h'!M26,'28.07 Wakiso-Kampala'!M26)</f>
        <v>119.85714285714286</v>
      </c>
      <c r="N26" s="49">
        <f>AVERAGE('22.07 Wakiso-Kampala'!N26,'23.07 Wakiso-Kampala'!N26,'24.07 Wakiso-Kampala'!N26,'25.07 Wakiso-Kampala'!N26,'26.07 Wakiso-Kampala-24h'!N26,'27.07 Wakiso-Kampala-24h'!N26,'28.07 Wakiso-Kampala'!N26)</f>
        <v>0</v>
      </c>
      <c r="O26" s="15">
        <f t="shared" si="0"/>
        <v>136.28571428571428</v>
      </c>
      <c r="P26" s="15">
        <f t="shared" si="1"/>
        <v>256.14285714285711</v>
      </c>
      <c r="R26" s="1" t="s">
        <v>150</v>
      </c>
      <c r="S26" s="34">
        <f>SUM(C74:C77)</f>
        <v>108</v>
      </c>
      <c r="T26" s="34">
        <f t="shared" ref="T26:AF26" si="18">SUM(D74:D77)</f>
        <v>39</v>
      </c>
      <c r="U26" s="34">
        <f t="shared" si="18"/>
        <v>18</v>
      </c>
      <c r="V26" s="34">
        <f t="shared" si="18"/>
        <v>57.5</v>
      </c>
      <c r="W26" s="34">
        <f t="shared" si="18"/>
        <v>1.5</v>
      </c>
      <c r="X26" s="34">
        <f t="shared" si="18"/>
        <v>0.5</v>
      </c>
      <c r="Y26" s="34">
        <f t="shared" si="18"/>
        <v>19</v>
      </c>
      <c r="Z26" s="34">
        <f t="shared" si="18"/>
        <v>5</v>
      </c>
      <c r="AA26" s="34">
        <f t="shared" si="18"/>
        <v>1.5</v>
      </c>
      <c r="AB26" s="34">
        <f t="shared" si="18"/>
        <v>4</v>
      </c>
      <c r="AC26" s="34">
        <f t="shared" si="18"/>
        <v>154.5</v>
      </c>
      <c r="AD26" s="34">
        <f t="shared" si="18"/>
        <v>0</v>
      </c>
      <c r="AE26" s="31">
        <f t="shared" si="18"/>
        <v>254</v>
      </c>
      <c r="AF26" s="31">
        <f t="shared" si="18"/>
        <v>408.5</v>
      </c>
    </row>
    <row r="27" spans="2:32" ht="23.1" customHeight="1" x14ac:dyDescent="0.25">
      <c r="B27" s="23" t="s">
        <v>54</v>
      </c>
      <c r="C27" s="49">
        <f>AVERAGE('22.07 Wakiso-Kampala'!C27,'23.07 Wakiso-Kampala'!C27,'24.07 Wakiso-Kampala'!C27,'25.07 Wakiso-Kampala'!C27,'26.07 Wakiso-Kampala-24h'!C27,'27.07 Wakiso-Kampala-24h'!C27,'28.07 Wakiso-Kampala'!C27)</f>
        <v>51.142857142857146</v>
      </c>
      <c r="D27" s="49">
        <f>AVERAGE('22.07 Wakiso-Kampala'!D27,'23.07 Wakiso-Kampala'!D27,'24.07 Wakiso-Kampala'!D27,'25.07 Wakiso-Kampala'!D27,'26.07 Wakiso-Kampala-24h'!D27,'27.07 Wakiso-Kampala-24h'!D27,'28.07 Wakiso-Kampala'!D27)</f>
        <v>24.428571428571427</v>
      </c>
      <c r="E27" s="49">
        <f>AVERAGE('22.07 Wakiso-Kampala'!E27,'23.07 Wakiso-Kampala'!E27,'24.07 Wakiso-Kampala'!E27,'25.07 Wakiso-Kampala'!E27,'26.07 Wakiso-Kampala-24h'!E27,'27.07 Wakiso-Kampala-24h'!E27,'28.07 Wakiso-Kampala'!E27)</f>
        <v>13.285714285714286</v>
      </c>
      <c r="F27" s="49">
        <f>AVERAGE('22.07 Wakiso-Kampala'!F27,'23.07 Wakiso-Kampala'!F27,'24.07 Wakiso-Kampala'!F27,'25.07 Wakiso-Kampala'!F27,'26.07 Wakiso-Kampala-24h'!F27,'27.07 Wakiso-Kampala-24h'!F27,'28.07 Wakiso-Kampala'!F27)</f>
        <v>63.285714285714285</v>
      </c>
      <c r="G27" s="49">
        <f>AVERAGE('22.07 Wakiso-Kampala'!G27,'23.07 Wakiso-Kampala'!G27,'24.07 Wakiso-Kampala'!G27,'25.07 Wakiso-Kampala'!G27,'26.07 Wakiso-Kampala-24h'!G27,'27.07 Wakiso-Kampala-24h'!G27,'28.07 Wakiso-Kampala'!G27)</f>
        <v>0.5714285714285714</v>
      </c>
      <c r="H27" s="49">
        <f>AVERAGE('22.07 Wakiso-Kampala'!H27,'23.07 Wakiso-Kampala'!H27,'24.07 Wakiso-Kampala'!H27,'25.07 Wakiso-Kampala'!H27,'26.07 Wakiso-Kampala-24h'!H27,'27.07 Wakiso-Kampala-24h'!H27,'28.07 Wakiso-Kampala'!H27)</f>
        <v>0.14285714285714285</v>
      </c>
      <c r="I27" s="49">
        <f>AVERAGE('22.07 Wakiso-Kampala'!I27,'23.07 Wakiso-Kampala'!I27,'24.07 Wakiso-Kampala'!I27,'25.07 Wakiso-Kampala'!I27,'26.07 Wakiso-Kampala-24h'!I27,'27.07 Wakiso-Kampala-24h'!I27,'28.07 Wakiso-Kampala'!I27)</f>
        <v>7.4285714285714288</v>
      </c>
      <c r="J27" s="49">
        <f>AVERAGE('22.07 Wakiso-Kampala'!J27,'23.07 Wakiso-Kampala'!J27,'24.07 Wakiso-Kampala'!J27,'25.07 Wakiso-Kampala'!J27,'26.07 Wakiso-Kampala-24h'!J27,'27.07 Wakiso-Kampala-24h'!J27,'28.07 Wakiso-Kampala'!J27)</f>
        <v>1.7142857142857142</v>
      </c>
      <c r="K27" s="49">
        <f>AVERAGE('22.07 Wakiso-Kampala'!K27,'23.07 Wakiso-Kampala'!K27,'24.07 Wakiso-Kampala'!K27,'25.07 Wakiso-Kampala'!K27,'26.07 Wakiso-Kampala-24h'!K27,'27.07 Wakiso-Kampala-24h'!K27,'28.07 Wakiso-Kampala'!K27)</f>
        <v>0.2857142857142857</v>
      </c>
      <c r="L27" s="49">
        <f>AVERAGE('22.07 Wakiso-Kampala'!L27,'23.07 Wakiso-Kampala'!L27,'24.07 Wakiso-Kampala'!L27,'25.07 Wakiso-Kampala'!L27,'26.07 Wakiso-Kampala-24h'!L27,'27.07 Wakiso-Kampala-24h'!L27,'28.07 Wakiso-Kampala'!L27)</f>
        <v>1</v>
      </c>
      <c r="M27" s="49">
        <f>AVERAGE('22.07 Wakiso-Kampala'!M27,'23.07 Wakiso-Kampala'!M27,'24.07 Wakiso-Kampala'!M27,'25.07 Wakiso-Kampala'!M27,'26.07 Wakiso-Kampala-24h'!M27,'27.07 Wakiso-Kampala-24h'!M27,'28.07 Wakiso-Kampala'!M27)</f>
        <v>117.42857142857143</v>
      </c>
      <c r="N27" s="49">
        <f>AVERAGE('22.07 Wakiso-Kampala'!N27,'23.07 Wakiso-Kampala'!N27,'24.07 Wakiso-Kampala'!N27,'25.07 Wakiso-Kampala'!N27,'26.07 Wakiso-Kampala-24h'!N27,'27.07 Wakiso-Kampala-24h'!N27,'28.07 Wakiso-Kampala'!N27)</f>
        <v>0</v>
      </c>
      <c r="O27" s="15">
        <f t="shared" si="0"/>
        <v>163.28571428571428</v>
      </c>
      <c r="P27" s="15">
        <f t="shared" si="1"/>
        <v>280.71428571428572</v>
      </c>
      <c r="R27" s="1" t="s">
        <v>151</v>
      </c>
      <c r="S27" s="34">
        <f>SUM(C78:C81)</f>
        <v>54</v>
      </c>
      <c r="T27" s="34">
        <f t="shared" ref="T27:AF27" si="19">SUM(D78:D81)</f>
        <v>34</v>
      </c>
      <c r="U27" s="34">
        <f t="shared" si="19"/>
        <v>10</v>
      </c>
      <c r="V27" s="34">
        <f t="shared" si="19"/>
        <v>20</v>
      </c>
      <c r="W27" s="34">
        <f t="shared" si="19"/>
        <v>1</v>
      </c>
      <c r="X27" s="34">
        <f t="shared" si="19"/>
        <v>3</v>
      </c>
      <c r="Y27" s="34">
        <f t="shared" si="19"/>
        <v>12</v>
      </c>
      <c r="Z27" s="34">
        <f t="shared" si="19"/>
        <v>5</v>
      </c>
      <c r="AA27" s="34">
        <f t="shared" si="19"/>
        <v>4</v>
      </c>
      <c r="AB27" s="34">
        <f t="shared" si="19"/>
        <v>0</v>
      </c>
      <c r="AC27" s="34">
        <f t="shared" si="19"/>
        <v>95</v>
      </c>
      <c r="AD27" s="34">
        <f t="shared" si="19"/>
        <v>0</v>
      </c>
      <c r="AE27" s="31">
        <f t="shared" si="19"/>
        <v>143</v>
      </c>
      <c r="AF27" s="31">
        <f t="shared" si="19"/>
        <v>238</v>
      </c>
    </row>
    <row r="28" spans="2:32" ht="23.1" customHeight="1" x14ac:dyDescent="0.25">
      <c r="B28" s="23" t="s">
        <v>55</v>
      </c>
      <c r="C28" s="49">
        <f>AVERAGE('22.07 Wakiso-Kampala'!C28,'23.07 Wakiso-Kampala'!C28,'24.07 Wakiso-Kampala'!C28,'25.07 Wakiso-Kampala'!C28,'26.07 Wakiso-Kampala-24h'!C28,'27.07 Wakiso-Kampala-24h'!C28,'28.07 Wakiso-Kampala'!C28)</f>
        <v>50.714285714285715</v>
      </c>
      <c r="D28" s="49">
        <f>AVERAGE('22.07 Wakiso-Kampala'!D28,'23.07 Wakiso-Kampala'!D28,'24.07 Wakiso-Kampala'!D28,'25.07 Wakiso-Kampala'!D28,'26.07 Wakiso-Kampala-24h'!D28,'27.07 Wakiso-Kampala-24h'!D28,'28.07 Wakiso-Kampala'!D28)</f>
        <v>23.571428571428573</v>
      </c>
      <c r="E28" s="49">
        <f>AVERAGE('22.07 Wakiso-Kampala'!E28,'23.07 Wakiso-Kampala'!E28,'24.07 Wakiso-Kampala'!E28,'25.07 Wakiso-Kampala'!E28,'26.07 Wakiso-Kampala-24h'!E28,'27.07 Wakiso-Kampala-24h'!E28,'28.07 Wakiso-Kampala'!E28)</f>
        <v>8.2857142857142865</v>
      </c>
      <c r="F28" s="49">
        <f>AVERAGE('22.07 Wakiso-Kampala'!F28,'23.07 Wakiso-Kampala'!F28,'24.07 Wakiso-Kampala'!F28,'25.07 Wakiso-Kampala'!F28,'26.07 Wakiso-Kampala-24h'!F28,'27.07 Wakiso-Kampala-24h'!F28,'28.07 Wakiso-Kampala'!F28)</f>
        <v>51.571428571428569</v>
      </c>
      <c r="G28" s="49">
        <f>AVERAGE('22.07 Wakiso-Kampala'!G28,'23.07 Wakiso-Kampala'!G28,'24.07 Wakiso-Kampala'!G28,'25.07 Wakiso-Kampala'!G28,'26.07 Wakiso-Kampala-24h'!G28,'27.07 Wakiso-Kampala-24h'!G28,'28.07 Wakiso-Kampala'!G28)</f>
        <v>0.2857142857142857</v>
      </c>
      <c r="H28" s="49">
        <f>AVERAGE('22.07 Wakiso-Kampala'!H28,'23.07 Wakiso-Kampala'!H28,'24.07 Wakiso-Kampala'!H28,'25.07 Wakiso-Kampala'!H28,'26.07 Wakiso-Kampala-24h'!H28,'27.07 Wakiso-Kampala-24h'!H28,'28.07 Wakiso-Kampala'!H28)</f>
        <v>0.5714285714285714</v>
      </c>
      <c r="I28" s="49">
        <f>AVERAGE('22.07 Wakiso-Kampala'!I28,'23.07 Wakiso-Kampala'!I28,'24.07 Wakiso-Kampala'!I28,'25.07 Wakiso-Kampala'!I28,'26.07 Wakiso-Kampala-24h'!I28,'27.07 Wakiso-Kampala-24h'!I28,'28.07 Wakiso-Kampala'!I28)</f>
        <v>8.1428571428571423</v>
      </c>
      <c r="J28" s="49">
        <f>AVERAGE('22.07 Wakiso-Kampala'!J28,'23.07 Wakiso-Kampala'!J28,'24.07 Wakiso-Kampala'!J28,'25.07 Wakiso-Kampala'!J28,'26.07 Wakiso-Kampala-24h'!J28,'27.07 Wakiso-Kampala-24h'!J28,'28.07 Wakiso-Kampala'!J28)</f>
        <v>4.1428571428571432</v>
      </c>
      <c r="K28" s="49">
        <f>AVERAGE('22.07 Wakiso-Kampala'!K28,'23.07 Wakiso-Kampala'!K28,'24.07 Wakiso-Kampala'!K28,'25.07 Wakiso-Kampala'!K28,'26.07 Wakiso-Kampala-24h'!K28,'27.07 Wakiso-Kampala-24h'!K28,'28.07 Wakiso-Kampala'!K28)</f>
        <v>0.5714285714285714</v>
      </c>
      <c r="L28" s="49">
        <f>AVERAGE('22.07 Wakiso-Kampala'!L28,'23.07 Wakiso-Kampala'!L28,'24.07 Wakiso-Kampala'!L28,'25.07 Wakiso-Kampala'!L28,'26.07 Wakiso-Kampala-24h'!L28,'27.07 Wakiso-Kampala-24h'!L28,'28.07 Wakiso-Kampala'!L28)</f>
        <v>0.5714285714285714</v>
      </c>
      <c r="M28" s="49">
        <f>AVERAGE('22.07 Wakiso-Kampala'!M28,'23.07 Wakiso-Kampala'!M28,'24.07 Wakiso-Kampala'!M28,'25.07 Wakiso-Kampala'!M28,'26.07 Wakiso-Kampala-24h'!M28,'27.07 Wakiso-Kampala-24h'!M28,'28.07 Wakiso-Kampala'!M28)</f>
        <v>96.428571428571431</v>
      </c>
      <c r="N28" s="49">
        <f>AVERAGE('22.07 Wakiso-Kampala'!N28,'23.07 Wakiso-Kampala'!N28,'24.07 Wakiso-Kampala'!N28,'25.07 Wakiso-Kampala'!N28,'26.07 Wakiso-Kampala-24h'!N28,'27.07 Wakiso-Kampala-24h'!N28,'28.07 Wakiso-Kampala'!N28)</f>
        <v>0</v>
      </c>
      <c r="O28" s="15">
        <f t="shared" si="0"/>
        <v>148.42857142857147</v>
      </c>
      <c r="P28" s="15">
        <f t="shared" si="1"/>
        <v>244.85714285714289</v>
      </c>
      <c r="R28" s="1" t="s">
        <v>152</v>
      </c>
      <c r="S28" s="34">
        <f>SUM(C82:C85)</f>
        <v>38</v>
      </c>
      <c r="T28" s="34">
        <f t="shared" ref="T28:AF28" si="20">SUM(D82:D85)</f>
        <v>17</v>
      </c>
      <c r="U28" s="34">
        <f t="shared" si="20"/>
        <v>7</v>
      </c>
      <c r="V28" s="34">
        <f t="shared" si="20"/>
        <v>13.5</v>
      </c>
      <c r="W28" s="34">
        <f t="shared" si="20"/>
        <v>0.5</v>
      </c>
      <c r="X28" s="34">
        <f t="shared" si="20"/>
        <v>0</v>
      </c>
      <c r="Y28" s="34">
        <f t="shared" si="20"/>
        <v>12.5</v>
      </c>
      <c r="Z28" s="34">
        <f t="shared" si="20"/>
        <v>3</v>
      </c>
      <c r="AA28" s="34">
        <f t="shared" si="20"/>
        <v>3.5</v>
      </c>
      <c r="AB28" s="34">
        <f t="shared" si="20"/>
        <v>0</v>
      </c>
      <c r="AC28" s="34">
        <f t="shared" si="20"/>
        <v>72</v>
      </c>
      <c r="AD28" s="34">
        <f t="shared" si="20"/>
        <v>0</v>
      </c>
      <c r="AE28" s="31">
        <f t="shared" si="20"/>
        <v>95</v>
      </c>
      <c r="AF28" s="31">
        <f t="shared" si="20"/>
        <v>167</v>
      </c>
    </row>
    <row r="29" spans="2:32" ht="23.1" customHeight="1" x14ac:dyDescent="0.25">
      <c r="B29" s="23" t="s">
        <v>56</v>
      </c>
      <c r="C29" s="49">
        <f>AVERAGE('22.07 Wakiso-Kampala'!C29,'23.07 Wakiso-Kampala'!C29,'24.07 Wakiso-Kampala'!C29,'25.07 Wakiso-Kampala'!C29,'26.07 Wakiso-Kampala-24h'!C29,'27.07 Wakiso-Kampala-24h'!C29,'28.07 Wakiso-Kampala'!C29)</f>
        <v>51.571428571428569</v>
      </c>
      <c r="D29" s="49">
        <f>AVERAGE('22.07 Wakiso-Kampala'!D29,'23.07 Wakiso-Kampala'!D29,'24.07 Wakiso-Kampala'!D29,'25.07 Wakiso-Kampala'!D29,'26.07 Wakiso-Kampala-24h'!D29,'27.07 Wakiso-Kampala-24h'!D29,'28.07 Wakiso-Kampala'!D29)</f>
        <v>22.428571428571427</v>
      </c>
      <c r="E29" s="49">
        <f>AVERAGE('22.07 Wakiso-Kampala'!E29,'23.07 Wakiso-Kampala'!E29,'24.07 Wakiso-Kampala'!E29,'25.07 Wakiso-Kampala'!E29,'26.07 Wakiso-Kampala-24h'!E29,'27.07 Wakiso-Kampala-24h'!E29,'28.07 Wakiso-Kampala'!E29)</f>
        <v>8.1428571428571423</v>
      </c>
      <c r="F29" s="49">
        <f>AVERAGE('22.07 Wakiso-Kampala'!F29,'23.07 Wakiso-Kampala'!F29,'24.07 Wakiso-Kampala'!F29,'25.07 Wakiso-Kampala'!F29,'26.07 Wakiso-Kampala-24h'!F29,'27.07 Wakiso-Kampala-24h'!F29,'28.07 Wakiso-Kampala'!F29)</f>
        <v>47.714285714285715</v>
      </c>
      <c r="G29" s="49">
        <f>AVERAGE('22.07 Wakiso-Kampala'!G29,'23.07 Wakiso-Kampala'!G29,'24.07 Wakiso-Kampala'!G29,'25.07 Wakiso-Kampala'!G29,'26.07 Wakiso-Kampala-24h'!G29,'27.07 Wakiso-Kampala-24h'!G29,'28.07 Wakiso-Kampala'!G29)</f>
        <v>0</v>
      </c>
      <c r="H29" s="49">
        <f>AVERAGE('22.07 Wakiso-Kampala'!H29,'23.07 Wakiso-Kampala'!H29,'24.07 Wakiso-Kampala'!H29,'25.07 Wakiso-Kampala'!H29,'26.07 Wakiso-Kampala-24h'!H29,'27.07 Wakiso-Kampala-24h'!H29,'28.07 Wakiso-Kampala'!H29)</f>
        <v>0</v>
      </c>
      <c r="I29" s="49">
        <f>AVERAGE('22.07 Wakiso-Kampala'!I29,'23.07 Wakiso-Kampala'!I29,'24.07 Wakiso-Kampala'!I29,'25.07 Wakiso-Kampala'!I29,'26.07 Wakiso-Kampala-24h'!I29,'27.07 Wakiso-Kampala-24h'!I29,'28.07 Wakiso-Kampala'!I29)</f>
        <v>7.7142857142857144</v>
      </c>
      <c r="J29" s="49">
        <f>AVERAGE('22.07 Wakiso-Kampala'!J29,'23.07 Wakiso-Kampala'!J29,'24.07 Wakiso-Kampala'!J29,'25.07 Wakiso-Kampala'!J29,'26.07 Wakiso-Kampala-24h'!J29,'27.07 Wakiso-Kampala-24h'!J29,'28.07 Wakiso-Kampala'!J29)</f>
        <v>4.2857142857142856</v>
      </c>
      <c r="K29" s="49">
        <f>AVERAGE('22.07 Wakiso-Kampala'!K29,'23.07 Wakiso-Kampala'!K29,'24.07 Wakiso-Kampala'!K29,'25.07 Wakiso-Kampala'!K29,'26.07 Wakiso-Kampala-24h'!K29,'27.07 Wakiso-Kampala-24h'!K29,'28.07 Wakiso-Kampala'!K29)</f>
        <v>0.42857142857142855</v>
      </c>
      <c r="L29" s="49">
        <f>AVERAGE('22.07 Wakiso-Kampala'!L29,'23.07 Wakiso-Kampala'!L29,'24.07 Wakiso-Kampala'!L29,'25.07 Wakiso-Kampala'!L29,'26.07 Wakiso-Kampala-24h'!L29,'27.07 Wakiso-Kampala-24h'!L29,'28.07 Wakiso-Kampala'!L29)</f>
        <v>0.42857142857142855</v>
      </c>
      <c r="M29" s="49">
        <f>AVERAGE('22.07 Wakiso-Kampala'!M29,'23.07 Wakiso-Kampala'!M29,'24.07 Wakiso-Kampala'!M29,'25.07 Wakiso-Kampala'!M29,'26.07 Wakiso-Kampala-24h'!M29,'27.07 Wakiso-Kampala-24h'!M29,'28.07 Wakiso-Kampala'!M29)</f>
        <v>96.714285714285708</v>
      </c>
      <c r="N29" s="49">
        <f>AVERAGE('22.07 Wakiso-Kampala'!N29,'23.07 Wakiso-Kampala'!N29,'24.07 Wakiso-Kampala'!N29,'25.07 Wakiso-Kampala'!N29,'26.07 Wakiso-Kampala-24h'!N29,'27.07 Wakiso-Kampala-24h'!N29,'28.07 Wakiso-Kampala'!N29)</f>
        <v>0</v>
      </c>
      <c r="O29" s="15">
        <f t="shared" si="0"/>
        <v>142.71428571428569</v>
      </c>
      <c r="P29" s="15">
        <f t="shared" si="1"/>
        <v>239.42857142857139</v>
      </c>
      <c r="R29" s="1" t="s">
        <v>153</v>
      </c>
      <c r="S29" s="34">
        <f>SUM(C86:C89)</f>
        <v>44.5</v>
      </c>
      <c r="T29" s="34">
        <f t="shared" ref="T29:AF29" si="21">SUM(D86:D89)</f>
        <v>18</v>
      </c>
      <c r="U29" s="34">
        <f t="shared" si="21"/>
        <v>5.5</v>
      </c>
      <c r="V29" s="34">
        <f t="shared" si="21"/>
        <v>14.5</v>
      </c>
      <c r="W29" s="34">
        <f t="shared" si="21"/>
        <v>1</v>
      </c>
      <c r="X29" s="34">
        <f t="shared" si="21"/>
        <v>0</v>
      </c>
      <c r="Y29" s="34">
        <f t="shared" si="21"/>
        <v>28.5</v>
      </c>
      <c r="Z29" s="34">
        <f t="shared" si="21"/>
        <v>7.5</v>
      </c>
      <c r="AA29" s="34">
        <f t="shared" si="21"/>
        <v>0</v>
      </c>
      <c r="AB29" s="34">
        <f t="shared" si="21"/>
        <v>5</v>
      </c>
      <c r="AC29" s="34">
        <f t="shared" si="21"/>
        <v>108.5</v>
      </c>
      <c r="AD29" s="34">
        <f t="shared" si="21"/>
        <v>0</v>
      </c>
      <c r="AE29" s="31">
        <f t="shared" si="21"/>
        <v>124.5</v>
      </c>
      <c r="AF29" s="31">
        <f t="shared" si="21"/>
        <v>233</v>
      </c>
    </row>
    <row r="30" spans="2:32" ht="23.1" customHeight="1" x14ac:dyDescent="0.25">
      <c r="B30" s="23" t="s">
        <v>57</v>
      </c>
      <c r="C30" s="49">
        <f>AVERAGE('22.07 Wakiso-Kampala'!C30,'23.07 Wakiso-Kampala'!C30,'24.07 Wakiso-Kampala'!C30,'25.07 Wakiso-Kampala'!C30,'26.07 Wakiso-Kampala-24h'!C30,'27.07 Wakiso-Kampala-24h'!C30,'28.07 Wakiso-Kampala'!C30)</f>
        <v>43.857142857142854</v>
      </c>
      <c r="D30" s="49">
        <f>AVERAGE('22.07 Wakiso-Kampala'!D30,'23.07 Wakiso-Kampala'!D30,'24.07 Wakiso-Kampala'!D30,'25.07 Wakiso-Kampala'!D30,'26.07 Wakiso-Kampala-24h'!D30,'27.07 Wakiso-Kampala-24h'!D30,'28.07 Wakiso-Kampala'!D30)</f>
        <v>13.571428571428571</v>
      </c>
      <c r="E30" s="49">
        <f>AVERAGE('22.07 Wakiso-Kampala'!E30,'23.07 Wakiso-Kampala'!E30,'24.07 Wakiso-Kampala'!E30,'25.07 Wakiso-Kampala'!E30,'26.07 Wakiso-Kampala-24h'!E30,'27.07 Wakiso-Kampala-24h'!E30,'28.07 Wakiso-Kampala'!E30)</f>
        <v>9.5714285714285712</v>
      </c>
      <c r="F30" s="49">
        <f>AVERAGE('22.07 Wakiso-Kampala'!F30,'23.07 Wakiso-Kampala'!F30,'24.07 Wakiso-Kampala'!F30,'25.07 Wakiso-Kampala'!F30,'26.07 Wakiso-Kampala-24h'!F30,'27.07 Wakiso-Kampala-24h'!F30,'28.07 Wakiso-Kampala'!F30)</f>
        <v>42</v>
      </c>
      <c r="G30" s="49">
        <f>AVERAGE('22.07 Wakiso-Kampala'!G30,'23.07 Wakiso-Kampala'!G30,'24.07 Wakiso-Kampala'!G30,'25.07 Wakiso-Kampala'!G30,'26.07 Wakiso-Kampala-24h'!G30,'27.07 Wakiso-Kampala-24h'!G30,'28.07 Wakiso-Kampala'!G30)</f>
        <v>0.2857142857142857</v>
      </c>
      <c r="H30" s="49">
        <f>AVERAGE('22.07 Wakiso-Kampala'!H30,'23.07 Wakiso-Kampala'!H30,'24.07 Wakiso-Kampala'!H30,'25.07 Wakiso-Kampala'!H30,'26.07 Wakiso-Kampala-24h'!H30,'27.07 Wakiso-Kampala-24h'!H30,'28.07 Wakiso-Kampala'!H30)</f>
        <v>0.42857142857142855</v>
      </c>
      <c r="I30" s="49">
        <f>AVERAGE('22.07 Wakiso-Kampala'!I30,'23.07 Wakiso-Kampala'!I30,'24.07 Wakiso-Kampala'!I30,'25.07 Wakiso-Kampala'!I30,'26.07 Wakiso-Kampala-24h'!I30,'27.07 Wakiso-Kampala-24h'!I30,'28.07 Wakiso-Kampala'!I30)</f>
        <v>6.7142857142857144</v>
      </c>
      <c r="J30" s="49">
        <f>AVERAGE('22.07 Wakiso-Kampala'!J30,'23.07 Wakiso-Kampala'!J30,'24.07 Wakiso-Kampala'!J30,'25.07 Wakiso-Kampala'!J30,'26.07 Wakiso-Kampala-24h'!J30,'27.07 Wakiso-Kampala-24h'!J30,'28.07 Wakiso-Kampala'!J30)</f>
        <v>1.7142857142857142</v>
      </c>
      <c r="K30" s="49">
        <f>AVERAGE('22.07 Wakiso-Kampala'!K30,'23.07 Wakiso-Kampala'!K30,'24.07 Wakiso-Kampala'!K30,'25.07 Wakiso-Kampala'!K30,'26.07 Wakiso-Kampala-24h'!K30,'27.07 Wakiso-Kampala-24h'!K30,'28.07 Wakiso-Kampala'!K30)</f>
        <v>0.5714285714285714</v>
      </c>
      <c r="L30" s="49">
        <f>AVERAGE('22.07 Wakiso-Kampala'!L30,'23.07 Wakiso-Kampala'!L30,'24.07 Wakiso-Kampala'!L30,'25.07 Wakiso-Kampala'!L30,'26.07 Wakiso-Kampala-24h'!L30,'27.07 Wakiso-Kampala-24h'!L30,'28.07 Wakiso-Kampala'!L30)</f>
        <v>0.8571428571428571</v>
      </c>
      <c r="M30" s="49">
        <f>AVERAGE('22.07 Wakiso-Kampala'!M30,'23.07 Wakiso-Kampala'!M30,'24.07 Wakiso-Kampala'!M30,'25.07 Wakiso-Kampala'!M30,'26.07 Wakiso-Kampala-24h'!M30,'27.07 Wakiso-Kampala-24h'!M30,'28.07 Wakiso-Kampala'!M30)</f>
        <v>104.57142857142857</v>
      </c>
      <c r="N30" s="49">
        <f>AVERAGE('22.07 Wakiso-Kampala'!N30,'23.07 Wakiso-Kampala'!N30,'24.07 Wakiso-Kampala'!N30,'25.07 Wakiso-Kampala'!N30,'26.07 Wakiso-Kampala-24h'!N30,'27.07 Wakiso-Kampala-24h'!N30,'28.07 Wakiso-Kampala'!N30)</f>
        <v>0</v>
      </c>
      <c r="O30" s="15">
        <f t="shared" si="0"/>
        <v>119.57142857142857</v>
      </c>
      <c r="P30" s="15">
        <f t="shared" si="1"/>
        <v>224.14285714285714</v>
      </c>
      <c r="R30" s="1" t="s">
        <v>154</v>
      </c>
      <c r="S30" s="34">
        <f>SUM(C90:C93)</f>
        <v>26</v>
      </c>
      <c r="T30" s="34">
        <f t="shared" ref="T30:AF30" si="22">SUM(D90:D93)</f>
        <v>11.5</v>
      </c>
      <c r="U30" s="34">
        <f t="shared" si="22"/>
        <v>13</v>
      </c>
      <c r="V30" s="34">
        <f t="shared" si="22"/>
        <v>14.5</v>
      </c>
      <c r="W30" s="34">
        <f t="shared" si="22"/>
        <v>0</v>
      </c>
      <c r="X30" s="34">
        <f t="shared" si="22"/>
        <v>0</v>
      </c>
      <c r="Y30" s="34">
        <f t="shared" si="22"/>
        <v>11.5</v>
      </c>
      <c r="Z30" s="34">
        <f t="shared" si="22"/>
        <v>13</v>
      </c>
      <c r="AA30" s="34">
        <f t="shared" si="22"/>
        <v>5.5</v>
      </c>
      <c r="AB30" s="34">
        <f t="shared" si="22"/>
        <v>2</v>
      </c>
      <c r="AC30" s="34">
        <f t="shared" si="22"/>
        <v>59</v>
      </c>
      <c r="AD30" s="34">
        <f t="shared" si="22"/>
        <v>0</v>
      </c>
      <c r="AE30" s="31">
        <f t="shared" si="22"/>
        <v>97</v>
      </c>
      <c r="AF30" s="31">
        <f t="shared" si="22"/>
        <v>156</v>
      </c>
    </row>
    <row r="31" spans="2:32" ht="23.1" customHeight="1" x14ac:dyDescent="0.25">
      <c r="B31" s="24" t="s">
        <v>58</v>
      </c>
      <c r="C31" s="49">
        <f>AVERAGE('22.07 Wakiso-Kampala'!C31,'23.07 Wakiso-Kampala'!C31,'24.07 Wakiso-Kampala'!C31,'25.07 Wakiso-Kampala'!C31,'26.07 Wakiso-Kampala-24h'!C31,'27.07 Wakiso-Kampala-24h'!C31,'28.07 Wakiso-Kampala'!C31)</f>
        <v>49.285714285714285</v>
      </c>
      <c r="D31" s="49">
        <f>AVERAGE('22.07 Wakiso-Kampala'!D31,'23.07 Wakiso-Kampala'!D31,'24.07 Wakiso-Kampala'!D31,'25.07 Wakiso-Kampala'!D31,'26.07 Wakiso-Kampala-24h'!D31,'27.07 Wakiso-Kampala-24h'!D31,'28.07 Wakiso-Kampala'!D31)</f>
        <v>19.571428571428573</v>
      </c>
      <c r="E31" s="49">
        <f>AVERAGE('22.07 Wakiso-Kampala'!E31,'23.07 Wakiso-Kampala'!E31,'24.07 Wakiso-Kampala'!E31,'25.07 Wakiso-Kampala'!E31,'26.07 Wakiso-Kampala-24h'!E31,'27.07 Wakiso-Kampala-24h'!E31,'28.07 Wakiso-Kampala'!E31)</f>
        <v>7.5714285714285712</v>
      </c>
      <c r="F31" s="49">
        <f>AVERAGE('22.07 Wakiso-Kampala'!F31,'23.07 Wakiso-Kampala'!F31,'24.07 Wakiso-Kampala'!F31,'25.07 Wakiso-Kampala'!F31,'26.07 Wakiso-Kampala-24h'!F31,'27.07 Wakiso-Kampala-24h'!F31,'28.07 Wakiso-Kampala'!F31)</f>
        <v>44.714285714285715</v>
      </c>
      <c r="G31" s="49">
        <f>AVERAGE('22.07 Wakiso-Kampala'!G31,'23.07 Wakiso-Kampala'!G31,'24.07 Wakiso-Kampala'!G31,'25.07 Wakiso-Kampala'!G31,'26.07 Wakiso-Kampala-24h'!G31,'27.07 Wakiso-Kampala-24h'!G31,'28.07 Wakiso-Kampala'!G31)</f>
        <v>0.7142857142857143</v>
      </c>
      <c r="H31" s="49">
        <f>AVERAGE('22.07 Wakiso-Kampala'!H31,'23.07 Wakiso-Kampala'!H31,'24.07 Wakiso-Kampala'!H31,'25.07 Wakiso-Kampala'!H31,'26.07 Wakiso-Kampala-24h'!H31,'27.07 Wakiso-Kampala-24h'!H31,'28.07 Wakiso-Kampala'!H31)</f>
        <v>0.2857142857142857</v>
      </c>
      <c r="I31" s="49">
        <f>AVERAGE('22.07 Wakiso-Kampala'!I31,'23.07 Wakiso-Kampala'!I31,'24.07 Wakiso-Kampala'!I31,'25.07 Wakiso-Kampala'!I31,'26.07 Wakiso-Kampala-24h'!I31,'27.07 Wakiso-Kampala-24h'!I31,'28.07 Wakiso-Kampala'!I31)</f>
        <v>8</v>
      </c>
      <c r="J31" s="49">
        <f>AVERAGE('22.07 Wakiso-Kampala'!J31,'23.07 Wakiso-Kampala'!J31,'24.07 Wakiso-Kampala'!J31,'25.07 Wakiso-Kampala'!J31,'26.07 Wakiso-Kampala-24h'!J31,'27.07 Wakiso-Kampala-24h'!J31,'28.07 Wakiso-Kampala'!J31)</f>
        <v>2.4285714285714284</v>
      </c>
      <c r="K31" s="49">
        <f>AVERAGE('22.07 Wakiso-Kampala'!K31,'23.07 Wakiso-Kampala'!K31,'24.07 Wakiso-Kampala'!K31,'25.07 Wakiso-Kampala'!K31,'26.07 Wakiso-Kampala-24h'!K31,'27.07 Wakiso-Kampala-24h'!K31,'28.07 Wakiso-Kampala'!K31)</f>
        <v>0.14285714285714285</v>
      </c>
      <c r="L31" s="49">
        <f>AVERAGE('22.07 Wakiso-Kampala'!L31,'23.07 Wakiso-Kampala'!L31,'24.07 Wakiso-Kampala'!L31,'25.07 Wakiso-Kampala'!L31,'26.07 Wakiso-Kampala-24h'!L31,'27.07 Wakiso-Kampala-24h'!L31,'28.07 Wakiso-Kampala'!L31)</f>
        <v>1.5714285714285714</v>
      </c>
      <c r="M31" s="49">
        <f>AVERAGE('22.07 Wakiso-Kampala'!M31,'23.07 Wakiso-Kampala'!M31,'24.07 Wakiso-Kampala'!M31,'25.07 Wakiso-Kampala'!M31,'26.07 Wakiso-Kampala-24h'!M31,'27.07 Wakiso-Kampala-24h'!M31,'28.07 Wakiso-Kampala'!M31)</f>
        <v>81.428571428571431</v>
      </c>
      <c r="N31" s="49">
        <f>AVERAGE('22.07 Wakiso-Kampala'!N31,'23.07 Wakiso-Kampala'!N31,'24.07 Wakiso-Kampala'!N31,'25.07 Wakiso-Kampala'!N31,'26.07 Wakiso-Kampala-24h'!N31,'27.07 Wakiso-Kampala-24h'!N31,'28.07 Wakiso-Kampala'!N31)</f>
        <v>0</v>
      </c>
      <c r="O31" s="15">
        <f t="shared" si="0"/>
        <v>134.28571428571428</v>
      </c>
      <c r="P31" s="15">
        <f t="shared" si="1"/>
        <v>215.71428571428572</v>
      </c>
      <c r="R31" s="1" t="s">
        <v>155</v>
      </c>
      <c r="S31" s="34">
        <f>SUM(C94:C97)</f>
        <v>40</v>
      </c>
      <c r="T31" s="34">
        <f t="shared" ref="T31:AF31" si="23">SUM(D94:D97)</f>
        <v>23.5</v>
      </c>
      <c r="U31" s="34">
        <f t="shared" si="23"/>
        <v>8.5</v>
      </c>
      <c r="V31" s="34">
        <f t="shared" si="23"/>
        <v>46</v>
      </c>
      <c r="W31" s="34">
        <f t="shared" si="23"/>
        <v>0.5</v>
      </c>
      <c r="X31" s="34">
        <f t="shared" si="23"/>
        <v>0</v>
      </c>
      <c r="Y31" s="34">
        <f t="shared" si="23"/>
        <v>20</v>
      </c>
      <c r="Z31" s="34">
        <f t="shared" si="23"/>
        <v>9.5</v>
      </c>
      <c r="AA31" s="34">
        <f t="shared" si="23"/>
        <v>5</v>
      </c>
      <c r="AB31" s="34">
        <f t="shared" si="23"/>
        <v>2</v>
      </c>
      <c r="AC31" s="34">
        <f t="shared" si="23"/>
        <v>104</v>
      </c>
      <c r="AD31" s="34">
        <f t="shared" si="23"/>
        <v>0</v>
      </c>
      <c r="AE31" s="31">
        <f t="shared" si="23"/>
        <v>155</v>
      </c>
      <c r="AF31" s="31">
        <f t="shared" si="23"/>
        <v>259</v>
      </c>
    </row>
    <row r="32" spans="2:32" ht="23.1" customHeight="1" x14ac:dyDescent="0.25">
      <c r="B32" s="24" t="s">
        <v>59</v>
      </c>
      <c r="C32" s="49">
        <f>AVERAGE('22.07 Wakiso-Kampala'!C32,'23.07 Wakiso-Kampala'!C32,'24.07 Wakiso-Kampala'!C32,'25.07 Wakiso-Kampala'!C32,'26.07 Wakiso-Kampala-24h'!C32,'27.07 Wakiso-Kampala-24h'!C32,'28.07 Wakiso-Kampala'!C32)</f>
        <v>48</v>
      </c>
      <c r="D32" s="49">
        <f>AVERAGE('22.07 Wakiso-Kampala'!D32,'23.07 Wakiso-Kampala'!D32,'24.07 Wakiso-Kampala'!D32,'25.07 Wakiso-Kampala'!D32,'26.07 Wakiso-Kampala-24h'!D32,'27.07 Wakiso-Kampala-24h'!D32,'28.07 Wakiso-Kampala'!D32)</f>
        <v>18.285714285714285</v>
      </c>
      <c r="E32" s="49">
        <f>AVERAGE('22.07 Wakiso-Kampala'!E32,'23.07 Wakiso-Kampala'!E32,'24.07 Wakiso-Kampala'!E32,'25.07 Wakiso-Kampala'!E32,'26.07 Wakiso-Kampala-24h'!E32,'27.07 Wakiso-Kampala-24h'!E32,'28.07 Wakiso-Kampala'!E32)</f>
        <v>6.8571428571428568</v>
      </c>
      <c r="F32" s="49">
        <f>AVERAGE('22.07 Wakiso-Kampala'!F32,'23.07 Wakiso-Kampala'!F32,'24.07 Wakiso-Kampala'!F32,'25.07 Wakiso-Kampala'!F32,'26.07 Wakiso-Kampala-24h'!F32,'27.07 Wakiso-Kampala-24h'!F32,'28.07 Wakiso-Kampala'!F32)</f>
        <v>51.428571428571431</v>
      </c>
      <c r="G32" s="49">
        <f>AVERAGE('22.07 Wakiso-Kampala'!G32,'23.07 Wakiso-Kampala'!G32,'24.07 Wakiso-Kampala'!G32,'25.07 Wakiso-Kampala'!G32,'26.07 Wakiso-Kampala-24h'!G32,'27.07 Wakiso-Kampala-24h'!G32,'28.07 Wakiso-Kampala'!G32)</f>
        <v>0</v>
      </c>
      <c r="H32" s="49">
        <f>AVERAGE('22.07 Wakiso-Kampala'!H32,'23.07 Wakiso-Kampala'!H32,'24.07 Wakiso-Kampala'!H32,'25.07 Wakiso-Kampala'!H32,'26.07 Wakiso-Kampala-24h'!H32,'27.07 Wakiso-Kampala-24h'!H32,'28.07 Wakiso-Kampala'!H32)</f>
        <v>0</v>
      </c>
      <c r="I32" s="49">
        <f>AVERAGE('22.07 Wakiso-Kampala'!I32,'23.07 Wakiso-Kampala'!I32,'24.07 Wakiso-Kampala'!I32,'25.07 Wakiso-Kampala'!I32,'26.07 Wakiso-Kampala-24h'!I32,'27.07 Wakiso-Kampala-24h'!I32,'28.07 Wakiso-Kampala'!I32)</f>
        <v>4.1428571428571432</v>
      </c>
      <c r="J32" s="49">
        <f>AVERAGE('22.07 Wakiso-Kampala'!J32,'23.07 Wakiso-Kampala'!J32,'24.07 Wakiso-Kampala'!J32,'25.07 Wakiso-Kampala'!J32,'26.07 Wakiso-Kampala-24h'!J32,'27.07 Wakiso-Kampala-24h'!J32,'28.07 Wakiso-Kampala'!J32)</f>
        <v>1.5714285714285714</v>
      </c>
      <c r="K32" s="49">
        <f>AVERAGE('22.07 Wakiso-Kampala'!K32,'23.07 Wakiso-Kampala'!K32,'24.07 Wakiso-Kampala'!K32,'25.07 Wakiso-Kampala'!K32,'26.07 Wakiso-Kampala-24h'!K32,'27.07 Wakiso-Kampala-24h'!K32,'28.07 Wakiso-Kampala'!K32)</f>
        <v>0.7142857142857143</v>
      </c>
      <c r="L32" s="49">
        <f>AVERAGE('22.07 Wakiso-Kampala'!L32,'23.07 Wakiso-Kampala'!L32,'24.07 Wakiso-Kampala'!L32,'25.07 Wakiso-Kampala'!L32,'26.07 Wakiso-Kampala-24h'!L32,'27.07 Wakiso-Kampala-24h'!L32,'28.07 Wakiso-Kampala'!L32)</f>
        <v>0.5714285714285714</v>
      </c>
      <c r="M32" s="49">
        <f>AVERAGE('22.07 Wakiso-Kampala'!M32,'23.07 Wakiso-Kampala'!M32,'24.07 Wakiso-Kampala'!M32,'25.07 Wakiso-Kampala'!M32,'26.07 Wakiso-Kampala-24h'!M32,'27.07 Wakiso-Kampala-24h'!M32,'28.07 Wakiso-Kampala'!M32)</f>
        <v>103.28571428571429</v>
      </c>
      <c r="N32" s="49">
        <f>AVERAGE('22.07 Wakiso-Kampala'!N32,'23.07 Wakiso-Kampala'!N32,'24.07 Wakiso-Kampala'!N32,'25.07 Wakiso-Kampala'!N32,'26.07 Wakiso-Kampala-24h'!N32,'27.07 Wakiso-Kampala-24h'!N32,'28.07 Wakiso-Kampala'!N32)</f>
        <v>0</v>
      </c>
      <c r="O32" s="15">
        <f t="shared" si="0"/>
        <v>131.57142857142861</v>
      </c>
      <c r="P32" s="15">
        <f t="shared" si="1"/>
        <v>234.85714285714289</v>
      </c>
      <c r="R32" s="1" t="s">
        <v>156</v>
      </c>
      <c r="S32" s="34">
        <f>SUM(C98:C101)</f>
        <v>53.5</v>
      </c>
      <c r="T32" s="34">
        <f t="shared" ref="T32:AF32" si="24">SUM(D98:D101)</f>
        <v>18</v>
      </c>
      <c r="U32" s="34">
        <f t="shared" si="24"/>
        <v>5</v>
      </c>
      <c r="V32" s="34">
        <f t="shared" si="24"/>
        <v>95.5</v>
      </c>
      <c r="W32" s="34">
        <f t="shared" si="24"/>
        <v>3.5</v>
      </c>
      <c r="X32" s="34">
        <f t="shared" si="24"/>
        <v>1</v>
      </c>
      <c r="Y32" s="34">
        <f t="shared" si="24"/>
        <v>31</v>
      </c>
      <c r="Z32" s="34">
        <f t="shared" si="24"/>
        <v>3.5</v>
      </c>
      <c r="AA32" s="34">
        <f t="shared" si="24"/>
        <v>13.5</v>
      </c>
      <c r="AB32" s="34">
        <f t="shared" si="24"/>
        <v>1.5</v>
      </c>
      <c r="AC32" s="34">
        <f t="shared" si="24"/>
        <v>107</v>
      </c>
      <c r="AD32" s="34">
        <f t="shared" si="24"/>
        <v>0</v>
      </c>
      <c r="AE32" s="31">
        <f t="shared" si="24"/>
        <v>226</v>
      </c>
      <c r="AF32" s="31">
        <f t="shared" si="24"/>
        <v>333</v>
      </c>
    </row>
    <row r="33" spans="2:32" ht="23.1" customHeight="1" x14ac:dyDescent="0.25">
      <c r="B33" s="23" t="s">
        <v>60</v>
      </c>
      <c r="C33" s="49">
        <f>AVERAGE('22.07 Wakiso-Kampala'!C33,'23.07 Wakiso-Kampala'!C33,'24.07 Wakiso-Kampala'!C33,'25.07 Wakiso-Kampala'!C33,'26.07 Wakiso-Kampala-24h'!C33,'27.07 Wakiso-Kampala-24h'!C33,'28.07 Wakiso-Kampala'!C33)</f>
        <v>40</v>
      </c>
      <c r="D33" s="49">
        <f>AVERAGE('22.07 Wakiso-Kampala'!D33,'23.07 Wakiso-Kampala'!D33,'24.07 Wakiso-Kampala'!D33,'25.07 Wakiso-Kampala'!D33,'26.07 Wakiso-Kampala-24h'!D33,'27.07 Wakiso-Kampala-24h'!D33,'28.07 Wakiso-Kampala'!D33)</f>
        <v>16.571428571428573</v>
      </c>
      <c r="E33" s="49">
        <f>AVERAGE('22.07 Wakiso-Kampala'!E33,'23.07 Wakiso-Kampala'!E33,'24.07 Wakiso-Kampala'!E33,'25.07 Wakiso-Kampala'!E33,'26.07 Wakiso-Kampala-24h'!E33,'27.07 Wakiso-Kampala-24h'!E33,'28.07 Wakiso-Kampala'!E33)</f>
        <v>4.7142857142857144</v>
      </c>
      <c r="F33" s="49">
        <f>AVERAGE('22.07 Wakiso-Kampala'!F33,'23.07 Wakiso-Kampala'!F33,'24.07 Wakiso-Kampala'!F33,'25.07 Wakiso-Kampala'!F33,'26.07 Wakiso-Kampala-24h'!F33,'27.07 Wakiso-Kampala-24h'!F33,'28.07 Wakiso-Kampala'!F33)</f>
        <v>48.857142857142854</v>
      </c>
      <c r="G33" s="49">
        <f>AVERAGE('22.07 Wakiso-Kampala'!G33,'23.07 Wakiso-Kampala'!G33,'24.07 Wakiso-Kampala'!G33,'25.07 Wakiso-Kampala'!G33,'26.07 Wakiso-Kampala-24h'!G33,'27.07 Wakiso-Kampala-24h'!G33,'28.07 Wakiso-Kampala'!G33)</f>
        <v>0.2857142857142857</v>
      </c>
      <c r="H33" s="49">
        <f>AVERAGE('22.07 Wakiso-Kampala'!H33,'23.07 Wakiso-Kampala'!H33,'24.07 Wakiso-Kampala'!H33,'25.07 Wakiso-Kampala'!H33,'26.07 Wakiso-Kampala-24h'!H33,'27.07 Wakiso-Kampala-24h'!H33,'28.07 Wakiso-Kampala'!H33)</f>
        <v>0</v>
      </c>
      <c r="I33" s="49">
        <f>AVERAGE('22.07 Wakiso-Kampala'!I33,'23.07 Wakiso-Kampala'!I33,'24.07 Wakiso-Kampala'!I33,'25.07 Wakiso-Kampala'!I33,'26.07 Wakiso-Kampala-24h'!I33,'27.07 Wakiso-Kampala-24h'!I33,'28.07 Wakiso-Kampala'!I33)</f>
        <v>8.5714285714285712</v>
      </c>
      <c r="J33" s="49">
        <f>AVERAGE('22.07 Wakiso-Kampala'!J33,'23.07 Wakiso-Kampala'!J33,'24.07 Wakiso-Kampala'!J33,'25.07 Wakiso-Kampala'!J33,'26.07 Wakiso-Kampala-24h'!J33,'27.07 Wakiso-Kampala-24h'!J33,'28.07 Wakiso-Kampala'!J33)</f>
        <v>2.7142857142857144</v>
      </c>
      <c r="K33" s="49">
        <f>AVERAGE('22.07 Wakiso-Kampala'!K33,'23.07 Wakiso-Kampala'!K33,'24.07 Wakiso-Kampala'!K33,'25.07 Wakiso-Kampala'!K33,'26.07 Wakiso-Kampala-24h'!K33,'27.07 Wakiso-Kampala-24h'!K33,'28.07 Wakiso-Kampala'!K33)</f>
        <v>0.42857142857142855</v>
      </c>
      <c r="L33" s="49">
        <f>AVERAGE('22.07 Wakiso-Kampala'!L33,'23.07 Wakiso-Kampala'!L33,'24.07 Wakiso-Kampala'!L33,'25.07 Wakiso-Kampala'!L33,'26.07 Wakiso-Kampala-24h'!L33,'27.07 Wakiso-Kampala-24h'!L33,'28.07 Wakiso-Kampala'!L33)</f>
        <v>0.8571428571428571</v>
      </c>
      <c r="M33" s="49">
        <f>AVERAGE('22.07 Wakiso-Kampala'!M33,'23.07 Wakiso-Kampala'!M33,'24.07 Wakiso-Kampala'!M33,'25.07 Wakiso-Kampala'!M33,'26.07 Wakiso-Kampala-24h'!M33,'27.07 Wakiso-Kampala-24h'!M33,'28.07 Wakiso-Kampala'!M33)</f>
        <v>66.285714285714292</v>
      </c>
      <c r="N33" s="49">
        <f>AVERAGE('22.07 Wakiso-Kampala'!N33,'23.07 Wakiso-Kampala'!N33,'24.07 Wakiso-Kampala'!N33,'25.07 Wakiso-Kampala'!N33,'26.07 Wakiso-Kampala-24h'!N33,'27.07 Wakiso-Kampala-24h'!N33,'28.07 Wakiso-Kampala'!N33)</f>
        <v>0</v>
      </c>
      <c r="O33" s="15">
        <f t="shared" si="0"/>
        <v>123</v>
      </c>
      <c r="P33" s="15">
        <f t="shared" si="1"/>
        <v>189.28571428571428</v>
      </c>
      <c r="R33" s="1" t="s">
        <v>157</v>
      </c>
      <c r="S33" s="34">
        <f>SUM(C102:C105)</f>
        <v>97.5</v>
      </c>
      <c r="T33" s="34">
        <f t="shared" ref="T33:AF33" si="25">SUM(D102:D105)</f>
        <v>27</v>
      </c>
      <c r="U33" s="34">
        <f t="shared" si="25"/>
        <v>12.5</v>
      </c>
      <c r="V33" s="34">
        <f t="shared" si="25"/>
        <v>231</v>
      </c>
      <c r="W33" s="34">
        <f t="shared" si="25"/>
        <v>3</v>
      </c>
      <c r="X33" s="34">
        <f t="shared" si="25"/>
        <v>0.5</v>
      </c>
      <c r="Y33" s="34">
        <f t="shared" si="25"/>
        <v>24</v>
      </c>
      <c r="Z33" s="34">
        <f t="shared" si="25"/>
        <v>2</v>
      </c>
      <c r="AA33" s="34">
        <f t="shared" si="25"/>
        <v>2.5</v>
      </c>
      <c r="AB33" s="34">
        <f t="shared" si="25"/>
        <v>0</v>
      </c>
      <c r="AC33" s="34">
        <f t="shared" si="25"/>
        <v>178.5</v>
      </c>
      <c r="AD33" s="34">
        <f t="shared" si="25"/>
        <v>0</v>
      </c>
      <c r="AE33" s="31">
        <f t="shared" si="25"/>
        <v>400</v>
      </c>
      <c r="AF33" s="31">
        <f t="shared" si="25"/>
        <v>578.5</v>
      </c>
    </row>
    <row r="34" spans="2:32" ht="23.1" customHeight="1" x14ac:dyDescent="0.25">
      <c r="B34" s="24" t="s">
        <v>61</v>
      </c>
      <c r="C34" s="49">
        <f>AVERAGE('22.07 Wakiso-Kampala'!C34,'23.07 Wakiso-Kampala'!C34,'24.07 Wakiso-Kampala'!C34,'25.07 Wakiso-Kampala'!C34,'26.07 Wakiso-Kampala-24h'!C34,'27.07 Wakiso-Kampala-24h'!C34,'28.07 Wakiso-Kampala'!C34)</f>
        <v>52.428571428571431</v>
      </c>
      <c r="D34" s="49">
        <f>AVERAGE('22.07 Wakiso-Kampala'!D34,'23.07 Wakiso-Kampala'!D34,'24.07 Wakiso-Kampala'!D34,'25.07 Wakiso-Kampala'!D34,'26.07 Wakiso-Kampala-24h'!D34,'27.07 Wakiso-Kampala-24h'!D34,'28.07 Wakiso-Kampala'!D34)</f>
        <v>17.428571428571427</v>
      </c>
      <c r="E34" s="49">
        <f>AVERAGE('22.07 Wakiso-Kampala'!E34,'23.07 Wakiso-Kampala'!E34,'24.07 Wakiso-Kampala'!E34,'25.07 Wakiso-Kampala'!E34,'26.07 Wakiso-Kampala-24h'!E34,'27.07 Wakiso-Kampala-24h'!E34,'28.07 Wakiso-Kampala'!E34)</f>
        <v>8.2857142857142865</v>
      </c>
      <c r="F34" s="49">
        <f>AVERAGE('22.07 Wakiso-Kampala'!F34,'23.07 Wakiso-Kampala'!F34,'24.07 Wakiso-Kampala'!F34,'25.07 Wakiso-Kampala'!F34,'26.07 Wakiso-Kampala-24h'!F34,'27.07 Wakiso-Kampala-24h'!F34,'28.07 Wakiso-Kampala'!F34)</f>
        <v>56.571428571428569</v>
      </c>
      <c r="G34" s="49">
        <f>AVERAGE('22.07 Wakiso-Kampala'!G34,'23.07 Wakiso-Kampala'!G34,'24.07 Wakiso-Kampala'!G34,'25.07 Wakiso-Kampala'!G34,'26.07 Wakiso-Kampala-24h'!G34,'27.07 Wakiso-Kampala-24h'!G34,'28.07 Wakiso-Kampala'!G34)</f>
        <v>0.5714285714285714</v>
      </c>
      <c r="H34" s="49">
        <f>AVERAGE('22.07 Wakiso-Kampala'!H34,'23.07 Wakiso-Kampala'!H34,'24.07 Wakiso-Kampala'!H34,'25.07 Wakiso-Kampala'!H34,'26.07 Wakiso-Kampala-24h'!H34,'27.07 Wakiso-Kampala-24h'!H34,'28.07 Wakiso-Kampala'!H34)</f>
        <v>1.1428571428571428</v>
      </c>
      <c r="I34" s="49">
        <f>AVERAGE('22.07 Wakiso-Kampala'!I34,'23.07 Wakiso-Kampala'!I34,'24.07 Wakiso-Kampala'!I34,'25.07 Wakiso-Kampala'!I34,'26.07 Wakiso-Kampala-24h'!I34,'27.07 Wakiso-Kampala-24h'!I34,'28.07 Wakiso-Kampala'!I34)</f>
        <v>10.857142857142858</v>
      </c>
      <c r="J34" s="49">
        <f>AVERAGE('22.07 Wakiso-Kampala'!J34,'23.07 Wakiso-Kampala'!J34,'24.07 Wakiso-Kampala'!J34,'25.07 Wakiso-Kampala'!J34,'26.07 Wakiso-Kampala-24h'!J34,'27.07 Wakiso-Kampala-24h'!J34,'28.07 Wakiso-Kampala'!J34)</f>
        <v>3.1428571428571428</v>
      </c>
      <c r="K34" s="49">
        <f>AVERAGE('22.07 Wakiso-Kampala'!K34,'23.07 Wakiso-Kampala'!K34,'24.07 Wakiso-Kampala'!K34,'25.07 Wakiso-Kampala'!K34,'26.07 Wakiso-Kampala-24h'!K34,'27.07 Wakiso-Kampala-24h'!K34,'28.07 Wakiso-Kampala'!K34)</f>
        <v>1.1428571428571428</v>
      </c>
      <c r="L34" s="49">
        <f>AVERAGE('22.07 Wakiso-Kampala'!L34,'23.07 Wakiso-Kampala'!L34,'24.07 Wakiso-Kampala'!L34,'25.07 Wakiso-Kampala'!L34,'26.07 Wakiso-Kampala-24h'!L34,'27.07 Wakiso-Kampala-24h'!L34,'28.07 Wakiso-Kampala'!L34)</f>
        <v>0.42857142857142855</v>
      </c>
      <c r="M34" s="49">
        <f>AVERAGE('22.07 Wakiso-Kampala'!M34,'23.07 Wakiso-Kampala'!M34,'24.07 Wakiso-Kampala'!M34,'25.07 Wakiso-Kampala'!M34,'26.07 Wakiso-Kampala-24h'!M34,'27.07 Wakiso-Kampala-24h'!M34,'28.07 Wakiso-Kampala'!M34)</f>
        <v>89.857142857142861</v>
      </c>
      <c r="N34" s="49">
        <f>AVERAGE('22.07 Wakiso-Kampala'!N34,'23.07 Wakiso-Kampala'!N34,'24.07 Wakiso-Kampala'!N34,'25.07 Wakiso-Kampala'!N34,'26.07 Wakiso-Kampala-24h'!N34,'27.07 Wakiso-Kampala-24h'!N34,'28.07 Wakiso-Kampala'!N34)</f>
        <v>0</v>
      </c>
      <c r="O34" s="15">
        <f t="shared" si="0"/>
        <v>152</v>
      </c>
      <c r="P34" s="15">
        <f t="shared" si="1"/>
        <v>241.85714285714286</v>
      </c>
      <c r="R34" s="52" t="s">
        <v>90</v>
      </c>
      <c r="S34" s="53">
        <f t="shared" ref="S34:AF34" si="26">MAX(S10:S12)</f>
        <v>294.57142857142861</v>
      </c>
      <c r="T34" s="53">
        <f t="shared" si="26"/>
        <v>119.71428571428569</v>
      </c>
      <c r="U34" s="53">
        <f t="shared" si="26"/>
        <v>55.428571428571431</v>
      </c>
      <c r="V34" s="53">
        <f t="shared" si="26"/>
        <v>332.85714285714289</v>
      </c>
      <c r="W34" s="53">
        <f t="shared" si="26"/>
        <v>19.571428571428573</v>
      </c>
      <c r="X34" s="53">
        <f t="shared" si="26"/>
        <v>3.5714285714285712</v>
      </c>
      <c r="Y34" s="53">
        <f t="shared" si="26"/>
        <v>37.428571428571423</v>
      </c>
      <c r="Z34" s="53">
        <f t="shared" si="26"/>
        <v>14.428571428571429</v>
      </c>
      <c r="AA34" s="53">
        <f t="shared" si="26"/>
        <v>2.7142857142857144</v>
      </c>
      <c r="AB34" s="53">
        <f t="shared" si="26"/>
        <v>2.2857142857142856</v>
      </c>
      <c r="AC34" s="53">
        <f t="shared" si="26"/>
        <v>657.14285714285711</v>
      </c>
      <c r="AD34" s="53">
        <f t="shared" si="26"/>
        <v>0</v>
      </c>
      <c r="AE34" s="40">
        <f t="shared" si="26"/>
        <v>844.42857142857133</v>
      </c>
      <c r="AF34" s="40">
        <f t="shared" si="26"/>
        <v>1433.4285714285711</v>
      </c>
    </row>
    <row r="35" spans="2:32" ht="23.1" customHeight="1" x14ac:dyDescent="0.25">
      <c r="B35" s="24" t="s">
        <v>62</v>
      </c>
      <c r="C35" s="49">
        <f>AVERAGE('22.07 Wakiso-Kampala'!C35,'23.07 Wakiso-Kampala'!C35,'24.07 Wakiso-Kampala'!C35,'25.07 Wakiso-Kampala'!C35,'26.07 Wakiso-Kampala-24h'!C35,'27.07 Wakiso-Kampala-24h'!C35,'28.07 Wakiso-Kampala'!C35)</f>
        <v>40.571428571428569</v>
      </c>
      <c r="D35" s="49">
        <f>AVERAGE('22.07 Wakiso-Kampala'!D35,'23.07 Wakiso-Kampala'!D35,'24.07 Wakiso-Kampala'!D35,'25.07 Wakiso-Kampala'!D35,'26.07 Wakiso-Kampala-24h'!D35,'27.07 Wakiso-Kampala-24h'!D35,'28.07 Wakiso-Kampala'!D35)</f>
        <v>20</v>
      </c>
      <c r="E35" s="49">
        <f>AVERAGE('22.07 Wakiso-Kampala'!E35,'23.07 Wakiso-Kampala'!E35,'24.07 Wakiso-Kampala'!E35,'25.07 Wakiso-Kampala'!E35,'26.07 Wakiso-Kampala-24h'!E35,'27.07 Wakiso-Kampala-24h'!E35,'28.07 Wakiso-Kampala'!E35)</f>
        <v>5.7142857142857144</v>
      </c>
      <c r="F35" s="49">
        <f>AVERAGE('22.07 Wakiso-Kampala'!F35,'23.07 Wakiso-Kampala'!F35,'24.07 Wakiso-Kampala'!F35,'25.07 Wakiso-Kampala'!F35,'26.07 Wakiso-Kampala-24h'!F35,'27.07 Wakiso-Kampala-24h'!F35,'28.07 Wakiso-Kampala'!F35)</f>
        <v>41.714285714285715</v>
      </c>
      <c r="G35" s="49">
        <f>AVERAGE('22.07 Wakiso-Kampala'!G35,'23.07 Wakiso-Kampala'!G35,'24.07 Wakiso-Kampala'!G35,'25.07 Wakiso-Kampala'!G35,'26.07 Wakiso-Kampala-24h'!G35,'27.07 Wakiso-Kampala-24h'!G35,'28.07 Wakiso-Kampala'!G35)</f>
        <v>0.14285714285714285</v>
      </c>
      <c r="H35" s="49">
        <f>AVERAGE('22.07 Wakiso-Kampala'!H35,'23.07 Wakiso-Kampala'!H35,'24.07 Wakiso-Kampala'!H35,'25.07 Wakiso-Kampala'!H35,'26.07 Wakiso-Kampala-24h'!H35,'27.07 Wakiso-Kampala-24h'!H35,'28.07 Wakiso-Kampala'!H35)</f>
        <v>1.4285714285714286</v>
      </c>
      <c r="I35" s="49">
        <f>AVERAGE('22.07 Wakiso-Kampala'!I35,'23.07 Wakiso-Kampala'!I35,'24.07 Wakiso-Kampala'!I35,'25.07 Wakiso-Kampala'!I35,'26.07 Wakiso-Kampala-24h'!I35,'27.07 Wakiso-Kampala-24h'!I35,'28.07 Wakiso-Kampala'!I35)</f>
        <v>8.4285714285714288</v>
      </c>
      <c r="J35" s="49">
        <f>AVERAGE('22.07 Wakiso-Kampala'!J35,'23.07 Wakiso-Kampala'!J35,'24.07 Wakiso-Kampala'!J35,'25.07 Wakiso-Kampala'!J35,'26.07 Wakiso-Kampala-24h'!J35,'27.07 Wakiso-Kampala-24h'!J35,'28.07 Wakiso-Kampala'!J35)</f>
        <v>2.2857142857142856</v>
      </c>
      <c r="K35" s="49">
        <f>AVERAGE('22.07 Wakiso-Kampala'!K35,'23.07 Wakiso-Kampala'!K35,'24.07 Wakiso-Kampala'!K35,'25.07 Wakiso-Kampala'!K35,'26.07 Wakiso-Kampala-24h'!K35,'27.07 Wakiso-Kampala-24h'!K35,'28.07 Wakiso-Kampala'!K35)</f>
        <v>0.2857142857142857</v>
      </c>
      <c r="L35" s="49">
        <f>AVERAGE('22.07 Wakiso-Kampala'!L35,'23.07 Wakiso-Kampala'!L35,'24.07 Wakiso-Kampala'!L35,'25.07 Wakiso-Kampala'!L35,'26.07 Wakiso-Kampala-24h'!L35,'27.07 Wakiso-Kampala-24h'!L35,'28.07 Wakiso-Kampala'!L35)</f>
        <v>1.1428571428571428</v>
      </c>
      <c r="M35" s="49">
        <f>AVERAGE('22.07 Wakiso-Kampala'!M35,'23.07 Wakiso-Kampala'!M35,'24.07 Wakiso-Kampala'!M35,'25.07 Wakiso-Kampala'!M35,'26.07 Wakiso-Kampala-24h'!M35,'27.07 Wakiso-Kampala-24h'!M35,'28.07 Wakiso-Kampala'!M35)</f>
        <v>84.571428571428569</v>
      </c>
      <c r="N35" s="49">
        <f>AVERAGE('22.07 Wakiso-Kampala'!N35,'23.07 Wakiso-Kampala'!N35,'24.07 Wakiso-Kampala'!N35,'25.07 Wakiso-Kampala'!N35,'26.07 Wakiso-Kampala-24h'!N35,'27.07 Wakiso-Kampala-24h'!N35,'28.07 Wakiso-Kampala'!N35)</f>
        <v>0</v>
      </c>
      <c r="O35" s="15">
        <f t="shared" si="0"/>
        <v>121.71428571428572</v>
      </c>
      <c r="P35" s="15">
        <f t="shared" si="1"/>
        <v>206.28571428571428</v>
      </c>
      <c r="R35" s="52" t="s">
        <v>91</v>
      </c>
      <c r="S35" s="53">
        <f t="shared" ref="S35:AF35" si="27">MAX(S13:S18)</f>
        <v>243.42857142857142</v>
      </c>
      <c r="T35" s="53">
        <f t="shared" si="27"/>
        <v>108.71428571428572</v>
      </c>
      <c r="U35" s="53">
        <f t="shared" si="27"/>
        <v>37.142857142857139</v>
      </c>
      <c r="V35" s="53">
        <f t="shared" si="27"/>
        <v>255.71428571428572</v>
      </c>
      <c r="W35" s="53">
        <f t="shared" si="27"/>
        <v>5.1428571428571432</v>
      </c>
      <c r="X35" s="53">
        <f t="shared" si="27"/>
        <v>3.5714285714285712</v>
      </c>
      <c r="Y35" s="53">
        <f t="shared" si="27"/>
        <v>37.428571428571431</v>
      </c>
      <c r="Z35" s="53">
        <f t="shared" si="27"/>
        <v>13.571428571428571</v>
      </c>
      <c r="AA35" s="53">
        <f t="shared" si="27"/>
        <v>3.7142857142857144</v>
      </c>
      <c r="AB35" s="53">
        <f t="shared" si="27"/>
        <v>3.8571428571428572</v>
      </c>
      <c r="AC35" s="53">
        <f t="shared" si="27"/>
        <v>482.71428571428572</v>
      </c>
      <c r="AD35" s="53">
        <f t="shared" si="27"/>
        <v>0.14285714285714285</v>
      </c>
      <c r="AE35" s="40">
        <f t="shared" si="27"/>
        <v>705.57142857142856</v>
      </c>
      <c r="AF35" s="40">
        <f t="shared" si="27"/>
        <v>1188.2857142857142</v>
      </c>
    </row>
    <row r="36" spans="2:32" ht="23.1" customHeight="1" x14ac:dyDescent="0.25">
      <c r="B36" s="24" t="s">
        <v>63</v>
      </c>
      <c r="C36" s="49">
        <f>AVERAGE('22.07 Wakiso-Kampala'!C36,'23.07 Wakiso-Kampala'!C36,'24.07 Wakiso-Kampala'!C36,'25.07 Wakiso-Kampala'!C36,'26.07 Wakiso-Kampala-24h'!C36,'27.07 Wakiso-Kampala-24h'!C36,'28.07 Wakiso-Kampala'!C36)</f>
        <v>48.285714285714285</v>
      </c>
      <c r="D36" s="49">
        <f>AVERAGE('22.07 Wakiso-Kampala'!D36,'23.07 Wakiso-Kampala'!D36,'24.07 Wakiso-Kampala'!D36,'25.07 Wakiso-Kampala'!D36,'26.07 Wakiso-Kampala-24h'!D36,'27.07 Wakiso-Kampala-24h'!D36,'28.07 Wakiso-Kampala'!D36)</f>
        <v>18.571428571428573</v>
      </c>
      <c r="E36" s="49">
        <f>AVERAGE('22.07 Wakiso-Kampala'!E36,'23.07 Wakiso-Kampala'!E36,'24.07 Wakiso-Kampala'!E36,'25.07 Wakiso-Kampala'!E36,'26.07 Wakiso-Kampala-24h'!E36,'27.07 Wakiso-Kampala-24h'!E36,'28.07 Wakiso-Kampala'!E36)</f>
        <v>8</v>
      </c>
      <c r="F36" s="49">
        <f>AVERAGE('22.07 Wakiso-Kampala'!F36,'23.07 Wakiso-Kampala'!F36,'24.07 Wakiso-Kampala'!F36,'25.07 Wakiso-Kampala'!F36,'26.07 Wakiso-Kampala-24h'!F36,'27.07 Wakiso-Kampala-24h'!F36,'28.07 Wakiso-Kampala'!F36)</f>
        <v>51</v>
      </c>
      <c r="G36" s="49">
        <f>AVERAGE('22.07 Wakiso-Kampala'!G36,'23.07 Wakiso-Kampala'!G36,'24.07 Wakiso-Kampala'!G36,'25.07 Wakiso-Kampala'!G36,'26.07 Wakiso-Kampala-24h'!G36,'27.07 Wakiso-Kampala-24h'!G36,'28.07 Wakiso-Kampala'!G36)</f>
        <v>0.8571428571428571</v>
      </c>
      <c r="H36" s="49">
        <f>AVERAGE('22.07 Wakiso-Kampala'!H36,'23.07 Wakiso-Kampala'!H36,'24.07 Wakiso-Kampala'!H36,'25.07 Wakiso-Kampala'!H36,'26.07 Wakiso-Kampala-24h'!H36,'27.07 Wakiso-Kampala-24h'!H36,'28.07 Wakiso-Kampala'!H36)</f>
        <v>0.7142857142857143</v>
      </c>
      <c r="I36" s="49">
        <f>AVERAGE('22.07 Wakiso-Kampala'!I36,'23.07 Wakiso-Kampala'!I36,'24.07 Wakiso-Kampala'!I36,'25.07 Wakiso-Kampala'!I36,'26.07 Wakiso-Kampala-24h'!I36,'27.07 Wakiso-Kampala-24h'!I36,'28.07 Wakiso-Kampala'!I36)</f>
        <v>8.5714285714285712</v>
      </c>
      <c r="J36" s="49">
        <f>AVERAGE('22.07 Wakiso-Kampala'!J36,'23.07 Wakiso-Kampala'!J36,'24.07 Wakiso-Kampala'!J36,'25.07 Wakiso-Kampala'!J36,'26.07 Wakiso-Kampala-24h'!J36,'27.07 Wakiso-Kampala-24h'!J36,'28.07 Wakiso-Kampala'!J36)</f>
        <v>3.1428571428571428</v>
      </c>
      <c r="K36" s="49">
        <f>AVERAGE('22.07 Wakiso-Kampala'!K36,'23.07 Wakiso-Kampala'!K36,'24.07 Wakiso-Kampala'!K36,'25.07 Wakiso-Kampala'!K36,'26.07 Wakiso-Kampala-24h'!K36,'27.07 Wakiso-Kampala-24h'!K36,'28.07 Wakiso-Kampala'!K36)</f>
        <v>0.8571428571428571</v>
      </c>
      <c r="L36" s="49">
        <f>AVERAGE('22.07 Wakiso-Kampala'!L36,'23.07 Wakiso-Kampala'!L36,'24.07 Wakiso-Kampala'!L36,'25.07 Wakiso-Kampala'!L36,'26.07 Wakiso-Kampala-24h'!L36,'27.07 Wakiso-Kampala-24h'!L36,'28.07 Wakiso-Kampala'!L36)</f>
        <v>1.2857142857142858</v>
      </c>
      <c r="M36" s="49">
        <f>AVERAGE('22.07 Wakiso-Kampala'!M36,'23.07 Wakiso-Kampala'!M36,'24.07 Wakiso-Kampala'!M36,'25.07 Wakiso-Kampala'!M36,'26.07 Wakiso-Kampala-24h'!M36,'27.07 Wakiso-Kampala-24h'!M36,'28.07 Wakiso-Kampala'!M36)</f>
        <v>87.714285714285708</v>
      </c>
      <c r="N36" s="49">
        <f>AVERAGE('22.07 Wakiso-Kampala'!N36,'23.07 Wakiso-Kampala'!N36,'24.07 Wakiso-Kampala'!N36,'25.07 Wakiso-Kampala'!N36,'26.07 Wakiso-Kampala-24h'!N36,'27.07 Wakiso-Kampala-24h'!N36,'28.07 Wakiso-Kampala'!N36)</f>
        <v>0</v>
      </c>
      <c r="O36" s="15">
        <f t="shared" si="0"/>
        <v>141.28571428571428</v>
      </c>
      <c r="P36" s="15">
        <f t="shared" si="1"/>
        <v>229</v>
      </c>
      <c r="R36" s="52" t="s">
        <v>92</v>
      </c>
      <c r="S36" s="53">
        <f t="shared" ref="S36:AF36" si="28">MAX(S19:S21)</f>
        <v>178</v>
      </c>
      <c r="T36" s="53">
        <f t="shared" si="28"/>
        <v>85.714285714285708</v>
      </c>
      <c r="U36" s="53">
        <f t="shared" si="28"/>
        <v>34.571428571428577</v>
      </c>
      <c r="V36" s="53">
        <f t="shared" si="28"/>
        <v>221.28571428571431</v>
      </c>
      <c r="W36" s="53">
        <f t="shared" si="28"/>
        <v>6.1428571428571432</v>
      </c>
      <c r="X36" s="53">
        <f t="shared" si="28"/>
        <v>2.1428571428571428</v>
      </c>
      <c r="Y36" s="53">
        <f t="shared" si="28"/>
        <v>33.285714285714285</v>
      </c>
      <c r="Z36" s="53">
        <f t="shared" si="28"/>
        <v>8.7142857142857135</v>
      </c>
      <c r="AA36" s="53">
        <f t="shared" si="28"/>
        <v>4.2857142857142856</v>
      </c>
      <c r="AB36" s="53">
        <f t="shared" si="28"/>
        <v>5</v>
      </c>
      <c r="AC36" s="53">
        <f t="shared" si="28"/>
        <v>392.14285714285717</v>
      </c>
      <c r="AD36" s="53">
        <f t="shared" si="28"/>
        <v>0</v>
      </c>
      <c r="AE36" s="40">
        <f t="shared" si="28"/>
        <v>552.85714285714289</v>
      </c>
      <c r="AF36" s="40">
        <f t="shared" si="28"/>
        <v>934.42857142857133</v>
      </c>
    </row>
    <row r="37" spans="2:32" ht="23.1" customHeight="1" x14ac:dyDescent="0.25">
      <c r="B37" s="23" t="s">
        <v>64</v>
      </c>
      <c r="C37" s="49">
        <f>AVERAGE('22.07 Wakiso-Kampala'!C37,'23.07 Wakiso-Kampala'!C37,'24.07 Wakiso-Kampala'!C37,'25.07 Wakiso-Kampala'!C37,'26.07 Wakiso-Kampala-24h'!C37,'27.07 Wakiso-Kampala-24h'!C37,'28.07 Wakiso-Kampala'!C37)</f>
        <v>35.571428571428569</v>
      </c>
      <c r="D37" s="49">
        <f>AVERAGE('22.07 Wakiso-Kampala'!D37,'23.07 Wakiso-Kampala'!D37,'24.07 Wakiso-Kampala'!D37,'25.07 Wakiso-Kampala'!D37,'26.07 Wakiso-Kampala-24h'!D37,'27.07 Wakiso-Kampala-24h'!D37,'28.07 Wakiso-Kampala'!D37)</f>
        <v>21.142857142857142</v>
      </c>
      <c r="E37" s="49">
        <f>AVERAGE('22.07 Wakiso-Kampala'!E37,'23.07 Wakiso-Kampala'!E37,'24.07 Wakiso-Kampala'!E37,'25.07 Wakiso-Kampala'!E37,'26.07 Wakiso-Kampala-24h'!E37,'27.07 Wakiso-Kampala-24h'!E37,'28.07 Wakiso-Kampala'!E37)</f>
        <v>5.4285714285714288</v>
      </c>
      <c r="F37" s="49">
        <f>AVERAGE('22.07 Wakiso-Kampala'!F37,'23.07 Wakiso-Kampala'!F37,'24.07 Wakiso-Kampala'!F37,'25.07 Wakiso-Kampala'!F37,'26.07 Wakiso-Kampala-24h'!F37,'27.07 Wakiso-Kampala-24h'!F37,'28.07 Wakiso-Kampala'!F37)</f>
        <v>36.428571428571431</v>
      </c>
      <c r="G37" s="49">
        <f>AVERAGE('22.07 Wakiso-Kampala'!G37,'23.07 Wakiso-Kampala'!G37,'24.07 Wakiso-Kampala'!G37,'25.07 Wakiso-Kampala'!G37,'26.07 Wakiso-Kampala-24h'!G37,'27.07 Wakiso-Kampala-24h'!G37,'28.07 Wakiso-Kampala'!G37)</f>
        <v>0</v>
      </c>
      <c r="H37" s="49">
        <f>AVERAGE('22.07 Wakiso-Kampala'!H37,'23.07 Wakiso-Kampala'!H37,'24.07 Wakiso-Kampala'!H37,'25.07 Wakiso-Kampala'!H37,'26.07 Wakiso-Kampala-24h'!H37,'27.07 Wakiso-Kampala-24h'!H37,'28.07 Wakiso-Kampala'!H37)</f>
        <v>0.2857142857142857</v>
      </c>
      <c r="I37" s="49">
        <f>AVERAGE('22.07 Wakiso-Kampala'!I37,'23.07 Wakiso-Kampala'!I37,'24.07 Wakiso-Kampala'!I37,'25.07 Wakiso-Kampala'!I37,'26.07 Wakiso-Kampala-24h'!I37,'27.07 Wakiso-Kampala-24h'!I37,'28.07 Wakiso-Kampala'!I37)</f>
        <v>7.4285714285714288</v>
      </c>
      <c r="J37" s="49">
        <f>AVERAGE('22.07 Wakiso-Kampala'!J37,'23.07 Wakiso-Kampala'!J37,'24.07 Wakiso-Kampala'!J37,'25.07 Wakiso-Kampala'!J37,'26.07 Wakiso-Kampala-24h'!J37,'27.07 Wakiso-Kampala-24h'!J37,'28.07 Wakiso-Kampala'!J37)</f>
        <v>2.2857142857142856</v>
      </c>
      <c r="K37" s="49">
        <f>AVERAGE('22.07 Wakiso-Kampala'!K37,'23.07 Wakiso-Kampala'!K37,'24.07 Wakiso-Kampala'!K37,'25.07 Wakiso-Kampala'!K37,'26.07 Wakiso-Kampala-24h'!K37,'27.07 Wakiso-Kampala-24h'!K37,'28.07 Wakiso-Kampala'!K37)</f>
        <v>0.2857142857142857</v>
      </c>
      <c r="L37" s="49">
        <f>AVERAGE('22.07 Wakiso-Kampala'!L37,'23.07 Wakiso-Kampala'!L37,'24.07 Wakiso-Kampala'!L37,'25.07 Wakiso-Kampala'!L37,'26.07 Wakiso-Kampala-24h'!L37,'27.07 Wakiso-Kampala-24h'!L37,'28.07 Wakiso-Kampala'!L37)</f>
        <v>0.7142857142857143</v>
      </c>
      <c r="M37" s="49">
        <f>AVERAGE('22.07 Wakiso-Kampala'!M37,'23.07 Wakiso-Kampala'!M37,'24.07 Wakiso-Kampala'!M37,'25.07 Wakiso-Kampala'!M37,'26.07 Wakiso-Kampala-24h'!M37,'27.07 Wakiso-Kampala-24h'!M37,'28.07 Wakiso-Kampala'!M37)</f>
        <v>76.285714285714292</v>
      </c>
      <c r="N37" s="49">
        <f>AVERAGE('22.07 Wakiso-Kampala'!N37,'23.07 Wakiso-Kampala'!N37,'24.07 Wakiso-Kampala'!N37,'25.07 Wakiso-Kampala'!N37,'26.07 Wakiso-Kampala-24h'!N37,'27.07 Wakiso-Kampala-24h'!N37,'28.07 Wakiso-Kampala'!N37)</f>
        <v>0</v>
      </c>
      <c r="O37" s="15">
        <f t="shared" si="0"/>
        <v>109.57142857142858</v>
      </c>
      <c r="P37" s="15">
        <f t="shared" si="1"/>
        <v>185.85714285714289</v>
      </c>
      <c r="R37" s="37" t="s">
        <v>85</v>
      </c>
      <c r="S37" s="35">
        <f t="shared" ref="S37:AF37" si="29">SUM(S10:S12)</f>
        <v>844.42857142857144</v>
      </c>
      <c r="T37" s="16">
        <f t="shared" si="29"/>
        <v>324.14285714285711</v>
      </c>
      <c r="U37" s="16">
        <f t="shared" si="29"/>
        <v>151.57142857142856</v>
      </c>
      <c r="V37" s="16">
        <f t="shared" si="29"/>
        <v>886.14285714285722</v>
      </c>
      <c r="W37" s="16">
        <f t="shared" si="29"/>
        <v>30.857142857142858</v>
      </c>
      <c r="X37" s="16">
        <f t="shared" si="29"/>
        <v>7.2857142857142856</v>
      </c>
      <c r="Y37" s="16">
        <f t="shared" si="29"/>
        <v>106.14285714285714</v>
      </c>
      <c r="Z37" s="16">
        <f t="shared" si="29"/>
        <v>31</v>
      </c>
      <c r="AA37" s="16">
        <f t="shared" si="29"/>
        <v>6.2857142857142856</v>
      </c>
      <c r="AB37" s="16">
        <f t="shared" si="29"/>
        <v>4.4285714285714288</v>
      </c>
      <c r="AC37" s="16">
        <f t="shared" si="29"/>
        <v>1792.4285714285713</v>
      </c>
      <c r="AD37" s="16">
        <f t="shared" si="29"/>
        <v>0</v>
      </c>
      <c r="AE37" s="32">
        <f t="shared" si="29"/>
        <v>2392.2857142857142</v>
      </c>
      <c r="AF37" s="32">
        <f t="shared" si="29"/>
        <v>4184.7142857142853</v>
      </c>
    </row>
    <row r="38" spans="2:32" ht="23.1" customHeight="1" x14ac:dyDescent="0.25">
      <c r="B38" s="24" t="s">
        <v>65</v>
      </c>
      <c r="C38" s="49">
        <f>AVERAGE('22.07 Wakiso-Kampala'!C38,'23.07 Wakiso-Kampala'!C38,'24.07 Wakiso-Kampala'!C38,'25.07 Wakiso-Kampala'!C38,'26.07 Wakiso-Kampala-24h'!C38,'27.07 Wakiso-Kampala-24h'!C38,'28.07 Wakiso-Kampala'!C38)</f>
        <v>43.571428571428569</v>
      </c>
      <c r="D38" s="49">
        <f>AVERAGE('22.07 Wakiso-Kampala'!D38,'23.07 Wakiso-Kampala'!D38,'24.07 Wakiso-Kampala'!D38,'25.07 Wakiso-Kampala'!D38,'26.07 Wakiso-Kampala-24h'!D38,'27.07 Wakiso-Kampala-24h'!D38,'28.07 Wakiso-Kampala'!D38)</f>
        <v>19.142857142857142</v>
      </c>
      <c r="E38" s="49">
        <f>AVERAGE('22.07 Wakiso-Kampala'!E38,'23.07 Wakiso-Kampala'!E38,'24.07 Wakiso-Kampala'!E38,'25.07 Wakiso-Kampala'!E38,'26.07 Wakiso-Kampala-24h'!E38,'27.07 Wakiso-Kampala-24h'!E38,'28.07 Wakiso-Kampala'!E38)</f>
        <v>6</v>
      </c>
      <c r="F38" s="49">
        <f>AVERAGE('22.07 Wakiso-Kampala'!F38,'23.07 Wakiso-Kampala'!F38,'24.07 Wakiso-Kampala'!F38,'25.07 Wakiso-Kampala'!F38,'26.07 Wakiso-Kampala-24h'!F38,'27.07 Wakiso-Kampala-24h'!F38,'28.07 Wakiso-Kampala'!F38)</f>
        <v>48.857142857142854</v>
      </c>
      <c r="G38" s="49">
        <f>AVERAGE('22.07 Wakiso-Kampala'!G38,'23.07 Wakiso-Kampala'!G38,'24.07 Wakiso-Kampala'!G38,'25.07 Wakiso-Kampala'!G38,'26.07 Wakiso-Kampala-24h'!G38,'27.07 Wakiso-Kampala-24h'!G38,'28.07 Wakiso-Kampala'!G38)</f>
        <v>0.5714285714285714</v>
      </c>
      <c r="H38" s="49">
        <f>AVERAGE('22.07 Wakiso-Kampala'!H38,'23.07 Wakiso-Kampala'!H38,'24.07 Wakiso-Kampala'!H38,'25.07 Wakiso-Kampala'!H38,'26.07 Wakiso-Kampala-24h'!H38,'27.07 Wakiso-Kampala-24h'!H38,'28.07 Wakiso-Kampala'!H38)</f>
        <v>0.2857142857142857</v>
      </c>
      <c r="I38" s="49">
        <f>AVERAGE('22.07 Wakiso-Kampala'!I38,'23.07 Wakiso-Kampala'!I38,'24.07 Wakiso-Kampala'!I38,'25.07 Wakiso-Kampala'!I38,'26.07 Wakiso-Kampala-24h'!I38,'27.07 Wakiso-Kampala-24h'!I38,'28.07 Wakiso-Kampala'!I38)</f>
        <v>11</v>
      </c>
      <c r="J38" s="49">
        <f>AVERAGE('22.07 Wakiso-Kampala'!J38,'23.07 Wakiso-Kampala'!J38,'24.07 Wakiso-Kampala'!J38,'25.07 Wakiso-Kampala'!J38,'26.07 Wakiso-Kampala-24h'!J38,'27.07 Wakiso-Kampala-24h'!J38,'28.07 Wakiso-Kampala'!J38)</f>
        <v>3.5714285714285716</v>
      </c>
      <c r="K38" s="49">
        <f>AVERAGE('22.07 Wakiso-Kampala'!K38,'23.07 Wakiso-Kampala'!K38,'24.07 Wakiso-Kampala'!K38,'25.07 Wakiso-Kampala'!K38,'26.07 Wakiso-Kampala-24h'!K38,'27.07 Wakiso-Kampala-24h'!K38,'28.07 Wakiso-Kampala'!K38)</f>
        <v>1</v>
      </c>
      <c r="L38" s="49">
        <f>AVERAGE('22.07 Wakiso-Kampala'!L38,'23.07 Wakiso-Kampala'!L38,'24.07 Wakiso-Kampala'!L38,'25.07 Wakiso-Kampala'!L38,'26.07 Wakiso-Kampala-24h'!L38,'27.07 Wakiso-Kampala-24h'!L38,'28.07 Wakiso-Kampala'!L38)</f>
        <v>1</v>
      </c>
      <c r="M38" s="49">
        <f>AVERAGE('22.07 Wakiso-Kampala'!M38,'23.07 Wakiso-Kampala'!M38,'24.07 Wakiso-Kampala'!M38,'25.07 Wakiso-Kampala'!M38,'26.07 Wakiso-Kampala-24h'!M38,'27.07 Wakiso-Kampala-24h'!M38,'28.07 Wakiso-Kampala'!M38)</f>
        <v>74.428571428571431</v>
      </c>
      <c r="N38" s="49">
        <f>AVERAGE('22.07 Wakiso-Kampala'!N38,'23.07 Wakiso-Kampala'!N38,'24.07 Wakiso-Kampala'!N38,'25.07 Wakiso-Kampala'!N38,'26.07 Wakiso-Kampala-24h'!N38,'27.07 Wakiso-Kampala-24h'!N38,'28.07 Wakiso-Kampala'!N38)</f>
        <v>0</v>
      </c>
      <c r="O38" s="15">
        <f t="shared" si="0"/>
        <v>135</v>
      </c>
      <c r="P38" s="15">
        <f t="shared" si="1"/>
        <v>209.42857142857144</v>
      </c>
      <c r="R38" s="28" t="s">
        <v>86</v>
      </c>
      <c r="S38" s="16">
        <f t="shared" ref="S38:AF38" si="30">SUM(S13:S18)</f>
        <v>1116.1428571428569</v>
      </c>
      <c r="T38" s="16">
        <f t="shared" si="30"/>
        <v>487.71428571428567</v>
      </c>
      <c r="U38" s="16">
        <f t="shared" si="30"/>
        <v>190.28571428571433</v>
      </c>
      <c r="V38" s="16">
        <f t="shared" si="30"/>
        <v>1217.1428571428571</v>
      </c>
      <c r="W38" s="16">
        <f t="shared" si="30"/>
        <v>13.571428571428569</v>
      </c>
      <c r="X38" s="16">
        <f t="shared" si="30"/>
        <v>8.5714285714285712</v>
      </c>
      <c r="Y38" s="16">
        <f t="shared" si="30"/>
        <v>203.28571428571433</v>
      </c>
      <c r="Z38" s="16">
        <f t="shared" si="30"/>
        <v>70.857142857142861</v>
      </c>
      <c r="AA38" s="16">
        <f t="shared" si="30"/>
        <v>15</v>
      </c>
      <c r="AB38" s="16">
        <f t="shared" si="30"/>
        <v>17.714285714285715</v>
      </c>
      <c r="AC38" s="16">
        <f t="shared" si="30"/>
        <v>2174</v>
      </c>
      <c r="AD38" s="16">
        <f t="shared" si="30"/>
        <v>0.14285714285714285</v>
      </c>
      <c r="AE38" s="32">
        <f t="shared" si="30"/>
        <v>3340.4285714285711</v>
      </c>
      <c r="AF38" s="32">
        <f t="shared" si="30"/>
        <v>5514.4285714285716</v>
      </c>
    </row>
    <row r="39" spans="2:32" ht="23.1" customHeight="1" x14ac:dyDescent="0.25">
      <c r="B39" s="24" t="s">
        <v>66</v>
      </c>
      <c r="C39" s="49">
        <f>AVERAGE('22.07 Wakiso-Kampala'!C39,'23.07 Wakiso-Kampala'!C39,'24.07 Wakiso-Kampala'!C39,'25.07 Wakiso-Kampala'!C39,'26.07 Wakiso-Kampala-24h'!C39,'27.07 Wakiso-Kampala-24h'!C39,'28.07 Wakiso-Kampala'!C39)</f>
        <v>29.857142857142858</v>
      </c>
      <c r="D39" s="49">
        <f>AVERAGE('22.07 Wakiso-Kampala'!D39,'23.07 Wakiso-Kampala'!D39,'24.07 Wakiso-Kampala'!D39,'25.07 Wakiso-Kampala'!D39,'26.07 Wakiso-Kampala-24h'!D39,'27.07 Wakiso-Kampala-24h'!D39,'28.07 Wakiso-Kampala'!D39)</f>
        <v>19.714285714285715</v>
      </c>
      <c r="E39" s="49">
        <f>AVERAGE('22.07 Wakiso-Kampala'!E39,'23.07 Wakiso-Kampala'!E39,'24.07 Wakiso-Kampala'!E39,'25.07 Wakiso-Kampala'!E39,'26.07 Wakiso-Kampala-24h'!E39,'27.07 Wakiso-Kampala-24h'!E39,'28.07 Wakiso-Kampala'!E39)</f>
        <v>6.5714285714285712</v>
      </c>
      <c r="F39" s="49">
        <f>AVERAGE('22.07 Wakiso-Kampala'!F39,'23.07 Wakiso-Kampala'!F39,'24.07 Wakiso-Kampala'!F39,'25.07 Wakiso-Kampala'!F39,'26.07 Wakiso-Kampala-24h'!F39,'27.07 Wakiso-Kampala-24h'!F39,'28.07 Wakiso-Kampala'!F39)</f>
        <v>41.571428571428569</v>
      </c>
      <c r="G39" s="49">
        <f>AVERAGE('22.07 Wakiso-Kampala'!G39,'23.07 Wakiso-Kampala'!G39,'24.07 Wakiso-Kampala'!G39,'25.07 Wakiso-Kampala'!G39,'26.07 Wakiso-Kampala-24h'!G39,'27.07 Wakiso-Kampala-24h'!G39,'28.07 Wakiso-Kampala'!G39)</f>
        <v>0.42857142857142855</v>
      </c>
      <c r="H39" s="49">
        <f>AVERAGE('22.07 Wakiso-Kampala'!H39,'23.07 Wakiso-Kampala'!H39,'24.07 Wakiso-Kampala'!H39,'25.07 Wakiso-Kampala'!H39,'26.07 Wakiso-Kampala-24h'!H39,'27.07 Wakiso-Kampala-24h'!H39,'28.07 Wakiso-Kampala'!H39)</f>
        <v>0</v>
      </c>
      <c r="I39" s="49">
        <f>AVERAGE('22.07 Wakiso-Kampala'!I39,'23.07 Wakiso-Kampala'!I39,'24.07 Wakiso-Kampala'!I39,'25.07 Wakiso-Kampala'!I39,'26.07 Wakiso-Kampala-24h'!I39,'27.07 Wakiso-Kampala-24h'!I39,'28.07 Wakiso-Kampala'!I39)</f>
        <v>7.5714285714285712</v>
      </c>
      <c r="J39" s="49">
        <f>AVERAGE('22.07 Wakiso-Kampala'!J39,'23.07 Wakiso-Kampala'!J39,'24.07 Wakiso-Kampala'!J39,'25.07 Wakiso-Kampala'!J39,'26.07 Wakiso-Kampala-24h'!J39,'27.07 Wakiso-Kampala-24h'!J39,'28.07 Wakiso-Kampala'!J39)</f>
        <v>2.7142857142857144</v>
      </c>
      <c r="K39" s="49">
        <f>AVERAGE('22.07 Wakiso-Kampala'!K39,'23.07 Wakiso-Kampala'!K39,'24.07 Wakiso-Kampala'!K39,'25.07 Wakiso-Kampala'!K39,'26.07 Wakiso-Kampala-24h'!K39,'27.07 Wakiso-Kampala-24h'!K39,'28.07 Wakiso-Kampala'!K39)</f>
        <v>0.42857142857142855</v>
      </c>
      <c r="L39" s="49">
        <f>AVERAGE('22.07 Wakiso-Kampala'!L39,'23.07 Wakiso-Kampala'!L39,'24.07 Wakiso-Kampala'!L39,'25.07 Wakiso-Kampala'!L39,'26.07 Wakiso-Kampala-24h'!L39,'27.07 Wakiso-Kampala-24h'!L39,'28.07 Wakiso-Kampala'!L39)</f>
        <v>0.7142857142857143</v>
      </c>
      <c r="M39" s="49">
        <f>AVERAGE('22.07 Wakiso-Kampala'!M39,'23.07 Wakiso-Kampala'!M39,'24.07 Wakiso-Kampala'!M39,'25.07 Wakiso-Kampala'!M39,'26.07 Wakiso-Kampala-24h'!M39,'27.07 Wakiso-Kampala-24h'!M39,'28.07 Wakiso-Kampala'!M39)</f>
        <v>75.714285714285708</v>
      </c>
      <c r="N39" s="49">
        <f>AVERAGE('22.07 Wakiso-Kampala'!N39,'23.07 Wakiso-Kampala'!N39,'24.07 Wakiso-Kampala'!N39,'25.07 Wakiso-Kampala'!N39,'26.07 Wakiso-Kampala-24h'!N39,'27.07 Wakiso-Kampala-24h'!N39,'28.07 Wakiso-Kampala'!N39)</f>
        <v>0</v>
      </c>
      <c r="O39" s="15">
        <f t="shared" si="0"/>
        <v>109.57142857142856</v>
      </c>
      <c r="P39" s="15">
        <f t="shared" si="1"/>
        <v>185.28571428571428</v>
      </c>
      <c r="R39" s="29" t="s">
        <v>87</v>
      </c>
      <c r="S39" s="16">
        <f t="shared" ref="S39:AF39" si="31">SUM(S19:S21)</f>
        <v>517.71428571428567</v>
      </c>
      <c r="T39" s="16">
        <f t="shared" si="31"/>
        <v>229.14285714285717</v>
      </c>
      <c r="U39" s="16">
        <f t="shared" si="31"/>
        <v>89</v>
      </c>
      <c r="V39" s="16">
        <f t="shared" si="31"/>
        <v>629</v>
      </c>
      <c r="W39" s="16">
        <f t="shared" si="31"/>
        <v>12.714285714285715</v>
      </c>
      <c r="X39" s="16">
        <f t="shared" si="31"/>
        <v>3</v>
      </c>
      <c r="Y39" s="16">
        <f t="shared" si="31"/>
        <v>92.857142857142861</v>
      </c>
      <c r="Z39" s="16">
        <f t="shared" si="31"/>
        <v>20.714285714285715</v>
      </c>
      <c r="AA39" s="16">
        <f t="shared" si="31"/>
        <v>8.5714285714285712</v>
      </c>
      <c r="AB39" s="16">
        <f t="shared" si="31"/>
        <v>11.857142857142858</v>
      </c>
      <c r="AC39" s="16">
        <f t="shared" si="31"/>
        <v>1072.8571428571429</v>
      </c>
      <c r="AD39" s="16">
        <f t="shared" si="31"/>
        <v>0</v>
      </c>
      <c r="AE39" s="32">
        <f t="shared" si="31"/>
        <v>1614.5714285714284</v>
      </c>
      <c r="AF39" s="32">
        <f t="shared" si="31"/>
        <v>2687.4285714285716</v>
      </c>
    </row>
    <row r="40" spans="2:32" ht="23.1" customHeight="1" x14ac:dyDescent="0.25">
      <c r="B40" s="24" t="s">
        <v>67</v>
      </c>
      <c r="C40" s="49">
        <f>AVERAGE('22.07 Wakiso-Kampala'!C40,'23.07 Wakiso-Kampala'!C40,'24.07 Wakiso-Kampala'!C40,'25.07 Wakiso-Kampala'!C40,'26.07 Wakiso-Kampala-24h'!C40,'27.07 Wakiso-Kampala-24h'!C40,'28.07 Wakiso-Kampala'!C40)</f>
        <v>44.571428571428569</v>
      </c>
      <c r="D40" s="49">
        <f>AVERAGE('22.07 Wakiso-Kampala'!D40,'23.07 Wakiso-Kampala'!D40,'24.07 Wakiso-Kampala'!D40,'25.07 Wakiso-Kampala'!D40,'26.07 Wakiso-Kampala-24h'!D40,'27.07 Wakiso-Kampala-24h'!D40,'28.07 Wakiso-Kampala'!D40)</f>
        <v>18.714285714285715</v>
      </c>
      <c r="E40" s="49">
        <f>AVERAGE('22.07 Wakiso-Kampala'!E40,'23.07 Wakiso-Kampala'!E40,'24.07 Wakiso-Kampala'!E40,'25.07 Wakiso-Kampala'!E40,'26.07 Wakiso-Kampala-24h'!E40,'27.07 Wakiso-Kampala-24h'!E40,'28.07 Wakiso-Kampala'!E40)</f>
        <v>7.1428571428571432</v>
      </c>
      <c r="F40" s="49">
        <f>AVERAGE('22.07 Wakiso-Kampala'!F40,'23.07 Wakiso-Kampala'!F40,'24.07 Wakiso-Kampala'!F40,'25.07 Wakiso-Kampala'!F40,'26.07 Wakiso-Kampala-24h'!F40,'27.07 Wakiso-Kampala-24h'!F40,'28.07 Wakiso-Kampala'!F40)</f>
        <v>48.714285714285715</v>
      </c>
      <c r="G40" s="49">
        <f>AVERAGE('22.07 Wakiso-Kampala'!G40,'23.07 Wakiso-Kampala'!G40,'24.07 Wakiso-Kampala'!G40,'25.07 Wakiso-Kampala'!G40,'26.07 Wakiso-Kampala-24h'!G40,'27.07 Wakiso-Kampala-24h'!G40,'28.07 Wakiso-Kampala'!G40)</f>
        <v>0.14285714285714285</v>
      </c>
      <c r="H40" s="49">
        <f>AVERAGE('22.07 Wakiso-Kampala'!H40,'23.07 Wakiso-Kampala'!H40,'24.07 Wakiso-Kampala'!H40,'25.07 Wakiso-Kampala'!H40,'26.07 Wakiso-Kampala-24h'!H40,'27.07 Wakiso-Kampala-24h'!H40,'28.07 Wakiso-Kampala'!H40)</f>
        <v>0</v>
      </c>
      <c r="I40" s="49">
        <f>AVERAGE('22.07 Wakiso-Kampala'!I40,'23.07 Wakiso-Kampala'!I40,'24.07 Wakiso-Kampala'!I40,'25.07 Wakiso-Kampala'!I40,'26.07 Wakiso-Kampala-24h'!I40,'27.07 Wakiso-Kampala-24h'!I40,'28.07 Wakiso-Kampala'!I40)</f>
        <v>8.7142857142857135</v>
      </c>
      <c r="J40" s="49">
        <f>AVERAGE('22.07 Wakiso-Kampala'!J40,'23.07 Wakiso-Kampala'!J40,'24.07 Wakiso-Kampala'!J40,'25.07 Wakiso-Kampala'!J40,'26.07 Wakiso-Kampala-24h'!J40,'27.07 Wakiso-Kampala-24h'!J40,'28.07 Wakiso-Kampala'!J40)</f>
        <v>3</v>
      </c>
      <c r="K40" s="49">
        <f>AVERAGE('22.07 Wakiso-Kampala'!K40,'23.07 Wakiso-Kampala'!K40,'24.07 Wakiso-Kampala'!K40,'25.07 Wakiso-Kampala'!K40,'26.07 Wakiso-Kampala-24h'!K40,'27.07 Wakiso-Kampala-24h'!K40,'28.07 Wakiso-Kampala'!K40)</f>
        <v>0.42857142857142855</v>
      </c>
      <c r="L40" s="49">
        <f>AVERAGE('22.07 Wakiso-Kampala'!L40,'23.07 Wakiso-Kampala'!L40,'24.07 Wakiso-Kampala'!L40,'25.07 Wakiso-Kampala'!L40,'26.07 Wakiso-Kampala-24h'!L40,'27.07 Wakiso-Kampala-24h'!L40,'28.07 Wakiso-Kampala'!L40)</f>
        <v>0.2857142857142857</v>
      </c>
      <c r="M40" s="49">
        <f>AVERAGE('22.07 Wakiso-Kampala'!M40,'23.07 Wakiso-Kampala'!M40,'24.07 Wakiso-Kampala'!M40,'25.07 Wakiso-Kampala'!M40,'26.07 Wakiso-Kampala-24h'!M40,'27.07 Wakiso-Kampala-24h'!M40,'28.07 Wakiso-Kampala'!M40)</f>
        <v>67</v>
      </c>
      <c r="N40" s="49">
        <f>AVERAGE('22.07 Wakiso-Kampala'!N40,'23.07 Wakiso-Kampala'!N40,'24.07 Wakiso-Kampala'!N40,'25.07 Wakiso-Kampala'!N40,'26.07 Wakiso-Kampala-24h'!N40,'27.07 Wakiso-Kampala-24h'!N40,'28.07 Wakiso-Kampala'!N40)</f>
        <v>0</v>
      </c>
      <c r="O40" s="15">
        <f t="shared" si="0"/>
        <v>131.71428571428569</v>
      </c>
      <c r="P40" s="15">
        <f t="shared" si="1"/>
        <v>198.71428571428569</v>
      </c>
      <c r="R40" s="5" t="s">
        <v>17</v>
      </c>
      <c r="S40" s="16">
        <f t="shared" ref="S40:AF40" si="32">SUM(S10:S21)</f>
        <v>2478.2857142857142</v>
      </c>
      <c r="T40" s="16">
        <f t="shared" si="32"/>
        <v>1041</v>
      </c>
      <c r="U40" s="16">
        <f t="shared" si="32"/>
        <v>430.85714285714289</v>
      </c>
      <c r="V40" s="16">
        <f t="shared" si="32"/>
        <v>2732.2857142857142</v>
      </c>
      <c r="W40" s="16">
        <f t="shared" si="32"/>
        <v>57.142857142857146</v>
      </c>
      <c r="X40" s="16">
        <f t="shared" si="32"/>
        <v>18.857142857142854</v>
      </c>
      <c r="Y40" s="16">
        <f t="shared" si="32"/>
        <v>402.28571428571428</v>
      </c>
      <c r="Z40" s="16">
        <f t="shared" si="32"/>
        <v>122.57142857142857</v>
      </c>
      <c r="AA40" s="16">
        <f t="shared" si="32"/>
        <v>29.857142857142858</v>
      </c>
      <c r="AB40" s="16">
        <f t="shared" si="32"/>
        <v>34</v>
      </c>
      <c r="AC40" s="16">
        <f t="shared" si="32"/>
        <v>5039.2857142857138</v>
      </c>
      <c r="AD40" s="16">
        <f t="shared" si="32"/>
        <v>0.14285714285714285</v>
      </c>
      <c r="AE40" s="32">
        <f t="shared" si="32"/>
        <v>7347.2857142857147</v>
      </c>
      <c r="AF40" s="32">
        <f t="shared" si="32"/>
        <v>12386.571428571428</v>
      </c>
    </row>
    <row r="41" spans="2:32" ht="23.1" customHeight="1" x14ac:dyDescent="0.25">
      <c r="B41" s="23" t="s">
        <v>68</v>
      </c>
      <c r="C41" s="49">
        <f>AVERAGE('22.07 Wakiso-Kampala'!C41,'23.07 Wakiso-Kampala'!C41,'24.07 Wakiso-Kampala'!C41,'25.07 Wakiso-Kampala'!C41,'26.07 Wakiso-Kampala-24h'!C41,'27.07 Wakiso-Kampala-24h'!C41,'28.07 Wakiso-Kampala'!C41)</f>
        <v>39.142857142857146</v>
      </c>
      <c r="D41" s="49">
        <f>AVERAGE('22.07 Wakiso-Kampala'!D41,'23.07 Wakiso-Kampala'!D41,'24.07 Wakiso-Kampala'!D41,'25.07 Wakiso-Kampala'!D41,'26.07 Wakiso-Kampala-24h'!D41,'27.07 Wakiso-Kampala-24h'!D41,'28.07 Wakiso-Kampala'!D41)</f>
        <v>15.714285714285714</v>
      </c>
      <c r="E41" s="49">
        <f>AVERAGE('22.07 Wakiso-Kampala'!E41,'23.07 Wakiso-Kampala'!E41,'24.07 Wakiso-Kampala'!E41,'25.07 Wakiso-Kampala'!E41,'26.07 Wakiso-Kampala-24h'!E41,'27.07 Wakiso-Kampala-24h'!E41,'28.07 Wakiso-Kampala'!E41)</f>
        <v>9</v>
      </c>
      <c r="F41" s="49">
        <f>AVERAGE('22.07 Wakiso-Kampala'!F41,'23.07 Wakiso-Kampala'!F41,'24.07 Wakiso-Kampala'!F41,'25.07 Wakiso-Kampala'!F41,'26.07 Wakiso-Kampala-24h'!F41,'27.07 Wakiso-Kampala-24h'!F41,'28.07 Wakiso-Kampala'!F41)</f>
        <v>47</v>
      </c>
      <c r="G41" s="49">
        <f>AVERAGE('22.07 Wakiso-Kampala'!G41,'23.07 Wakiso-Kampala'!G41,'24.07 Wakiso-Kampala'!G41,'25.07 Wakiso-Kampala'!G41,'26.07 Wakiso-Kampala-24h'!G41,'27.07 Wakiso-Kampala-24h'!G41,'28.07 Wakiso-Kampala'!G41)</f>
        <v>0.42857142857142855</v>
      </c>
      <c r="H41" s="49">
        <f>AVERAGE('22.07 Wakiso-Kampala'!H41,'23.07 Wakiso-Kampala'!H41,'24.07 Wakiso-Kampala'!H41,'25.07 Wakiso-Kampala'!H41,'26.07 Wakiso-Kampala-24h'!H41,'27.07 Wakiso-Kampala-24h'!H41,'28.07 Wakiso-Kampala'!H41)</f>
        <v>0.14285714285714285</v>
      </c>
      <c r="I41" s="49">
        <f>AVERAGE('22.07 Wakiso-Kampala'!I41,'23.07 Wakiso-Kampala'!I41,'24.07 Wakiso-Kampala'!I41,'25.07 Wakiso-Kampala'!I41,'26.07 Wakiso-Kampala-24h'!I41,'27.07 Wakiso-Kampala-24h'!I41,'28.07 Wakiso-Kampala'!I41)</f>
        <v>10.142857142857142</v>
      </c>
      <c r="J41" s="49">
        <f>AVERAGE('22.07 Wakiso-Kampala'!J41,'23.07 Wakiso-Kampala'!J41,'24.07 Wakiso-Kampala'!J41,'25.07 Wakiso-Kampala'!J41,'26.07 Wakiso-Kampala-24h'!J41,'27.07 Wakiso-Kampala-24h'!J41,'28.07 Wakiso-Kampala'!J41)</f>
        <v>3</v>
      </c>
      <c r="K41" s="49">
        <f>AVERAGE('22.07 Wakiso-Kampala'!K41,'23.07 Wakiso-Kampala'!K41,'24.07 Wakiso-Kampala'!K41,'25.07 Wakiso-Kampala'!K41,'26.07 Wakiso-Kampala-24h'!K41,'27.07 Wakiso-Kampala-24h'!K41,'28.07 Wakiso-Kampala'!K41)</f>
        <v>0.42857142857142855</v>
      </c>
      <c r="L41" s="49">
        <f>AVERAGE('22.07 Wakiso-Kampala'!L41,'23.07 Wakiso-Kampala'!L41,'24.07 Wakiso-Kampala'!L41,'25.07 Wakiso-Kampala'!L41,'26.07 Wakiso-Kampala-24h'!L41,'27.07 Wakiso-Kampala-24h'!L41,'28.07 Wakiso-Kampala'!L41)</f>
        <v>0.14285714285714285</v>
      </c>
      <c r="M41" s="49">
        <f>AVERAGE('22.07 Wakiso-Kampala'!M41,'23.07 Wakiso-Kampala'!M41,'24.07 Wakiso-Kampala'!M41,'25.07 Wakiso-Kampala'!M41,'26.07 Wakiso-Kampala-24h'!M41,'27.07 Wakiso-Kampala-24h'!M41,'28.07 Wakiso-Kampala'!M41)</f>
        <v>76.714285714285708</v>
      </c>
      <c r="N41" s="49">
        <f>AVERAGE('22.07 Wakiso-Kampala'!N41,'23.07 Wakiso-Kampala'!N41,'24.07 Wakiso-Kampala'!N41,'25.07 Wakiso-Kampala'!N41,'26.07 Wakiso-Kampala-24h'!N41,'27.07 Wakiso-Kampala-24h'!N41,'28.07 Wakiso-Kampala'!N41)</f>
        <v>0</v>
      </c>
      <c r="O41" s="15">
        <f t="shared" si="0"/>
        <v>125.14285714285714</v>
      </c>
      <c r="P41" s="15">
        <f t="shared" si="1"/>
        <v>201.85714285714283</v>
      </c>
      <c r="R41" s="5" t="s">
        <v>178</v>
      </c>
      <c r="S41" s="16">
        <f>SUM(S10:S33)</f>
        <v>3609.2857142857142</v>
      </c>
      <c r="T41" s="16">
        <f t="shared" ref="T41:AD41" si="33">SUM(T10:T33)</f>
        <v>1425</v>
      </c>
      <c r="U41" s="16">
        <f t="shared" si="33"/>
        <v>605.85714285714289</v>
      </c>
      <c r="V41" s="16">
        <f t="shared" si="33"/>
        <v>3892.7857142857142</v>
      </c>
      <c r="W41" s="16">
        <f t="shared" si="33"/>
        <v>86.142857142857139</v>
      </c>
      <c r="X41" s="16">
        <f t="shared" si="33"/>
        <v>29.357142857142854</v>
      </c>
      <c r="Y41" s="16">
        <f t="shared" si="33"/>
        <v>656.28571428571422</v>
      </c>
      <c r="Z41" s="16">
        <f t="shared" si="33"/>
        <v>189.57142857142856</v>
      </c>
      <c r="AA41" s="16">
        <f t="shared" si="33"/>
        <v>75.357142857142861</v>
      </c>
      <c r="AB41" s="16">
        <f t="shared" si="33"/>
        <v>59.5</v>
      </c>
      <c r="AC41" s="16">
        <f t="shared" si="33"/>
        <v>7306.2857142857138</v>
      </c>
      <c r="AD41" s="16">
        <f t="shared" si="33"/>
        <v>0.14285714285714285</v>
      </c>
      <c r="AE41" s="32">
        <f>SUM(AE10:AE33)</f>
        <v>10629.285714285714</v>
      </c>
      <c r="AF41" s="32">
        <f>SUM(AF10:AF33)</f>
        <v>17935.571428571428</v>
      </c>
    </row>
    <row r="42" spans="2:32" ht="23.1" customHeight="1" x14ac:dyDescent="0.25">
      <c r="B42" s="24" t="s">
        <v>69</v>
      </c>
      <c r="C42" s="49">
        <f>AVERAGE('22.07 Wakiso-Kampala'!C42,'23.07 Wakiso-Kampala'!C42,'24.07 Wakiso-Kampala'!C42,'25.07 Wakiso-Kampala'!C42,'26.07 Wakiso-Kampala-24h'!C42,'27.07 Wakiso-Kampala-24h'!C42,'28.07 Wakiso-Kampala'!C42)</f>
        <v>34.142857142857146</v>
      </c>
      <c r="D42" s="49">
        <f>AVERAGE('22.07 Wakiso-Kampala'!D42,'23.07 Wakiso-Kampala'!D42,'24.07 Wakiso-Kampala'!D42,'25.07 Wakiso-Kampala'!D42,'26.07 Wakiso-Kampala-24h'!D42,'27.07 Wakiso-Kampala-24h'!D42,'28.07 Wakiso-Kampala'!D42)</f>
        <v>18.428571428571427</v>
      </c>
      <c r="E42" s="49">
        <f>AVERAGE('22.07 Wakiso-Kampala'!E42,'23.07 Wakiso-Kampala'!E42,'24.07 Wakiso-Kampala'!E42,'25.07 Wakiso-Kampala'!E42,'26.07 Wakiso-Kampala-24h'!E42,'27.07 Wakiso-Kampala-24h'!E42,'28.07 Wakiso-Kampala'!E42)</f>
        <v>7.5714285714285712</v>
      </c>
      <c r="F42" s="49">
        <f>AVERAGE('22.07 Wakiso-Kampala'!F42,'23.07 Wakiso-Kampala'!F42,'24.07 Wakiso-Kampala'!F42,'25.07 Wakiso-Kampala'!F42,'26.07 Wakiso-Kampala-24h'!F42,'27.07 Wakiso-Kampala-24h'!F42,'28.07 Wakiso-Kampala'!F42)</f>
        <v>52</v>
      </c>
      <c r="G42" s="49">
        <f>AVERAGE('22.07 Wakiso-Kampala'!G42,'23.07 Wakiso-Kampala'!G42,'24.07 Wakiso-Kampala'!G42,'25.07 Wakiso-Kampala'!G42,'26.07 Wakiso-Kampala-24h'!G42,'27.07 Wakiso-Kampala-24h'!G42,'28.07 Wakiso-Kampala'!G42)</f>
        <v>0.42857142857142855</v>
      </c>
      <c r="H42" s="49">
        <f>AVERAGE('22.07 Wakiso-Kampala'!H42,'23.07 Wakiso-Kampala'!H42,'24.07 Wakiso-Kampala'!H42,'25.07 Wakiso-Kampala'!H42,'26.07 Wakiso-Kampala-24h'!H42,'27.07 Wakiso-Kampala-24h'!H42,'28.07 Wakiso-Kampala'!H42)</f>
        <v>0.14285714285714285</v>
      </c>
      <c r="I42" s="49">
        <f>AVERAGE('22.07 Wakiso-Kampala'!I42,'23.07 Wakiso-Kampala'!I42,'24.07 Wakiso-Kampala'!I42,'25.07 Wakiso-Kampala'!I42,'26.07 Wakiso-Kampala-24h'!I42,'27.07 Wakiso-Kampala-24h'!I42,'28.07 Wakiso-Kampala'!I42)</f>
        <v>11</v>
      </c>
      <c r="J42" s="49">
        <f>AVERAGE('22.07 Wakiso-Kampala'!J42,'23.07 Wakiso-Kampala'!J42,'24.07 Wakiso-Kampala'!J42,'25.07 Wakiso-Kampala'!J42,'26.07 Wakiso-Kampala-24h'!J42,'27.07 Wakiso-Kampala-24h'!J42,'28.07 Wakiso-Kampala'!J42)</f>
        <v>2.4285714285714284</v>
      </c>
      <c r="K42" s="49">
        <f>AVERAGE('22.07 Wakiso-Kampala'!K42,'23.07 Wakiso-Kampala'!K42,'24.07 Wakiso-Kampala'!K42,'25.07 Wakiso-Kampala'!K42,'26.07 Wakiso-Kampala-24h'!K42,'27.07 Wakiso-Kampala-24h'!K42,'28.07 Wakiso-Kampala'!K42)</f>
        <v>1.1428571428571428</v>
      </c>
      <c r="L42" s="49">
        <f>AVERAGE('22.07 Wakiso-Kampala'!L42,'23.07 Wakiso-Kampala'!L42,'24.07 Wakiso-Kampala'!L42,'25.07 Wakiso-Kampala'!L42,'26.07 Wakiso-Kampala-24h'!L42,'27.07 Wakiso-Kampala-24h'!L42,'28.07 Wakiso-Kampala'!L42)</f>
        <v>0.8571428571428571</v>
      </c>
      <c r="M42" s="49">
        <f>AVERAGE('22.07 Wakiso-Kampala'!M42,'23.07 Wakiso-Kampala'!M42,'24.07 Wakiso-Kampala'!M42,'25.07 Wakiso-Kampala'!M42,'26.07 Wakiso-Kampala-24h'!M42,'27.07 Wakiso-Kampala-24h'!M42,'28.07 Wakiso-Kampala'!M42)</f>
        <v>69.571428571428569</v>
      </c>
      <c r="N42" s="49">
        <f>AVERAGE('22.07 Wakiso-Kampala'!N42,'23.07 Wakiso-Kampala'!N42,'24.07 Wakiso-Kampala'!N42,'25.07 Wakiso-Kampala'!N42,'26.07 Wakiso-Kampala-24h'!N42,'27.07 Wakiso-Kampala-24h'!N42,'28.07 Wakiso-Kampala'!N42)</f>
        <v>0</v>
      </c>
      <c r="O42" s="15">
        <f t="shared" si="0"/>
        <v>128.14285714285714</v>
      </c>
      <c r="P42" s="15">
        <f t="shared" si="1"/>
        <v>197.71428571428572</v>
      </c>
      <c r="R42" s="5" t="s">
        <v>160</v>
      </c>
      <c r="S42" s="48">
        <f>S41/S40</f>
        <v>1.4563638459764814</v>
      </c>
      <c r="T42" s="48">
        <f t="shared" ref="T42:AF42" si="34">T41/T40</f>
        <v>1.3688760806916427</v>
      </c>
      <c r="U42" s="48">
        <f t="shared" si="34"/>
        <v>1.4061671087533156</v>
      </c>
      <c r="V42" s="48">
        <f t="shared" si="34"/>
        <v>1.4247359615183519</v>
      </c>
      <c r="W42" s="48">
        <f t="shared" si="34"/>
        <v>1.5074999999999998</v>
      </c>
      <c r="X42" s="48">
        <f t="shared" si="34"/>
        <v>1.5568181818181819</v>
      </c>
      <c r="Y42" s="48">
        <f t="shared" si="34"/>
        <v>1.6313920454545454</v>
      </c>
      <c r="Z42" s="48">
        <f t="shared" si="34"/>
        <v>1.5466200466200466</v>
      </c>
      <c r="AA42" s="48">
        <f t="shared" si="34"/>
        <v>2.5239234449760768</v>
      </c>
      <c r="AB42" s="48">
        <f t="shared" si="34"/>
        <v>1.75</v>
      </c>
      <c r="AC42" s="48">
        <f t="shared" si="34"/>
        <v>1.4498653437278526</v>
      </c>
      <c r="AD42" s="48">
        <f t="shared" si="34"/>
        <v>1</v>
      </c>
      <c r="AE42" s="54">
        <f t="shared" si="34"/>
        <v>1.4466955727090665</v>
      </c>
      <c r="AF42" s="54">
        <f t="shared" si="34"/>
        <v>1.4479851452033308</v>
      </c>
    </row>
    <row r="43" spans="2:32" ht="23.1" customHeight="1" x14ac:dyDescent="0.25">
      <c r="B43" s="23" t="s">
        <v>70</v>
      </c>
      <c r="C43" s="49">
        <f>AVERAGE('22.07 Wakiso-Kampala'!C43,'23.07 Wakiso-Kampala'!C43,'24.07 Wakiso-Kampala'!C43,'25.07 Wakiso-Kampala'!C43,'26.07 Wakiso-Kampala-24h'!C43,'27.07 Wakiso-Kampala-24h'!C43,'28.07 Wakiso-Kampala'!C43)</f>
        <v>47.571428571428569</v>
      </c>
      <c r="D43" s="49">
        <f>AVERAGE('22.07 Wakiso-Kampala'!D43,'23.07 Wakiso-Kampala'!D43,'24.07 Wakiso-Kampala'!D43,'25.07 Wakiso-Kampala'!D43,'26.07 Wakiso-Kampala-24h'!D43,'27.07 Wakiso-Kampala-24h'!D43,'28.07 Wakiso-Kampala'!D43)</f>
        <v>19.428571428571427</v>
      </c>
      <c r="E43" s="49">
        <f>AVERAGE('22.07 Wakiso-Kampala'!E43,'23.07 Wakiso-Kampala'!E43,'24.07 Wakiso-Kampala'!E43,'25.07 Wakiso-Kampala'!E43,'26.07 Wakiso-Kampala-24h'!E43,'27.07 Wakiso-Kampala-24h'!E43,'28.07 Wakiso-Kampala'!E43)</f>
        <v>9.4285714285714288</v>
      </c>
      <c r="F43" s="49">
        <f>AVERAGE('22.07 Wakiso-Kampala'!F43,'23.07 Wakiso-Kampala'!F43,'24.07 Wakiso-Kampala'!F43,'25.07 Wakiso-Kampala'!F43,'26.07 Wakiso-Kampala-24h'!F43,'27.07 Wakiso-Kampala-24h'!F43,'28.07 Wakiso-Kampala'!F43)</f>
        <v>52.857142857142854</v>
      </c>
      <c r="G43" s="49">
        <f>AVERAGE('22.07 Wakiso-Kampala'!G43,'23.07 Wakiso-Kampala'!G43,'24.07 Wakiso-Kampala'!G43,'25.07 Wakiso-Kampala'!G43,'26.07 Wakiso-Kampala-24h'!G43,'27.07 Wakiso-Kampala-24h'!G43,'28.07 Wakiso-Kampala'!G43)</f>
        <v>0.5714285714285714</v>
      </c>
      <c r="H43" s="49">
        <f>AVERAGE('22.07 Wakiso-Kampala'!H43,'23.07 Wakiso-Kampala'!H43,'24.07 Wakiso-Kampala'!H43,'25.07 Wakiso-Kampala'!H43,'26.07 Wakiso-Kampala-24h'!H43,'27.07 Wakiso-Kampala-24h'!H43,'28.07 Wakiso-Kampala'!H43)</f>
        <v>0.42857142857142855</v>
      </c>
      <c r="I43" s="49">
        <f>AVERAGE('22.07 Wakiso-Kampala'!I43,'23.07 Wakiso-Kampala'!I43,'24.07 Wakiso-Kampala'!I43,'25.07 Wakiso-Kampala'!I43,'26.07 Wakiso-Kampala-24h'!I43,'27.07 Wakiso-Kampala-24h'!I43,'28.07 Wakiso-Kampala'!I43)</f>
        <v>8</v>
      </c>
      <c r="J43" s="49">
        <f>AVERAGE('22.07 Wakiso-Kampala'!J43,'23.07 Wakiso-Kampala'!J43,'24.07 Wakiso-Kampala'!J43,'25.07 Wakiso-Kampala'!J43,'26.07 Wakiso-Kampala-24h'!J43,'27.07 Wakiso-Kampala-24h'!J43,'28.07 Wakiso-Kampala'!J43)</f>
        <v>5.1428571428571432</v>
      </c>
      <c r="K43" s="49">
        <f>AVERAGE('22.07 Wakiso-Kampala'!K43,'23.07 Wakiso-Kampala'!K43,'24.07 Wakiso-Kampala'!K43,'25.07 Wakiso-Kampala'!K43,'26.07 Wakiso-Kampala-24h'!K43,'27.07 Wakiso-Kampala-24h'!K43,'28.07 Wakiso-Kampala'!K43)</f>
        <v>0.14285714285714285</v>
      </c>
      <c r="L43" s="49">
        <f>AVERAGE('22.07 Wakiso-Kampala'!L43,'23.07 Wakiso-Kampala'!L43,'24.07 Wakiso-Kampala'!L43,'25.07 Wakiso-Kampala'!L43,'26.07 Wakiso-Kampala-24h'!L43,'27.07 Wakiso-Kampala-24h'!L43,'28.07 Wakiso-Kampala'!L43)</f>
        <v>0.14285714285714285</v>
      </c>
      <c r="M43" s="49">
        <f>AVERAGE('22.07 Wakiso-Kampala'!M43,'23.07 Wakiso-Kampala'!M43,'24.07 Wakiso-Kampala'!M43,'25.07 Wakiso-Kampala'!M43,'26.07 Wakiso-Kampala-24h'!M43,'27.07 Wakiso-Kampala-24h'!M43,'28.07 Wakiso-Kampala'!M43)</f>
        <v>76.428571428571431</v>
      </c>
      <c r="N43" s="49">
        <f>AVERAGE('22.07 Wakiso-Kampala'!N43,'23.07 Wakiso-Kampala'!N43,'24.07 Wakiso-Kampala'!N43,'25.07 Wakiso-Kampala'!N43,'26.07 Wakiso-Kampala-24h'!N43,'27.07 Wakiso-Kampala-24h'!N43,'28.07 Wakiso-Kampala'!N43)</f>
        <v>0</v>
      </c>
      <c r="O43" s="15">
        <f t="shared" si="0"/>
        <v>143.71428571428569</v>
      </c>
      <c r="P43" s="15">
        <f t="shared" si="1"/>
        <v>220.14285714285711</v>
      </c>
    </row>
    <row r="44" spans="2:32" ht="23.1" customHeight="1" x14ac:dyDescent="0.25">
      <c r="B44" s="25" t="s">
        <v>71</v>
      </c>
      <c r="C44" s="49">
        <f>AVERAGE('22.07 Wakiso-Kampala'!C44,'23.07 Wakiso-Kampala'!C44,'24.07 Wakiso-Kampala'!C44,'25.07 Wakiso-Kampala'!C44,'26.07 Wakiso-Kampala-24h'!C44,'27.07 Wakiso-Kampala-24h'!C44,'28.07 Wakiso-Kampala'!C44)</f>
        <v>37.428571428571431</v>
      </c>
      <c r="D44" s="49">
        <f>AVERAGE('22.07 Wakiso-Kampala'!D44,'23.07 Wakiso-Kampala'!D44,'24.07 Wakiso-Kampala'!D44,'25.07 Wakiso-Kampala'!D44,'26.07 Wakiso-Kampala-24h'!D44,'27.07 Wakiso-Kampala-24h'!D44,'28.07 Wakiso-Kampala'!D44)</f>
        <v>16.142857142857142</v>
      </c>
      <c r="E44" s="49">
        <f>AVERAGE('22.07 Wakiso-Kampala'!E44,'23.07 Wakiso-Kampala'!E44,'24.07 Wakiso-Kampala'!E44,'25.07 Wakiso-Kampala'!E44,'26.07 Wakiso-Kampala-24h'!E44,'27.07 Wakiso-Kampala-24h'!E44,'28.07 Wakiso-Kampala'!E44)</f>
        <v>7.5714285714285712</v>
      </c>
      <c r="F44" s="49">
        <f>AVERAGE('22.07 Wakiso-Kampala'!F44,'23.07 Wakiso-Kampala'!F44,'24.07 Wakiso-Kampala'!F44,'25.07 Wakiso-Kampala'!F44,'26.07 Wakiso-Kampala-24h'!F44,'27.07 Wakiso-Kampala-24h'!F44,'28.07 Wakiso-Kampala'!F44)</f>
        <v>42.571428571428569</v>
      </c>
      <c r="G44" s="49">
        <f>AVERAGE('22.07 Wakiso-Kampala'!G44,'23.07 Wakiso-Kampala'!G44,'24.07 Wakiso-Kampala'!G44,'25.07 Wakiso-Kampala'!G44,'26.07 Wakiso-Kampala-24h'!G44,'27.07 Wakiso-Kampala-24h'!G44,'28.07 Wakiso-Kampala'!G44)</f>
        <v>1.4285714285714286</v>
      </c>
      <c r="H44" s="49">
        <f>AVERAGE('22.07 Wakiso-Kampala'!H44,'23.07 Wakiso-Kampala'!H44,'24.07 Wakiso-Kampala'!H44,'25.07 Wakiso-Kampala'!H44,'26.07 Wakiso-Kampala-24h'!H44,'27.07 Wakiso-Kampala-24h'!H44,'28.07 Wakiso-Kampala'!H44)</f>
        <v>0</v>
      </c>
      <c r="I44" s="49">
        <f>AVERAGE('22.07 Wakiso-Kampala'!I44,'23.07 Wakiso-Kampala'!I44,'24.07 Wakiso-Kampala'!I44,'25.07 Wakiso-Kampala'!I44,'26.07 Wakiso-Kampala-24h'!I44,'27.07 Wakiso-Kampala-24h'!I44,'28.07 Wakiso-Kampala'!I44)</f>
        <v>8.5714285714285712</v>
      </c>
      <c r="J44" s="49">
        <f>AVERAGE('22.07 Wakiso-Kampala'!J44,'23.07 Wakiso-Kampala'!J44,'24.07 Wakiso-Kampala'!J44,'25.07 Wakiso-Kampala'!J44,'26.07 Wakiso-Kampala-24h'!J44,'27.07 Wakiso-Kampala-24h'!J44,'28.07 Wakiso-Kampala'!J44)</f>
        <v>2.2857142857142856</v>
      </c>
      <c r="K44" s="49">
        <f>AVERAGE('22.07 Wakiso-Kampala'!K44,'23.07 Wakiso-Kampala'!K44,'24.07 Wakiso-Kampala'!K44,'25.07 Wakiso-Kampala'!K44,'26.07 Wakiso-Kampala-24h'!K44,'27.07 Wakiso-Kampala-24h'!K44,'28.07 Wakiso-Kampala'!K44)</f>
        <v>1.1428571428571428</v>
      </c>
      <c r="L44" s="49">
        <f>AVERAGE('22.07 Wakiso-Kampala'!L44,'23.07 Wakiso-Kampala'!L44,'24.07 Wakiso-Kampala'!L44,'25.07 Wakiso-Kampala'!L44,'26.07 Wakiso-Kampala-24h'!L44,'27.07 Wakiso-Kampala-24h'!L44,'28.07 Wakiso-Kampala'!L44)</f>
        <v>0.5714285714285714</v>
      </c>
      <c r="M44" s="49">
        <f>AVERAGE('22.07 Wakiso-Kampala'!M44,'23.07 Wakiso-Kampala'!M44,'24.07 Wakiso-Kampala'!M44,'25.07 Wakiso-Kampala'!M44,'26.07 Wakiso-Kampala-24h'!M44,'27.07 Wakiso-Kampala-24h'!M44,'28.07 Wakiso-Kampala'!M44)</f>
        <v>61.714285714285715</v>
      </c>
      <c r="N44" s="49">
        <f>AVERAGE('22.07 Wakiso-Kampala'!N44,'23.07 Wakiso-Kampala'!N44,'24.07 Wakiso-Kampala'!N44,'25.07 Wakiso-Kampala'!N44,'26.07 Wakiso-Kampala-24h'!N44,'27.07 Wakiso-Kampala-24h'!N44,'28.07 Wakiso-Kampala'!N44)</f>
        <v>0</v>
      </c>
      <c r="O44" s="15">
        <f t="shared" si="0"/>
        <v>117.71428571428571</v>
      </c>
      <c r="P44" s="15">
        <f t="shared" si="1"/>
        <v>179.42857142857142</v>
      </c>
    </row>
    <row r="45" spans="2:32" ht="23.1" customHeight="1" x14ac:dyDescent="0.25">
      <c r="B45" s="23" t="s">
        <v>72</v>
      </c>
      <c r="C45" s="49">
        <f>AVERAGE('22.07 Wakiso-Kampala'!C45,'23.07 Wakiso-Kampala'!C45,'24.07 Wakiso-Kampala'!C45,'25.07 Wakiso-Kampala'!C45,'26.07 Wakiso-Kampala-24h'!C45,'27.07 Wakiso-Kampala-24h'!C45,'28.07 Wakiso-Kampala'!C45)</f>
        <v>37.285714285714285</v>
      </c>
      <c r="D45" s="49">
        <f>AVERAGE('22.07 Wakiso-Kampala'!D45,'23.07 Wakiso-Kampala'!D45,'24.07 Wakiso-Kampala'!D45,'25.07 Wakiso-Kampala'!D45,'26.07 Wakiso-Kampala-24h'!D45,'27.07 Wakiso-Kampala-24h'!D45,'28.07 Wakiso-Kampala'!D45)</f>
        <v>16.857142857142858</v>
      </c>
      <c r="E45" s="49">
        <f>AVERAGE('22.07 Wakiso-Kampala'!E45,'23.07 Wakiso-Kampala'!E45,'24.07 Wakiso-Kampala'!E45,'25.07 Wakiso-Kampala'!E45,'26.07 Wakiso-Kampala-24h'!E45,'27.07 Wakiso-Kampala-24h'!E45,'28.07 Wakiso-Kampala'!E45)</f>
        <v>7.1428571428571432</v>
      </c>
      <c r="F45" s="49">
        <f>AVERAGE('22.07 Wakiso-Kampala'!F45,'23.07 Wakiso-Kampala'!F45,'24.07 Wakiso-Kampala'!F45,'25.07 Wakiso-Kampala'!F45,'26.07 Wakiso-Kampala-24h'!F45,'27.07 Wakiso-Kampala-24h'!F45,'28.07 Wakiso-Kampala'!F45)</f>
        <v>43.857142857142854</v>
      </c>
      <c r="G45" s="49">
        <f>AVERAGE('22.07 Wakiso-Kampala'!G45,'23.07 Wakiso-Kampala'!G45,'24.07 Wakiso-Kampala'!G45,'25.07 Wakiso-Kampala'!G45,'26.07 Wakiso-Kampala-24h'!G45,'27.07 Wakiso-Kampala-24h'!G45,'28.07 Wakiso-Kampala'!G45)</f>
        <v>0.14285714285714285</v>
      </c>
      <c r="H45" s="49">
        <f>AVERAGE('22.07 Wakiso-Kampala'!H45,'23.07 Wakiso-Kampala'!H45,'24.07 Wakiso-Kampala'!H45,'25.07 Wakiso-Kampala'!H45,'26.07 Wakiso-Kampala-24h'!H45,'27.07 Wakiso-Kampala-24h'!H45,'28.07 Wakiso-Kampala'!H45)</f>
        <v>0.14285714285714285</v>
      </c>
      <c r="I45" s="49">
        <f>AVERAGE('22.07 Wakiso-Kampala'!I45,'23.07 Wakiso-Kampala'!I45,'24.07 Wakiso-Kampala'!I45,'25.07 Wakiso-Kampala'!I45,'26.07 Wakiso-Kampala-24h'!I45,'27.07 Wakiso-Kampala-24h'!I45,'28.07 Wakiso-Kampala'!I45)</f>
        <v>9.8571428571428577</v>
      </c>
      <c r="J45" s="49">
        <f>AVERAGE('22.07 Wakiso-Kampala'!J45,'23.07 Wakiso-Kampala'!J45,'24.07 Wakiso-Kampala'!J45,'25.07 Wakiso-Kampala'!J45,'26.07 Wakiso-Kampala-24h'!J45,'27.07 Wakiso-Kampala-24h'!J45,'28.07 Wakiso-Kampala'!J45)</f>
        <v>2.2857142857142856</v>
      </c>
      <c r="K45" s="49">
        <f>AVERAGE('22.07 Wakiso-Kampala'!K45,'23.07 Wakiso-Kampala'!K45,'24.07 Wakiso-Kampala'!K45,'25.07 Wakiso-Kampala'!K45,'26.07 Wakiso-Kampala-24h'!K45,'27.07 Wakiso-Kampala-24h'!K45,'28.07 Wakiso-Kampala'!K45)</f>
        <v>1.2857142857142858</v>
      </c>
      <c r="L45" s="49">
        <f>AVERAGE('22.07 Wakiso-Kampala'!L45,'23.07 Wakiso-Kampala'!L45,'24.07 Wakiso-Kampala'!L45,'25.07 Wakiso-Kampala'!L45,'26.07 Wakiso-Kampala-24h'!L45,'27.07 Wakiso-Kampala-24h'!L45,'28.07 Wakiso-Kampala'!L45)</f>
        <v>1.1428571428571428</v>
      </c>
      <c r="M45" s="49">
        <f>AVERAGE('22.07 Wakiso-Kampala'!M45,'23.07 Wakiso-Kampala'!M45,'24.07 Wakiso-Kampala'!M45,'25.07 Wakiso-Kampala'!M45,'26.07 Wakiso-Kampala-24h'!M45,'27.07 Wakiso-Kampala-24h'!M45,'28.07 Wakiso-Kampala'!M45)</f>
        <v>65.285714285714292</v>
      </c>
      <c r="N45" s="49">
        <f>AVERAGE('22.07 Wakiso-Kampala'!N45,'23.07 Wakiso-Kampala'!N45,'24.07 Wakiso-Kampala'!N45,'25.07 Wakiso-Kampala'!N45,'26.07 Wakiso-Kampala-24h'!N45,'27.07 Wakiso-Kampala-24h'!N45,'28.07 Wakiso-Kampala'!N45)</f>
        <v>0.14285714285714285</v>
      </c>
      <c r="O45" s="15">
        <f t="shared" si="0"/>
        <v>120.14285714285714</v>
      </c>
      <c r="P45" s="15">
        <f t="shared" si="1"/>
        <v>185.42857142857142</v>
      </c>
    </row>
    <row r="46" spans="2:32" ht="23.1" customHeight="1" x14ac:dyDescent="0.25">
      <c r="B46" s="24" t="s">
        <v>73</v>
      </c>
      <c r="C46" s="49">
        <f>AVERAGE('22.07 Wakiso-Kampala'!C46,'23.07 Wakiso-Kampala'!C46,'24.07 Wakiso-Kampala'!C46,'25.07 Wakiso-Kampala'!C46,'26.07 Wakiso-Kampala-24h'!C46,'27.07 Wakiso-Kampala-24h'!C46,'28.07 Wakiso-Kampala'!C46)</f>
        <v>46.428571428571431</v>
      </c>
      <c r="D46" s="49">
        <f>AVERAGE('22.07 Wakiso-Kampala'!D46,'23.07 Wakiso-Kampala'!D46,'24.07 Wakiso-Kampala'!D46,'25.07 Wakiso-Kampala'!D46,'26.07 Wakiso-Kampala-24h'!D46,'27.07 Wakiso-Kampala-24h'!D46,'28.07 Wakiso-Kampala'!D46)</f>
        <v>27</v>
      </c>
      <c r="E46" s="49">
        <f>AVERAGE('22.07 Wakiso-Kampala'!E46,'23.07 Wakiso-Kampala'!E46,'24.07 Wakiso-Kampala'!E46,'25.07 Wakiso-Kampala'!E46,'26.07 Wakiso-Kampala-24h'!E46,'27.07 Wakiso-Kampala-24h'!E46,'28.07 Wakiso-Kampala'!E46)</f>
        <v>9.2857142857142865</v>
      </c>
      <c r="F46" s="49">
        <f>AVERAGE('22.07 Wakiso-Kampala'!F46,'23.07 Wakiso-Kampala'!F46,'24.07 Wakiso-Kampala'!F46,'25.07 Wakiso-Kampala'!F46,'26.07 Wakiso-Kampala-24h'!F46,'27.07 Wakiso-Kampala-24h'!F46,'28.07 Wakiso-Kampala'!F46)</f>
        <v>52.142857142857146</v>
      </c>
      <c r="G46" s="49">
        <f>AVERAGE('22.07 Wakiso-Kampala'!G46,'23.07 Wakiso-Kampala'!G46,'24.07 Wakiso-Kampala'!G46,'25.07 Wakiso-Kampala'!G46,'26.07 Wakiso-Kampala-24h'!G46,'27.07 Wakiso-Kampala-24h'!G46,'28.07 Wakiso-Kampala'!G46)</f>
        <v>1</v>
      </c>
      <c r="H46" s="49">
        <f>AVERAGE('22.07 Wakiso-Kampala'!H46,'23.07 Wakiso-Kampala'!H46,'24.07 Wakiso-Kampala'!H46,'25.07 Wakiso-Kampala'!H46,'26.07 Wakiso-Kampala-24h'!H46,'27.07 Wakiso-Kampala-24h'!H46,'28.07 Wakiso-Kampala'!H46)</f>
        <v>0.2857142857142857</v>
      </c>
      <c r="I46" s="49">
        <f>AVERAGE('22.07 Wakiso-Kampala'!I46,'23.07 Wakiso-Kampala'!I46,'24.07 Wakiso-Kampala'!I46,'25.07 Wakiso-Kampala'!I46,'26.07 Wakiso-Kampala-24h'!I46,'27.07 Wakiso-Kampala-24h'!I46,'28.07 Wakiso-Kampala'!I46)</f>
        <v>10.571428571428571</v>
      </c>
      <c r="J46" s="49">
        <f>AVERAGE('22.07 Wakiso-Kampala'!J46,'23.07 Wakiso-Kampala'!J46,'24.07 Wakiso-Kampala'!J46,'25.07 Wakiso-Kampala'!J46,'26.07 Wakiso-Kampala-24h'!J46,'27.07 Wakiso-Kampala-24h'!J46,'28.07 Wakiso-Kampala'!J46)</f>
        <v>1.5714285714285714</v>
      </c>
      <c r="K46" s="49">
        <f>AVERAGE('22.07 Wakiso-Kampala'!K46,'23.07 Wakiso-Kampala'!K46,'24.07 Wakiso-Kampala'!K46,'25.07 Wakiso-Kampala'!K46,'26.07 Wakiso-Kampala-24h'!K46,'27.07 Wakiso-Kampala-24h'!K46,'28.07 Wakiso-Kampala'!K46)</f>
        <v>0.5714285714285714</v>
      </c>
      <c r="L46" s="49">
        <f>AVERAGE('22.07 Wakiso-Kampala'!L46,'23.07 Wakiso-Kampala'!L46,'24.07 Wakiso-Kampala'!L46,'25.07 Wakiso-Kampala'!L46,'26.07 Wakiso-Kampala-24h'!L46,'27.07 Wakiso-Kampala-24h'!L46,'28.07 Wakiso-Kampala'!L46)</f>
        <v>1.2857142857142858</v>
      </c>
      <c r="M46" s="49">
        <f>AVERAGE('22.07 Wakiso-Kampala'!M46,'23.07 Wakiso-Kampala'!M46,'24.07 Wakiso-Kampala'!M46,'25.07 Wakiso-Kampala'!M46,'26.07 Wakiso-Kampala-24h'!M46,'27.07 Wakiso-Kampala-24h'!M46,'28.07 Wakiso-Kampala'!M46)</f>
        <v>81.285714285714292</v>
      </c>
      <c r="N46" s="49">
        <f>AVERAGE('22.07 Wakiso-Kampala'!N46,'23.07 Wakiso-Kampala'!N46,'24.07 Wakiso-Kampala'!N46,'25.07 Wakiso-Kampala'!N46,'26.07 Wakiso-Kampala-24h'!N46,'27.07 Wakiso-Kampala-24h'!N46,'28.07 Wakiso-Kampala'!N46)</f>
        <v>0</v>
      </c>
      <c r="O46" s="15">
        <f t="shared" si="0"/>
        <v>150.14285714285717</v>
      </c>
      <c r="P46" s="15">
        <f t="shared" si="1"/>
        <v>231.42857142857144</v>
      </c>
      <c r="R46" s="8"/>
      <c r="T46"/>
    </row>
    <row r="47" spans="2:32" ht="23.1" customHeight="1" x14ac:dyDescent="0.25">
      <c r="B47" s="24" t="s">
        <v>74</v>
      </c>
      <c r="C47" s="49">
        <f>AVERAGE('22.07 Wakiso-Kampala'!C47,'23.07 Wakiso-Kampala'!C47,'24.07 Wakiso-Kampala'!C47,'25.07 Wakiso-Kampala'!C47,'26.07 Wakiso-Kampala-24h'!C47,'27.07 Wakiso-Kampala-24h'!C47,'28.07 Wakiso-Kampala'!C47)</f>
        <v>45.857142857142854</v>
      </c>
      <c r="D47" s="49">
        <f>AVERAGE('22.07 Wakiso-Kampala'!D47,'23.07 Wakiso-Kampala'!D47,'24.07 Wakiso-Kampala'!D47,'25.07 Wakiso-Kampala'!D47,'26.07 Wakiso-Kampala-24h'!D47,'27.07 Wakiso-Kampala-24h'!D47,'28.07 Wakiso-Kampala'!D47)</f>
        <v>21.428571428571427</v>
      </c>
      <c r="E47" s="49">
        <f>AVERAGE('22.07 Wakiso-Kampala'!E47,'23.07 Wakiso-Kampala'!E47,'24.07 Wakiso-Kampala'!E47,'25.07 Wakiso-Kampala'!E47,'26.07 Wakiso-Kampala-24h'!E47,'27.07 Wakiso-Kampala-24h'!E47,'28.07 Wakiso-Kampala'!E47)</f>
        <v>8.1428571428571423</v>
      </c>
      <c r="F47" s="49">
        <f>AVERAGE('22.07 Wakiso-Kampala'!F47,'23.07 Wakiso-Kampala'!F47,'24.07 Wakiso-Kampala'!F47,'25.07 Wakiso-Kampala'!F47,'26.07 Wakiso-Kampala-24h'!F47,'27.07 Wakiso-Kampala-24h'!F47,'28.07 Wakiso-Kampala'!F47)</f>
        <v>44.142857142857146</v>
      </c>
      <c r="G47" s="49">
        <f>AVERAGE('22.07 Wakiso-Kampala'!G47,'23.07 Wakiso-Kampala'!G47,'24.07 Wakiso-Kampala'!G47,'25.07 Wakiso-Kampala'!G47,'26.07 Wakiso-Kampala-24h'!G47,'27.07 Wakiso-Kampala-24h'!G47,'28.07 Wakiso-Kampala'!G47)</f>
        <v>0.5714285714285714</v>
      </c>
      <c r="H47" s="49">
        <f>AVERAGE('22.07 Wakiso-Kampala'!H47,'23.07 Wakiso-Kampala'!H47,'24.07 Wakiso-Kampala'!H47,'25.07 Wakiso-Kampala'!H47,'26.07 Wakiso-Kampala-24h'!H47,'27.07 Wakiso-Kampala-24h'!H47,'28.07 Wakiso-Kampala'!H47)</f>
        <v>0.14285714285714285</v>
      </c>
      <c r="I47" s="49">
        <f>AVERAGE('22.07 Wakiso-Kampala'!I47,'23.07 Wakiso-Kampala'!I47,'24.07 Wakiso-Kampala'!I47,'25.07 Wakiso-Kampala'!I47,'26.07 Wakiso-Kampala-24h'!I47,'27.07 Wakiso-Kampala-24h'!I47,'28.07 Wakiso-Kampala'!I47)</f>
        <v>5.7142857142857144</v>
      </c>
      <c r="J47" s="49">
        <f>AVERAGE('22.07 Wakiso-Kampala'!J47,'23.07 Wakiso-Kampala'!J47,'24.07 Wakiso-Kampala'!J47,'25.07 Wakiso-Kampala'!J47,'26.07 Wakiso-Kampala-24h'!J47,'27.07 Wakiso-Kampala-24h'!J47,'28.07 Wakiso-Kampala'!J47)</f>
        <v>1.8571428571428572</v>
      </c>
      <c r="K47" s="49">
        <f>AVERAGE('22.07 Wakiso-Kampala'!K47,'23.07 Wakiso-Kampala'!K47,'24.07 Wakiso-Kampala'!K47,'25.07 Wakiso-Kampala'!K47,'26.07 Wakiso-Kampala-24h'!K47,'27.07 Wakiso-Kampala-24h'!K47,'28.07 Wakiso-Kampala'!K47)</f>
        <v>0.7142857142857143</v>
      </c>
      <c r="L47" s="49">
        <f>AVERAGE('22.07 Wakiso-Kampala'!L47,'23.07 Wakiso-Kampala'!L47,'24.07 Wakiso-Kampala'!L47,'25.07 Wakiso-Kampala'!L47,'26.07 Wakiso-Kampala-24h'!L47,'27.07 Wakiso-Kampala-24h'!L47,'28.07 Wakiso-Kampala'!L47)</f>
        <v>0.2857142857142857</v>
      </c>
      <c r="M47" s="49">
        <f>AVERAGE('22.07 Wakiso-Kampala'!M47,'23.07 Wakiso-Kampala'!M47,'24.07 Wakiso-Kampala'!M47,'25.07 Wakiso-Kampala'!M47,'26.07 Wakiso-Kampala-24h'!M47,'27.07 Wakiso-Kampala-24h'!M47,'28.07 Wakiso-Kampala'!M47)</f>
        <v>77.142857142857139</v>
      </c>
      <c r="N47" s="49">
        <f>AVERAGE('22.07 Wakiso-Kampala'!N47,'23.07 Wakiso-Kampala'!N47,'24.07 Wakiso-Kampala'!N47,'25.07 Wakiso-Kampala'!N47,'26.07 Wakiso-Kampala-24h'!N47,'27.07 Wakiso-Kampala-24h'!N47,'28.07 Wakiso-Kampala'!N47)</f>
        <v>0</v>
      </c>
      <c r="O47" s="15">
        <f t="shared" si="0"/>
        <v>128.85714285714283</v>
      </c>
      <c r="P47" s="15">
        <f t="shared" si="1"/>
        <v>205.99999999999997</v>
      </c>
      <c r="R47" s="8"/>
      <c r="T47"/>
    </row>
    <row r="48" spans="2:32" ht="23.1" customHeight="1" x14ac:dyDescent="0.25">
      <c r="B48" s="24" t="s">
        <v>75</v>
      </c>
      <c r="C48" s="49">
        <f>AVERAGE('22.07 Wakiso-Kampala'!C48,'23.07 Wakiso-Kampala'!C48,'24.07 Wakiso-Kampala'!C48,'25.07 Wakiso-Kampala'!C48,'26.07 Wakiso-Kampala-24h'!C48,'27.07 Wakiso-Kampala-24h'!C48,'28.07 Wakiso-Kampala'!C48)</f>
        <v>47.285714285714285</v>
      </c>
      <c r="D48" s="49">
        <f>AVERAGE('22.07 Wakiso-Kampala'!D48,'23.07 Wakiso-Kampala'!D48,'24.07 Wakiso-Kampala'!D48,'25.07 Wakiso-Kampala'!D48,'26.07 Wakiso-Kampala-24h'!D48,'27.07 Wakiso-Kampala-24h'!D48,'28.07 Wakiso-Kampala'!D48)</f>
        <v>23.142857142857142</v>
      </c>
      <c r="E48" s="49">
        <f>AVERAGE('22.07 Wakiso-Kampala'!E48,'23.07 Wakiso-Kampala'!E48,'24.07 Wakiso-Kampala'!E48,'25.07 Wakiso-Kampala'!E48,'26.07 Wakiso-Kampala-24h'!E48,'27.07 Wakiso-Kampala-24h'!E48,'28.07 Wakiso-Kampala'!E48)</f>
        <v>11.714285714285714</v>
      </c>
      <c r="F48" s="49">
        <f>AVERAGE('22.07 Wakiso-Kampala'!F48,'23.07 Wakiso-Kampala'!F48,'24.07 Wakiso-Kampala'!F48,'25.07 Wakiso-Kampala'!F48,'26.07 Wakiso-Kampala-24h'!F48,'27.07 Wakiso-Kampala-24h'!F48,'28.07 Wakiso-Kampala'!F48)</f>
        <v>57.142857142857146</v>
      </c>
      <c r="G48" s="49">
        <f>AVERAGE('22.07 Wakiso-Kampala'!G48,'23.07 Wakiso-Kampala'!G48,'24.07 Wakiso-Kampala'!G48,'25.07 Wakiso-Kampala'!G48,'26.07 Wakiso-Kampala-24h'!G48,'27.07 Wakiso-Kampala-24h'!G48,'28.07 Wakiso-Kampala'!G48)</f>
        <v>0.8571428571428571</v>
      </c>
      <c r="H48" s="49">
        <f>AVERAGE('22.07 Wakiso-Kampala'!H48,'23.07 Wakiso-Kampala'!H48,'24.07 Wakiso-Kampala'!H48,'25.07 Wakiso-Kampala'!H48,'26.07 Wakiso-Kampala-24h'!H48,'27.07 Wakiso-Kampala-24h'!H48,'28.07 Wakiso-Kampala'!H48)</f>
        <v>0.14285714285714285</v>
      </c>
      <c r="I48" s="49">
        <f>AVERAGE('22.07 Wakiso-Kampala'!I48,'23.07 Wakiso-Kampala'!I48,'24.07 Wakiso-Kampala'!I48,'25.07 Wakiso-Kampala'!I48,'26.07 Wakiso-Kampala-24h'!I48,'27.07 Wakiso-Kampala-24h'!I48,'28.07 Wakiso-Kampala'!I48)</f>
        <v>7.5714285714285712</v>
      </c>
      <c r="J48" s="49">
        <f>AVERAGE('22.07 Wakiso-Kampala'!J48,'23.07 Wakiso-Kampala'!J48,'24.07 Wakiso-Kampala'!J48,'25.07 Wakiso-Kampala'!J48,'26.07 Wakiso-Kampala-24h'!J48,'27.07 Wakiso-Kampala-24h'!J48,'28.07 Wakiso-Kampala'!J48)</f>
        <v>1.5714285714285714</v>
      </c>
      <c r="K48" s="49">
        <f>AVERAGE('22.07 Wakiso-Kampala'!K48,'23.07 Wakiso-Kampala'!K48,'24.07 Wakiso-Kampala'!K48,'25.07 Wakiso-Kampala'!K48,'26.07 Wakiso-Kampala-24h'!K48,'27.07 Wakiso-Kampala-24h'!K48,'28.07 Wakiso-Kampala'!K48)</f>
        <v>0.5714285714285714</v>
      </c>
      <c r="L48" s="49">
        <f>AVERAGE('22.07 Wakiso-Kampala'!L48,'23.07 Wakiso-Kampala'!L48,'24.07 Wakiso-Kampala'!L48,'25.07 Wakiso-Kampala'!L48,'26.07 Wakiso-Kampala-24h'!L48,'27.07 Wakiso-Kampala-24h'!L48,'28.07 Wakiso-Kampala'!L48)</f>
        <v>1.5714285714285714</v>
      </c>
      <c r="M48" s="49">
        <f>AVERAGE('22.07 Wakiso-Kampala'!M48,'23.07 Wakiso-Kampala'!M48,'24.07 Wakiso-Kampala'!M48,'25.07 Wakiso-Kampala'!M48,'26.07 Wakiso-Kampala-24h'!M48,'27.07 Wakiso-Kampala-24h'!M48,'28.07 Wakiso-Kampala'!M48)</f>
        <v>73.142857142857139</v>
      </c>
      <c r="N48" s="49">
        <f>AVERAGE('22.07 Wakiso-Kampala'!N48,'23.07 Wakiso-Kampala'!N48,'24.07 Wakiso-Kampala'!N48,'25.07 Wakiso-Kampala'!N48,'26.07 Wakiso-Kampala-24h'!N48,'27.07 Wakiso-Kampala-24h'!N48,'28.07 Wakiso-Kampala'!N48)</f>
        <v>0</v>
      </c>
      <c r="O48" s="15">
        <f t="shared" si="0"/>
        <v>151.57142857142861</v>
      </c>
      <c r="P48" s="15">
        <f t="shared" si="1"/>
        <v>224.71428571428575</v>
      </c>
      <c r="R48" s="8"/>
      <c r="T48"/>
    </row>
    <row r="49" spans="2:20" ht="23.1" customHeight="1" x14ac:dyDescent="0.25">
      <c r="B49" s="23" t="s">
        <v>76</v>
      </c>
      <c r="C49" s="49">
        <f>AVERAGE('22.07 Wakiso-Kampala'!C49,'23.07 Wakiso-Kampala'!C49,'24.07 Wakiso-Kampala'!C49,'25.07 Wakiso-Kampala'!C49,'26.07 Wakiso-Kampala-24h'!C49,'27.07 Wakiso-Kampala-24h'!C49,'28.07 Wakiso-Kampala'!C49)</f>
        <v>38.428571428571431</v>
      </c>
      <c r="D49" s="49">
        <f>AVERAGE('22.07 Wakiso-Kampala'!D49,'23.07 Wakiso-Kampala'!D49,'24.07 Wakiso-Kampala'!D49,'25.07 Wakiso-Kampala'!D49,'26.07 Wakiso-Kampala-24h'!D49,'27.07 Wakiso-Kampala-24h'!D49,'28.07 Wakiso-Kampala'!D49)</f>
        <v>14.142857142857142</v>
      </c>
      <c r="E49" s="49">
        <f>AVERAGE('22.07 Wakiso-Kampala'!E49,'23.07 Wakiso-Kampala'!E49,'24.07 Wakiso-Kampala'!E49,'25.07 Wakiso-Kampala'!E49,'26.07 Wakiso-Kampala-24h'!E49,'27.07 Wakiso-Kampala-24h'!E49,'28.07 Wakiso-Kampala'!E49)</f>
        <v>5.4285714285714288</v>
      </c>
      <c r="F49" s="49">
        <f>AVERAGE('22.07 Wakiso-Kampala'!F49,'23.07 Wakiso-Kampala'!F49,'24.07 Wakiso-Kampala'!F49,'25.07 Wakiso-Kampala'!F49,'26.07 Wakiso-Kampala-24h'!F49,'27.07 Wakiso-Kampala-24h'!F49,'28.07 Wakiso-Kampala'!F49)</f>
        <v>45.714285714285715</v>
      </c>
      <c r="G49" s="49">
        <f>AVERAGE('22.07 Wakiso-Kampala'!G49,'23.07 Wakiso-Kampala'!G49,'24.07 Wakiso-Kampala'!G49,'25.07 Wakiso-Kampala'!G49,'26.07 Wakiso-Kampala-24h'!G49,'27.07 Wakiso-Kampala-24h'!G49,'28.07 Wakiso-Kampala'!G49)</f>
        <v>0</v>
      </c>
      <c r="H49" s="49">
        <f>AVERAGE('22.07 Wakiso-Kampala'!H49,'23.07 Wakiso-Kampala'!H49,'24.07 Wakiso-Kampala'!H49,'25.07 Wakiso-Kampala'!H49,'26.07 Wakiso-Kampala-24h'!H49,'27.07 Wakiso-Kampala-24h'!H49,'28.07 Wakiso-Kampala'!H49)</f>
        <v>0.14285714285714285</v>
      </c>
      <c r="I49" s="49">
        <f>AVERAGE('22.07 Wakiso-Kampala'!I49,'23.07 Wakiso-Kampala'!I49,'24.07 Wakiso-Kampala'!I49,'25.07 Wakiso-Kampala'!I49,'26.07 Wakiso-Kampala-24h'!I49,'27.07 Wakiso-Kampala-24h'!I49,'28.07 Wakiso-Kampala'!I49)</f>
        <v>8.8571428571428577</v>
      </c>
      <c r="J49" s="49">
        <f>AVERAGE('22.07 Wakiso-Kampala'!J49,'23.07 Wakiso-Kampala'!J49,'24.07 Wakiso-Kampala'!J49,'25.07 Wakiso-Kampala'!J49,'26.07 Wakiso-Kampala-24h'!J49,'27.07 Wakiso-Kampala-24h'!J49,'28.07 Wakiso-Kampala'!J49)</f>
        <v>1.4285714285714286</v>
      </c>
      <c r="K49" s="49">
        <f>AVERAGE('22.07 Wakiso-Kampala'!K49,'23.07 Wakiso-Kampala'!K49,'24.07 Wakiso-Kampala'!K49,'25.07 Wakiso-Kampala'!K49,'26.07 Wakiso-Kampala-24h'!K49,'27.07 Wakiso-Kampala-24h'!K49,'28.07 Wakiso-Kampala'!K49)</f>
        <v>0.2857142857142857</v>
      </c>
      <c r="L49" s="49">
        <f>AVERAGE('22.07 Wakiso-Kampala'!L49,'23.07 Wakiso-Kampala'!L49,'24.07 Wakiso-Kampala'!L49,'25.07 Wakiso-Kampala'!L49,'26.07 Wakiso-Kampala-24h'!L49,'27.07 Wakiso-Kampala-24h'!L49,'28.07 Wakiso-Kampala'!L49)</f>
        <v>1.8571428571428572</v>
      </c>
      <c r="M49" s="49">
        <f>AVERAGE('22.07 Wakiso-Kampala'!M49,'23.07 Wakiso-Kampala'!M49,'24.07 Wakiso-Kampala'!M49,'25.07 Wakiso-Kampala'!M49,'26.07 Wakiso-Kampala-24h'!M49,'27.07 Wakiso-Kampala-24h'!M49,'28.07 Wakiso-Kampala'!M49)</f>
        <v>67.571428571428569</v>
      </c>
      <c r="N49" s="49">
        <f>AVERAGE('22.07 Wakiso-Kampala'!N49,'23.07 Wakiso-Kampala'!N49,'24.07 Wakiso-Kampala'!N49,'25.07 Wakiso-Kampala'!N49,'26.07 Wakiso-Kampala-24h'!N49,'27.07 Wakiso-Kampala-24h'!N49,'28.07 Wakiso-Kampala'!N49)</f>
        <v>0</v>
      </c>
      <c r="O49" s="15">
        <f t="shared" si="0"/>
        <v>116.28571428571431</v>
      </c>
      <c r="P49" s="15">
        <f t="shared" si="1"/>
        <v>183.85714285714289</v>
      </c>
      <c r="R49" s="8"/>
      <c r="T49"/>
    </row>
    <row r="50" spans="2:20" ht="23.1" customHeight="1" x14ac:dyDescent="0.25">
      <c r="B50" s="24" t="s">
        <v>77</v>
      </c>
      <c r="C50" s="49">
        <f>AVERAGE('22.07 Wakiso-Kampala'!C50,'23.07 Wakiso-Kampala'!C50,'24.07 Wakiso-Kampala'!C50,'25.07 Wakiso-Kampala'!C50,'26.07 Wakiso-Kampala-24h'!C50,'27.07 Wakiso-Kampala-24h'!C50,'28.07 Wakiso-Kampala'!C50)</f>
        <v>45.571428571428569</v>
      </c>
      <c r="D50" s="49">
        <f>AVERAGE('22.07 Wakiso-Kampala'!D50,'23.07 Wakiso-Kampala'!D50,'24.07 Wakiso-Kampala'!D50,'25.07 Wakiso-Kampala'!D50,'26.07 Wakiso-Kampala-24h'!D50,'27.07 Wakiso-Kampala-24h'!D50,'28.07 Wakiso-Kampala'!D50)</f>
        <v>23.857142857142858</v>
      </c>
      <c r="E50" s="49">
        <f>AVERAGE('22.07 Wakiso-Kampala'!E50,'23.07 Wakiso-Kampala'!E50,'24.07 Wakiso-Kampala'!E50,'25.07 Wakiso-Kampala'!E50,'26.07 Wakiso-Kampala-24h'!E50,'27.07 Wakiso-Kampala-24h'!E50,'28.07 Wakiso-Kampala'!E50)</f>
        <v>9</v>
      </c>
      <c r="F50" s="49">
        <f>AVERAGE('22.07 Wakiso-Kampala'!F50,'23.07 Wakiso-Kampala'!F50,'24.07 Wakiso-Kampala'!F50,'25.07 Wakiso-Kampala'!F50,'26.07 Wakiso-Kampala-24h'!F50,'27.07 Wakiso-Kampala-24h'!F50,'28.07 Wakiso-Kampala'!F50)</f>
        <v>51</v>
      </c>
      <c r="G50" s="49">
        <f>AVERAGE('22.07 Wakiso-Kampala'!G50,'23.07 Wakiso-Kampala'!G50,'24.07 Wakiso-Kampala'!G50,'25.07 Wakiso-Kampala'!G50,'26.07 Wakiso-Kampala-24h'!G50,'27.07 Wakiso-Kampala-24h'!G50,'28.07 Wakiso-Kampala'!G50)</f>
        <v>0.14285714285714285</v>
      </c>
      <c r="H50" s="49">
        <f>AVERAGE('22.07 Wakiso-Kampala'!H50,'23.07 Wakiso-Kampala'!H50,'24.07 Wakiso-Kampala'!H50,'25.07 Wakiso-Kampala'!H50,'26.07 Wakiso-Kampala-24h'!H50,'27.07 Wakiso-Kampala-24h'!H50,'28.07 Wakiso-Kampala'!H50)</f>
        <v>0</v>
      </c>
      <c r="I50" s="49">
        <f>AVERAGE('22.07 Wakiso-Kampala'!I50,'23.07 Wakiso-Kampala'!I50,'24.07 Wakiso-Kampala'!I50,'25.07 Wakiso-Kampala'!I50,'26.07 Wakiso-Kampala-24h'!I50,'27.07 Wakiso-Kampala-24h'!I50,'28.07 Wakiso-Kampala'!I50)</f>
        <v>7.2857142857142856</v>
      </c>
      <c r="J50" s="49">
        <f>AVERAGE('22.07 Wakiso-Kampala'!J50,'23.07 Wakiso-Kampala'!J50,'24.07 Wakiso-Kampala'!J50,'25.07 Wakiso-Kampala'!J50,'26.07 Wakiso-Kampala-24h'!J50,'27.07 Wakiso-Kampala-24h'!J50,'28.07 Wakiso-Kampala'!J50)</f>
        <v>1.7142857142857142</v>
      </c>
      <c r="K50" s="49">
        <f>AVERAGE('22.07 Wakiso-Kampala'!K50,'23.07 Wakiso-Kampala'!K50,'24.07 Wakiso-Kampala'!K50,'25.07 Wakiso-Kampala'!K50,'26.07 Wakiso-Kampala-24h'!K50,'27.07 Wakiso-Kampala-24h'!K50,'28.07 Wakiso-Kampala'!K50)</f>
        <v>1.4285714285714286</v>
      </c>
      <c r="L50" s="49">
        <f>AVERAGE('22.07 Wakiso-Kampala'!L50,'23.07 Wakiso-Kampala'!L50,'24.07 Wakiso-Kampala'!L50,'25.07 Wakiso-Kampala'!L50,'26.07 Wakiso-Kampala-24h'!L50,'27.07 Wakiso-Kampala-24h'!L50,'28.07 Wakiso-Kampala'!L50)</f>
        <v>1</v>
      </c>
      <c r="M50" s="49">
        <f>AVERAGE('22.07 Wakiso-Kampala'!M50,'23.07 Wakiso-Kampala'!M50,'24.07 Wakiso-Kampala'!M50,'25.07 Wakiso-Kampala'!M50,'26.07 Wakiso-Kampala-24h'!M50,'27.07 Wakiso-Kampala-24h'!M50,'28.07 Wakiso-Kampala'!M50)</f>
        <v>95.285714285714292</v>
      </c>
      <c r="N50" s="49">
        <f>AVERAGE('22.07 Wakiso-Kampala'!N50,'23.07 Wakiso-Kampala'!N50,'24.07 Wakiso-Kampala'!N50,'25.07 Wakiso-Kampala'!N50,'26.07 Wakiso-Kampala-24h'!N50,'27.07 Wakiso-Kampala-24h'!N50,'28.07 Wakiso-Kampala'!N50)</f>
        <v>0</v>
      </c>
      <c r="O50" s="15">
        <f t="shared" si="0"/>
        <v>141</v>
      </c>
      <c r="P50" s="15">
        <f t="shared" si="1"/>
        <v>236.28571428571428</v>
      </c>
      <c r="R50" s="8"/>
      <c r="T50"/>
    </row>
    <row r="51" spans="2:20" ht="23.1" customHeight="1" x14ac:dyDescent="0.25">
      <c r="B51" s="24" t="s">
        <v>78</v>
      </c>
      <c r="C51" s="49">
        <f>AVERAGE('22.07 Wakiso-Kampala'!C51,'23.07 Wakiso-Kampala'!C51,'24.07 Wakiso-Kampala'!C51,'25.07 Wakiso-Kampala'!C51,'26.07 Wakiso-Kampala-24h'!C51,'27.07 Wakiso-Kampala-24h'!C51,'28.07 Wakiso-Kampala'!C51)</f>
        <v>44.857142857142854</v>
      </c>
      <c r="D51" s="49">
        <f>AVERAGE('22.07 Wakiso-Kampala'!D51,'23.07 Wakiso-Kampala'!D51,'24.07 Wakiso-Kampala'!D51,'25.07 Wakiso-Kampala'!D51,'26.07 Wakiso-Kampala-24h'!D51,'27.07 Wakiso-Kampala-24h'!D51,'28.07 Wakiso-Kampala'!D51)</f>
        <v>19.571428571428573</v>
      </c>
      <c r="E51" s="49">
        <f>AVERAGE('22.07 Wakiso-Kampala'!E51,'23.07 Wakiso-Kampala'!E51,'24.07 Wakiso-Kampala'!E51,'25.07 Wakiso-Kampala'!E51,'26.07 Wakiso-Kampala-24h'!E51,'27.07 Wakiso-Kampala-24h'!E51,'28.07 Wakiso-Kampala'!E51)</f>
        <v>7.2857142857142856</v>
      </c>
      <c r="F51" s="49">
        <f>AVERAGE('22.07 Wakiso-Kampala'!F51,'23.07 Wakiso-Kampala'!F51,'24.07 Wakiso-Kampala'!F51,'25.07 Wakiso-Kampala'!F51,'26.07 Wakiso-Kampala-24h'!F51,'27.07 Wakiso-Kampala-24h'!F51,'28.07 Wakiso-Kampala'!F51)</f>
        <v>54.285714285714285</v>
      </c>
      <c r="G51" s="49">
        <f>AVERAGE('22.07 Wakiso-Kampala'!G51,'23.07 Wakiso-Kampala'!G51,'24.07 Wakiso-Kampala'!G51,'25.07 Wakiso-Kampala'!G51,'26.07 Wakiso-Kampala-24h'!G51,'27.07 Wakiso-Kampala-24h'!G51,'28.07 Wakiso-Kampala'!G51)</f>
        <v>1.5714285714285714</v>
      </c>
      <c r="H51" s="49">
        <f>AVERAGE('22.07 Wakiso-Kampala'!H51,'23.07 Wakiso-Kampala'!H51,'24.07 Wakiso-Kampala'!H51,'25.07 Wakiso-Kampala'!H51,'26.07 Wakiso-Kampala-24h'!H51,'27.07 Wakiso-Kampala-24h'!H51,'28.07 Wakiso-Kampala'!H51)</f>
        <v>0</v>
      </c>
      <c r="I51" s="49">
        <f>AVERAGE('22.07 Wakiso-Kampala'!I51,'23.07 Wakiso-Kampala'!I51,'24.07 Wakiso-Kampala'!I51,'25.07 Wakiso-Kampala'!I51,'26.07 Wakiso-Kampala-24h'!I51,'27.07 Wakiso-Kampala-24h'!I51,'28.07 Wakiso-Kampala'!I51)</f>
        <v>9.2857142857142865</v>
      </c>
      <c r="J51" s="49">
        <f>AVERAGE('22.07 Wakiso-Kampala'!J51,'23.07 Wakiso-Kampala'!J51,'24.07 Wakiso-Kampala'!J51,'25.07 Wakiso-Kampala'!J51,'26.07 Wakiso-Kampala-24h'!J51,'27.07 Wakiso-Kampala-24h'!J51,'28.07 Wakiso-Kampala'!J51)</f>
        <v>1.8571428571428572</v>
      </c>
      <c r="K51" s="49">
        <f>AVERAGE('22.07 Wakiso-Kampala'!K51,'23.07 Wakiso-Kampala'!K51,'24.07 Wakiso-Kampala'!K51,'25.07 Wakiso-Kampala'!K51,'26.07 Wakiso-Kampala-24h'!K51,'27.07 Wakiso-Kampala-24h'!K51,'28.07 Wakiso-Kampala'!K51)</f>
        <v>0.5714285714285714</v>
      </c>
      <c r="L51" s="49">
        <f>AVERAGE('22.07 Wakiso-Kampala'!L51,'23.07 Wakiso-Kampala'!L51,'24.07 Wakiso-Kampala'!L51,'25.07 Wakiso-Kampala'!L51,'26.07 Wakiso-Kampala-24h'!L51,'27.07 Wakiso-Kampala-24h'!L51,'28.07 Wakiso-Kampala'!L51)</f>
        <v>1.4285714285714286</v>
      </c>
      <c r="M51" s="49">
        <f>AVERAGE('22.07 Wakiso-Kampala'!M51,'23.07 Wakiso-Kampala'!M51,'24.07 Wakiso-Kampala'!M51,'25.07 Wakiso-Kampala'!M51,'26.07 Wakiso-Kampala-24h'!M51,'27.07 Wakiso-Kampala-24h'!M51,'28.07 Wakiso-Kampala'!M51)</f>
        <v>92.142857142857139</v>
      </c>
      <c r="N51" s="49">
        <f>AVERAGE('22.07 Wakiso-Kampala'!N51,'23.07 Wakiso-Kampala'!N51,'24.07 Wakiso-Kampala'!N51,'25.07 Wakiso-Kampala'!N51,'26.07 Wakiso-Kampala-24h'!N51,'27.07 Wakiso-Kampala-24h'!N51,'28.07 Wakiso-Kampala'!N51)</f>
        <v>0</v>
      </c>
      <c r="O51" s="15">
        <f t="shared" si="0"/>
        <v>140.71428571428572</v>
      </c>
      <c r="P51" s="15">
        <f t="shared" si="1"/>
        <v>232.85714285714286</v>
      </c>
      <c r="R51" s="8"/>
      <c r="T51"/>
    </row>
    <row r="52" spans="2:20" ht="23.1" customHeight="1" x14ac:dyDescent="0.25">
      <c r="B52" s="24" t="s">
        <v>79</v>
      </c>
      <c r="C52" s="49">
        <f>AVERAGE('22.07 Wakiso-Kampala'!C52,'23.07 Wakiso-Kampala'!C52,'24.07 Wakiso-Kampala'!C52,'25.07 Wakiso-Kampala'!C52,'26.07 Wakiso-Kampala-24h'!C52,'27.07 Wakiso-Kampala-24h'!C52,'28.07 Wakiso-Kampala'!C52)</f>
        <v>51.571428571428569</v>
      </c>
      <c r="D52" s="49">
        <f>AVERAGE('22.07 Wakiso-Kampala'!D52,'23.07 Wakiso-Kampala'!D52,'24.07 Wakiso-Kampala'!D52,'25.07 Wakiso-Kampala'!D52,'26.07 Wakiso-Kampala-24h'!D52,'27.07 Wakiso-Kampala-24h'!D52,'28.07 Wakiso-Kampala'!D52)</f>
        <v>19.428571428571427</v>
      </c>
      <c r="E52" s="49">
        <f>AVERAGE('22.07 Wakiso-Kampala'!E52,'23.07 Wakiso-Kampala'!E52,'24.07 Wakiso-Kampala'!E52,'25.07 Wakiso-Kampala'!E52,'26.07 Wakiso-Kampala-24h'!E52,'27.07 Wakiso-Kampala-24h'!E52,'28.07 Wakiso-Kampala'!E52)</f>
        <v>7.7142857142857144</v>
      </c>
      <c r="F52" s="49">
        <f>AVERAGE('22.07 Wakiso-Kampala'!F52,'23.07 Wakiso-Kampala'!F52,'24.07 Wakiso-Kampala'!F52,'25.07 Wakiso-Kampala'!F52,'26.07 Wakiso-Kampala-24h'!F52,'27.07 Wakiso-Kampala-24h'!F52,'28.07 Wakiso-Kampala'!F52)</f>
        <v>53.142857142857146</v>
      </c>
      <c r="G52" s="49">
        <f>AVERAGE('22.07 Wakiso-Kampala'!G52,'23.07 Wakiso-Kampala'!G52,'24.07 Wakiso-Kampala'!G52,'25.07 Wakiso-Kampala'!G52,'26.07 Wakiso-Kampala-24h'!G52,'27.07 Wakiso-Kampala-24h'!G52,'28.07 Wakiso-Kampala'!G52)</f>
        <v>1</v>
      </c>
      <c r="H52" s="49">
        <f>AVERAGE('22.07 Wakiso-Kampala'!H52,'23.07 Wakiso-Kampala'!H52,'24.07 Wakiso-Kampala'!H52,'25.07 Wakiso-Kampala'!H52,'26.07 Wakiso-Kampala-24h'!H52,'27.07 Wakiso-Kampala-24h'!H52,'28.07 Wakiso-Kampala'!H52)</f>
        <v>0.14285714285714285</v>
      </c>
      <c r="I52" s="49">
        <f>AVERAGE('22.07 Wakiso-Kampala'!I52,'23.07 Wakiso-Kampala'!I52,'24.07 Wakiso-Kampala'!I52,'25.07 Wakiso-Kampala'!I52,'26.07 Wakiso-Kampala-24h'!I52,'27.07 Wakiso-Kampala-24h'!I52,'28.07 Wakiso-Kampala'!I52)</f>
        <v>9</v>
      </c>
      <c r="J52" s="49">
        <f>AVERAGE('22.07 Wakiso-Kampala'!J52,'23.07 Wakiso-Kampala'!J52,'24.07 Wakiso-Kampala'!J52,'25.07 Wakiso-Kampala'!J52,'26.07 Wakiso-Kampala-24h'!J52,'27.07 Wakiso-Kampala-24h'!J52,'28.07 Wakiso-Kampala'!J52)</f>
        <v>2.7142857142857144</v>
      </c>
      <c r="K52" s="49">
        <f>AVERAGE('22.07 Wakiso-Kampala'!K52,'23.07 Wakiso-Kampala'!K52,'24.07 Wakiso-Kampala'!K52,'25.07 Wakiso-Kampala'!K52,'26.07 Wakiso-Kampala-24h'!K52,'27.07 Wakiso-Kampala-24h'!K52,'28.07 Wakiso-Kampala'!K52)</f>
        <v>1.1428571428571428</v>
      </c>
      <c r="L52" s="49">
        <f>AVERAGE('22.07 Wakiso-Kampala'!L52,'23.07 Wakiso-Kampala'!L52,'24.07 Wakiso-Kampala'!L52,'25.07 Wakiso-Kampala'!L52,'26.07 Wakiso-Kampala-24h'!L52,'27.07 Wakiso-Kampala-24h'!L52,'28.07 Wakiso-Kampala'!L52)</f>
        <v>1</v>
      </c>
      <c r="M52" s="49">
        <f>AVERAGE('22.07 Wakiso-Kampala'!M52,'23.07 Wakiso-Kampala'!M52,'24.07 Wakiso-Kampala'!M52,'25.07 Wakiso-Kampala'!M52,'26.07 Wakiso-Kampala-24h'!M52,'27.07 Wakiso-Kampala-24h'!M52,'28.07 Wakiso-Kampala'!M52)</f>
        <v>93.142857142857139</v>
      </c>
      <c r="N52" s="49">
        <f>AVERAGE('22.07 Wakiso-Kampala'!N52,'23.07 Wakiso-Kampala'!N52,'24.07 Wakiso-Kampala'!N52,'25.07 Wakiso-Kampala'!N52,'26.07 Wakiso-Kampala-24h'!N52,'27.07 Wakiso-Kampala-24h'!N52,'28.07 Wakiso-Kampala'!N52)</f>
        <v>0</v>
      </c>
      <c r="O52" s="15">
        <f t="shared" si="0"/>
        <v>146.85714285714286</v>
      </c>
      <c r="P52" s="15">
        <f t="shared" si="1"/>
        <v>240</v>
      </c>
      <c r="R52" s="8"/>
      <c r="T52"/>
    </row>
    <row r="53" spans="2:20" ht="23.1" customHeight="1" x14ac:dyDescent="0.25">
      <c r="B53" s="23" t="s">
        <v>80</v>
      </c>
      <c r="C53" s="49">
        <f>AVERAGE('22.07 Wakiso-Kampala'!C53,'23.07 Wakiso-Kampala'!C53,'24.07 Wakiso-Kampala'!C53,'25.07 Wakiso-Kampala'!C53,'26.07 Wakiso-Kampala-24h'!C53,'27.07 Wakiso-Kampala-24h'!C53,'28.07 Wakiso-Kampala'!C53)</f>
        <v>35</v>
      </c>
      <c r="D53" s="49">
        <f>AVERAGE('22.07 Wakiso-Kampala'!D53,'23.07 Wakiso-Kampala'!D53,'24.07 Wakiso-Kampala'!D53,'25.07 Wakiso-Kampala'!D53,'26.07 Wakiso-Kampala-24h'!D53,'27.07 Wakiso-Kampala-24h'!D53,'28.07 Wakiso-Kampala'!D53)</f>
        <v>20.142857142857142</v>
      </c>
      <c r="E53" s="49">
        <f>AVERAGE('22.07 Wakiso-Kampala'!E53,'23.07 Wakiso-Kampala'!E53,'24.07 Wakiso-Kampala'!E53,'25.07 Wakiso-Kampala'!E53,'26.07 Wakiso-Kampala-24h'!E53,'27.07 Wakiso-Kampala-24h'!E53,'28.07 Wakiso-Kampala'!E53)</f>
        <v>5.7142857142857144</v>
      </c>
      <c r="F53" s="49">
        <f>AVERAGE('22.07 Wakiso-Kampala'!F53,'23.07 Wakiso-Kampala'!F53,'24.07 Wakiso-Kampala'!F53,'25.07 Wakiso-Kampala'!F53,'26.07 Wakiso-Kampala-24h'!F53,'27.07 Wakiso-Kampala-24h'!F53,'28.07 Wakiso-Kampala'!F53)</f>
        <v>50.142857142857146</v>
      </c>
      <c r="G53" s="49">
        <f>AVERAGE('22.07 Wakiso-Kampala'!G53,'23.07 Wakiso-Kampala'!G53,'24.07 Wakiso-Kampala'!G53,'25.07 Wakiso-Kampala'!G53,'26.07 Wakiso-Kampala-24h'!G53,'27.07 Wakiso-Kampala-24h'!G53,'28.07 Wakiso-Kampala'!G53)</f>
        <v>1.4285714285714286</v>
      </c>
      <c r="H53" s="49">
        <f>AVERAGE('22.07 Wakiso-Kampala'!H53,'23.07 Wakiso-Kampala'!H53,'24.07 Wakiso-Kampala'!H53,'25.07 Wakiso-Kampala'!H53,'26.07 Wakiso-Kampala-24h'!H53,'27.07 Wakiso-Kampala-24h'!H53,'28.07 Wakiso-Kampala'!H53)</f>
        <v>0</v>
      </c>
      <c r="I53" s="49">
        <f>AVERAGE('22.07 Wakiso-Kampala'!I53,'23.07 Wakiso-Kampala'!I53,'24.07 Wakiso-Kampala'!I53,'25.07 Wakiso-Kampala'!I53,'26.07 Wakiso-Kampala-24h'!I53,'27.07 Wakiso-Kampala-24h'!I53,'28.07 Wakiso-Kampala'!I53)</f>
        <v>7.7142857142857144</v>
      </c>
      <c r="J53" s="49">
        <f>AVERAGE('22.07 Wakiso-Kampala'!J53,'23.07 Wakiso-Kampala'!J53,'24.07 Wakiso-Kampala'!J53,'25.07 Wakiso-Kampala'!J53,'26.07 Wakiso-Kampala-24h'!J53,'27.07 Wakiso-Kampala-24h'!J53,'28.07 Wakiso-Kampala'!J53)</f>
        <v>2.4285714285714284</v>
      </c>
      <c r="K53" s="49">
        <f>AVERAGE('22.07 Wakiso-Kampala'!K53,'23.07 Wakiso-Kampala'!K53,'24.07 Wakiso-Kampala'!K53,'25.07 Wakiso-Kampala'!K53,'26.07 Wakiso-Kampala-24h'!K53,'27.07 Wakiso-Kampala-24h'!K53,'28.07 Wakiso-Kampala'!K53)</f>
        <v>1.1428571428571428</v>
      </c>
      <c r="L53" s="49">
        <f>AVERAGE('22.07 Wakiso-Kampala'!L53,'23.07 Wakiso-Kampala'!L53,'24.07 Wakiso-Kampala'!L53,'25.07 Wakiso-Kampala'!L53,'26.07 Wakiso-Kampala-24h'!L53,'27.07 Wakiso-Kampala-24h'!L53,'28.07 Wakiso-Kampala'!L53)</f>
        <v>0.5714285714285714</v>
      </c>
      <c r="M53" s="49">
        <f>AVERAGE('22.07 Wakiso-Kampala'!M53,'23.07 Wakiso-Kampala'!M53,'24.07 Wakiso-Kampala'!M53,'25.07 Wakiso-Kampala'!M53,'26.07 Wakiso-Kampala-24h'!M53,'27.07 Wakiso-Kampala-24h'!M53,'28.07 Wakiso-Kampala'!M53)</f>
        <v>101</v>
      </c>
      <c r="N53" s="49">
        <f>AVERAGE('22.07 Wakiso-Kampala'!N53,'23.07 Wakiso-Kampala'!N53,'24.07 Wakiso-Kampala'!N53,'25.07 Wakiso-Kampala'!N53,'26.07 Wakiso-Kampala-24h'!N53,'27.07 Wakiso-Kampala-24h'!N53,'28.07 Wakiso-Kampala'!N53)</f>
        <v>0</v>
      </c>
      <c r="O53" s="15">
        <f t="shared" si="0"/>
        <v>124.28571428571428</v>
      </c>
      <c r="P53" s="15">
        <f t="shared" si="1"/>
        <v>225.28571428571428</v>
      </c>
      <c r="R53" s="8"/>
      <c r="T53"/>
    </row>
    <row r="54" spans="2:20" ht="23.1" customHeight="1" x14ac:dyDescent="0.25">
      <c r="B54" s="23" t="s">
        <v>81</v>
      </c>
      <c r="C54" s="49">
        <f>AVERAGE('22.07 Wakiso-Kampala'!C54,'23.07 Wakiso-Kampala'!C54,'24.07 Wakiso-Kampala'!C54,'25.07 Wakiso-Kampala'!C54,'26.07 Wakiso-Kampala-24h'!C54,'27.07 Wakiso-Kampala-24h'!C54,'28.07 Wakiso-Kampala'!C54)</f>
        <v>44.428571428571431</v>
      </c>
      <c r="D54" s="49">
        <f>AVERAGE('22.07 Wakiso-Kampala'!D54,'23.07 Wakiso-Kampala'!D54,'24.07 Wakiso-Kampala'!D54,'25.07 Wakiso-Kampala'!D54,'26.07 Wakiso-Kampala-24h'!D54,'27.07 Wakiso-Kampala-24h'!D54,'28.07 Wakiso-Kampala'!D54)</f>
        <v>17.285714285714285</v>
      </c>
      <c r="E54" s="49">
        <f>AVERAGE('22.07 Wakiso-Kampala'!E54,'23.07 Wakiso-Kampala'!E54,'24.07 Wakiso-Kampala'!E54,'25.07 Wakiso-Kampala'!E54,'26.07 Wakiso-Kampala-24h'!E54,'27.07 Wakiso-Kampala-24h'!E54,'28.07 Wakiso-Kampala'!E54)</f>
        <v>7.2857142857142856</v>
      </c>
      <c r="F54" s="49">
        <f>AVERAGE('22.07 Wakiso-Kampala'!F54,'23.07 Wakiso-Kampala'!F54,'24.07 Wakiso-Kampala'!F54,'25.07 Wakiso-Kampala'!F54,'26.07 Wakiso-Kampala-24h'!F54,'27.07 Wakiso-Kampala-24h'!F54,'28.07 Wakiso-Kampala'!F54)</f>
        <v>50.285714285714285</v>
      </c>
      <c r="G54" s="49">
        <f>AVERAGE('22.07 Wakiso-Kampala'!G54,'23.07 Wakiso-Kampala'!G54,'24.07 Wakiso-Kampala'!G54,'25.07 Wakiso-Kampala'!G54,'26.07 Wakiso-Kampala-24h'!G54,'27.07 Wakiso-Kampala-24h'!G54,'28.07 Wakiso-Kampala'!G54)</f>
        <v>1.5714285714285714</v>
      </c>
      <c r="H54" s="49">
        <f>AVERAGE('22.07 Wakiso-Kampala'!H54,'23.07 Wakiso-Kampala'!H54,'24.07 Wakiso-Kampala'!H54,'25.07 Wakiso-Kampala'!H54,'26.07 Wakiso-Kampala-24h'!H54,'27.07 Wakiso-Kampala-24h'!H54,'28.07 Wakiso-Kampala'!H54)</f>
        <v>1.5714285714285714</v>
      </c>
      <c r="I54" s="49">
        <f>AVERAGE('22.07 Wakiso-Kampala'!I54,'23.07 Wakiso-Kampala'!I54,'24.07 Wakiso-Kampala'!I54,'25.07 Wakiso-Kampala'!I54,'26.07 Wakiso-Kampala-24h'!I54,'27.07 Wakiso-Kampala-24h'!I54,'28.07 Wakiso-Kampala'!I54)</f>
        <v>5.2857142857142856</v>
      </c>
      <c r="J54" s="49">
        <f>AVERAGE('22.07 Wakiso-Kampala'!J54,'23.07 Wakiso-Kampala'!J54,'24.07 Wakiso-Kampala'!J54,'25.07 Wakiso-Kampala'!J54,'26.07 Wakiso-Kampala-24h'!J54,'27.07 Wakiso-Kampala-24h'!J54,'28.07 Wakiso-Kampala'!J54)</f>
        <v>0.7142857142857143</v>
      </c>
      <c r="K54" s="49">
        <f>AVERAGE('22.07 Wakiso-Kampala'!K54,'23.07 Wakiso-Kampala'!K54,'24.07 Wakiso-Kampala'!K54,'25.07 Wakiso-Kampala'!K54,'26.07 Wakiso-Kampala-24h'!K54,'27.07 Wakiso-Kampala-24h'!K54,'28.07 Wakiso-Kampala'!K54)</f>
        <v>0.42857142857142855</v>
      </c>
      <c r="L54" s="49">
        <f>AVERAGE('22.07 Wakiso-Kampala'!L54,'23.07 Wakiso-Kampala'!L54,'24.07 Wakiso-Kampala'!L54,'25.07 Wakiso-Kampala'!L54,'26.07 Wakiso-Kampala-24h'!L54,'27.07 Wakiso-Kampala-24h'!L54,'28.07 Wakiso-Kampala'!L54)</f>
        <v>1</v>
      </c>
      <c r="M54" s="49">
        <f>AVERAGE('22.07 Wakiso-Kampala'!M54,'23.07 Wakiso-Kampala'!M54,'24.07 Wakiso-Kampala'!M54,'25.07 Wakiso-Kampala'!M54,'26.07 Wakiso-Kampala-24h'!M54,'27.07 Wakiso-Kampala-24h'!M54,'28.07 Wakiso-Kampala'!M54)</f>
        <v>101.42857142857143</v>
      </c>
      <c r="N54" s="49">
        <f>AVERAGE('22.07 Wakiso-Kampala'!N54,'23.07 Wakiso-Kampala'!N54,'24.07 Wakiso-Kampala'!N54,'25.07 Wakiso-Kampala'!N54,'26.07 Wakiso-Kampala-24h'!N54,'27.07 Wakiso-Kampala-24h'!N54,'28.07 Wakiso-Kampala'!N54)</f>
        <v>0</v>
      </c>
      <c r="O54" s="15">
        <f t="shared" si="0"/>
        <v>129.85714285714283</v>
      </c>
      <c r="P54" s="15">
        <f t="shared" si="1"/>
        <v>231.28571428571428</v>
      </c>
      <c r="R54" s="8"/>
      <c r="T54"/>
    </row>
    <row r="55" spans="2:20" ht="23.1" customHeight="1" x14ac:dyDescent="0.25">
      <c r="B55" s="23" t="s">
        <v>82</v>
      </c>
      <c r="C55" s="49">
        <f>AVERAGE('22.07 Wakiso-Kampala'!C55,'23.07 Wakiso-Kampala'!C55,'24.07 Wakiso-Kampala'!C55,'25.07 Wakiso-Kampala'!C55,'26.07 Wakiso-Kampala-24h'!C55,'27.07 Wakiso-Kampala-24h'!C55,'28.07 Wakiso-Kampala'!C55)</f>
        <v>43.857142857142854</v>
      </c>
      <c r="D55" s="49">
        <f>AVERAGE('22.07 Wakiso-Kampala'!D55,'23.07 Wakiso-Kampala'!D55,'24.07 Wakiso-Kampala'!D55,'25.07 Wakiso-Kampala'!D55,'26.07 Wakiso-Kampala-24h'!D55,'27.07 Wakiso-Kampala-24h'!D55,'28.07 Wakiso-Kampala'!D55)</f>
        <v>15.571428571428571</v>
      </c>
      <c r="E55" s="49">
        <f>AVERAGE('22.07 Wakiso-Kampala'!E55,'23.07 Wakiso-Kampala'!E55,'24.07 Wakiso-Kampala'!E55,'25.07 Wakiso-Kampala'!E55,'26.07 Wakiso-Kampala-24h'!E55,'27.07 Wakiso-Kampala-24h'!E55,'28.07 Wakiso-Kampala'!E55)</f>
        <v>5.1428571428571432</v>
      </c>
      <c r="F55" s="49">
        <f>AVERAGE('22.07 Wakiso-Kampala'!F55,'23.07 Wakiso-Kampala'!F55,'24.07 Wakiso-Kampala'!F55,'25.07 Wakiso-Kampala'!F55,'26.07 Wakiso-Kampala-24h'!F55,'27.07 Wakiso-Kampala-24h'!F55,'28.07 Wakiso-Kampala'!F55)</f>
        <v>54.714285714285715</v>
      </c>
      <c r="G55" s="49">
        <f>AVERAGE('22.07 Wakiso-Kampala'!G55,'23.07 Wakiso-Kampala'!G55,'24.07 Wakiso-Kampala'!G55,'25.07 Wakiso-Kampala'!G55,'26.07 Wakiso-Kampala-24h'!G55,'27.07 Wakiso-Kampala-24h'!G55,'28.07 Wakiso-Kampala'!G55)</f>
        <v>1.2857142857142858</v>
      </c>
      <c r="H55" s="49">
        <f>AVERAGE('22.07 Wakiso-Kampala'!H55,'23.07 Wakiso-Kampala'!H55,'24.07 Wakiso-Kampala'!H55,'25.07 Wakiso-Kampala'!H55,'26.07 Wakiso-Kampala-24h'!H55,'27.07 Wakiso-Kampala-24h'!H55,'28.07 Wakiso-Kampala'!H55)</f>
        <v>0</v>
      </c>
      <c r="I55" s="49">
        <f>AVERAGE('22.07 Wakiso-Kampala'!I55,'23.07 Wakiso-Kampala'!I55,'24.07 Wakiso-Kampala'!I55,'25.07 Wakiso-Kampala'!I55,'26.07 Wakiso-Kampala-24h'!I55,'27.07 Wakiso-Kampala-24h'!I55,'28.07 Wakiso-Kampala'!I55)</f>
        <v>7</v>
      </c>
      <c r="J55" s="49">
        <f>AVERAGE('22.07 Wakiso-Kampala'!J55,'23.07 Wakiso-Kampala'!J55,'24.07 Wakiso-Kampala'!J55,'25.07 Wakiso-Kampala'!J55,'26.07 Wakiso-Kampala-24h'!J55,'27.07 Wakiso-Kampala-24h'!J55,'28.07 Wakiso-Kampala'!J55)</f>
        <v>2</v>
      </c>
      <c r="K55" s="49">
        <f>AVERAGE('22.07 Wakiso-Kampala'!K55,'23.07 Wakiso-Kampala'!K55,'24.07 Wakiso-Kampala'!K55,'25.07 Wakiso-Kampala'!K55,'26.07 Wakiso-Kampala-24h'!K55,'27.07 Wakiso-Kampala-24h'!K55,'28.07 Wakiso-Kampala'!K55)</f>
        <v>1</v>
      </c>
      <c r="L55" s="49">
        <f>AVERAGE('22.07 Wakiso-Kampala'!L55,'23.07 Wakiso-Kampala'!L55,'24.07 Wakiso-Kampala'!L55,'25.07 Wakiso-Kampala'!L55,'26.07 Wakiso-Kampala-24h'!L55,'27.07 Wakiso-Kampala-24h'!L55,'28.07 Wakiso-Kampala'!L55)</f>
        <v>0.8571428571428571</v>
      </c>
      <c r="M55" s="49">
        <f>AVERAGE('22.07 Wakiso-Kampala'!M55,'23.07 Wakiso-Kampala'!M55,'24.07 Wakiso-Kampala'!M55,'25.07 Wakiso-Kampala'!M55,'26.07 Wakiso-Kampala-24h'!M55,'27.07 Wakiso-Kampala-24h'!M55,'28.07 Wakiso-Kampala'!M55)</f>
        <v>81.428571428571431</v>
      </c>
      <c r="N55" s="49">
        <f>AVERAGE('22.07 Wakiso-Kampala'!N55,'23.07 Wakiso-Kampala'!N55,'24.07 Wakiso-Kampala'!N55,'25.07 Wakiso-Kampala'!N55,'26.07 Wakiso-Kampala-24h'!N55,'27.07 Wakiso-Kampala-24h'!N55,'28.07 Wakiso-Kampala'!N55)</f>
        <v>0</v>
      </c>
      <c r="O55" s="15">
        <f t="shared" si="0"/>
        <v>131.42857142857142</v>
      </c>
      <c r="P55" s="15">
        <f t="shared" si="1"/>
        <v>212.85714285714283</v>
      </c>
      <c r="R55" s="8"/>
      <c r="T55"/>
    </row>
    <row r="56" spans="2:20" ht="23.1" customHeight="1" x14ac:dyDescent="0.25">
      <c r="B56" s="23" t="s">
        <v>83</v>
      </c>
      <c r="C56" s="49">
        <f>AVERAGE('22.07 Wakiso-Kampala'!C56,'23.07 Wakiso-Kampala'!C56,'24.07 Wakiso-Kampala'!C56,'25.07 Wakiso-Kampala'!C56,'26.07 Wakiso-Kampala-24h'!C56,'27.07 Wakiso-Kampala-24h'!C56,'28.07 Wakiso-Kampala'!C56)</f>
        <v>39.285714285714285</v>
      </c>
      <c r="D56" s="49">
        <f>AVERAGE('22.07 Wakiso-Kampala'!D56,'23.07 Wakiso-Kampala'!D56,'24.07 Wakiso-Kampala'!D56,'25.07 Wakiso-Kampala'!D56,'26.07 Wakiso-Kampala-24h'!D56,'27.07 Wakiso-Kampala-24h'!D56,'28.07 Wakiso-Kampala'!D56)</f>
        <v>17.142857142857142</v>
      </c>
      <c r="E56" s="49">
        <f>AVERAGE('22.07 Wakiso-Kampala'!E56,'23.07 Wakiso-Kampala'!E56,'24.07 Wakiso-Kampala'!E56,'25.07 Wakiso-Kampala'!E56,'26.07 Wakiso-Kampala-24h'!E56,'27.07 Wakiso-Kampala-24h'!E56,'28.07 Wakiso-Kampala'!E56)</f>
        <v>5.8571428571428568</v>
      </c>
      <c r="F56" s="49">
        <f>AVERAGE('22.07 Wakiso-Kampala'!F56,'23.07 Wakiso-Kampala'!F56,'24.07 Wakiso-Kampala'!F56,'25.07 Wakiso-Kampala'!F56,'26.07 Wakiso-Kampala-24h'!F56,'27.07 Wakiso-Kampala-24h'!F56,'28.07 Wakiso-Kampala'!F56)</f>
        <v>67.428571428571431</v>
      </c>
      <c r="G56" s="49">
        <f>AVERAGE('22.07 Wakiso-Kampala'!G56,'23.07 Wakiso-Kampala'!G56,'24.07 Wakiso-Kampala'!G56,'25.07 Wakiso-Kampala'!G56,'26.07 Wakiso-Kampala-24h'!G56,'27.07 Wakiso-Kampala-24h'!G56,'28.07 Wakiso-Kampala'!G56)</f>
        <v>1.8571428571428572</v>
      </c>
      <c r="H56" s="49">
        <f>AVERAGE('22.07 Wakiso-Kampala'!H56,'23.07 Wakiso-Kampala'!H56,'24.07 Wakiso-Kampala'!H56,'25.07 Wakiso-Kampala'!H56,'26.07 Wakiso-Kampala-24h'!H56,'27.07 Wakiso-Kampala-24h'!H56,'28.07 Wakiso-Kampala'!H56)</f>
        <v>0.2857142857142857</v>
      </c>
      <c r="I56" s="49">
        <f>AVERAGE('22.07 Wakiso-Kampala'!I56,'23.07 Wakiso-Kampala'!I56,'24.07 Wakiso-Kampala'!I56,'25.07 Wakiso-Kampala'!I56,'26.07 Wakiso-Kampala-24h'!I56,'27.07 Wakiso-Kampala-24h'!I56,'28.07 Wakiso-Kampala'!I56)</f>
        <v>7.2857142857142856</v>
      </c>
      <c r="J56" s="49">
        <f>AVERAGE('22.07 Wakiso-Kampala'!J56,'23.07 Wakiso-Kampala'!J56,'24.07 Wakiso-Kampala'!J56,'25.07 Wakiso-Kampala'!J56,'26.07 Wakiso-Kampala-24h'!J56,'27.07 Wakiso-Kampala-24h'!J56,'28.07 Wakiso-Kampala'!J56)</f>
        <v>1.7142857142857142</v>
      </c>
      <c r="K56" s="49">
        <f>AVERAGE('22.07 Wakiso-Kampala'!K56,'23.07 Wakiso-Kampala'!K56,'24.07 Wakiso-Kampala'!K56,'25.07 Wakiso-Kampala'!K56,'26.07 Wakiso-Kampala-24h'!K56,'27.07 Wakiso-Kampala-24h'!K56,'28.07 Wakiso-Kampala'!K56)</f>
        <v>0.42857142857142855</v>
      </c>
      <c r="L56" s="49">
        <f>AVERAGE('22.07 Wakiso-Kampala'!L56,'23.07 Wakiso-Kampala'!L56,'24.07 Wakiso-Kampala'!L56,'25.07 Wakiso-Kampala'!L56,'26.07 Wakiso-Kampala-24h'!L56,'27.07 Wakiso-Kampala-24h'!L56,'28.07 Wakiso-Kampala'!L56)</f>
        <v>0.42857142857142855</v>
      </c>
      <c r="M56" s="49">
        <f>AVERAGE('22.07 Wakiso-Kampala'!M56,'23.07 Wakiso-Kampala'!M56,'24.07 Wakiso-Kampala'!M56,'25.07 Wakiso-Kampala'!M56,'26.07 Wakiso-Kampala-24h'!M56,'27.07 Wakiso-Kampala-24h'!M56,'28.07 Wakiso-Kampala'!M56)</f>
        <v>113.57142857142857</v>
      </c>
      <c r="N56" s="49">
        <f>AVERAGE('22.07 Wakiso-Kampala'!N56,'23.07 Wakiso-Kampala'!N56,'24.07 Wakiso-Kampala'!N56,'25.07 Wakiso-Kampala'!N56,'26.07 Wakiso-Kampala-24h'!N56,'27.07 Wakiso-Kampala-24h'!N56,'28.07 Wakiso-Kampala'!N56)</f>
        <v>0</v>
      </c>
      <c r="O56" s="15">
        <f t="shared" si="0"/>
        <v>141.71428571428569</v>
      </c>
      <c r="P56" s="15">
        <f t="shared" si="1"/>
        <v>255.28571428571428</v>
      </c>
      <c r="R56" s="8"/>
      <c r="T56"/>
    </row>
    <row r="57" spans="2:20" ht="23.1" customHeight="1" x14ac:dyDescent="0.25">
      <c r="B57" s="23" t="s">
        <v>84</v>
      </c>
      <c r="C57" s="49">
        <f>AVERAGE('22.07 Wakiso-Kampala'!C57,'23.07 Wakiso-Kampala'!C57,'24.07 Wakiso-Kampala'!C57,'25.07 Wakiso-Kampala'!C57,'26.07 Wakiso-Kampala-24h'!C57,'27.07 Wakiso-Kampala-24h'!C57,'28.07 Wakiso-Kampala'!C57)</f>
        <v>35.142857142857146</v>
      </c>
      <c r="D57" s="49">
        <f>AVERAGE('22.07 Wakiso-Kampala'!D57,'23.07 Wakiso-Kampala'!D57,'24.07 Wakiso-Kampala'!D57,'25.07 Wakiso-Kampala'!D57,'26.07 Wakiso-Kampala-24h'!D57,'27.07 Wakiso-Kampala-24h'!D57,'28.07 Wakiso-Kampala'!D57)</f>
        <v>10.428571428571429</v>
      </c>
      <c r="E57" s="49">
        <f>AVERAGE('22.07 Wakiso-Kampala'!E57,'23.07 Wakiso-Kampala'!E57,'24.07 Wakiso-Kampala'!E57,'25.07 Wakiso-Kampala'!E57,'26.07 Wakiso-Kampala-24h'!E57,'27.07 Wakiso-Kampala-24h'!E57,'28.07 Wakiso-Kampala'!E57)</f>
        <v>6.4285714285714288</v>
      </c>
      <c r="F57" s="49">
        <f>AVERAGE('22.07 Wakiso-Kampala'!F57,'23.07 Wakiso-Kampala'!F57,'24.07 Wakiso-Kampala'!F57,'25.07 Wakiso-Kampala'!F57,'26.07 Wakiso-Kampala-24h'!F57,'27.07 Wakiso-Kampala-24h'!F57,'28.07 Wakiso-Kampala'!F57)</f>
        <v>48.857142857142854</v>
      </c>
      <c r="G57" s="49">
        <f>AVERAGE('22.07 Wakiso-Kampala'!G57,'23.07 Wakiso-Kampala'!G57,'24.07 Wakiso-Kampala'!G57,'25.07 Wakiso-Kampala'!G57,'26.07 Wakiso-Kampala-24h'!G57,'27.07 Wakiso-Kampala-24h'!G57,'28.07 Wakiso-Kampala'!G57)</f>
        <v>1.4285714285714286</v>
      </c>
      <c r="H57" s="49">
        <f>AVERAGE('22.07 Wakiso-Kampala'!H57,'23.07 Wakiso-Kampala'!H57,'24.07 Wakiso-Kampala'!H57,'25.07 Wakiso-Kampala'!H57,'26.07 Wakiso-Kampala-24h'!H57,'27.07 Wakiso-Kampala-24h'!H57,'28.07 Wakiso-Kampala'!H57)</f>
        <v>0.2857142857142857</v>
      </c>
      <c r="I57" s="49">
        <f>AVERAGE('22.07 Wakiso-Kampala'!I57,'23.07 Wakiso-Kampala'!I57,'24.07 Wakiso-Kampala'!I57,'25.07 Wakiso-Kampala'!I57,'26.07 Wakiso-Kampala-24h'!I57,'27.07 Wakiso-Kampala-24h'!I57,'28.07 Wakiso-Kampala'!I57)</f>
        <v>7.2857142857142856</v>
      </c>
      <c r="J57" s="49">
        <f>AVERAGE('22.07 Wakiso-Kampala'!J57,'23.07 Wakiso-Kampala'!J57,'24.07 Wakiso-Kampala'!J57,'25.07 Wakiso-Kampala'!J57,'26.07 Wakiso-Kampala-24h'!J57,'27.07 Wakiso-Kampala-24h'!J57,'28.07 Wakiso-Kampala'!J57)</f>
        <v>1.1428571428571428</v>
      </c>
      <c r="K57" s="49">
        <f>AVERAGE('22.07 Wakiso-Kampala'!K57,'23.07 Wakiso-Kampala'!K57,'24.07 Wakiso-Kampala'!K57,'25.07 Wakiso-Kampala'!K57,'26.07 Wakiso-Kampala-24h'!K57,'27.07 Wakiso-Kampala-24h'!K57,'28.07 Wakiso-Kampala'!K57)</f>
        <v>0.2857142857142857</v>
      </c>
      <c r="L57" s="49">
        <f>AVERAGE('22.07 Wakiso-Kampala'!L57,'23.07 Wakiso-Kampala'!L57,'24.07 Wakiso-Kampala'!L57,'25.07 Wakiso-Kampala'!L57,'26.07 Wakiso-Kampala-24h'!L57,'27.07 Wakiso-Kampala-24h'!L57,'28.07 Wakiso-Kampala'!L57)</f>
        <v>0.5714285714285714</v>
      </c>
      <c r="M57" s="49">
        <f>AVERAGE('22.07 Wakiso-Kampala'!M57,'23.07 Wakiso-Kampala'!M57,'24.07 Wakiso-Kampala'!M57,'25.07 Wakiso-Kampala'!M57,'26.07 Wakiso-Kampala-24h'!M57,'27.07 Wakiso-Kampala-24h'!M57,'28.07 Wakiso-Kampala'!M57)</f>
        <v>95.714285714285708</v>
      </c>
      <c r="N57" s="49">
        <f>AVERAGE('22.07 Wakiso-Kampala'!N57,'23.07 Wakiso-Kampala'!N57,'24.07 Wakiso-Kampala'!N57,'25.07 Wakiso-Kampala'!N57,'26.07 Wakiso-Kampala-24h'!N57,'27.07 Wakiso-Kampala-24h'!N57,'28.07 Wakiso-Kampala'!N57)</f>
        <v>0</v>
      </c>
      <c r="O57" s="15">
        <f t="shared" si="0"/>
        <v>111.85714285714288</v>
      </c>
      <c r="P57" s="15">
        <f t="shared" si="1"/>
        <v>207.57142857142858</v>
      </c>
      <c r="R57" s="8"/>
      <c r="T57"/>
    </row>
    <row r="58" spans="2:20" ht="23.1" customHeight="1" x14ac:dyDescent="0.25">
      <c r="B58" s="23" t="s">
        <v>99</v>
      </c>
      <c r="C58" s="49">
        <f>AVERAGE('26.07 Wakiso-Kampala-24h'!C58,'27.07 Wakiso-Kampala-24h'!C58)</f>
        <v>30</v>
      </c>
      <c r="D58" s="49">
        <f>AVERAGE('26.07 Wakiso-Kampala-24h'!D58,'27.07 Wakiso-Kampala-24h'!D58)</f>
        <v>14</v>
      </c>
      <c r="E58" s="49">
        <f>AVERAGE('26.07 Wakiso-Kampala-24h'!E58,'27.07 Wakiso-Kampala-24h'!E58)</f>
        <v>12.5</v>
      </c>
      <c r="F58" s="49">
        <f>AVERAGE('26.07 Wakiso-Kampala-24h'!F58,'27.07 Wakiso-Kampala-24h'!F58)</f>
        <v>67.5</v>
      </c>
      <c r="G58" s="49">
        <f>AVERAGE('26.07 Wakiso-Kampala-24h'!G58,'27.07 Wakiso-Kampala-24h'!G58)</f>
        <v>4.5</v>
      </c>
      <c r="H58" s="49">
        <f>AVERAGE('26.07 Wakiso-Kampala-24h'!H58,'27.07 Wakiso-Kampala-24h'!H58)</f>
        <v>1</v>
      </c>
      <c r="I58" s="49">
        <f>AVERAGE('26.07 Wakiso-Kampala-24h'!I58,'27.07 Wakiso-Kampala-24h'!I58)</f>
        <v>6.5</v>
      </c>
      <c r="J58" s="49">
        <f>AVERAGE('26.07 Wakiso-Kampala-24h'!J58,'27.07 Wakiso-Kampala-24h'!J58)</f>
        <v>1.5</v>
      </c>
      <c r="K58" s="49">
        <f>AVERAGE('26.07 Wakiso-Kampala-24h'!K58,'27.07 Wakiso-Kampala-24h'!K58)</f>
        <v>2</v>
      </c>
      <c r="L58" s="49">
        <f>AVERAGE('26.07 Wakiso-Kampala-24h'!L58,'27.07 Wakiso-Kampala-24h'!L58)</f>
        <v>1</v>
      </c>
      <c r="M58" s="49">
        <f>AVERAGE('26.07 Wakiso-Kampala-24h'!M58,'27.07 Wakiso-Kampala-24h'!M58)</f>
        <v>83.5</v>
      </c>
      <c r="N58" s="49">
        <f>AVERAGE('26.07 Wakiso-Kampala-24h'!N58,'27.07 Wakiso-Kampala-24h'!N58)</f>
        <v>0</v>
      </c>
      <c r="O58" s="15">
        <f t="shared" si="0"/>
        <v>140.5</v>
      </c>
      <c r="P58" s="15">
        <f t="shared" si="1"/>
        <v>224</v>
      </c>
      <c r="R58" s="8"/>
      <c r="T58"/>
    </row>
    <row r="59" spans="2:20" ht="23.1" customHeight="1" x14ac:dyDescent="0.25">
      <c r="B59" s="23" t="s">
        <v>100</v>
      </c>
      <c r="C59" s="49">
        <f>AVERAGE('26.07 Wakiso-Kampala-24h'!C59,'27.07 Wakiso-Kampala-24h'!C59)</f>
        <v>43.5</v>
      </c>
      <c r="D59" s="49">
        <f>AVERAGE('26.07 Wakiso-Kampala-24h'!D59,'27.07 Wakiso-Kampala-24h'!D59)</f>
        <v>18</v>
      </c>
      <c r="E59" s="49">
        <f>AVERAGE('26.07 Wakiso-Kampala-24h'!E59,'27.07 Wakiso-Kampala-24h'!E59)</f>
        <v>3</v>
      </c>
      <c r="F59" s="49">
        <f>AVERAGE('26.07 Wakiso-Kampala-24h'!F59,'27.07 Wakiso-Kampala-24h'!F59)</f>
        <v>57.5</v>
      </c>
      <c r="G59" s="49">
        <f>AVERAGE('26.07 Wakiso-Kampala-24h'!G59,'27.07 Wakiso-Kampala-24h'!G59)</f>
        <v>1</v>
      </c>
      <c r="H59" s="49">
        <f>AVERAGE('26.07 Wakiso-Kampala-24h'!H59,'27.07 Wakiso-Kampala-24h'!H59)</f>
        <v>0</v>
      </c>
      <c r="I59" s="49">
        <f>AVERAGE('26.07 Wakiso-Kampala-24h'!I59,'27.07 Wakiso-Kampala-24h'!I59)</f>
        <v>11</v>
      </c>
      <c r="J59" s="49">
        <f>AVERAGE('26.07 Wakiso-Kampala-24h'!J59,'27.07 Wakiso-Kampala-24h'!J59)</f>
        <v>5.5</v>
      </c>
      <c r="K59" s="49">
        <f>AVERAGE('26.07 Wakiso-Kampala-24h'!K59,'27.07 Wakiso-Kampala-24h'!K59)</f>
        <v>1</v>
      </c>
      <c r="L59" s="49">
        <f>AVERAGE('26.07 Wakiso-Kampala-24h'!L59,'27.07 Wakiso-Kampala-24h'!L59)</f>
        <v>1</v>
      </c>
      <c r="M59" s="49">
        <f>AVERAGE('26.07 Wakiso-Kampala-24h'!M59,'27.07 Wakiso-Kampala-24h'!M59)</f>
        <v>70</v>
      </c>
      <c r="N59" s="49">
        <f>AVERAGE('26.07 Wakiso-Kampala-24h'!N59,'27.07 Wakiso-Kampala-24h'!N59)</f>
        <v>0</v>
      </c>
      <c r="O59" s="15">
        <f t="shared" si="0"/>
        <v>141.5</v>
      </c>
      <c r="P59" s="15">
        <f t="shared" si="1"/>
        <v>211.5</v>
      </c>
      <c r="R59" s="8"/>
      <c r="T59"/>
    </row>
    <row r="60" spans="2:20" ht="23.1" customHeight="1" x14ac:dyDescent="0.25">
      <c r="B60" s="23" t="s">
        <v>101</v>
      </c>
      <c r="C60" s="49">
        <f>AVERAGE('26.07 Wakiso-Kampala-24h'!C60,'27.07 Wakiso-Kampala-24h'!C60)</f>
        <v>44</v>
      </c>
      <c r="D60" s="49">
        <f>AVERAGE('26.07 Wakiso-Kampala-24h'!D60,'27.07 Wakiso-Kampala-24h'!D60)</f>
        <v>8.5</v>
      </c>
      <c r="E60" s="49">
        <f>AVERAGE('26.07 Wakiso-Kampala-24h'!E60,'27.07 Wakiso-Kampala-24h'!E60)</f>
        <v>5.5</v>
      </c>
      <c r="F60" s="49">
        <f>AVERAGE('26.07 Wakiso-Kampala-24h'!F60,'27.07 Wakiso-Kampala-24h'!F60)</f>
        <v>37.5</v>
      </c>
      <c r="G60" s="49">
        <f>AVERAGE('26.07 Wakiso-Kampala-24h'!G60,'27.07 Wakiso-Kampala-24h'!G60)</f>
        <v>2</v>
      </c>
      <c r="H60" s="49">
        <f>AVERAGE('26.07 Wakiso-Kampala-24h'!H60,'27.07 Wakiso-Kampala-24h'!H60)</f>
        <v>0.5</v>
      </c>
      <c r="I60" s="49">
        <f>AVERAGE('26.07 Wakiso-Kampala-24h'!I60,'27.07 Wakiso-Kampala-24h'!I60)</f>
        <v>7</v>
      </c>
      <c r="J60" s="49">
        <f>AVERAGE('26.07 Wakiso-Kampala-24h'!J60,'27.07 Wakiso-Kampala-24h'!J60)</f>
        <v>0</v>
      </c>
      <c r="K60" s="49">
        <f>AVERAGE('26.07 Wakiso-Kampala-24h'!K60,'27.07 Wakiso-Kampala-24h'!K60)</f>
        <v>0</v>
      </c>
      <c r="L60" s="49">
        <f>AVERAGE('26.07 Wakiso-Kampala-24h'!L60,'27.07 Wakiso-Kampala-24h'!L60)</f>
        <v>1</v>
      </c>
      <c r="M60" s="49">
        <f>AVERAGE('26.07 Wakiso-Kampala-24h'!M60,'27.07 Wakiso-Kampala-24h'!M60)</f>
        <v>100</v>
      </c>
      <c r="N60" s="49">
        <f>AVERAGE('26.07 Wakiso-Kampala-24h'!N60,'27.07 Wakiso-Kampala-24h'!N60)</f>
        <v>0</v>
      </c>
      <c r="O60" s="15">
        <f t="shared" si="0"/>
        <v>106</v>
      </c>
      <c r="P60" s="15">
        <f t="shared" si="1"/>
        <v>206</v>
      </c>
      <c r="R60" s="8"/>
      <c r="T60"/>
    </row>
    <row r="61" spans="2:20" ht="23.1" customHeight="1" x14ac:dyDescent="0.25">
      <c r="B61" s="23" t="s">
        <v>102</v>
      </c>
      <c r="C61" s="49">
        <f>AVERAGE('26.07 Wakiso-Kampala-24h'!C61,'27.07 Wakiso-Kampala-24h'!C61)</f>
        <v>27.5</v>
      </c>
      <c r="D61" s="49">
        <f>AVERAGE('26.07 Wakiso-Kampala-24h'!D61,'27.07 Wakiso-Kampala-24h'!D61)</f>
        <v>11</v>
      </c>
      <c r="E61" s="49">
        <f>AVERAGE('26.07 Wakiso-Kampala-24h'!E61,'27.07 Wakiso-Kampala-24h'!E61)</f>
        <v>5.5</v>
      </c>
      <c r="F61" s="49">
        <f>AVERAGE('26.07 Wakiso-Kampala-24h'!F61,'27.07 Wakiso-Kampala-24h'!F61)</f>
        <v>42.5</v>
      </c>
      <c r="G61" s="49">
        <f>AVERAGE('26.07 Wakiso-Kampala-24h'!G61,'27.07 Wakiso-Kampala-24h'!G61)</f>
        <v>0.5</v>
      </c>
      <c r="H61" s="49">
        <f>AVERAGE('26.07 Wakiso-Kampala-24h'!H61,'27.07 Wakiso-Kampala-24h'!H61)</f>
        <v>0</v>
      </c>
      <c r="I61" s="49">
        <f>AVERAGE('26.07 Wakiso-Kampala-24h'!I61,'27.07 Wakiso-Kampala-24h'!I61)</f>
        <v>5.5</v>
      </c>
      <c r="J61" s="49">
        <f>AVERAGE('26.07 Wakiso-Kampala-24h'!J61,'27.07 Wakiso-Kampala-24h'!J61)</f>
        <v>1.5</v>
      </c>
      <c r="K61" s="49">
        <f>AVERAGE('26.07 Wakiso-Kampala-24h'!K61,'27.07 Wakiso-Kampala-24h'!K61)</f>
        <v>0</v>
      </c>
      <c r="L61" s="49">
        <f>AVERAGE('26.07 Wakiso-Kampala-24h'!L61,'27.07 Wakiso-Kampala-24h'!L61)</f>
        <v>0.5</v>
      </c>
      <c r="M61" s="49">
        <f>AVERAGE('26.07 Wakiso-Kampala-24h'!M61,'27.07 Wakiso-Kampala-24h'!M61)</f>
        <v>111.5</v>
      </c>
      <c r="N61" s="49">
        <f>AVERAGE('26.07 Wakiso-Kampala-24h'!N61,'27.07 Wakiso-Kampala-24h'!N61)</f>
        <v>0</v>
      </c>
      <c r="O61" s="15">
        <f t="shared" si="0"/>
        <v>94.5</v>
      </c>
      <c r="P61" s="15">
        <f t="shared" si="1"/>
        <v>206</v>
      </c>
      <c r="R61" s="8"/>
      <c r="T61"/>
    </row>
    <row r="62" spans="2:20" ht="23.1" customHeight="1" x14ac:dyDescent="0.25">
      <c r="B62" s="23" t="s">
        <v>107</v>
      </c>
      <c r="C62" s="49">
        <f>AVERAGE('26.07 Wakiso-Kampala-24h'!C62,'27.07 Wakiso-Kampala-24h'!C62)</f>
        <v>29</v>
      </c>
      <c r="D62" s="49">
        <f>AVERAGE('26.07 Wakiso-Kampala-24h'!D62,'27.07 Wakiso-Kampala-24h'!D62)</f>
        <v>8.5</v>
      </c>
      <c r="E62" s="49">
        <f>AVERAGE('26.07 Wakiso-Kampala-24h'!E62,'27.07 Wakiso-Kampala-24h'!E62)</f>
        <v>3</v>
      </c>
      <c r="F62" s="49">
        <f>AVERAGE('26.07 Wakiso-Kampala-24h'!F62,'27.07 Wakiso-Kampala-24h'!F62)</f>
        <v>17.5</v>
      </c>
      <c r="G62" s="49">
        <f>AVERAGE('26.07 Wakiso-Kampala-24h'!G62,'27.07 Wakiso-Kampala-24h'!G62)</f>
        <v>0.5</v>
      </c>
      <c r="H62" s="49">
        <f>AVERAGE('26.07 Wakiso-Kampala-24h'!H62,'27.07 Wakiso-Kampala-24h'!H62)</f>
        <v>0</v>
      </c>
      <c r="I62" s="49">
        <f>AVERAGE('26.07 Wakiso-Kampala-24h'!I62,'27.07 Wakiso-Kampala-24h'!I62)</f>
        <v>4</v>
      </c>
      <c r="J62" s="49">
        <f>AVERAGE('26.07 Wakiso-Kampala-24h'!J62,'27.07 Wakiso-Kampala-24h'!J62)</f>
        <v>1.5</v>
      </c>
      <c r="K62" s="49">
        <f>AVERAGE('26.07 Wakiso-Kampala-24h'!K62,'27.07 Wakiso-Kampala-24h'!K62)</f>
        <v>0.5</v>
      </c>
      <c r="L62" s="49">
        <f>AVERAGE('26.07 Wakiso-Kampala-24h'!L62,'27.07 Wakiso-Kampala-24h'!L62)</f>
        <v>0.5</v>
      </c>
      <c r="M62" s="49">
        <f>AVERAGE('26.07 Wakiso-Kampala-24h'!M62,'27.07 Wakiso-Kampala-24h'!M62)</f>
        <v>90</v>
      </c>
      <c r="N62" s="49">
        <f>AVERAGE('26.07 Wakiso-Kampala-24h'!N62,'27.07 Wakiso-Kampala-24h'!N62)</f>
        <v>0</v>
      </c>
      <c r="O62" s="15">
        <f t="shared" si="0"/>
        <v>65</v>
      </c>
      <c r="P62" s="15">
        <f t="shared" si="1"/>
        <v>155</v>
      </c>
      <c r="R62" s="8"/>
      <c r="T62"/>
    </row>
    <row r="63" spans="2:20" ht="23.1" customHeight="1" x14ac:dyDescent="0.25">
      <c r="B63" s="23" t="s">
        <v>108</v>
      </c>
      <c r="C63" s="49">
        <f>AVERAGE('26.07 Wakiso-Kampala-24h'!C63,'27.07 Wakiso-Kampala-24h'!C63)</f>
        <v>27.5</v>
      </c>
      <c r="D63" s="49">
        <f>AVERAGE('26.07 Wakiso-Kampala-24h'!D63,'27.07 Wakiso-Kampala-24h'!D63)</f>
        <v>10.5</v>
      </c>
      <c r="E63" s="49">
        <f>AVERAGE('26.07 Wakiso-Kampala-24h'!E63,'27.07 Wakiso-Kampala-24h'!E63)</f>
        <v>5.5</v>
      </c>
      <c r="F63" s="49">
        <f>AVERAGE('26.07 Wakiso-Kampala-24h'!F63,'27.07 Wakiso-Kampala-24h'!F63)</f>
        <v>80</v>
      </c>
      <c r="G63" s="49">
        <f>AVERAGE('26.07 Wakiso-Kampala-24h'!G63,'27.07 Wakiso-Kampala-24h'!G63)</f>
        <v>1</v>
      </c>
      <c r="H63" s="49">
        <f>AVERAGE('26.07 Wakiso-Kampala-24h'!H63,'27.07 Wakiso-Kampala-24h'!H63)</f>
        <v>1.5</v>
      </c>
      <c r="I63" s="49">
        <f>AVERAGE('26.07 Wakiso-Kampala-24h'!I63,'27.07 Wakiso-Kampala-24h'!I63)</f>
        <v>4</v>
      </c>
      <c r="J63" s="49">
        <f>AVERAGE('26.07 Wakiso-Kampala-24h'!J63,'27.07 Wakiso-Kampala-24h'!J63)</f>
        <v>0</v>
      </c>
      <c r="K63" s="49">
        <f>AVERAGE('26.07 Wakiso-Kampala-24h'!K63,'27.07 Wakiso-Kampala-24h'!K63)</f>
        <v>0.5</v>
      </c>
      <c r="L63" s="49">
        <f>AVERAGE('26.07 Wakiso-Kampala-24h'!L63,'27.07 Wakiso-Kampala-24h'!L63)</f>
        <v>0.5</v>
      </c>
      <c r="M63" s="49">
        <f>AVERAGE('26.07 Wakiso-Kampala-24h'!M63,'27.07 Wakiso-Kampala-24h'!M63)</f>
        <v>90</v>
      </c>
      <c r="N63" s="49">
        <f>AVERAGE('26.07 Wakiso-Kampala-24h'!N63,'27.07 Wakiso-Kampala-24h'!N63)</f>
        <v>0</v>
      </c>
      <c r="O63" s="15">
        <f t="shared" si="0"/>
        <v>131</v>
      </c>
      <c r="P63" s="15">
        <f t="shared" si="1"/>
        <v>221</v>
      </c>
      <c r="R63" s="8"/>
      <c r="T63"/>
    </row>
    <row r="64" spans="2:20" ht="23.1" customHeight="1" x14ac:dyDescent="0.25">
      <c r="B64" s="23" t="s">
        <v>109</v>
      </c>
      <c r="C64" s="49">
        <f>AVERAGE('26.07 Wakiso-Kampala-24h'!C64,'27.07 Wakiso-Kampala-24h'!C64)</f>
        <v>62.5</v>
      </c>
      <c r="D64" s="49">
        <f>AVERAGE('26.07 Wakiso-Kampala-24h'!D64,'27.07 Wakiso-Kampala-24h'!D64)</f>
        <v>20</v>
      </c>
      <c r="E64" s="49">
        <f>AVERAGE('26.07 Wakiso-Kampala-24h'!E64,'27.07 Wakiso-Kampala-24h'!E64)</f>
        <v>7</v>
      </c>
      <c r="F64" s="49">
        <f>AVERAGE('26.07 Wakiso-Kampala-24h'!F64,'27.07 Wakiso-Kampala-24h'!F64)</f>
        <v>60</v>
      </c>
      <c r="G64" s="49">
        <f>AVERAGE('26.07 Wakiso-Kampala-24h'!G64,'27.07 Wakiso-Kampala-24h'!G64)</f>
        <v>2</v>
      </c>
      <c r="H64" s="49">
        <f>AVERAGE('26.07 Wakiso-Kampala-24h'!H64,'27.07 Wakiso-Kampala-24h'!H64)</f>
        <v>0</v>
      </c>
      <c r="I64" s="49">
        <f>AVERAGE('26.07 Wakiso-Kampala-24h'!I64,'27.07 Wakiso-Kampala-24h'!I64)</f>
        <v>8</v>
      </c>
      <c r="J64" s="49">
        <f>AVERAGE('26.07 Wakiso-Kampala-24h'!J64,'27.07 Wakiso-Kampala-24h'!J64)</f>
        <v>0</v>
      </c>
      <c r="K64" s="49">
        <f>AVERAGE('26.07 Wakiso-Kampala-24h'!K64,'27.07 Wakiso-Kampala-24h'!K64)</f>
        <v>1</v>
      </c>
      <c r="L64" s="49">
        <f>AVERAGE('26.07 Wakiso-Kampala-24h'!L64,'27.07 Wakiso-Kampala-24h'!L64)</f>
        <v>0</v>
      </c>
      <c r="M64" s="49">
        <f>AVERAGE('26.07 Wakiso-Kampala-24h'!M64,'27.07 Wakiso-Kampala-24h'!M64)</f>
        <v>90</v>
      </c>
      <c r="N64" s="49">
        <f>AVERAGE('26.07 Wakiso-Kampala-24h'!N64,'27.07 Wakiso-Kampala-24h'!N64)</f>
        <v>0</v>
      </c>
      <c r="O64" s="15">
        <f t="shared" si="0"/>
        <v>160.5</v>
      </c>
      <c r="P64" s="15">
        <f t="shared" si="1"/>
        <v>250.5</v>
      </c>
      <c r="R64" s="8"/>
      <c r="T64"/>
    </row>
    <row r="65" spans="2:20" ht="23.1" customHeight="1" x14ac:dyDescent="0.25">
      <c r="B65" s="23" t="s">
        <v>158</v>
      </c>
      <c r="C65" s="49">
        <f>AVERAGE('26.07 Wakiso-Kampala-24h'!C65,'27.07 Wakiso-Kampala-24h'!C65)</f>
        <v>40</v>
      </c>
      <c r="D65" s="49">
        <f>AVERAGE('26.07 Wakiso-Kampala-24h'!D65,'27.07 Wakiso-Kampala-24h'!D65)</f>
        <v>10.5</v>
      </c>
      <c r="E65" s="49">
        <f>AVERAGE('26.07 Wakiso-Kampala-24h'!E65,'27.07 Wakiso-Kampala-24h'!E65)</f>
        <v>6.5</v>
      </c>
      <c r="F65" s="49">
        <f>AVERAGE('26.07 Wakiso-Kampala-24h'!F65,'27.07 Wakiso-Kampala-24h'!F65)</f>
        <v>62.5</v>
      </c>
      <c r="G65" s="49">
        <f>AVERAGE('26.07 Wakiso-Kampala-24h'!G65,'27.07 Wakiso-Kampala-24h'!G65)</f>
        <v>0.5</v>
      </c>
      <c r="H65" s="49">
        <f>AVERAGE('26.07 Wakiso-Kampala-24h'!H65,'27.07 Wakiso-Kampala-24h'!H65)</f>
        <v>0.5</v>
      </c>
      <c r="I65" s="49">
        <f>AVERAGE('26.07 Wakiso-Kampala-24h'!I65,'27.07 Wakiso-Kampala-24h'!I65)</f>
        <v>11.5</v>
      </c>
      <c r="J65" s="49">
        <f>AVERAGE('26.07 Wakiso-Kampala-24h'!J65,'27.07 Wakiso-Kampala-24h'!J65)</f>
        <v>2.5</v>
      </c>
      <c r="K65" s="49">
        <f>AVERAGE('26.07 Wakiso-Kampala-24h'!K65,'27.07 Wakiso-Kampala-24h'!K65)</f>
        <v>0.5</v>
      </c>
      <c r="L65" s="49">
        <f>AVERAGE('26.07 Wakiso-Kampala-24h'!L65,'27.07 Wakiso-Kampala-24h'!L65)</f>
        <v>1.5</v>
      </c>
      <c r="M65" s="49">
        <f>AVERAGE('26.07 Wakiso-Kampala-24h'!M65,'27.07 Wakiso-Kampala-24h'!M65)</f>
        <v>96.5</v>
      </c>
      <c r="N65" s="49">
        <f>AVERAGE('26.07 Wakiso-Kampala-24h'!N65,'27.07 Wakiso-Kampala-24h'!N65)</f>
        <v>0</v>
      </c>
      <c r="O65" s="15">
        <f t="shared" si="0"/>
        <v>136.5</v>
      </c>
      <c r="P65" s="15">
        <f t="shared" si="1"/>
        <v>233</v>
      </c>
      <c r="R65" s="8"/>
      <c r="T65"/>
    </row>
    <row r="66" spans="2:20" ht="23.1" customHeight="1" x14ac:dyDescent="0.25">
      <c r="B66" s="23" t="s">
        <v>103</v>
      </c>
      <c r="C66" s="49">
        <f>AVERAGE('26.07 Wakiso-Kampala-24h'!C66,'27.07 Wakiso-Kampala-24h'!C66)</f>
        <v>70</v>
      </c>
      <c r="D66" s="49">
        <f>AVERAGE('26.07 Wakiso-Kampala-24h'!D66,'27.07 Wakiso-Kampala-24h'!D66)</f>
        <v>13.5</v>
      </c>
      <c r="E66" s="49">
        <f>AVERAGE('26.07 Wakiso-Kampala-24h'!E66,'27.07 Wakiso-Kampala-24h'!E66)</f>
        <v>5.5</v>
      </c>
      <c r="F66" s="49">
        <f>AVERAGE('26.07 Wakiso-Kampala-24h'!F66,'27.07 Wakiso-Kampala-24h'!F66)</f>
        <v>55</v>
      </c>
      <c r="G66" s="49">
        <f>AVERAGE('26.07 Wakiso-Kampala-24h'!G66,'27.07 Wakiso-Kampala-24h'!G66)</f>
        <v>1</v>
      </c>
      <c r="H66" s="49">
        <f>AVERAGE('26.07 Wakiso-Kampala-24h'!H66,'27.07 Wakiso-Kampala-24h'!H66)</f>
        <v>0</v>
      </c>
      <c r="I66" s="49">
        <f>AVERAGE('26.07 Wakiso-Kampala-24h'!I66,'27.07 Wakiso-Kampala-24h'!I66)</f>
        <v>2</v>
      </c>
      <c r="J66" s="49">
        <f>AVERAGE('26.07 Wakiso-Kampala-24h'!J66,'27.07 Wakiso-Kampala-24h'!J66)</f>
        <v>0.5</v>
      </c>
      <c r="K66" s="49">
        <f>AVERAGE('26.07 Wakiso-Kampala-24h'!K66,'27.07 Wakiso-Kampala-24h'!K66)</f>
        <v>0.5</v>
      </c>
      <c r="L66" s="49">
        <f>AVERAGE('26.07 Wakiso-Kampala-24h'!L66,'27.07 Wakiso-Kampala-24h'!L66)</f>
        <v>1.5</v>
      </c>
      <c r="M66" s="49">
        <f>AVERAGE('26.07 Wakiso-Kampala-24h'!M66,'27.07 Wakiso-Kampala-24h'!M66)</f>
        <v>92.5</v>
      </c>
      <c r="N66" s="49">
        <f>AVERAGE('26.07 Wakiso-Kampala-24h'!N66,'27.07 Wakiso-Kampala-24h'!N66)</f>
        <v>0</v>
      </c>
      <c r="O66" s="15">
        <f t="shared" si="0"/>
        <v>149.5</v>
      </c>
      <c r="P66" s="15">
        <f t="shared" si="1"/>
        <v>242</v>
      </c>
      <c r="R66" s="8"/>
      <c r="T66"/>
    </row>
    <row r="67" spans="2:20" ht="23.1" customHeight="1" x14ac:dyDescent="0.25">
      <c r="B67" s="23" t="s">
        <v>104</v>
      </c>
      <c r="C67" s="49">
        <f>AVERAGE('26.07 Wakiso-Kampala-24h'!C67,'27.07 Wakiso-Kampala-24h'!C67)</f>
        <v>42.5</v>
      </c>
      <c r="D67" s="49">
        <f>AVERAGE('26.07 Wakiso-Kampala-24h'!D67,'27.07 Wakiso-Kampala-24h'!D67)</f>
        <v>11.5</v>
      </c>
      <c r="E67" s="49">
        <f>AVERAGE('26.07 Wakiso-Kampala-24h'!E67,'27.07 Wakiso-Kampala-24h'!E67)</f>
        <v>2.5</v>
      </c>
      <c r="F67" s="49">
        <f>AVERAGE('26.07 Wakiso-Kampala-24h'!F67,'27.07 Wakiso-Kampala-24h'!F67)</f>
        <v>41</v>
      </c>
      <c r="G67" s="49">
        <f>AVERAGE('26.07 Wakiso-Kampala-24h'!G67,'27.07 Wakiso-Kampala-24h'!G67)</f>
        <v>0.5</v>
      </c>
      <c r="H67" s="49">
        <f>AVERAGE('26.07 Wakiso-Kampala-24h'!H67,'27.07 Wakiso-Kampala-24h'!H67)</f>
        <v>0</v>
      </c>
      <c r="I67" s="49">
        <f>AVERAGE('26.07 Wakiso-Kampala-24h'!I67,'27.07 Wakiso-Kampala-24h'!I67)</f>
        <v>4.5</v>
      </c>
      <c r="J67" s="49">
        <f>AVERAGE('26.07 Wakiso-Kampala-24h'!J67,'27.07 Wakiso-Kampala-24h'!J67)</f>
        <v>0.5</v>
      </c>
      <c r="K67" s="49">
        <f>AVERAGE('26.07 Wakiso-Kampala-24h'!K67,'27.07 Wakiso-Kampala-24h'!K67)</f>
        <v>1</v>
      </c>
      <c r="L67" s="49">
        <f>AVERAGE('26.07 Wakiso-Kampala-24h'!L67,'27.07 Wakiso-Kampala-24h'!L67)</f>
        <v>0.5</v>
      </c>
      <c r="M67" s="49">
        <f>AVERAGE('26.07 Wakiso-Kampala-24h'!M67,'27.07 Wakiso-Kampala-24h'!M67)</f>
        <v>73.5</v>
      </c>
      <c r="N67" s="49">
        <f>AVERAGE('26.07 Wakiso-Kampala-24h'!N67,'27.07 Wakiso-Kampala-24h'!N67)</f>
        <v>0</v>
      </c>
      <c r="O67" s="15">
        <f t="shared" si="0"/>
        <v>104.5</v>
      </c>
      <c r="P67" s="15">
        <f t="shared" si="1"/>
        <v>178</v>
      </c>
      <c r="R67" s="8"/>
      <c r="T67"/>
    </row>
    <row r="68" spans="2:20" ht="23.1" customHeight="1" x14ac:dyDescent="0.25">
      <c r="B68" s="23" t="s">
        <v>105</v>
      </c>
      <c r="C68" s="49">
        <f>AVERAGE('26.07 Wakiso-Kampala-24h'!C68,'27.07 Wakiso-Kampala-24h'!C68)</f>
        <v>37.5</v>
      </c>
      <c r="D68" s="49">
        <f>AVERAGE('26.07 Wakiso-Kampala-24h'!D68,'27.07 Wakiso-Kampala-24h'!D68)</f>
        <v>10</v>
      </c>
      <c r="E68" s="49">
        <f>AVERAGE('26.07 Wakiso-Kampala-24h'!E68,'27.07 Wakiso-Kampala-24h'!E68)</f>
        <v>4.5</v>
      </c>
      <c r="F68" s="49">
        <f>AVERAGE('26.07 Wakiso-Kampala-24h'!F68,'27.07 Wakiso-Kampala-24h'!F68)</f>
        <v>26.5</v>
      </c>
      <c r="G68" s="49">
        <f>AVERAGE('26.07 Wakiso-Kampala-24h'!G68,'27.07 Wakiso-Kampala-24h'!G68)</f>
        <v>0</v>
      </c>
      <c r="H68" s="49">
        <f>AVERAGE('26.07 Wakiso-Kampala-24h'!H68,'27.07 Wakiso-Kampala-24h'!H68)</f>
        <v>0</v>
      </c>
      <c r="I68" s="49">
        <f>AVERAGE('26.07 Wakiso-Kampala-24h'!I68,'27.07 Wakiso-Kampala-24h'!I68)</f>
        <v>5</v>
      </c>
      <c r="J68" s="49">
        <f>AVERAGE('26.07 Wakiso-Kampala-24h'!J68,'27.07 Wakiso-Kampala-24h'!J68)</f>
        <v>0.5</v>
      </c>
      <c r="K68" s="49">
        <f>AVERAGE('26.07 Wakiso-Kampala-24h'!K68,'27.07 Wakiso-Kampala-24h'!K68)</f>
        <v>1.5</v>
      </c>
      <c r="L68" s="49">
        <f>AVERAGE('26.07 Wakiso-Kampala-24h'!L68,'27.07 Wakiso-Kampala-24h'!L68)</f>
        <v>0</v>
      </c>
      <c r="M68" s="49">
        <f>AVERAGE('26.07 Wakiso-Kampala-24h'!M68,'27.07 Wakiso-Kampala-24h'!M68)</f>
        <v>75</v>
      </c>
      <c r="N68" s="49">
        <f>AVERAGE('26.07 Wakiso-Kampala-24h'!N68,'27.07 Wakiso-Kampala-24h'!N68)</f>
        <v>0</v>
      </c>
      <c r="O68" s="15">
        <f t="shared" si="0"/>
        <v>85.5</v>
      </c>
      <c r="P68" s="15">
        <f t="shared" si="1"/>
        <v>160.5</v>
      </c>
      <c r="R68" s="8"/>
      <c r="T68"/>
    </row>
    <row r="69" spans="2:20" ht="23.1" customHeight="1" x14ac:dyDescent="0.25">
      <c r="B69" s="23" t="s">
        <v>106</v>
      </c>
      <c r="C69" s="49">
        <f>AVERAGE('26.07 Wakiso-Kampala-24h'!C69,'27.07 Wakiso-Kampala-24h'!C69)</f>
        <v>49</v>
      </c>
      <c r="D69" s="49">
        <f>AVERAGE('26.07 Wakiso-Kampala-24h'!D69,'27.07 Wakiso-Kampala-24h'!D69)</f>
        <v>12</v>
      </c>
      <c r="E69" s="49">
        <f>AVERAGE('26.07 Wakiso-Kampala-24h'!E69,'27.07 Wakiso-Kampala-24h'!E69)</f>
        <v>12.5</v>
      </c>
      <c r="F69" s="49">
        <f>AVERAGE('26.07 Wakiso-Kampala-24h'!F69,'27.07 Wakiso-Kampala-24h'!F69)</f>
        <v>31</v>
      </c>
      <c r="G69" s="49">
        <f>AVERAGE('26.07 Wakiso-Kampala-24h'!G69,'27.07 Wakiso-Kampala-24h'!G69)</f>
        <v>1</v>
      </c>
      <c r="H69" s="49">
        <f>AVERAGE('26.07 Wakiso-Kampala-24h'!H69,'27.07 Wakiso-Kampala-24h'!H69)</f>
        <v>0.5</v>
      </c>
      <c r="I69" s="49">
        <f>AVERAGE('26.07 Wakiso-Kampala-24h'!I69,'27.07 Wakiso-Kampala-24h'!I69)</f>
        <v>4</v>
      </c>
      <c r="J69" s="49">
        <f>AVERAGE('26.07 Wakiso-Kampala-24h'!J69,'27.07 Wakiso-Kampala-24h'!J69)</f>
        <v>1.5</v>
      </c>
      <c r="K69" s="49">
        <f>AVERAGE('26.07 Wakiso-Kampala-24h'!K69,'27.07 Wakiso-Kampala-24h'!K69)</f>
        <v>0.5</v>
      </c>
      <c r="L69" s="49">
        <f>AVERAGE('26.07 Wakiso-Kampala-24h'!L69,'27.07 Wakiso-Kampala-24h'!L69)</f>
        <v>1</v>
      </c>
      <c r="M69" s="49">
        <f>AVERAGE('26.07 Wakiso-Kampala-24h'!M69,'27.07 Wakiso-Kampala-24h'!M69)</f>
        <v>82.5</v>
      </c>
      <c r="N69" s="49">
        <f>AVERAGE('26.07 Wakiso-Kampala-24h'!N69,'27.07 Wakiso-Kampala-24h'!N69)</f>
        <v>0</v>
      </c>
      <c r="O69" s="15">
        <f t="shared" si="0"/>
        <v>113</v>
      </c>
      <c r="P69" s="15">
        <f t="shared" si="1"/>
        <v>195.5</v>
      </c>
      <c r="R69" s="8"/>
      <c r="T69"/>
    </row>
    <row r="70" spans="2:20" ht="23.1" customHeight="1" x14ac:dyDescent="0.25">
      <c r="B70" s="23" t="s">
        <v>110</v>
      </c>
      <c r="C70" s="49">
        <f>AVERAGE('26.07 Wakiso-Kampala-24h'!C70,'27.07 Wakiso-Kampala-24h'!C70)</f>
        <v>42.5</v>
      </c>
      <c r="D70" s="49">
        <f>AVERAGE('26.07 Wakiso-Kampala-24h'!D70,'27.07 Wakiso-Kampala-24h'!D70)</f>
        <v>13</v>
      </c>
      <c r="E70" s="49">
        <f>AVERAGE('26.07 Wakiso-Kampala-24h'!E70,'27.07 Wakiso-Kampala-24h'!E70)</f>
        <v>6.5</v>
      </c>
      <c r="F70" s="49">
        <f>AVERAGE('26.07 Wakiso-Kampala-24h'!F70,'27.07 Wakiso-Kampala-24h'!F70)</f>
        <v>28.5</v>
      </c>
      <c r="G70" s="49">
        <f>AVERAGE('26.07 Wakiso-Kampala-24h'!G70,'27.07 Wakiso-Kampala-24h'!G70)</f>
        <v>2</v>
      </c>
      <c r="H70" s="49">
        <f>AVERAGE('26.07 Wakiso-Kampala-24h'!H70,'27.07 Wakiso-Kampala-24h'!H70)</f>
        <v>1.5</v>
      </c>
      <c r="I70" s="49">
        <f>AVERAGE('26.07 Wakiso-Kampala-24h'!I70,'27.07 Wakiso-Kampala-24h'!I70)</f>
        <v>2.5</v>
      </c>
      <c r="J70" s="49">
        <f>AVERAGE('26.07 Wakiso-Kampala-24h'!J70,'27.07 Wakiso-Kampala-24h'!J70)</f>
        <v>1.5</v>
      </c>
      <c r="K70" s="49">
        <f>AVERAGE('26.07 Wakiso-Kampala-24h'!K70,'27.07 Wakiso-Kampala-24h'!K70)</f>
        <v>0</v>
      </c>
      <c r="L70" s="49">
        <f>AVERAGE('26.07 Wakiso-Kampala-24h'!L70,'27.07 Wakiso-Kampala-24h'!L70)</f>
        <v>0.5</v>
      </c>
      <c r="M70" s="49">
        <f>AVERAGE('26.07 Wakiso-Kampala-24h'!M70,'27.07 Wakiso-Kampala-24h'!M70)</f>
        <v>145.5</v>
      </c>
      <c r="N70" s="49">
        <f>AVERAGE('26.07 Wakiso-Kampala-24h'!N70,'27.07 Wakiso-Kampala-24h'!N70)</f>
        <v>0</v>
      </c>
      <c r="O70" s="15">
        <f t="shared" si="0"/>
        <v>98.5</v>
      </c>
      <c r="P70" s="15">
        <f t="shared" si="1"/>
        <v>244</v>
      </c>
      <c r="R70" s="8"/>
      <c r="T70"/>
    </row>
    <row r="71" spans="2:20" ht="23.1" customHeight="1" x14ac:dyDescent="0.25">
      <c r="B71" s="23" t="s">
        <v>111</v>
      </c>
      <c r="C71" s="49">
        <f>AVERAGE('26.07 Wakiso-Kampala-24h'!C71,'27.07 Wakiso-Kampala-24h'!C71)</f>
        <v>37</v>
      </c>
      <c r="D71" s="49">
        <f>AVERAGE('26.07 Wakiso-Kampala-24h'!D71,'27.07 Wakiso-Kampala-24h'!D71)</f>
        <v>12.5</v>
      </c>
      <c r="E71" s="49">
        <f>AVERAGE('26.07 Wakiso-Kampala-24h'!E71,'27.07 Wakiso-Kampala-24h'!E71)</f>
        <v>6</v>
      </c>
      <c r="F71" s="49">
        <f>AVERAGE('26.07 Wakiso-Kampala-24h'!F71,'27.07 Wakiso-Kampala-24h'!F71)</f>
        <v>16.5</v>
      </c>
      <c r="G71" s="49">
        <f>AVERAGE('26.07 Wakiso-Kampala-24h'!G71,'27.07 Wakiso-Kampala-24h'!G71)</f>
        <v>1.5</v>
      </c>
      <c r="H71" s="49">
        <f>AVERAGE('26.07 Wakiso-Kampala-24h'!H71,'27.07 Wakiso-Kampala-24h'!H71)</f>
        <v>0</v>
      </c>
      <c r="I71" s="49">
        <f>AVERAGE('26.07 Wakiso-Kampala-24h'!I71,'27.07 Wakiso-Kampala-24h'!I71)</f>
        <v>9</v>
      </c>
      <c r="J71" s="49">
        <f>AVERAGE('26.07 Wakiso-Kampala-24h'!J71,'27.07 Wakiso-Kampala-24h'!J71)</f>
        <v>1</v>
      </c>
      <c r="K71" s="49">
        <f>AVERAGE('26.07 Wakiso-Kampala-24h'!K71,'27.07 Wakiso-Kampala-24h'!K71)</f>
        <v>0</v>
      </c>
      <c r="L71" s="49">
        <f>AVERAGE('26.07 Wakiso-Kampala-24h'!L71,'27.07 Wakiso-Kampala-24h'!L71)</f>
        <v>0.5</v>
      </c>
      <c r="M71" s="49">
        <f>AVERAGE('26.07 Wakiso-Kampala-24h'!M71,'27.07 Wakiso-Kampala-24h'!M71)</f>
        <v>73</v>
      </c>
      <c r="N71" s="49">
        <f>AVERAGE('26.07 Wakiso-Kampala-24h'!N71,'27.07 Wakiso-Kampala-24h'!N71)</f>
        <v>0</v>
      </c>
      <c r="O71" s="15">
        <f t="shared" si="0"/>
        <v>84</v>
      </c>
      <c r="P71" s="15">
        <f t="shared" si="1"/>
        <v>157</v>
      </c>
      <c r="R71" s="8"/>
      <c r="T71"/>
    </row>
    <row r="72" spans="2:20" ht="23.1" customHeight="1" x14ac:dyDescent="0.25">
      <c r="B72" s="23" t="s">
        <v>112</v>
      </c>
      <c r="C72" s="49">
        <f>AVERAGE('26.07 Wakiso-Kampala-24h'!C72,'27.07 Wakiso-Kampala-24h'!C72)</f>
        <v>41.5</v>
      </c>
      <c r="D72" s="49">
        <f>AVERAGE('26.07 Wakiso-Kampala-24h'!D72,'27.07 Wakiso-Kampala-24h'!D72)</f>
        <v>11</v>
      </c>
      <c r="E72" s="49">
        <f>AVERAGE('26.07 Wakiso-Kampala-24h'!E72,'27.07 Wakiso-Kampala-24h'!E72)</f>
        <v>4.5</v>
      </c>
      <c r="F72" s="49">
        <f>AVERAGE('26.07 Wakiso-Kampala-24h'!F72,'27.07 Wakiso-Kampala-24h'!F72)</f>
        <v>24</v>
      </c>
      <c r="G72" s="49">
        <f>AVERAGE('26.07 Wakiso-Kampala-24h'!G72,'27.07 Wakiso-Kampala-24h'!G72)</f>
        <v>0</v>
      </c>
      <c r="H72" s="49">
        <f>AVERAGE('26.07 Wakiso-Kampala-24h'!H72,'27.07 Wakiso-Kampala-24h'!H72)</f>
        <v>0</v>
      </c>
      <c r="I72" s="49">
        <f>AVERAGE('26.07 Wakiso-Kampala-24h'!I72,'27.07 Wakiso-Kampala-24h'!I72)</f>
        <v>5</v>
      </c>
      <c r="J72" s="49">
        <f>AVERAGE('26.07 Wakiso-Kampala-24h'!J72,'27.07 Wakiso-Kampala-24h'!J72)</f>
        <v>0</v>
      </c>
      <c r="K72" s="49">
        <f>AVERAGE('26.07 Wakiso-Kampala-24h'!K72,'27.07 Wakiso-Kampala-24h'!K72)</f>
        <v>0</v>
      </c>
      <c r="L72" s="49">
        <f>AVERAGE('26.07 Wakiso-Kampala-24h'!L72,'27.07 Wakiso-Kampala-24h'!L72)</f>
        <v>1</v>
      </c>
      <c r="M72" s="49">
        <f>AVERAGE('26.07 Wakiso-Kampala-24h'!M72,'27.07 Wakiso-Kampala-24h'!M72)</f>
        <v>47.5</v>
      </c>
      <c r="N72" s="49">
        <f>AVERAGE('26.07 Wakiso-Kampala-24h'!N72,'27.07 Wakiso-Kampala-24h'!N72)</f>
        <v>0</v>
      </c>
      <c r="O72" s="15">
        <f t="shared" si="0"/>
        <v>87</v>
      </c>
      <c r="P72" s="15">
        <f t="shared" si="1"/>
        <v>134.5</v>
      </c>
      <c r="R72" s="8"/>
      <c r="T72"/>
    </row>
    <row r="73" spans="2:20" ht="23.1" customHeight="1" x14ac:dyDescent="0.25">
      <c r="B73" s="23" t="s">
        <v>113</v>
      </c>
      <c r="C73" s="49">
        <f>AVERAGE('26.07 Wakiso-Kampala-24h'!C73,'27.07 Wakiso-Kampala-24h'!C73)</f>
        <v>45.5</v>
      </c>
      <c r="D73" s="49">
        <f>AVERAGE('26.07 Wakiso-Kampala-24h'!D73,'27.07 Wakiso-Kampala-24h'!D73)</f>
        <v>11.5</v>
      </c>
      <c r="E73" s="49">
        <f>AVERAGE('26.07 Wakiso-Kampala-24h'!E73,'27.07 Wakiso-Kampala-24h'!E73)</f>
        <v>5</v>
      </c>
      <c r="F73" s="49">
        <f>AVERAGE('26.07 Wakiso-Kampala-24h'!F73,'27.07 Wakiso-Kampala-24h'!F73)</f>
        <v>20.5</v>
      </c>
      <c r="G73" s="49">
        <f>AVERAGE('26.07 Wakiso-Kampala-24h'!G73,'27.07 Wakiso-Kampala-24h'!G73)</f>
        <v>0</v>
      </c>
      <c r="H73" s="49">
        <f>AVERAGE('26.07 Wakiso-Kampala-24h'!H73,'27.07 Wakiso-Kampala-24h'!H73)</f>
        <v>0</v>
      </c>
      <c r="I73" s="49">
        <f>AVERAGE('26.07 Wakiso-Kampala-24h'!I73,'27.07 Wakiso-Kampala-24h'!I73)</f>
        <v>6</v>
      </c>
      <c r="J73" s="49">
        <f>AVERAGE('26.07 Wakiso-Kampala-24h'!J73,'27.07 Wakiso-Kampala-24h'!J73)</f>
        <v>0.5</v>
      </c>
      <c r="K73" s="49">
        <f>AVERAGE('26.07 Wakiso-Kampala-24h'!K73,'27.07 Wakiso-Kampala-24h'!K73)</f>
        <v>1</v>
      </c>
      <c r="L73" s="49">
        <f>AVERAGE('26.07 Wakiso-Kampala-24h'!L73,'27.07 Wakiso-Kampala-24h'!L73)</f>
        <v>0</v>
      </c>
      <c r="M73" s="49">
        <f>AVERAGE('26.07 Wakiso-Kampala-24h'!M73,'27.07 Wakiso-Kampala-24h'!M73)</f>
        <v>67.5</v>
      </c>
      <c r="N73" s="49">
        <f>AVERAGE('26.07 Wakiso-Kampala-24h'!N73,'27.07 Wakiso-Kampala-24h'!N73)</f>
        <v>0</v>
      </c>
      <c r="O73" s="15">
        <f t="shared" si="0"/>
        <v>90</v>
      </c>
      <c r="P73" s="15">
        <f t="shared" si="1"/>
        <v>157.5</v>
      </c>
      <c r="R73" s="8"/>
      <c r="T73"/>
    </row>
    <row r="74" spans="2:20" ht="23.1" customHeight="1" x14ac:dyDescent="0.25">
      <c r="B74" s="23" t="s">
        <v>114</v>
      </c>
      <c r="C74" s="49">
        <f>AVERAGE('26.07 Wakiso-Kampala-24h'!C74,'27.07 Wakiso-Kampala-24h'!C74)</f>
        <v>30</v>
      </c>
      <c r="D74" s="49">
        <f>AVERAGE('26.07 Wakiso-Kampala-24h'!D74,'27.07 Wakiso-Kampala-24h'!D74)</f>
        <v>18.5</v>
      </c>
      <c r="E74" s="49">
        <f>AVERAGE('26.07 Wakiso-Kampala-24h'!E74,'27.07 Wakiso-Kampala-24h'!E74)</f>
        <v>7</v>
      </c>
      <c r="F74" s="49">
        <f>AVERAGE('26.07 Wakiso-Kampala-24h'!F74,'27.07 Wakiso-Kampala-24h'!F74)</f>
        <v>26.5</v>
      </c>
      <c r="G74" s="49">
        <f>AVERAGE('26.07 Wakiso-Kampala-24h'!G74,'27.07 Wakiso-Kampala-24h'!G74)</f>
        <v>1</v>
      </c>
      <c r="H74" s="49">
        <f>AVERAGE('26.07 Wakiso-Kampala-24h'!H74,'27.07 Wakiso-Kampala-24h'!H74)</f>
        <v>0.5</v>
      </c>
      <c r="I74" s="49">
        <f>AVERAGE('26.07 Wakiso-Kampala-24h'!I74,'27.07 Wakiso-Kampala-24h'!I74)</f>
        <v>7</v>
      </c>
      <c r="J74" s="49">
        <f>AVERAGE('26.07 Wakiso-Kampala-24h'!J74,'27.07 Wakiso-Kampala-24h'!J74)</f>
        <v>1.5</v>
      </c>
      <c r="K74" s="49">
        <f>AVERAGE('26.07 Wakiso-Kampala-24h'!K74,'27.07 Wakiso-Kampala-24h'!K74)</f>
        <v>0</v>
      </c>
      <c r="L74" s="49">
        <f>AVERAGE('26.07 Wakiso-Kampala-24h'!L74,'27.07 Wakiso-Kampala-24h'!L74)</f>
        <v>1</v>
      </c>
      <c r="M74" s="49">
        <f>AVERAGE('26.07 Wakiso-Kampala-24h'!M74,'27.07 Wakiso-Kampala-24h'!M74)</f>
        <v>50.5</v>
      </c>
      <c r="N74" s="49">
        <f>AVERAGE('26.07 Wakiso-Kampala-24h'!N74,'27.07 Wakiso-Kampala-24h'!N74)</f>
        <v>0</v>
      </c>
      <c r="O74" s="15">
        <f t="shared" ref="O74:O105" si="35">SUM(C74:L74,N74)</f>
        <v>93</v>
      </c>
      <c r="P74" s="15">
        <f t="shared" ref="P74:P105" si="36">SUM(C74:N74)</f>
        <v>143.5</v>
      </c>
      <c r="R74" s="8"/>
      <c r="T74"/>
    </row>
    <row r="75" spans="2:20" ht="23.1" customHeight="1" x14ac:dyDescent="0.25">
      <c r="B75" s="23" t="s">
        <v>115</v>
      </c>
      <c r="C75" s="49">
        <f>AVERAGE('26.07 Wakiso-Kampala-24h'!C75,'27.07 Wakiso-Kampala-24h'!C75)</f>
        <v>33</v>
      </c>
      <c r="D75" s="49">
        <f>AVERAGE('26.07 Wakiso-Kampala-24h'!D75,'27.07 Wakiso-Kampala-24h'!D75)</f>
        <v>10.5</v>
      </c>
      <c r="E75" s="49">
        <f>AVERAGE('26.07 Wakiso-Kampala-24h'!E75,'27.07 Wakiso-Kampala-24h'!E75)</f>
        <v>5</v>
      </c>
      <c r="F75" s="49">
        <f>AVERAGE('26.07 Wakiso-Kampala-24h'!F75,'27.07 Wakiso-Kampala-24h'!F75)</f>
        <v>13.5</v>
      </c>
      <c r="G75" s="49">
        <f>AVERAGE('26.07 Wakiso-Kampala-24h'!G75,'27.07 Wakiso-Kampala-24h'!G75)</f>
        <v>0</v>
      </c>
      <c r="H75" s="49">
        <f>AVERAGE('26.07 Wakiso-Kampala-24h'!H75,'27.07 Wakiso-Kampala-24h'!H75)</f>
        <v>0</v>
      </c>
      <c r="I75" s="49">
        <f>AVERAGE('26.07 Wakiso-Kampala-24h'!I75,'27.07 Wakiso-Kampala-24h'!I75)</f>
        <v>3.5</v>
      </c>
      <c r="J75" s="49">
        <f>AVERAGE('26.07 Wakiso-Kampala-24h'!J75,'27.07 Wakiso-Kampala-24h'!J75)</f>
        <v>1.5</v>
      </c>
      <c r="K75" s="49">
        <f>AVERAGE('26.07 Wakiso-Kampala-24h'!K75,'27.07 Wakiso-Kampala-24h'!K75)</f>
        <v>0</v>
      </c>
      <c r="L75" s="49">
        <f>AVERAGE('26.07 Wakiso-Kampala-24h'!L75,'27.07 Wakiso-Kampala-24h'!L75)</f>
        <v>1</v>
      </c>
      <c r="M75" s="49">
        <f>AVERAGE('26.07 Wakiso-Kampala-24h'!M75,'27.07 Wakiso-Kampala-24h'!M75)</f>
        <v>39</v>
      </c>
      <c r="N75" s="49">
        <f>AVERAGE('26.07 Wakiso-Kampala-24h'!N75,'27.07 Wakiso-Kampala-24h'!N75)</f>
        <v>0</v>
      </c>
      <c r="O75" s="15">
        <f t="shared" si="35"/>
        <v>68</v>
      </c>
      <c r="P75" s="15">
        <f t="shared" si="36"/>
        <v>107</v>
      </c>
      <c r="R75" s="8"/>
      <c r="T75"/>
    </row>
    <row r="76" spans="2:20" ht="23.1" customHeight="1" x14ac:dyDescent="0.25">
      <c r="B76" s="23" t="s">
        <v>116</v>
      </c>
      <c r="C76" s="49">
        <f>AVERAGE('26.07 Wakiso-Kampala-24h'!C76,'27.07 Wakiso-Kampala-24h'!C76)</f>
        <v>27.5</v>
      </c>
      <c r="D76" s="49">
        <f>AVERAGE('26.07 Wakiso-Kampala-24h'!D76,'27.07 Wakiso-Kampala-24h'!D76)</f>
        <v>5.5</v>
      </c>
      <c r="E76" s="49">
        <f>AVERAGE('26.07 Wakiso-Kampala-24h'!E76,'27.07 Wakiso-Kampala-24h'!E76)</f>
        <v>4</v>
      </c>
      <c r="F76" s="49">
        <f>AVERAGE('26.07 Wakiso-Kampala-24h'!F76,'27.07 Wakiso-Kampala-24h'!F76)</f>
        <v>13.5</v>
      </c>
      <c r="G76" s="49">
        <f>AVERAGE('26.07 Wakiso-Kampala-24h'!G76,'27.07 Wakiso-Kampala-24h'!G76)</f>
        <v>0.5</v>
      </c>
      <c r="H76" s="49">
        <f>AVERAGE('26.07 Wakiso-Kampala-24h'!H76,'27.07 Wakiso-Kampala-24h'!H76)</f>
        <v>0</v>
      </c>
      <c r="I76" s="49">
        <f>AVERAGE('26.07 Wakiso-Kampala-24h'!I76,'27.07 Wakiso-Kampala-24h'!I76)</f>
        <v>5.5</v>
      </c>
      <c r="J76" s="49">
        <f>AVERAGE('26.07 Wakiso-Kampala-24h'!J76,'27.07 Wakiso-Kampala-24h'!J76)</f>
        <v>0.5</v>
      </c>
      <c r="K76" s="49">
        <f>AVERAGE('26.07 Wakiso-Kampala-24h'!K76,'27.07 Wakiso-Kampala-24h'!K76)</f>
        <v>1.5</v>
      </c>
      <c r="L76" s="49">
        <f>AVERAGE('26.07 Wakiso-Kampala-24h'!L76,'27.07 Wakiso-Kampala-24h'!L76)</f>
        <v>1.5</v>
      </c>
      <c r="M76" s="49">
        <f>AVERAGE('26.07 Wakiso-Kampala-24h'!M76,'27.07 Wakiso-Kampala-24h'!M76)</f>
        <v>43</v>
      </c>
      <c r="N76" s="49">
        <f>AVERAGE('26.07 Wakiso-Kampala-24h'!N76,'27.07 Wakiso-Kampala-24h'!N76)</f>
        <v>0</v>
      </c>
      <c r="O76" s="15">
        <f t="shared" si="35"/>
        <v>60</v>
      </c>
      <c r="P76" s="15">
        <f t="shared" si="36"/>
        <v>103</v>
      </c>
      <c r="R76" s="8"/>
      <c r="T76"/>
    </row>
    <row r="77" spans="2:20" ht="23.1" customHeight="1" x14ac:dyDescent="0.25">
      <c r="B77" s="23" t="s">
        <v>117</v>
      </c>
      <c r="C77" s="49">
        <f>AVERAGE('26.07 Wakiso-Kampala-24h'!C77,'27.07 Wakiso-Kampala-24h'!C77)</f>
        <v>17.5</v>
      </c>
      <c r="D77" s="49">
        <f>AVERAGE('26.07 Wakiso-Kampala-24h'!D77,'27.07 Wakiso-Kampala-24h'!D77)</f>
        <v>4.5</v>
      </c>
      <c r="E77" s="49">
        <f>AVERAGE('26.07 Wakiso-Kampala-24h'!E77,'27.07 Wakiso-Kampala-24h'!E77)</f>
        <v>2</v>
      </c>
      <c r="F77" s="49">
        <f>AVERAGE('26.07 Wakiso-Kampala-24h'!F77,'27.07 Wakiso-Kampala-24h'!F77)</f>
        <v>4</v>
      </c>
      <c r="G77" s="49">
        <f>AVERAGE('26.07 Wakiso-Kampala-24h'!G77,'27.07 Wakiso-Kampala-24h'!G77)</f>
        <v>0</v>
      </c>
      <c r="H77" s="49">
        <f>AVERAGE('26.07 Wakiso-Kampala-24h'!H77,'27.07 Wakiso-Kampala-24h'!H77)</f>
        <v>0</v>
      </c>
      <c r="I77" s="49">
        <f>AVERAGE('26.07 Wakiso-Kampala-24h'!I77,'27.07 Wakiso-Kampala-24h'!I77)</f>
        <v>3</v>
      </c>
      <c r="J77" s="49">
        <f>AVERAGE('26.07 Wakiso-Kampala-24h'!J77,'27.07 Wakiso-Kampala-24h'!J77)</f>
        <v>1.5</v>
      </c>
      <c r="K77" s="49">
        <f>AVERAGE('26.07 Wakiso-Kampala-24h'!K77,'27.07 Wakiso-Kampala-24h'!K77)</f>
        <v>0</v>
      </c>
      <c r="L77" s="49">
        <f>AVERAGE('26.07 Wakiso-Kampala-24h'!L77,'27.07 Wakiso-Kampala-24h'!L77)</f>
        <v>0.5</v>
      </c>
      <c r="M77" s="49">
        <f>AVERAGE('26.07 Wakiso-Kampala-24h'!M77,'27.07 Wakiso-Kampala-24h'!M77)</f>
        <v>22</v>
      </c>
      <c r="N77" s="49">
        <f>AVERAGE('26.07 Wakiso-Kampala-24h'!N77,'27.07 Wakiso-Kampala-24h'!N77)</f>
        <v>0</v>
      </c>
      <c r="O77" s="15">
        <f t="shared" si="35"/>
        <v>33</v>
      </c>
      <c r="P77" s="15">
        <f t="shared" si="36"/>
        <v>55</v>
      </c>
      <c r="R77" s="8"/>
      <c r="T77"/>
    </row>
    <row r="78" spans="2:20" ht="23.1" customHeight="1" x14ac:dyDescent="0.25">
      <c r="B78" s="24" t="s">
        <v>118</v>
      </c>
      <c r="C78" s="49">
        <f>AVERAGE('26.07 Wakiso-Kampala-24h'!C78,'27.07 Wakiso-Kampala-24h'!C78)</f>
        <v>17.5</v>
      </c>
      <c r="D78" s="49">
        <f>AVERAGE('26.07 Wakiso-Kampala-24h'!D78,'27.07 Wakiso-Kampala-24h'!D78)</f>
        <v>15</v>
      </c>
      <c r="E78" s="49">
        <f>AVERAGE('26.07 Wakiso-Kampala-24h'!E78,'27.07 Wakiso-Kampala-24h'!E78)</f>
        <v>2.5</v>
      </c>
      <c r="F78" s="49">
        <f>AVERAGE('26.07 Wakiso-Kampala-24h'!F78,'27.07 Wakiso-Kampala-24h'!F78)</f>
        <v>5.5</v>
      </c>
      <c r="G78" s="49">
        <f>AVERAGE('26.07 Wakiso-Kampala-24h'!G78,'27.07 Wakiso-Kampala-24h'!G78)</f>
        <v>0</v>
      </c>
      <c r="H78" s="49">
        <f>AVERAGE('26.07 Wakiso-Kampala-24h'!H78,'27.07 Wakiso-Kampala-24h'!H78)</f>
        <v>0</v>
      </c>
      <c r="I78" s="49">
        <f>AVERAGE('26.07 Wakiso-Kampala-24h'!I78,'27.07 Wakiso-Kampala-24h'!I78)</f>
        <v>7.5</v>
      </c>
      <c r="J78" s="49">
        <f>AVERAGE('26.07 Wakiso-Kampala-24h'!J78,'27.07 Wakiso-Kampala-24h'!J78)</f>
        <v>1</v>
      </c>
      <c r="K78" s="49">
        <f>AVERAGE('26.07 Wakiso-Kampala-24h'!K78,'27.07 Wakiso-Kampala-24h'!K78)</f>
        <v>0</v>
      </c>
      <c r="L78" s="49">
        <f>AVERAGE('26.07 Wakiso-Kampala-24h'!L78,'27.07 Wakiso-Kampala-24h'!L78)</f>
        <v>0</v>
      </c>
      <c r="M78" s="49">
        <f>AVERAGE('26.07 Wakiso-Kampala-24h'!M78,'27.07 Wakiso-Kampala-24h'!M78)</f>
        <v>33.5</v>
      </c>
      <c r="N78" s="49">
        <f>AVERAGE('26.07 Wakiso-Kampala-24h'!N78,'27.07 Wakiso-Kampala-24h'!N78)</f>
        <v>0</v>
      </c>
      <c r="O78" s="15">
        <f t="shared" si="35"/>
        <v>49</v>
      </c>
      <c r="P78" s="15">
        <f t="shared" si="36"/>
        <v>82.5</v>
      </c>
      <c r="R78" s="8"/>
      <c r="T78"/>
    </row>
    <row r="79" spans="2:20" ht="23.1" customHeight="1" x14ac:dyDescent="0.25">
      <c r="B79" s="23" t="s">
        <v>119</v>
      </c>
      <c r="C79" s="49">
        <f>AVERAGE('26.07 Wakiso-Kampala-24h'!C79,'27.07 Wakiso-Kampala-24h'!C79)</f>
        <v>16</v>
      </c>
      <c r="D79" s="49">
        <f>AVERAGE('26.07 Wakiso-Kampala-24h'!D79,'27.07 Wakiso-Kampala-24h'!D79)</f>
        <v>11</v>
      </c>
      <c r="E79" s="49">
        <f>AVERAGE('26.07 Wakiso-Kampala-24h'!E79,'27.07 Wakiso-Kampala-24h'!E79)</f>
        <v>3</v>
      </c>
      <c r="F79" s="49">
        <f>AVERAGE('26.07 Wakiso-Kampala-24h'!F79,'27.07 Wakiso-Kampala-24h'!F79)</f>
        <v>5</v>
      </c>
      <c r="G79" s="49">
        <f>AVERAGE('26.07 Wakiso-Kampala-24h'!G79,'27.07 Wakiso-Kampala-24h'!G79)</f>
        <v>0.5</v>
      </c>
      <c r="H79" s="49">
        <f>AVERAGE('26.07 Wakiso-Kampala-24h'!H79,'27.07 Wakiso-Kampala-24h'!H79)</f>
        <v>0</v>
      </c>
      <c r="I79" s="49">
        <f>AVERAGE('26.07 Wakiso-Kampala-24h'!I79,'27.07 Wakiso-Kampala-24h'!I79)</f>
        <v>2.5</v>
      </c>
      <c r="J79" s="49">
        <f>AVERAGE('26.07 Wakiso-Kampala-24h'!J79,'27.07 Wakiso-Kampala-24h'!J79)</f>
        <v>0</v>
      </c>
      <c r="K79" s="49">
        <f>AVERAGE('26.07 Wakiso-Kampala-24h'!K79,'27.07 Wakiso-Kampala-24h'!K79)</f>
        <v>0.5</v>
      </c>
      <c r="L79" s="49">
        <f>AVERAGE('26.07 Wakiso-Kampala-24h'!L79,'27.07 Wakiso-Kampala-24h'!L79)</f>
        <v>0</v>
      </c>
      <c r="M79" s="49">
        <f>AVERAGE('26.07 Wakiso-Kampala-24h'!M79,'27.07 Wakiso-Kampala-24h'!M79)</f>
        <v>8.5</v>
      </c>
      <c r="N79" s="49">
        <f>AVERAGE('26.07 Wakiso-Kampala-24h'!N79,'27.07 Wakiso-Kampala-24h'!N79)</f>
        <v>0</v>
      </c>
      <c r="O79" s="15">
        <f t="shared" si="35"/>
        <v>38.5</v>
      </c>
      <c r="P79" s="15">
        <f t="shared" si="36"/>
        <v>47</v>
      </c>
      <c r="R79" s="8"/>
      <c r="T79"/>
    </row>
    <row r="80" spans="2:20" ht="23.1" customHeight="1" x14ac:dyDescent="0.25">
      <c r="B80" s="25" t="s">
        <v>120</v>
      </c>
      <c r="C80" s="49">
        <f>AVERAGE('26.07 Wakiso-Kampala-24h'!C80,'27.07 Wakiso-Kampala-24h'!C80)</f>
        <v>14.5</v>
      </c>
      <c r="D80" s="49">
        <f>AVERAGE('26.07 Wakiso-Kampala-24h'!D80,'27.07 Wakiso-Kampala-24h'!D80)</f>
        <v>4.5</v>
      </c>
      <c r="E80" s="49">
        <f>AVERAGE('26.07 Wakiso-Kampala-24h'!E80,'27.07 Wakiso-Kampala-24h'!E80)</f>
        <v>3</v>
      </c>
      <c r="F80" s="49">
        <f>AVERAGE('26.07 Wakiso-Kampala-24h'!F80,'27.07 Wakiso-Kampala-24h'!F80)</f>
        <v>6</v>
      </c>
      <c r="G80" s="49">
        <f>AVERAGE('26.07 Wakiso-Kampala-24h'!G80,'27.07 Wakiso-Kampala-24h'!G80)</f>
        <v>0</v>
      </c>
      <c r="H80" s="49">
        <f>AVERAGE('26.07 Wakiso-Kampala-24h'!H80,'27.07 Wakiso-Kampala-24h'!H80)</f>
        <v>3</v>
      </c>
      <c r="I80" s="49">
        <f>AVERAGE('26.07 Wakiso-Kampala-24h'!I80,'27.07 Wakiso-Kampala-24h'!I80)</f>
        <v>0.5</v>
      </c>
      <c r="J80" s="49">
        <f>AVERAGE('26.07 Wakiso-Kampala-24h'!J80,'27.07 Wakiso-Kampala-24h'!J80)</f>
        <v>4</v>
      </c>
      <c r="K80" s="49">
        <f>AVERAGE('26.07 Wakiso-Kampala-24h'!K80,'27.07 Wakiso-Kampala-24h'!K80)</f>
        <v>2</v>
      </c>
      <c r="L80" s="49">
        <f>AVERAGE('26.07 Wakiso-Kampala-24h'!L80,'27.07 Wakiso-Kampala-24h'!L80)</f>
        <v>0</v>
      </c>
      <c r="M80" s="49">
        <f>AVERAGE('26.07 Wakiso-Kampala-24h'!M80,'27.07 Wakiso-Kampala-24h'!M80)</f>
        <v>30</v>
      </c>
      <c r="N80" s="49">
        <f>AVERAGE('26.07 Wakiso-Kampala-24h'!N80,'27.07 Wakiso-Kampala-24h'!N80)</f>
        <v>0</v>
      </c>
      <c r="O80" s="15">
        <f t="shared" si="35"/>
        <v>37.5</v>
      </c>
      <c r="P80" s="15">
        <f t="shared" si="36"/>
        <v>67.5</v>
      </c>
      <c r="R80" s="8"/>
      <c r="T80"/>
    </row>
    <row r="81" spans="2:20" ht="23.1" customHeight="1" x14ac:dyDescent="0.25">
      <c r="B81" s="23" t="s">
        <v>121</v>
      </c>
      <c r="C81" s="49">
        <f>AVERAGE('26.07 Wakiso-Kampala-24h'!C81,'27.07 Wakiso-Kampala-24h'!C81)</f>
        <v>6</v>
      </c>
      <c r="D81" s="49">
        <f>AVERAGE('26.07 Wakiso-Kampala-24h'!D81,'27.07 Wakiso-Kampala-24h'!D81)</f>
        <v>3.5</v>
      </c>
      <c r="E81" s="49">
        <f>AVERAGE('26.07 Wakiso-Kampala-24h'!E81,'27.07 Wakiso-Kampala-24h'!E81)</f>
        <v>1.5</v>
      </c>
      <c r="F81" s="49">
        <f>AVERAGE('26.07 Wakiso-Kampala-24h'!F81,'27.07 Wakiso-Kampala-24h'!F81)</f>
        <v>3.5</v>
      </c>
      <c r="G81" s="49">
        <f>AVERAGE('26.07 Wakiso-Kampala-24h'!G81,'27.07 Wakiso-Kampala-24h'!G81)</f>
        <v>0.5</v>
      </c>
      <c r="H81" s="49">
        <f>AVERAGE('26.07 Wakiso-Kampala-24h'!H81,'27.07 Wakiso-Kampala-24h'!H81)</f>
        <v>0</v>
      </c>
      <c r="I81" s="49">
        <f>AVERAGE('26.07 Wakiso-Kampala-24h'!I81,'27.07 Wakiso-Kampala-24h'!I81)</f>
        <v>1.5</v>
      </c>
      <c r="J81" s="49">
        <f>AVERAGE('26.07 Wakiso-Kampala-24h'!J81,'27.07 Wakiso-Kampala-24h'!J81)</f>
        <v>0</v>
      </c>
      <c r="K81" s="49">
        <f>AVERAGE('26.07 Wakiso-Kampala-24h'!K81,'27.07 Wakiso-Kampala-24h'!K81)</f>
        <v>1.5</v>
      </c>
      <c r="L81" s="49">
        <f>AVERAGE('26.07 Wakiso-Kampala-24h'!L81,'27.07 Wakiso-Kampala-24h'!L81)</f>
        <v>0</v>
      </c>
      <c r="M81" s="49">
        <f>AVERAGE('26.07 Wakiso-Kampala-24h'!M81,'27.07 Wakiso-Kampala-24h'!M81)</f>
        <v>23</v>
      </c>
      <c r="N81" s="49">
        <f>AVERAGE('26.07 Wakiso-Kampala-24h'!N81,'27.07 Wakiso-Kampala-24h'!N81)</f>
        <v>0</v>
      </c>
      <c r="O81" s="15">
        <f t="shared" si="35"/>
        <v>18</v>
      </c>
      <c r="P81" s="15">
        <f t="shared" si="36"/>
        <v>41</v>
      </c>
      <c r="R81" s="8"/>
      <c r="T81"/>
    </row>
    <row r="82" spans="2:20" ht="23.1" customHeight="1" x14ac:dyDescent="0.25">
      <c r="B82" s="24" t="s">
        <v>122</v>
      </c>
      <c r="C82" s="49">
        <f>AVERAGE('26.07 Wakiso-Kampala-24h'!C82,'27.07 Wakiso-Kampala-24h'!C82)</f>
        <v>14</v>
      </c>
      <c r="D82" s="49">
        <f>AVERAGE('26.07 Wakiso-Kampala-24h'!D82,'27.07 Wakiso-Kampala-24h'!D82)</f>
        <v>5</v>
      </c>
      <c r="E82" s="49">
        <f>AVERAGE('26.07 Wakiso-Kampala-24h'!E82,'27.07 Wakiso-Kampala-24h'!E82)</f>
        <v>2</v>
      </c>
      <c r="F82" s="49">
        <f>AVERAGE('26.07 Wakiso-Kampala-24h'!F82,'27.07 Wakiso-Kampala-24h'!F82)</f>
        <v>5.5</v>
      </c>
      <c r="G82" s="49">
        <f>AVERAGE('26.07 Wakiso-Kampala-24h'!G82,'27.07 Wakiso-Kampala-24h'!G82)</f>
        <v>0</v>
      </c>
      <c r="H82" s="49">
        <f>AVERAGE('26.07 Wakiso-Kampala-24h'!H82,'27.07 Wakiso-Kampala-24h'!H82)</f>
        <v>0</v>
      </c>
      <c r="I82" s="49">
        <f>AVERAGE('26.07 Wakiso-Kampala-24h'!I82,'27.07 Wakiso-Kampala-24h'!I82)</f>
        <v>4</v>
      </c>
      <c r="J82" s="49">
        <f>AVERAGE('26.07 Wakiso-Kampala-24h'!J82,'27.07 Wakiso-Kampala-24h'!J82)</f>
        <v>1.5</v>
      </c>
      <c r="K82" s="49">
        <f>AVERAGE('26.07 Wakiso-Kampala-24h'!K82,'27.07 Wakiso-Kampala-24h'!K82)</f>
        <v>0</v>
      </c>
      <c r="L82" s="49">
        <f>AVERAGE('26.07 Wakiso-Kampala-24h'!L82,'27.07 Wakiso-Kampala-24h'!L82)</f>
        <v>0</v>
      </c>
      <c r="M82" s="49">
        <f>AVERAGE('26.07 Wakiso-Kampala-24h'!M82,'27.07 Wakiso-Kampala-24h'!M82)</f>
        <v>18</v>
      </c>
      <c r="N82" s="49">
        <f>AVERAGE('26.07 Wakiso-Kampala-24h'!N82,'27.07 Wakiso-Kampala-24h'!N82)</f>
        <v>0</v>
      </c>
      <c r="O82" s="15">
        <f t="shared" si="35"/>
        <v>32</v>
      </c>
      <c r="P82" s="15">
        <f t="shared" si="36"/>
        <v>50</v>
      </c>
      <c r="R82" s="8"/>
      <c r="T82"/>
    </row>
    <row r="83" spans="2:20" ht="23.1" customHeight="1" x14ac:dyDescent="0.25">
      <c r="B83" s="23" t="s">
        <v>123</v>
      </c>
      <c r="C83" s="49">
        <f>AVERAGE('26.07 Wakiso-Kampala-24h'!C83,'27.07 Wakiso-Kampala-24h'!C83)</f>
        <v>7</v>
      </c>
      <c r="D83" s="49">
        <f>AVERAGE('26.07 Wakiso-Kampala-24h'!D83,'27.07 Wakiso-Kampala-24h'!D83)</f>
        <v>6</v>
      </c>
      <c r="E83" s="49">
        <f>AVERAGE('26.07 Wakiso-Kampala-24h'!E83,'27.07 Wakiso-Kampala-24h'!E83)</f>
        <v>2</v>
      </c>
      <c r="F83" s="49">
        <f>AVERAGE('26.07 Wakiso-Kampala-24h'!F83,'27.07 Wakiso-Kampala-24h'!F83)</f>
        <v>2.5</v>
      </c>
      <c r="G83" s="49">
        <f>AVERAGE('26.07 Wakiso-Kampala-24h'!G83,'27.07 Wakiso-Kampala-24h'!G83)</f>
        <v>0</v>
      </c>
      <c r="H83" s="49">
        <f>AVERAGE('26.07 Wakiso-Kampala-24h'!H83,'27.07 Wakiso-Kampala-24h'!H83)</f>
        <v>0</v>
      </c>
      <c r="I83" s="49">
        <f>AVERAGE('26.07 Wakiso-Kampala-24h'!I83,'27.07 Wakiso-Kampala-24h'!I83)</f>
        <v>1.5</v>
      </c>
      <c r="J83" s="49">
        <f>AVERAGE('26.07 Wakiso-Kampala-24h'!J83,'27.07 Wakiso-Kampala-24h'!J83)</f>
        <v>0</v>
      </c>
      <c r="K83" s="49">
        <f>AVERAGE('26.07 Wakiso-Kampala-24h'!K83,'27.07 Wakiso-Kampala-24h'!K83)</f>
        <v>0</v>
      </c>
      <c r="L83" s="49">
        <f>AVERAGE('26.07 Wakiso-Kampala-24h'!L83,'27.07 Wakiso-Kampala-24h'!L83)</f>
        <v>0</v>
      </c>
      <c r="M83" s="49">
        <f>AVERAGE('26.07 Wakiso-Kampala-24h'!M83,'27.07 Wakiso-Kampala-24h'!M83)</f>
        <v>7</v>
      </c>
      <c r="N83" s="49">
        <f>AVERAGE('26.07 Wakiso-Kampala-24h'!N83,'27.07 Wakiso-Kampala-24h'!N83)</f>
        <v>0</v>
      </c>
      <c r="O83" s="15">
        <f t="shared" si="35"/>
        <v>19</v>
      </c>
      <c r="P83" s="15">
        <f t="shared" si="36"/>
        <v>26</v>
      </c>
      <c r="R83" s="8"/>
      <c r="T83"/>
    </row>
    <row r="84" spans="2:20" ht="23.1" customHeight="1" x14ac:dyDescent="0.25">
      <c r="B84" s="25" t="s">
        <v>124</v>
      </c>
      <c r="C84" s="49">
        <f>AVERAGE('26.07 Wakiso-Kampala-24h'!C84,'27.07 Wakiso-Kampala-24h'!C84)</f>
        <v>13</v>
      </c>
      <c r="D84" s="49">
        <f>AVERAGE('26.07 Wakiso-Kampala-24h'!D84,'27.07 Wakiso-Kampala-24h'!D84)</f>
        <v>4.5</v>
      </c>
      <c r="E84" s="49">
        <f>AVERAGE('26.07 Wakiso-Kampala-24h'!E84,'27.07 Wakiso-Kampala-24h'!E84)</f>
        <v>1.5</v>
      </c>
      <c r="F84" s="49">
        <f>AVERAGE('26.07 Wakiso-Kampala-24h'!F84,'27.07 Wakiso-Kampala-24h'!F84)</f>
        <v>2</v>
      </c>
      <c r="G84" s="49">
        <f>AVERAGE('26.07 Wakiso-Kampala-24h'!G84,'27.07 Wakiso-Kampala-24h'!G84)</f>
        <v>0.5</v>
      </c>
      <c r="H84" s="49">
        <f>AVERAGE('26.07 Wakiso-Kampala-24h'!H84,'27.07 Wakiso-Kampala-24h'!H84)</f>
        <v>0</v>
      </c>
      <c r="I84" s="49">
        <f>AVERAGE('26.07 Wakiso-Kampala-24h'!I84,'27.07 Wakiso-Kampala-24h'!I84)</f>
        <v>3.5</v>
      </c>
      <c r="J84" s="49">
        <f>AVERAGE('26.07 Wakiso-Kampala-24h'!J84,'27.07 Wakiso-Kampala-24h'!J84)</f>
        <v>1</v>
      </c>
      <c r="K84" s="49">
        <f>AVERAGE('26.07 Wakiso-Kampala-24h'!K84,'27.07 Wakiso-Kampala-24h'!K84)</f>
        <v>2</v>
      </c>
      <c r="L84" s="49">
        <f>AVERAGE('26.07 Wakiso-Kampala-24h'!L84,'27.07 Wakiso-Kampala-24h'!L84)</f>
        <v>0</v>
      </c>
      <c r="M84" s="49">
        <f>AVERAGE('26.07 Wakiso-Kampala-24h'!M84,'27.07 Wakiso-Kampala-24h'!M84)</f>
        <v>28</v>
      </c>
      <c r="N84" s="49">
        <f>AVERAGE('26.07 Wakiso-Kampala-24h'!N84,'27.07 Wakiso-Kampala-24h'!N84)</f>
        <v>0</v>
      </c>
      <c r="O84" s="15">
        <f t="shared" si="35"/>
        <v>28</v>
      </c>
      <c r="P84" s="15">
        <f t="shared" si="36"/>
        <v>56</v>
      </c>
      <c r="R84" s="8"/>
      <c r="T84"/>
    </row>
    <row r="85" spans="2:20" ht="23.1" customHeight="1" x14ac:dyDescent="0.25">
      <c r="B85" s="23" t="s">
        <v>125</v>
      </c>
      <c r="C85" s="49">
        <f>AVERAGE('26.07 Wakiso-Kampala-24h'!C85,'27.07 Wakiso-Kampala-24h'!C85)</f>
        <v>4</v>
      </c>
      <c r="D85" s="49">
        <f>AVERAGE('26.07 Wakiso-Kampala-24h'!D85,'27.07 Wakiso-Kampala-24h'!D85)</f>
        <v>1.5</v>
      </c>
      <c r="E85" s="49">
        <f>AVERAGE('26.07 Wakiso-Kampala-24h'!E85,'27.07 Wakiso-Kampala-24h'!E85)</f>
        <v>1.5</v>
      </c>
      <c r="F85" s="49">
        <f>AVERAGE('26.07 Wakiso-Kampala-24h'!F85,'27.07 Wakiso-Kampala-24h'!F85)</f>
        <v>3.5</v>
      </c>
      <c r="G85" s="49">
        <f>AVERAGE('26.07 Wakiso-Kampala-24h'!G85,'27.07 Wakiso-Kampala-24h'!G85)</f>
        <v>0</v>
      </c>
      <c r="H85" s="49">
        <f>AVERAGE('26.07 Wakiso-Kampala-24h'!H85,'27.07 Wakiso-Kampala-24h'!H85)</f>
        <v>0</v>
      </c>
      <c r="I85" s="49">
        <f>AVERAGE('26.07 Wakiso-Kampala-24h'!I85,'27.07 Wakiso-Kampala-24h'!I85)</f>
        <v>3.5</v>
      </c>
      <c r="J85" s="49">
        <f>AVERAGE('26.07 Wakiso-Kampala-24h'!J85,'27.07 Wakiso-Kampala-24h'!J85)</f>
        <v>0.5</v>
      </c>
      <c r="K85" s="49">
        <f>AVERAGE('26.07 Wakiso-Kampala-24h'!K85,'27.07 Wakiso-Kampala-24h'!K85)</f>
        <v>1.5</v>
      </c>
      <c r="L85" s="49">
        <f>AVERAGE('26.07 Wakiso-Kampala-24h'!L85,'27.07 Wakiso-Kampala-24h'!L85)</f>
        <v>0</v>
      </c>
      <c r="M85" s="49">
        <f>AVERAGE('26.07 Wakiso-Kampala-24h'!M85,'27.07 Wakiso-Kampala-24h'!M85)</f>
        <v>19</v>
      </c>
      <c r="N85" s="49">
        <f>AVERAGE('26.07 Wakiso-Kampala-24h'!N85,'27.07 Wakiso-Kampala-24h'!N85)</f>
        <v>0</v>
      </c>
      <c r="O85" s="15">
        <f t="shared" si="35"/>
        <v>16</v>
      </c>
      <c r="P85" s="15">
        <f t="shared" si="36"/>
        <v>35</v>
      </c>
      <c r="R85" s="8"/>
      <c r="T85"/>
    </row>
    <row r="86" spans="2:20" ht="23.1" customHeight="1" x14ac:dyDescent="0.25">
      <c r="B86" s="24" t="s">
        <v>126</v>
      </c>
      <c r="C86" s="49">
        <f>AVERAGE('26.07 Wakiso-Kampala-24h'!C86,'27.07 Wakiso-Kampala-24h'!C86)</f>
        <v>13</v>
      </c>
      <c r="D86" s="49">
        <f>AVERAGE('26.07 Wakiso-Kampala-24h'!D86,'27.07 Wakiso-Kampala-24h'!D86)</f>
        <v>6</v>
      </c>
      <c r="E86" s="49">
        <f>AVERAGE('26.07 Wakiso-Kampala-24h'!E86,'27.07 Wakiso-Kampala-24h'!E86)</f>
        <v>2.5</v>
      </c>
      <c r="F86" s="49">
        <f>AVERAGE('26.07 Wakiso-Kampala-24h'!F86,'27.07 Wakiso-Kampala-24h'!F86)</f>
        <v>2.5</v>
      </c>
      <c r="G86" s="49">
        <f>AVERAGE('26.07 Wakiso-Kampala-24h'!G86,'27.07 Wakiso-Kampala-24h'!G86)</f>
        <v>0</v>
      </c>
      <c r="H86" s="49">
        <f>AVERAGE('26.07 Wakiso-Kampala-24h'!H86,'27.07 Wakiso-Kampala-24h'!H86)</f>
        <v>0</v>
      </c>
      <c r="I86" s="49">
        <f>AVERAGE('26.07 Wakiso-Kampala-24h'!I86,'27.07 Wakiso-Kampala-24h'!I86)</f>
        <v>3.5</v>
      </c>
      <c r="J86" s="49">
        <f>AVERAGE('26.07 Wakiso-Kampala-24h'!J86,'27.07 Wakiso-Kampala-24h'!J86)</f>
        <v>2.5</v>
      </c>
      <c r="K86" s="49">
        <f>AVERAGE('26.07 Wakiso-Kampala-24h'!K86,'27.07 Wakiso-Kampala-24h'!K86)</f>
        <v>0</v>
      </c>
      <c r="L86" s="49">
        <f>AVERAGE('26.07 Wakiso-Kampala-24h'!L86,'27.07 Wakiso-Kampala-24h'!L86)</f>
        <v>0.5</v>
      </c>
      <c r="M86" s="49">
        <f>AVERAGE('26.07 Wakiso-Kampala-24h'!M86,'27.07 Wakiso-Kampala-24h'!M86)</f>
        <v>30</v>
      </c>
      <c r="N86" s="49">
        <f>AVERAGE('26.07 Wakiso-Kampala-24h'!N86,'27.07 Wakiso-Kampala-24h'!N86)</f>
        <v>0</v>
      </c>
      <c r="O86" s="15">
        <f t="shared" si="35"/>
        <v>30.5</v>
      </c>
      <c r="P86" s="15">
        <f t="shared" si="36"/>
        <v>60.5</v>
      </c>
      <c r="R86" s="8"/>
      <c r="T86"/>
    </row>
    <row r="87" spans="2:20" ht="23.1" customHeight="1" x14ac:dyDescent="0.25">
      <c r="B87" s="23" t="s">
        <v>127</v>
      </c>
      <c r="C87" s="49">
        <f>AVERAGE('26.07 Wakiso-Kampala-24h'!C87,'27.07 Wakiso-Kampala-24h'!C87)</f>
        <v>10.5</v>
      </c>
      <c r="D87" s="49">
        <f>AVERAGE('26.07 Wakiso-Kampala-24h'!D87,'27.07 Wakiso-Kampala-24h'!D87)</f>
        <v>3</v>
      </c>
      <c r="E87" s="49">
        <f>AVERAGE('26.07 Wakiso-Kampala-24h'!E87,'27.07 Wakiso-Kampala-24h'!E87)</f>
        <v>0.5</v>
      </c>
      <c r="F87" s="49">
        <f>AVERAGE('26.07 Wakiso-Kampala-24h'!F87,'27.07 Wakiso-Kampala-24h'!F87)</f>
        <v>2</v>
      </c>
      <c r="G87" s="49">
        <f>AVERAGE('26.07 Wakiso-Kampala-24h'!G87,'27.07 Wakiso-Kampala-24h'!G87)</f>
        <v>1</v>
      </c>
      <c r="H87" s="49">
        <f>AVERAGE('26.07 Wakiso-Kampala-24h'!H87,'27.07 Wakiso-Kampala-24h'!H87)</f>
        <v>0</v>
      </c>
      <c r="I87" s="49">
        <f>AVERAGE('26.07 Wakiso-Kampala-24h'!I87,'27.07 Wakiso-Kampala-24h'!I87)</f>
        <v>6.5</v>
      </c>
      <c r="J87" s="49">
        <f>AVERAGE('26.07 Wakiso-Kampala-24h'!J87,'27.07 Wakiso-Kampala-24h'!J87)</f>
        <v>2</v>
      </c>
      <c r="K87" s="49">
        <f>AVERAGE('26.07 Wakiso-Kampala-24h'!K87,'27.07 Wakiso-Kampala-24h'!K87)</f>
        <v>0</v>
      </c>
      <c r="L87" s="49">
        <f>AVERAGE('26.07 Wakiso-Kampala-24h'!L87,'27.07 Wakiso-Kampala-24h'!L87)</f>
        <v>0</v>
      </c>
      <c r="M87" s="49">
        <f>AVERAGE('26.07 Wakiso-Kampala-24h'!M87,'27.07 Wakiso-Kampala-24h'!M87)</f>
        <v>39</v>
      </c>
      <c r="N87" s="49">
        <f>AVERAGE('26.07 Wakiso-Kampala-24h'!N87,'27.07 Wakiso-Kampala-24h'!N87)</f>
        <v>0</v>
      </c>
      <c r="O87" s="15">
        <f t="shared" si="35"/>
        <v>25.5</v>
      </c>
      <c r="P87" s="15">
        <f t="shared" si="36"/>
        <v>64.5</v>
      </c>
      <c r="R87" s="8"/>
      <c r="T87"/>
    </row>
    <row r="88" spans="2:20" ht="23.1" customHeight="1" x14ac:dyDescent="0.25">
      <c r="B88" s="25" t="s">
        <v>128</v>
      </c>
      <c r="C88" s="49">
        <f>AVERAGE('26.07 Wakiso-Kampala-24h'!C88,'27.07 Wakiso-Kampala-24h'!C88)</f>
        <v>13.5</v>
      </c>
      <c r="D88" s="49">
        <f>AVERAGE('26.07 Wakiso-Kampala-24h'!D88,'27.07 Wakiso-Kampala-24h'!D88)</f>
        <v>5.5</v>
      </c>
      <c r="E88" s="49">
        <f>AVERAGE('26.07 Wakiso-Kampala-24h'!E88,'27.07 Wakiso-Kampala-24h'!E88)</f>
        <v>2</v>
      </c>
      <c r="F88" s="49">
        <f>AVERAGE('26.07 Wakiso-Kampala-24h'!F88,'27.07 Wakiso-Kampala-24h'!F88)</f>
        <v>4</v>
      </c>
      <c r="G88" s="49">
        <f>AVERAGE('26.07 Wakiso-Kampala-24h'!G88,'27.07 Wakiso-Kampala-24h'!G88)</f>
        <v>0</v>
      </c>
      <c r="H88" s="49">
        <f>AVERAGE('26.07 Wakiso-Kampala-24h'!H88,'27.07 Wakiso-Kampala-24h'!H88)</f>
        <v>0</v>
      </c>
      <c r="I88" s="49">
        <f>AVERAGE('26.07 Wakiso-Kampala-24h'!I88,'27.07 Wakiso-Kampala-24h'!I88)</f>
        <v>9.5</v>
      </c>
      <c r="J88" s="49">
        <f>AVERAGE('26.07 Wakiso-Kampala-24h'!J88,'27.07 Wakiso-Kampala-24h'!J88)</f>
        <v>1</v>
      </c>
      <c r="K88" s="49">
        <f>AVERAGE('26.07 Wakiso-Kampala-24h'!K88,'27.07 Wakiso-Kampala-24h'!K88)</f>
        <v>0</v>
      </c>
      <c r="L88" s="49">
        <f>AVERAGE('26.07 Wakiso-Kampala-24h'!L88,'27.07 Wakiso-Kampala-24h'!L88)</f>
        <v>1.5</v>
      </c>
      <c r="M88" s="49">
        <f>AVERAGE('26.07 Wakiso-Kampala-24h'!M88,'27.07 Wakiso-Kampala-24h'!M88)</f>
        <v>22.5</v>
      </c>
      <c r="N88" s="49">
        <f>AVERAGE('26.07 Wakiso-Kampala-24h'!N88,'27.07 Wakiso-Kampala-24h'!N88)</f>
        <v>0</v>
      </c>
      <c r="O88" s="15">
        <f t="shared" si="35"/>
        <v>37</v>
      </c>
      <c r="P88" s="15">
        <f t="shared" si="36"/>
        <v>59.5</v>
      </c>
      <c r="R88" s="8"/>
      <c r="T88"/>
    </row>
    <row r="89" spans="2:20" ht="23.1" customHeight="1" x14ac:dyDescent="0.25">
      <c r="B89" s="23" t="s">
        <v>129</v>
      </c>
      <c r="C89" s="49">
        <f>AVERAGE('26.07 Wakiso-Kampala-24h'!C89,'27.07 Wakiso-Kampala-24h'!C89)</f>
        <v>7.5</v>
      </c>
      <c r="D89" s="49">
        <f>AVERAGE('26.07 Wakiso-Kampala-24h'!D89,'27.07 Wakiso-Kampala-24h'!D89)</f>
        <v>3.5</v>
      </c>
      <c r="E89" s="49">
        <f>AVERAGE('26.07 Wakiso-Kampala-24h'!E89,'27.07 Wakiso-Kampala-24h'!E89)</f>
        <v>0.5</v>
      </c>
      <c r="F89" s="49">
        <f>AVERAGE('26.07 Wakiso-Kampala-24h'!F89,'27.07 Wakiso-Kampala-24h'!F89)</f>
        <v>6</v>
      </c>
      <c r="G89" s="49">
        <f>AVERAGE('26.07 Wakiso-Kampala-24h'!G89,'27.07 Wakiso-Kampala-24h'!G89)</f>
        <v>0</v>
      </c>
      <c r="H89" s="49">
        <f>AVERAGE('26.07 Wakiso-Kampala-24h'!H89,'27.07 Wakiso-Kampala-24h'!H89)</f>
        <v>0</v>
      </c>
      <c r="I89" s="49">
        <f>AVERAGE('26.07 Wakiso-Kampala-24h'!I89,'27.07 Wakiso-Kampala-24h'!I89)</f>
        <v>9</v>
      </c>
      <c r="J89" s="49">
        <f>AVERAGE('26.07 Wakiso-Kampala-24h'!J89,'27.07 Wakiso-Kampala-24h'!J89)</f>
        <v>2</v>
      </c>
      <c r="K89" s="49">
        <f>AVERAGE('26.07 Wakiso-Kampala-24h'!K89,'27.07 Wakiso-Kampala-24h'!K89)</f>
        <v>0</v>
      </c>
      <c r="L89" s="49">
        <f>AVERAGE('26.07 Wakiso-Kampala-24h'!L89,'27.07 Wakiso-Kampala-24h'!L89)</f>
        <v>3</v>
      </c>
      <c r="M89" s="49">
        <f>AVERAGE('26.07 Wakiso-Kampala-24h'!M89,'27.07 Wakiso-Kampala-24h'!M89)</f>
        <v>17</v>
      </c>
      <c r="N89" s="49">
        <f>AVERAGE('26.07 Wakiso-Kampala-24h'!N89,'27.07 Wakiso-Kampala-24h'!N89)</f>
        <v>0</v>
      </c>
      <c r="O89" s="15">
        <f t="shared" si="35"/>
        <v>31.5</v>
      </c>
      <c r="P89" s="15">
        <f t="shared" si="36"/>
        <v>48.5</v>
      </c>
      <c r="R89" s="8"/>
      <c r="T89"/>
    </row>
    <row r="90" spans="2:20" ht="23.1" customHeight="1" x14ac:dyDescent="0.25">
      <c r="B90" s="24" t="s">
        <v>130</v>
      </c>
      <c r="C90" s="49">
        <f>AVERAGE('26.07 Wakiso-Kampala-24h'!C90,'27.07 Wakiso-Kampala-24h'!C90)</f>
        <v>7</v>
      </c>
      <c r="D90" s="49">
        <f>AVERAGE('26.07 Wakiso-Kampala-24h'!D90,'27.07 Wakiso-Kampala-24h'!D90)</f>
        <v>5</v>
      </c>
      <c r="E90" s="49">
        <f>AVERAGE('26.07 Wakiso-Kampala-24h'!E90,'27.07 Wakiso-Kampala-24h'!E90)</f>
        <v>2</v>
      </c>
      <c r="F90" s="49">
        <f>AVERAGE('26.07 Wakiso-Kampala-24h'!F90,'27.07 Wakiso-Kampala-24h'!F90)</f>
        <v>5</v>
      </c>
      <c r="G90" s="49">
        <f>AVERAGE('26.07 Wakiso-Kampala-24h'!G90,'27.07 Wakiso-Kampala-24h'!G90)</f>
        <v>0</v>
      </c>
      <c r="H90" s="49">
        <f>AVERAGE('26.07 Wakiso-Kampala-24h'!H90,'27.07 Wakiso-Kampala-24h'!H90)</f>
        <v>0</v>
      </c>
      <c r="I90" s="49">
        <f>AVERAGE('26.07 Wakiso-Kampala-24h'!I90,'27.07 Wakiso-Kampala-24h'!I90)</f>
        <v>1.5</v>
      </c>
      <c r="J90" s="49">
        <f>AVERAGE('26.07 Wakiso-Kampala-24h'!J90,'27.07 Wakiso-Kampala-24h'!J90)</f>
        <v>4.5</v>
      </c>
      <c r="K90" s="49">
        <f>AVERAGE('26.07 Wakiso-Kampala-24h'!K90,'27.07 Wakiso-Kampala-24h'!K90)</f>
        <v>1.5</v>
      </c>
      <c r="L90" s="49">
        <f>AVERAGE('26.07 Wakiso-Kampala-24h'!L90,'27.07 Wakiso-Kampala-24h'!L90)</f>
        <v>0</v>
      </c>
      <c r="M90" s="49">
        <f>AVERAGE('26.07 Wakiso-Kampala-24h'!M90,'27.07 Wakiso-Kampala-24h'!M90)</f>
        <v>14.5</v>
      </c>
      <c r="N90" s="49">
        <f>AVERAGE('26.07 Wakiso-Kampala-24h'!N90,'27.07 Wakiso-Kampala-24h'!N90)</f>
        <v>0</v>
      </c>
      <c r="O90" s="15">
        <f t="shared" si="35"/>
        <v>26.5</v>
      </c>
      <c r="P90" s="15">
        <f t="shared" si="36"/>
        <v>41</v>
      </c>
      <c r="R90" s="8"/>
      <c r="T90"/>
    </row>
    <row r="91" spans="2:20" ht="23.1" customHeight="1" x14ac:dyDescent="0.25">
      <c r="B91" s="23" t="s">
        <v>131</v>
      </c>
      <c r="C91" s="49">
        <f>AVERAGE('26.07 Wakiso-Kampala-24h'!C91,'27.07 Wakiso-Kampala-24h'!C91)</f>
        <v>5.5</v>
      </c>
      <c r="D91" s="49">
        <f>AVERAGE('26.07 Wakiso-Kampala-24h'!D91,'27.07 Wakiso-Kampala-24h'!D91)</f>
        <v>3.5</v>
      </c>
      <c r="E91" s="49">
        <f>AVERAGE('26.07 Wakiso-Kampala-24h'!E91,'27.07 Wakiso-Kampala-24h'!E91)</f>
        <v>5.5</v>
      </c>
      <c r="F91" s="49">
        <f>AVERAGE('26.07 Wakiso-Kampala-24h'!F91,'27.07 Wakiso-Kampala-24h'!F91)</f>
        <v>3</v>
      </c>
      <c r="G91" s="49">
        <f>AVERAGE('26.07 Wakiso-Kampala-24h'!G91,'27.07 Wakiso-Kampala-24h'!G91)</f>
        <v>0</v>
      </c>
      <c r="H91" s="49">
        <f>AVERAGE('26.07 Wakiso-Kampala-24h'!H91,'27.07 Wakiso-Kampala-24h'!H91)</f>
        <v>0</v>
      </c>
      <c r="I91" s="49">
        <f>AVERAGE('26.07 Wakiso-Kampala-24h'!I91,'27.07 Wakiso-Kampala-24h'!I91)</f>
        <v>3</v>
      </c>
      <c r="J91" s="49">
        <f>AVERAGE('26.07 Wakiso-Kampala-24h'!J91,'27.07 Wakiso-Kampala-24h'!J91)</f>
        <v>4</v>
      </c>
      <c r="K91" s="49">
        <f>AVERAGE('26.07 Wakiso-Kampala-24h'!K91,'27.07 Wakiso-Kampala-24h'!K91)</f>
        <v>1.5</v>
      </c>
      <c r="L91" s="49">
        <f>AVERAGE('26.07 Wakiso-Kampala-24h'!L91,'27.07 Wakiso-Kampala-24h'!L91)</f>
        <v>1</v>
      </c>
      <c r="M91" s="49">
        <f>AVERAGE('26.07 Wakiso-Kampala-24h'!M91,'27.07 Wakiso-Kampala-24h'!M91)</f>
        <v>17.5</v>
      </c>
      <c r="N91" s="49">
        <f>AVERAGE('26.07 Wakiso-Kampala-24h'!N91,'27.07 Wakiso-Kampala-24h'!N91)</f>
        <v>0</v>
      </c>
      <c r="O91" s="15">
        <f t="shared" si="35"/>
        <v>27</v>
      </c>
      <c r="P91" s="15">
        <f t="shared" si="36"/>
        <v>44.5</v>
      </c>
      <c r="R91" s="8"/>
      <c r="T91"/>
    </row>
    <row r="92" spans="2:20" ht="23.1" customHeight="1" x14ac:dyDescent="0.25">
      <c r="B92" s="25" t="s">
        <v>132</v>
      </c>
      <c r="C92" s="49">
        <f>AVERAGE('26.07 Wakiso-Kampala-24h'!C92,'27.07 Wakiso-Kampala-24h'!C92)</f>
        <v>6</v>
      </c>
      <c r="D92" s="49">
        <f>AVERAGE('26.07 Wakiso-Kampala-24h'!D92,'27.07 Wakiso-Kampala-24h'!D92)</f>
        <v>1</v>
      </c>
      <c r="E92" s="49">
        <f>AVERAGE('26.07 Wakiso-Kampala-24h'!E92,'27.07 Wakiso-Kampala-24h'!E92)</f>
        <v>2.5</v>
      </c>
      <c r="F92" s="49">
        <f>AVERAGE('26.07 Wakiso-Kampala-24h'!F92,'27.07 Wakiso-Kampala-24h'!F92)</f>
        <v>1.5</v>
      </c>
      <c r="G92" s="49">
        <f>AVERAGE('26.07 Wakiso-Kampala-24h'!G92,'27.07 Wakiso-Kampala-24h'!G92)</f>
        <v>0</v>
      </c>
      <c r="H92" s="49">
        <f>AVERAGE('26.07 Wakiso-Kampala-24h'!H92,'27.07 Wakiso-Kampala-24h'!H92)</f>
        <v>0</v>
      </c>
      <c r="I92" s="49">
        <f>AVERAGE('26.07 Wakiso-Kampala-24h'!I92,'27.07 Wakiso-Kampala-24h'!I92)</f>
        <v>4</v>
      </c>
      <c r="J92" s="49">
        <f>AVERAGE('26.07 Wakiso-Kampala-24h'!J92,'27.07 Wakiso-Kampala-24h'!J92)</f>
        <v>2</v>
      </c>
      <c r="K92" s="49">
        <f>AVERAGE('26.07 Wakiso-Kampala-24h'!K92,'27.07 Wakiso-Kampala-24h'!K92)</f>
        <v>0</v>
      </c>
      <c r="L92" s="49">
        <f>AVERAGE('26.07 Wakiso-Kampala-24h'!L92,'27.07 Wakiso-Kampala-24h'!L92)</f>
        <v>0</v>
      </c>
      <c r="M92" s="49">
        <f>AVERAGE('26.07 Wakiso-Kampala-24h'!M92,'27.07 Wakiso-Kampala-24h'!M92)</f>
        <v>10.5</v>
      </c>
      <c r="N92" s="49">
        <f>AVERAGE('26.07 Wakiso-Kampala-24h'!N92,'27.07 Wakiso-Kampala-24h'!N92)</f>
        <v>0</v>
      </c>
      <c r="O92" s="15">
        <f t="shared" si="35"/>
        <v>17</v>
      </c>
      <c r="P92" s="15">
        <f t="shared" si="36"/>
        <v>27.5</v>
      </c>
      <c r="R92" s="8"/>
      <c r="T92"/>
    </row>
    <row r="93" spans="2:20" ht="23.1" customHeight="1" x14ac:dyDescent="0.25">
      <c r="B93" s="23" t="s">
        <v>133</v>
      </c>
      <c r="C93" s="49">
        <f>AVERAGE('26.07 Wakiso-Kampala-24h'!C93,'27.07 Wakiso-Kampala-24h'!C93)</f>
        <v>7.5</v>
      </c>
      <c r="D93" s="49">
        <f>AVERAGE('26.07 Wakiso-Kampala-24h'!D93,'27.07 Wakiso-Kampala-24h'!D93)</f>
        <v>2</v>
      </c>
      <c r="E93" s="49">
        <f>AVERAGE('26.07 Wakiso-Kampala-24h'!E93,'27.07 Wakiso-Kampala-24h'!E93)</f>
        <v>3</v>
      </c>
      <c r="F93" s="49">
        <f>AVERAGE('26.07 Wakiso-Kampala-24h'!F93,'27.07 Wakiso-Kampala-24h'!F93)</f>
        <v>5</v>
      </c>
      <c r="G93" s="49">
        <f>AVERAGE('26.07 Wakiso-Kampala-24h'!G93,'27.07 Wakiso-Kampala-24h'!G93)</f>
        <v>0</v>
      </c>
      <c r="H93" s="49">
        <f>AVERAGE('26.07 Wakiso-Kampala-24h'!H93,'27.07 Wakiso-Kampala-24h'!H93)</f>
        <v>0</v>
      </c>
      <c r="I93" s="49">
        <f>AVERAGE('26.07 Wakiso-Kampala-24h'!I93,'27.07 Wakiso-Kampala-24h'!I93)</f>
        <v>3</v>
      </c>
      <c r="J93" s="49">
        <f>AVERAGE('26.07 Wakiso-Kampala-24h'!J93,'27.07 Wakiso-Kampala-24h'!J93)</f>
        <v>2.5</v>
      </c>
      <c r="K93" s="49">
        <f>AVERAGE('26.07 Wakiso-Kampala-24h'!K93,'27.07 Wakiso-Kampala-24h'!K93)</f>
        <v>2.5</v>
      </c>
      <c r="L93" s="49">
        <f>AVERAGE('26.07 Wakiso-Kampala-24h'!L93,'27.07 Wakiso-Kampala-24h'!L93)</f>
        <v>1</v>
      </c>
      <c r="M93" s="49">
        <f>AVERAGE('26.07 Wakiso-Kampala-24h'!M93,'27.07 Wakiso-Kampala-24h'!M93)</f>
        <v>16.5</v>
      </c>
      <c r="N93" s="49">
        <f>AVERAGE('26.07 Wakiso-Kampala-24h'!N93,'27.07 Wakiso-Kampala-24h'!N93)</f>
        <v>0</v>
      </c>
      <c r="O93" s="15">
        <f t="shared" si="35"/>
        <v>26.5</v>
      </c>
      <c r="P93" s="15">
        <f t="shared" si="36"/>
        <v>43</v>
      </c>
      <c r="R93" s="8"/>
      <c r="T93"/>
    </row>
    <row r="94" spans="2:20" ht="23.1" customHeight="1" x14ac:dyDescent="0.25">
      <c r="B94" s="24" t="s">
        <v>134</v>
      </c>
      <c r="C94" s="49">
        <f>AVERAGE('26.07 Wakiso-Kampala-24h'!C94,'27.07 Wakiso-Kampala-24h'!C94)</f>
        <v>9.5</v>
      </c>
      <c r="D94" s="49">
        <f>AVERAGE('26.07 Wakiso-Kampala-24h'!D94,'27.07 Wakiso-Kampala-24h'!D94)</f>
        <v>1</v>
      </c>
      <c r="E94" s="49">
        <f>AVERAGE('26.07 Wakiso-Kampala-24h'!E94,'27.07 Wakiso-Kampala-24h'!E94)</f>
        <v>1.5</v>
      </c>
      <c r="F94" s="49">
        <f>AVERAGE('26.07 Wakiso-Kampala-24h'!F94,'27.07 Wakiso-Kampala-24h'!F94)</f>
        <v>5.5</v>
      </c>
      <c r="G94" s="49">
        <f>AVERAGE('26.07 Wakiso-Kampala-24h'!G94,'27.07 Wakiso-Kampala-24h'!G94)</f>
        <v>0.5</v>
      </c>
      <c r="H94" s="49">
        <f>AVERAGE('26.07 Wakiso-Kampala-24h'!H94,'27.07 Wakiso-Kampala-24h'!H94)</f>
        <v>0</v>
      </c>
      <c r="I94" s="49">
        <f>AVERAGE('26.07 Wakiso-Kampala-24h'!I94,'27.07 Wakiso-Kampala-24h'!I94)</f>
        <v>1.5</v>
      </c>
      <c r="J94" s="49">
        <f>AVERAGE('26.07 Wakiso-Kampala-24h'!J94,'27.07 Wakiso-Kampala-24h'!J94)</f>
        <v>2.5</v>
      </c>
      <c r="K94" s="49">
        <f>AVERAGE('26.07 Wakiso-Kampala-24h'!K94,'27.07 Wakiso-Kampala-24h'!K94)</f>
        <v>1.5</v>
      </c>
      <c r="L94" s="49">
        <f>AVERAGE('26.07 Wakiso-Kampala-24h'!L94,'27.07 Wakiso-Kampala-24h'!L94)</f>
        <v>0.5</v>
      </c>
      <c r="M94" s="49">
        <f>AVERAGE('26.07 Wakiso-Kampala-24h'!M94,'27.07 Wakiso-Kampala-24h'!M94)</f>
        <v>22.5</v>
      </c>
      <c r="N94" s="49">
        <f>AVERAGE('26.07 Wakiso-Kampala-24h'!N94,'27.07 Wakiso-Kampala-24h'!N94)</f>
        <v>0</v>
      </c>
      <c r="O94" s="15">
        <f t="shared" si="35"/>
        <v>24</v>
      </c>
      <c r="P94" s="15">
        <f t="shared" si="36"/>
        <v>46.5</v>
      </c>
      <c r="R94" s="8"/>
      <c r="T94"/>
    </row>
    <row r="95" spans="2:20" ht="23.1" customHeight="1" x14ac:dyDescent="0.25">
      <c r="B95" s="23" t="s">
        <v>135</v>
      </c>
      <c r="C95" s="49">
        <f>AVERAGE('26.07 Wakiso-Kampala-24h'!C95,'27.07 Wakiso-Kampala-24h'!C95)</f>
        <v>12.5</v>
      </c>
      <c r="D95" s="49">
        <f>AVERAGE('26.07 Wakiso-Kampala-24h'!D95,'27.07 Wakiso-Kampala-24h'!D95)</f>
        <v>8.5</v>
      </c>
      <c r="E95" s="49">
        <f>AVERAGE('26.07 Wakiso-Kampala-24h'!E95,'27.07 Wakiso-Kampala-24h'!E95)</f>
        <v>3</v>
      </c>
      <c r="F95" s="49">
        <f>AVERAGE('26.07 Wakiso-Kampala-24h'!F95,'27.07 Wakiso-Kampala-24h'!F95)</f>
        <v>9.5</v>
      </c>
      <c r="G95" s="49">
        <f>AVERAGE('26.07 Wakiso-Kampala-24h'!G95,'27.07 Wakiso-Kampala-24h'!G95)</f>
        <v>0</v>
      </c>
      <c r="H95" s="49">
        <f>AVERAGE('26.07 Wakiso-Kampala-24h'!H95,'27.07 Wakiso-Kampala-24h'!H95)</f>
        <v>0</v>
      </c>
      <c r="I95" s="49">
        <f>AVERAGE('26.07 Wakiso-Kampala-24h'!I95,'27.07 Wakiso-Kampala-24h'!I95)</f>
        <v>11.5</v>
      </c>
      <c r="J95" s="49">
        <f>AVERAGE('26.07 Wakiso-Kampala-24h'!J95,'27.07 Wakiso-Kampala-24h'!J95)</f>
        <v>3.5</v>
      </c>
      <c r="K95" s="49">
        <f>AVERAGE('26.07 Wakiso-Kampala-24h'!K95,'27.07 Wakiso-Kampala-24h'!K95)</f>
        <v>1</v>
      </c>
      <c r="L95" s="49">
        <f>AVERAGE('26.07 Wakiso-Kampala-24h'!L95,'27.07 Wakiso-Kampala-24h'!L95)</f>
        <v>1</v>
      </c>
      <c r="M95" s="49">
        <f>AVERAGE('26.07 Wakiso-Kampala-24h'!M95,'27.07 Wakiso-Kampala-24h'!M95)</f>
        <v>32.5</v>
      </c>
      <c r="N95" s="49">
        <f>AVERAGE('26.07 Wakiso-Kampala-24h'!N95,'27.07 Wakiso-Kampala-24h'!N95)</f>
        <v>0</v>
      </c>
      <c r="O95" s="15">
        <f t="shared" si="35"/>
        <v>50.5</v>
      </c>
      <c r="P95" s="15">
        <f t="shared" si="36"/>
        <v>83</v>
      </c>
      <c r="R95" s="8"/>
      <c r="T95"/>
    </row>
    <row r="96" spans="2:20" ht="23.1" customHeight="1" x14ac:dyDescent="0.25">
      <c r="B96" s="25" t="s">
        <v>136</v>
      </c>
      <c r="C96" s="49">
        <f>AVERAGE('26.07 Wakiso-Kampala-24h'!C96,'27.07 Wakiso-Kampala-24h'!C96)</f>
        <v>9</v>
      </c>
      <c r="D96" s="49">
        <f>AVERAGE('26.07 Wakiso-Kampala-24h'!D96,'27.07 Wakiso-Kampala-24h'!D96)</f>
        <v>10</v>
      </c>
      <c r="E96" s="49">
        <f>AVERAGE('26.07 Wakiso-Kampala-24h'!E96,'27.07 Wakiso-Kampala-24h'!E96)</f>
        <v>2</v>
      </c>
      <c r="F96" s="49">
        <f>AVERAGE('26.07 Wakiso-Kampala-24h'!F96,'27.07 Wakiso-Kampala-24h'!F96)</f>
        <v>13.5</v>
      </c>
      <c r="G96" s="49">
        <f>AVERAGE('26.07 Wakiso-Kampala-24h'!G96,'27.07 Wakiso-Kampala-24h'!G96)</f>
        <v>0</v>
      </c>
      <c r="H96" s="49">
        <f>AVERAGE('26.07 Wakiso-Kampala-24h'!H96,'27.07 Wakiso-Kampala-24h'!H96)</f>
        <v>0</v>
      </c>
      <c r="I96" s="49">
        <f>AVERAGE('26.07 Wakiso-Kampala-24h'!I96,'27.07 Wakiso-Kampala-24h'!I96)</f>
        <v>5.5</v>
      </c>
      <c r="J96" s="49">
        <f>AVERAGE('26.07 Wakiso-Kampala-24h'!J96,'27.07 Wakiso-Kampala-24h'!J96)</f>
        <v>1.5</v>
      </c>
      <c r="K96" s="49">
        <f>AVERAGE('26.07 Wakiso-Kampala-24h'!K96,'27.07 Wakiso-Kampala-24h'!K96)</f>
        <v>1</v>
      </c>
      <c r="L96" s="49">
        <f>AVERAGE('26.07 Wakiso-Kampala-24h'!L96,'27.07 Wakiso-Kampala-24h'!L96)</f>
        <v>0.5</v>
      </c>
      <c r="M96" s="49">
        <f>AVERAGE('26.07 Wakiso-Kampala-24h'!M96,'27.07 Wakiso-Kampala-24h'!M96)</f>
        <v>30.5</v>
      </c>
      <c r="N96" s="49">
        <f>AVERAGE('26.07 Wakiso-Kampala-24h'!N96,'27.07 Wakiso-Kampala-24h'!N96)</f>
        <v>0</v>
      </c>
      <c r="O96" s="15">
        <f t="shared" si="35"/>
        <v>43</v>
      </c>
      <c r="P96" s="15">
        <f t="shared" si="36"/>
        <v>73.5</v>
      </c>
      <c r="R96" s="8"/>
      <c r="T96"/>
    </row>
    <row r="97" spans="2:20" ht="23.1" customHeight="1" x14ac:dyDescent="0.25">
      <c r="B97" s="23" t="s">
        <v>137</v>
      </c>
      <c r="C97" s="49">
        <f>AVERAGE('26.07 Wakiso-Kampala-24h'!C97,'27.07 Wakiso-Kampala-24h'!C97)</f>
        <v>9</v>
      </c>
      <c r="D97" s="49">
        <f>AVERAGE('26.07 Wakiso-Kampala-24h'!D97,'27.07 Wakiso-Kampala-24h'!D97)</f>
        <v>4</v>
      </c>
      <c r="E97" s="49">
        <f>AVERAGE('26.07 Wakiso-Kampala-24h'!E97,'27.07 Wakiso-Kampala-24h'!E97)</f>
        <v>2</v>
      </c>
      <c r="F97" s="49">
        <f>AVERAGE('26.07 Wakiso-Kampala-24h'!F97,'27.07 Wakiso-Kampala-24h'!F97)</f>
        <v>17.5</v>
      </c>
      <c r="G97" s="49">
        <f>AVERAGE('26.07 Wakiso-Kampala-24h'!G97,'27.07 Wakiso-Kampala-24h'!G97)</f>
        <v>0</v>
      </c>
      <c r="H97" s="49">
        <f>AVERAGE('26.07 Wakiso-Kampala-24h'!H97,'27.07 Wakiso-Kampala-24h'!H97)</f>
        <v>0</v>
      </c>
      <c r="I97" s="49">
        <f>AVERAGE('26.07 Wakiso-Kampala-24h'!I97,'27.07 Wakiso-Kampala-24h'!I97)</f>
        <v>1.5</v>
      </c>
      <c r="J97" s="49">
        <f>AVERAGE('26.07 Wakiso-Kampala-24h'!J97,'27.07 Wakiso-Kampala-24h'!J97)</f>
        <v>2</v>
      </c>
      <c r="K97" s="49">
        <f>AVERAGE('26.07 Wakiso-Kampala-24h'!K97,'27.07 Wakiso-Kampala-24h'!K97)</f>
        <v>1.5</v>
      </c>
      <c r="L97" s="49">
        <f>AVERAGE('26.07 Wakiso-Kampala-24h'!L97,'27.07 Wakiso-Kampala-24h'!L97)</f>
        <v>0</v>
      </c>
      <c r="M97" s="49">
        <f>AVERAGE('26.07 Wakiso-Kampala-24h'!M97,'27.07 Wakiso-Kampala-24h'!M97)</f>
        <v>18.5</v>
      </c>
      <c r="N97" s="49">
        <f>AVERAGE('26.07 Wakiso-Kampala-24h'!N97,'27.07 Wakiso-Kampala-24h'!N97)</f>
        <v>0</v>
      </c>
      <c r="O97" s="15">
        <f t="shared" si="35"/>
        <v>37.5</v>
      </c>
      <c r="P97" s="15">
        <f t="shared" si="36"/>
        <v>56</v>
      </c>
      <c r="R97" s="8"/>
      <c r="T97"/>
    </row>
    <row r="98" spans="2:20" ht="23.1" customHeight="1" x14ac:dyDescent="0.25">
      <c r="B98" s="24" t="s">
        <v>138</v>
      </c>
      <c r="C98" s="49">
        <f>AVERAGE('26.07 Wakiso-Kampala-24h'!C98,'27.07 Wakiso-Kampala-24h'!C98)</f>
        <v>8.5</v>
      </c>
      <c r="D98" s="49">
        <f>AVERAGE('26.07 Wakiso-Kampala-24h'!D98,'27.07 Wakiso-Kampala-24h'!D98)</f>
        <v>5</v>
      </c>
      <c r="E98" s="49">
        <f>AVERAGE('26.07 Wakiso-Kampala-24h'!E98,'27.07 Wakiso-Kampala-24h'!E98)</f>
        <v>1.5</v>
      </c>
      <c r="F98" s="49">
        <f>AVERAGE('26.07 Wakiso-Kampala-24h'!F98,'27.07 Wakiso-Kampala-24h'!F98)</f>
        <v>25.5</v>
      </c>
      <c r="G98" s="49">
        <f>AVERAGE('26.07 Wakiso-Kampala-24h'!G98,'27.07 Wakiso-Kampala-24h'!G98)</f>
        <v>0</v>
      </c>
      <c r="H98" s="49">
        <f>AVERAGE('26.07 Wakiso-Kampala-24h'!H98,'27.07 Wakiso-Kampala-24h'!H98)</f>
        <v>0</v>
      </c>
      <c r="I98" s="49">
        <f>AVERAGE('26.07 Wakiso-Kampala-24h'!I98,'27.07 Wakiso-Kampala-24h'!I98)</f>
        <v>7</v>
      </c>
      <c r="J98" s="49">
        <f>AVERAGE('26.07 Wakiso-Kampala-24h'!J98,'27.07 Wakiso-Kampala-24h'!J98)</f>
        <v>1.5</v>
      </c>
      <c r="K98" s="49">
        <f>AVERAGE('26.07 Wakiso-Kampala-24h'!K98,'27.07 Wakiso-Kampala-24h'!K98)</f>
        <v>5.5</v>
      </c>
      <c r="L98" s="49">
        <f>AVERAGE('26.07 Wakiso-Kampala-24h'!L98,'27.07 Wakiso-Kampala-24h'!L98)</f>
        <v>0.5</v>
      </c>
      <c r="M98" s="49">
        <f>AVERAGE('26.07 Wakiso-Kampala-24h'!M98,'27.07 Wakiso-Kampala-24h'!M98)</f>
        <v>20</v>
      </c>
      <c r="N98" s="49">
        <f>AVERAGE('26.07 Wakiso-Kampala-24h'!N98,'27.07 Wakiso-Kampala-24h'!N98)</f>
        <v>0</v>
      </c>
      <c r="O98" s="15">
        <f t="shared" si="35"/>
        <v>55</v>
      </c>
      <c r="P98" s="15">
        <f t="shared" si="36"/>
        <v>75</v>
      </c>
      <c r="R98" s="8"/>
      <c r="T98"/>
    </row>
    <row r="99" spans="2:20" ht="23.1" customHeight="1" x14ac:dyDescent="0.25">
      <c r="B99" s="23" t="s">
        <v>139</v>
      </c>
      <c r="C99" s="49">
        <f>AVERAGE('26.07 Wakiso-Kampala-24h'!C99,'27.07 Wakiso-Kampala-24h'!C99)</f>
        <v>9</v>
      </c>
      <c r="D99" s="49">
        <f>AVERAGE('26.07 Wakiso-Kampala-24h'!D99,'27.07 Wakiso-Kampala-24h'!D99)</f>
        <v>2.5</v>
      </c>
      <c r="E99" s="49">
        <f>AVERAGE('26.07 Wakiso-Kampala-24h'!E99,'27.07 Wakiso-Kampala-24h'!E99)</f>
        <v>0.5</v>
      </c>
      <c r="F99" s="49">
        <f>AVERAGE('26.07 Wakiso-Kampala-24h'!F99,'27.07 Wakiso-Kampala-24h'!F99)</f>
        <v>22.5</v>
      </c>
      <c r="G99" s="49">
        <f>AVERAGE('26.07 Wakiso-Kampala-24h'!G99,'27.07 Wakiso-Kampala-24h'!G99)</f>
        <v>0.5</v>
      </c>
      <c r="H99" s="49">
        <f>AVERAGE('26.07 Wakiso-Kampala-24h'!H99,'27.07 Wakiso-Kampala-24h'!H99)</f>
        <v>0</v>
      </c>
      <c r="I99" s="49">
        <f>AVERAGE('26.07 Wakiso-Kampala-24h'!I99,'27.07 Wakiso-Kampala-24h'!I99)</f>
        <v>4</v>
      </c>
      <c r="J99" s="49">
        <f>AVERAGE('26.07 Wakiso-Kampala-24h'!J99,'27.07 Wakiso-Kampala-24h'!J99)</f>
        <v>0.5</v>
      </c>
      <c r="K99" s="49">
        <f>AVERAGE('26.07 Wakiso-Kampala-24h'!K99,'27.07 Wakiso-Kampala-24h'!K99)</f>
        <v>1</v>
      </c>
      <c r="L99" s="49">
        <f>AVERAGE('26.07 Wakiso-Kampala-24h'!L99,'27.07 Wakiso-Kampala-24h'!L99)</f>
        <v>0</v>
      </c>
      <c r="M99" s="49">
        <f>AVERAGE('26.07 Wakiso-Kampala-24h'!M99,'27.07 Wakiso-Kampala-24h'!M99)</f>
        <v>27</v>
      </c>
      <c r="N99" s="49">
        <f>AVERAGE('26.07 Wakiso-Kampala-24h'!N99,'27.07 Wakiso-Kampala-24h'!N99)</f>
        <v>0</v>
      </c>
      <c r="O99" s="15">
        <f t="shared" si="35"/>
        <v>40.5</v>
      </c>
      <c r="P99" s="15">
        <f t="shared" si="36"/>
        <v>67.5</v>
      </c>
      <c r="R99" s="8"/>
      <c r="T99"/>
    </row>
    <row r="100" spans="2:20" ht="23.1" customHeight="1" x14ac:dyDescent="0.25">
      <c r="B100" s="25" t="s">
        <v>140</v>
      </c>
      <c r="C100" s="49">
        <f>AVERAGE('26.07 Wakiso-Kampala-24h'!C100,'27.07 Wakiso-Kampala-24h'!C100)</f>
        <v>7</v>
      </c>
      <c r="D100" s="49">
        <f>AVERAGE('26.07 Wakiso-Kampala-24h'!D100,'27.07 Wakiso-Kampala-24h'!D100)</f>
        <v>5</v>
      </c>
      <c r="E100" s="49">
        <f>AVERAGE('26.07 Wakiso-Kampala-24h'!E100,'27.07 Wakiso-Kampala-24h'!E100)</f>
        <v>1.5</v>
      </c>
      <c r="F100" s="49">
        <f>AVERAGE('26.07 Wakiso-Kampala-24h'!F100,'27.07 Wakiso-Kampala-24h'!F100)</f>
        <v>14</v>
      </c>
      <c r="G100" s="49">
        <f>AVERAGE('26.07 Wakiso-Kampala-24h'!G100,'27.07 Wakiso-Kampala-24h'!G100)</f>
        <v>2</v>
      </c>
      <c r="H100" s="49">
        <f>AVERAGE('26.07 Wakiso-Kampala-24h'!H100,'27.07 Wakiso-Kampala-24h'!H100)</f>
        <v>0.5</v>
      </c>
      <c r="I100" s="49">
        <f>AVERAGE('26.07 Wakiso-Kampala-24h'!I100,'27.07 Wakiso-Kampala-24h'!I100)</f>
        <v>7</v>
      </c>
      <c r="J100" s="49">
        <f>AVERAGE('26.07 Wakiso-Kampala-24h'!J100,'27.07 Wakiso-Kampala-24h'!J100)</f>
        <v>0.5</v>
      </c>
      <c r="K100" s="49">
        <f>AVERAGE('26.07 Wakiso-Kampala-24h'!K100,'27.07 Wakiso-Kampala-24h'!K100)</f>
        <v>0.5</v>
      </c>
      <c r="L100" s="49">
        <f>AVERAGE('26.07 Wakiso-Kampala-24h'!L100,'27.07 Wakiso-Kampala-24h'!L100)</f>
        <v>1</v>
      </c>
      <c r="M100" s="49">
        <f>AVERAGE('26.07 Wakiso-Kampala-24h'!M100,'27.07 Wakiso-Kampala-24h'!M100)</f>
        <v>30</v>
      </c>
      <c r="N100" s="49">
        <f>AVERAGE('26.07 Wakiso-Kampala-24h'!N100,'27.07 Wakiso-Kampala-24h'!N100)</f>
        <v>0</v>
      </c>
      <c r="O100" s="15">
        <f t="shared" si="35"/>
        <v>39</v>
      </c>
      <c r="P100" s="15">
        <f t="shared" si="36"/>
        <v>69</v>
      </c>
      <c r="R100" s="8"/>
      <c r="T100"/>
    </row>
    <row r="101" spans="2:20" ht="23.1" customHeight="1" x14ac:dyDescent="0.25">
      <c r="B101" s="23" t="s">
        <v>141</v>
      </c>
      <c r="C101" s="49">
        <f>AVERAGE('26.07 Wakiso-Kampala-24h'!C101,'27.07 Wakiso-Kampala-24h'!C101)</f>
        <v>29</v>
      </c>
      <c r="D101" s="49">
        <f>AVERAGE('26.07 Wakiso-Kampala-24h'!D101,'27.07 Wakiso-Kampala-24h'!D101)</f>
        <v>5.5</v>
      </c>
      <c r="E101" s="49">
        <f>AVERAGE('26.07 Wakiso-Kampala-24h'!E101,'27.07 Wakiso-Kampala-24h'!E101)</f>
        <v>1.5</v>
      </c>
      <c r="F101" s="49">
        <f>AVERAGE('26.07 Wakiso-Kampala-24h'!F101,'27.07 Wakiso-Kampala-24h'!F101)</f>
        <v>33.5</v>
      </c>
      <c r="G101" s="49">
        <f>AVERAGE('26.07 Wakiso-Kampala-24h'!G101,'27.07 Wakiso-Kampala-24h'!G101)</f>
        <v>1</v>
      </c>
      <c r="H101" s="49">
        <f>AVERAGE('26.07 Wakiso-Kampala-24h'!H101,'27.07 Wakiso-Kampala-24h'!H101)</f>
        <v>0.5</v>
      </c>
      <c r="I101" s="49">
        <f>AVERAGE('26.07 Wakiso-Kampala-24h'!I101,'27.07 Wakiso-Kampala-24h'!I101)</f>
        <v>13</v>
      </c>
      <c r="J101" s="49">
        <f>AVERAGE('26.07 Wakiso-Kampala-24h'!J101,'27.07 Wakiso-Kampala-24h'!J101)</f>
        <v>1</v>
      </c>
      <c r="K101" s="49">
        <f>AVERAGE('26.07 Wakiso-Kampala-24h'!K101,'27.07 Wakiso-Kampala-24h'!K101)</f>
        <v>6.5</v>
      </c>
      <c r="L101" s="49">
        <f>AVERAGE('26.07 Wakiso-Kampala-24h'!L101,'27.07 Wakiso-Kampala-24h'!L101)</f>
        <v>0</v>
      </c>
      <c r="M101" s="49">
        <f>AVERAGE('26.07 Wakiso-Kampala-24h'!M101,'27.07 Wakiso-Kampala-24h'!M101)</f>
        <v>30</v>
      </c>
      <c r="N101" s="49">
        <f>AVERAGE('26.07 Wakiso-Kampala-24h'!N101,'27.07 Wakiso-Kampala-24h'!N101)</f>
        <v>0</v>
      </c>
      <c r="O101" s="15">
        <f t="shared" si="35"/>
        <v>91.5</v>
      </c>
      <c r="P101" s="15">
        <f t="shared" si="36"/>
        <v>121.5</v>
      </c>
      <c r="R101" s="8"/>
      <c r="T101"/>
    </row>
    <row r="102" spans="2:20" ht="23.1" customHeight="1" x14ac:dyDescent="0.25">
      <c r="B102" s="24" t="s">
        <v>142</v>
      </c>
      <c r="C102" s="49">
        <f>AVERAGE('26.07 Wakiso-Kampala-24h'!C102,'27.07 Wakiso-Kampala-24h'!C102)</f>
        <v>26</v>
      </c>
      <c r="D102" s="49">
        <f>AVERAGE('26.07 Wakiso-Kampala-24h'!D102,'27.07 Wakiso-Kampala-24h'!D102)</f>
        <v>7.5</v>
      </c>
      <c r="E102" s="49">
        <f>AVERAGE('26.07 Wakiso-Kampala-24h'!E102,'27.07 Wakiso-Kampala-24h'!E102)</f>
        <v>2</v>
      </c>
      <c r="F102" s="49">
        <f>AVERAGE('26.07 Wakiso-Kampala-24h'!F102,'27.07 Wakiso-Kampala-24h'!F102)</f>
        <v>42.5</v>
      </c>
      <c r="G102" s="49">
        <f>AVERAGE('26.07 Wakiso-Kampala-24h'!G102,'27.07 Wakiso-Kampala-24h'!G102)</f>
        <v>1</v>
      </c>
      <c r="H102" s="49">
        <f>AVERAGE('26.07 Wakiso-Kampala-24h'!H102,'27.07 Wakiso-Kampala-24h'!H102)</f>
        <v>0.5</v>
      </c>
      <c r="I102" s="49">
        <f>AVERAGE('26.07 Wakiso-Kampala-24h'!I102,'27.07 Wakiso-Kampala-24h'!I102)</f>
        <v>4</v>
      </c>
      <c r="J102" s="49">
        <f>AVERAGE('26.07 Wakiso-Kampala-24h'!J102,'27.07 Wakiso-Kampala-24h'!J102)</f>
        <v>0</v>
      </c>
      <c r="K102" s="49">
        <f>AVERAGE('26.07 Wakiso-Kampala-24h'!K102,'27.07 Wakiso-Kampala-24h'!K102)</f>
        <v>0.5</v>
      </c>
      <c r="L102" s="49">
        <f>AVERAGE('26.07 Wakiso-Kampala-24h'!L102,'27.07 Wakiso-Kampala-24h'!L102)</f>
        <v>0</v>
      </c>
      <c r="M102" s="49">
        <f>AVERAGE('26.07 Wakiso-Kampala-24h'!M102,'27.07 Wakiso-Kampala-24h'!M102)</f>
        <v>22.5</v>
      </c>
      <c r="N102" s="49">
        <f>AVERAGE('26.07 Wakiso-Kampala-24h'!N102,'27.07 Wakiso-Kampala-24h'!N102)</f>
        <v>0</v>
      </c>
      <c r="O102" s="15">
        <f t="shared" si="35"/>
        <v>84</v>
      </c>
      <c r="P102" s="15">
        <f t="shared" si="36"/>
        <v>106.5</v>
      </c>
      <c r="R102" s="8"/>
      <c r="T102"/>
    </row>
    <row r="103" spans="2:20" ht="23.1" customHeight="1" x14ac:dyDescent="0.25">
      <c r="B103" s="23" t="s">
        <v>143</v>
      </c>
      <c r="C103" s="49">
        <f>AVERAGE('26.07 Wakiso-Kampala-24h'!C103,'27.07 Wakiso-Kampala-24h'!C103)</f>
        <v>20.5</v>
      </c>
      <c r="D103" s="49">
        <f>AVERAGE('26.07 Wakiso-Kampala-24h'!D103,'27.07 Wakiso-Kampala-24h'!D103)</f>
        <v>8</v>
      </c>
      <c r="E103" s="49">
        <f>AVERAGE('26.07 Wakiso-Kampala-24h'!E103,'27.07 Wakiso-Kampala-24h'!E103)</f>
        <v>2.5</v>
      </c>
      <c r="F103" s="49">
        <f>AVERAGE('26.07 Wakiso-Kampala-24h'!F103,'27.07 Wakiso-Kampala-24h'!F103)</f>
        <v>57.5</v>
      </c>
      <c r="G103" s="49">
        <f>AVERAGE('26.07 Wakiso-Kampala-24h'!G103,'27.07 Wakiso-Kampala-24h'!G103)</f>
        <v>0</v>
      </c>
      <c r="H103" s="49">
        <f>AVERAGE('26.07 Wakiso-Kampala-24h'!H103,'27.07 Wakiso-Kampala-24h'!H103)</f>
        <v>0</v>
      </c>
      <c r="I103" s="49">
        <f>AVERAGE('26.07 Wakiso-Kampala-24h'!I103,'27.07 Wakiso-Kampala-24h'!I103)</f>
        <v>6</v>
      </c>
      <c r="J103" s="49">
        <f>AVERAGE('26.07 Wakiso-Kampala-24h'!J103,'27.07 Wakiso-Kampala-24h'!J103)</f>
        <v>1</v>
      </c>
      <c r="K103" s="49">
        <f>AVERAGE('26.07 Wakiso-Kampala-24h'!K103,'27.07 Wakiso-Kampala-24h'!K103)</f>
        <v>0.5</v>
      </c>
      <c r="L103" s="49">
        <f>AVERAGE('26.07 Wakiso-Kampala-24h'!L103,'27.07 Wakiso-Kampala-24h'!L103)</f>
        <v>0</v>
      </c>
      <c r="M103" s="49">
        <f>AVERAGE('26.07 Wakiso-Kampala-24h'!M103,'27.07 Wakiso-Kampala-24h'!M103)</f>
        <v>57.5</v>
      </c>
      <c r="N103" s="49">
        <f>AVERAGE('26.07 Wakiso-Kampala-24h'!N103,'27.07 Wakiso-Kampala-24h'!N103)</f>
        <v>0</v>
      </c>
      <c r="O103" s="15">
        <f t="shared" si="35"/>
        <v>96</v>
      </c>
      <c r="P103" s="15">
        <f t="shared" si="36"/>
        <v>153.5</v>
      </c>
      <c r="R103" s="8"/>
      <c r="T103"/>
    </row>
    <row r="104" spans="2:20" ht="23.1" customHeight="1" x14ac:dyDescent="0.25">
      <c r="B104" s="25" t="s">
        <v>144</v>
      </c>
      <c r="C104" s="49">
        <f>AVERAGE('26.07 Wakiso-Kampala-24h'!C104,'27.07 Wakiso-Kampala-24h'!C104)</f>
        <v>15.5</v>
      </c>
      <c r="D104" s="49">
        <f>AVERAGE('26.07 Wakiso-Kampala-24h'!D104,'27.07 Wakiso-Kampala-24h'!D104)</f>
        <v>4.5</v>
      </c>
      <c r="E104" s="49">
        <f>AVERAGE('26.07 Wakiso-Kampala-24h'!E104,'27.07 Wakiso-Kampala-24h'!E104)</f>
        <v>2.5</v>
      </c>
      <c r="F104" s="49">
        <f>AVERAGE('26.07 Wakiso-Kampala-24h'!F104,'27.07 Wakiso-Kampala-24h'!F104)</f>
        <v>61.5</v>
      </c>
      <c r="G104" s="49">
        <f>AVERAGE('26.07 Wakiso-Kampala-24h'!G104,'27.07 Wakiso-Kampala-24h'!G104)</f>
        <v>0</v>
      </c>
      <c r="H104" s="49">
        <f>AVERAGE('26.07 Wakiso-Kampala-24h'!H104,'27.07 Wakiso-Kampala-24h'!H104)</f>
        <v>0</v>
      </c>
      <c r="I104" s="49">
        <f>AVERAGE('26.07 Wakiso-Kampala-24h'!I104,'27.07 Wakiso-Kampala-24h'!I104)</f>
        <v>8</v>
      </c>
      <c r="J104" s="49">
        <f>AVERAGE('26.07 Wakiso-Kampala-24h'!J104,'27.07 Wakiso-Kampala-24h'!J104)</f>
        <v>0.5</v>
      </c>
      <c r="K104" s="49">
        <f>AVERAGE('26.07 Wakiso-Kampala-24h'!K104,'27.07 Wakiso-Kampala-24h'!K104)</f>
        <v>0.5</v>
      </c>
      <c r="L104" s="49">
        <f>AVERAGE('26.07 Wakiso-Kampala-24h'!L104,'27.07 Wakiso-Kampala-24h'!L104)</f>
        <v>0</v>
      </c>
      <c r="M104" s="49">
        <f>AVERAGE('26.07 Wakiso-Kampala-24h'!M104,'27.07 Wakiso-Kampala-24h'!M104)</f>
        <v>42.5</v>
      </c>
      <c r="N104" s="49">
        <f>AVERAGE('26.07 Wakiso-Kampala-24h'!N104,'27.07 Wakiso-Kampala-24h'!N104)</f>
        <v>0</v>
      </c>
      <c r="O104" s="15">
        <f t="shared" si="35"/>
        <v>93</v>
      </c>
      <c r="P104" s="15">
        <f t="shared" si="36"/>
        <v>135.5</v>
      </c>
      <c r="R104" s="8"/>
      <c r="T104"/>
    </row>
    <row r="105" spans="2:20" ht="23.1" customHeight="1" x14ac:dyDescent="0.25">
      <c r="B105" s="23" t="s">
        <v>145</v>
      </c>
      <c r="C105" s="49">
        <f>AVERAGE('26.07 Wakiso-Kampala-24h'!C105,'27.07 Wakiso-Kampala-24h'!C105)</f>
        <v>35.5</v>
      </c>
      <c r="D105" s="49">
        <f>AVERAGE('26.07 Wakiso-Kampala-24h'!D105,'27.07 Wakiso-Kampala-24h'!D105)</f>
        <v>7</v>
      </c>
      <c r="E105" s="49">
        <f>AVERAGE('26.07 Wakiso-Kampala-24h'!E105,'27.07 Wakiso-Kampala-24h'!E105)</f>
        <v>5.5</v>
      </c>
      <c r="F105" s="49">
        <f>AVERAGE('26.07 Wakiso-Kampala-24h'!F105,'27.07 Wakiso-Kampala-24h'!F105)</f>
        <v>69.5</v>
      </c>
      <c r="G105" s="49">
        <f>AVERAGE('26.07 Wakiso-Kampala-24h'!G105,'27.07 Wakiso-Kampala-24h'!G105)</f>
        <v>2</v>
      </c>
      <c r="H105" s="49">
        <f>AVERAGE('26.07 Wakiso-Kampala-24h'!H105,'27.07 Wakiso-Kampala-24h'!H105)</f>
        <v>0</v>
      </c>
      <c r="I105" s="49">
        <f>AVERAGE('26.07 Wakiso-Kampala-24h'!I105,'27.07 Wakiso-Kampala-24h'!I105)</f>
        <v>6</v>
      </c>
      <c r="J105" s="49">
        <f>AVERAGE('26.07 Wakiso-Kampala-24h'!J105,'27.07 Wakiso-Kampala-24h'!J105)</f>
        <v>0.5</v>
      </c>
      <c r="K105" s="49">
        <f>AVERAGE('26.07 Wakiso-Kampala-24h'!K105,'27.07 Wakiso-Kampala-24h'!K105)</f>
        <v>1</v>
      </c>
      <c r="L105" s="49">
        <f>AVERAGE('26.07 Wakiso-Kampala-24h'!L105,'27.07 Wakiso-Kampala-24h'!L105)</f>
        <v>0</v>
      </c>
      <c r="M105" s="49">
        <f>AVERAGE('26.07 Wakiso-Kampala-24h'!M105,'27.07 Wakiso-Kampala-24h'!M105)</f>
        <v>56</v>
      </c>
      <c r="N105" s="49">
        <f>AVERAGE('26.07 Wakiso-Kampala-24h'!N105,'27.07 Wakiso-Kampala-24h'!N105)</f>
        <v>0</v>
      </c>
      <c r="O105" s="15">
        <f t="shared" si="35"/>
        <v>127</v>
      </c>
      <c r="P105" s="15">
        <f t="shared" si="36"/>
        <v>183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3609.2857142857142</v>
      </c>
      <c r="D106" s="16">
        <f t="shared" ref="D106:Q106" si="37">SUM(D10:D105)</f>
        <v>1424.9999999999998</v>
      </c>
      <c r="E106" s="16">
        <f t="shared" si="37"/>
        <v>605.85714285714289</v>
      </c>
      <c r="F106" s="16">
        <f t="shared" si="37"/>
        <v>3892.7857142857156</v>
      </c>
      <c r="G106" s="16">
        <f t="shared" si="37"/>
        <v>86.142857142857139</v>
      </c>
      <c r="H106" s="16">
        <f t="shared" si="37"/>
        <v>29.357142857142854</v>
      </c>
      <c r="I106" s="16">
        <f t="shared" si="37"/>
        <v>656.28571428571422</v>
      </c>
      <c r="J106" s="16">
        <f t="shared" si="37"/>
        <v>189.57142857142856</v>
      </c>
      <c r="K106" s="16">
        <f t="shared" si="37"/>
        <v>75.357142857142847</v>
      </c>
      <c r="L106" s="16">
        <f t="shared" si="37"/>
        <v>59.5</v>
      </c>
      <c r="M106" s="16">
        <f t="shared" si="37"/>
        <v>7306.2857142857138</v>
      </c>
      <c r="N106" s="16">
        <f t="shared" si="37"/>
        <v>0.14285714285714285</v>
      </c>
      <c r="O106" s="16">
        <f t="shared" si="37"/>
        <v>10629.285714285714</v>
      </c>
      <c r="P106" s="16">
        <f t="shared" si="37"/>
        <v>17935.571428571428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0.2012361707381182</v>
      </c>
      <c r="D107" s="43">
        <f t="shared" si="38"/>
        <v>7.9451050984077926E-2</v>
      </c>
      <c r="E107" s="43">
        <f t="shared" si="38"/>
        <v>3.3779639821902206E-2</v>
      </c>
      <c r="F107" s="43">
        <f t="shared" si="38"/>
        <v>0.21704274824968744</v>
      </c>
      <c r="G107" s="43">
        <f t="shared" si="38"/>
        <v>4.8029056384359895E-3</v>
      </c>
      <c r="H107" s="43">
        <f t="shared" si="38"/>
        <v>1.6368111255366429E-3</v>
      </c>
      <c r="I107" s="43">
        <f t="shared" si="38"/>
        <v>3.6591291049709672E-2</v>
      </c>
      <c r="J107" s="43">
        <f t="shared" si="38"/>
        <v>1.0569578411616182E-2</v>
      </c>
      <c r="K107" s="43">
        <f t="shared" si="38"/>
        <v>4.2015468064261763E-3</v>
      </c>
      <c r="L107" s="43">
        <f t="shared" si="38"/>
        <v>3.3174298481071138E-3</v>
      </c>
      <c r="M107" s="43">
        <f t="shared" si="38"/>
        <v>0.40736286230874003</v>
      </c>
      <c r="N107" s="43">
        <f t="shared" si="38"/>
        <v>7.9650176425140781E-6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0.33956051340635712</v>
      </c>
      <c r="D108" s="44">
        <f t="shared" ref="D108:N108" si="39">D106/$O$106</f>
        <v>0.13406357099657279</v>
      </c>
      <c r="E108" s="44">
        <f t="shared" si="39"/>
        <v>5.6998857603655674E-2</v>
      </c>
      <c r="F108" s="44">
        <f t="shared" si="39"/>
        <v>0.36623210805725437</v>
      </c>
      <c r="G108" s="44">
        <f t="shared" si="39"/>
        <v>8.1042940662589876E-3</v>
      </c>
      <c r="H108" s="44">
        <f t="shared" si="39"/>
        <v>2.7619111618842817E-3</v>
      </c>
      <c r="I108" s="44">
        <f t="shared" si="39"/>
        <v>6.174316242188025E-2</v>
      </c>
      <c r="J108" s="44">
        <f t="shared" si="39"/>
        <v>1.7834822928566627E-2</v>
      </c>
      <c r="K108" s="44">
        <f t="shared" si="39"/>
        <v>7.089577313352597E-3</v>
      </c>
      <c r="L108" s="44">
        <f t="shared" si="39"/>
        <v>5.5977420872253209E-3</v>
      </c>
      <c r="M108" s="44"/>
      <c r="N108" s="44">
        <f t="shared" si="39"/>
        <v>1.3439956992137626E-5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H61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5" t="str">
        <f>'28.07 Wakiso-Kampala'!C3:G3</f>
        <v>MCC - C1 - STN018 - HOIMA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169</v>
      </c>
      <c r="E5" s="69"/>
      <c r="F5" s="41" t="s">
        <v>1</v>
      </c>
      <c r="G5" s="66" t="str">
        <f>'Avg Week Wakiso-Kampala'!G5:H5</f>
        <v>AFTER STABEX NANSANA</v>
      </c>
      <c r="H5" s="67"/>
      <c r="I5" s="14"/>
      <c r="J5" s="2" t="s">
        <v>5</v>
      </c>
      <c r="K5" s="66" t="str">
        <f>'Avg Week Wakiso-Kampala'!K5:L5</f>
        <v>FARIDA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Wakiso-Kampala'!K6:L6</f>
        <v>NUSULAH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Kampala-Wakiso'!C10+'Avg Week Wakiso-Kampala'!C10</f>
        <v>90.714285714285722</v>
      </c>
      <c r="D10" s="49">
        <f>'Avg Week Kampala-Wakiso'!D10+'Avg Week Wakiso-Kampala'!D10</f>
        <v>48.857142857142861</v>
      </c>
      <c r="E10" s="49">
        <f>'Avg Week Kampala-Wakiso'!E10+'Avg Week Wakiso-Kampala'!E10</f>
        <v>16</v>
      </c>
      <c r="F10" s="49">
        <f>'Avg Week Kampala-Wakiso'!F10+'Avg Week Wakiso-Kampala'!F10</f>
        <v>108.85714285714286</v>
      </c>
      <c r="G10" s="49">
        <f>'Avg Week Kampala-Wakiso'!G10+'Avg Week Wakiso-Kampala'!G10</f>
        <v>16.714285714285715</v>
      </c>
      <c r="H10" s="49">
        <f>'Avg Week Kampala-Wakiso'!H10+'Avg Week Wakiso-Kampala'!H10</f>
        <v>1</v>
      </c>
      <c r="I10" s="49">
        <f>'Avg Week Kampala-Wakiso'!I10+'Avg Week Wakiso-Kampala'!I10</f>
        <v>13.285714285714285</v>
      </c>
      <c r="J10" s="49">
        <f>'Avg Week Kampala-Wakiso'!J10+'Avg Week Wakiso-Kampala'!J10</f>
        <v>2.8571428571428572</v>
      </c>
      <c r="K10" s="49">
        <f>'Avg Week Kampala-Wakiso'!K10+'Avg Week Wakiso-Kampala'!K10</f>
        <v>1.4285714285714286</v>
      </c>
      <c r="L10" s="49">
        <f>'Avg Week Kampala-Wakiso'!L10+'Avg Week Wakiso-Kampala'!L10</f>
        <v>0.2857142857142857</v>
      </c>
      <c r="M10" s="49">
        <f>'Avg Week Kampala-Wakiso'!M10+'Avg Week Wakiso-Kampala'!M10</f>
        <v>164.57142857142856</v>
      </c>
      <c r="N10" s="49">
        <f>'Avg Week Kampala-Wakiso'!N10+'Avg Week Wakiso-Kampala'!N10</f>
        <v>0</v>
      </c>
      <c r="O10" s="15">
        <f t="shared" ref="O10:O73" si="0">SUM(C10:L10,N10)</f>
        <v>300</v>
      </c>
      <c r="P10" s="15">
        <f t="shared" ref="P10:P73" si="1">SUM(C10:N10)</f>
        <v>464.57142857142856</v>
      </c>
      <c r="R10" s="1" t="s">
        <v>6</v>
      </c>
      <c r="S10" s="17">
        <f t="shared" ref="S10:AF10" si="2">SUM(C10:C13)</f>
        <v>424.14285714285711</v>
      </c>
      <c r="T10" s="17">
        <f t="shared" si="2"/>
        <v>203</v>
      </c>
      <c r="U10" s="17">
        <f t="shared" si="2"/>
        <v>85.714285714285708</v>
      </c>
      <c r="V10" s="17">
        <f t="shared" si="2"/>
        <v>589.57142857142856</v>
      </c>
      <c r="W10" s="17">
        <f t="shared" si="2"/>
        <v>34</v>
      </c>
      <c r="X10" s="17">
        <f t="shared" si="2"/>
        <v>5</v>
      </c>
      <c r="Y10" s="17">
        <f t="shared" si="2"/>
        <v>72.285714285714278</v>
      </c>
      <c r="Z10" s="17">
        <f t="shared" si="2"/>
        <v>15.571428571428571</v>
      </c>
      <c r="AA10" s="17">
        <f t="shared" si="2"/>
        <v>6.2857142857142865</v>
      </c>
      <c r="AB10" s="17">
        <f t="shared" si="2"/>
        <v>2.5714285714285712</v>
      </c>
      <c r="AC10" s="17">
        <f t="shared" si="2"/>
        <v>868</v>
      </c>
      <c r="AD10" s="17">
        <f t="shared" si="2"/>
        <v>0</v>
      </c>
      <c r="AE10" s="31">
        <f t="shared" si="2"/>
        <v>1438.1428571428573</v>
      </c>
      <c r="AF10" s="31">
        <f t="shared" si="2"/>
        <v>2306.1428571428569</v>
      </c>
    </row>
    <row r="11" spans="2:32" s="6" customFormat="1" ht="23.1" customHeight="1" x14ac:dyDescent="0.25">
      <c r="B11" s="23" t="s">
        <v>38</v>
      </c>
      <c r="C11" s="49">
        <f>'Avg Week Kampala-Wakiso'!C11+'Avg Week Wakiso-Kampala'!C11</f>
        <v>104.14285714285714</v>
      </c>
      <c r="D11" s="49">
        <f>'Avg Week Kampala-Wakiso'!D11+'Avg Week Wakiso-Kampala'!D11</f>
        <v>50.571428571428569</v>
      </c>
      <c r="E11" s="49">
        <f>'Avg Week Kampala-Wakiso'!E11+'Avg Week Wakiso-Kampala'!E11</f>
        <v>21.714285714285715</v>
      </c>
      <c r="F11" s="49">
        <f>'Avg Week Kampala-Wakiso'!F11+'Avg Week Wakiso-Kampala'!F11</f>
        <v>127.85714285714286</v>
      </c>
      <c r="G11" s="49">
        <f>'Avg Week Kampala-Wakiso'!G11+'Avg Week Wakiso-Kampala'!G11</f>
        <v>6</v>
      </c>
      <c r="H11" s="49">
        <f>'Avg Week Kampala-Wakiso'!H11+'Avg Week Wakiso-Kampala'!H11</f>
        <v>0.8571428571428571</v>
      </c>
      <c r="I11" s="49">
        <f>'Avg Week Kampala-Wakiso'!I11+'Avg Week Wakiso-Kampala'!I11</f>
        <v>19</v>
      </c>
      <c r="J11" s="49">
        <f>'Avg Week Kampala-Wakiso'!J11+'Avg Week Wakiso-Kampala'!J11</f>
        <v>3.5714285714285712</v>
      </c>
      <c r="K11" s="49">
        <f>'Avg Week Kampala-Wakiso'!K11+'Avg Week Wakiso-Kampala'!K11</f>
        <v>3</v>
      </c>
      <c r="L11" s="49">
        <f>'Avg Week Kampala-Wakiso'!L11+'Avg Week Wakiso-Kampala'!L11</f>
        <v>0.8571428571428571</v>
      </c>
      <c r="M11" s="49">
        <f>'Avg Week Kampala-Wakiso'!M11+'Avg Week Wakiso-Kampala'!M11</f>
        <v>215.71428571428572</v>
      </c>
      <c r="N11" s="49">
        <f>'Avg Week Kampala-Wakiso'!N11+'Avg Week Wakiso-Kampala'!N11</f>
        <v>0</v>
      </c>
      <c r="O11" s="15">
        <f t="shared" si="0"/>
        <v>337.57142857142856</v>
      </c>
      <c r="P11" s="15">
        <f t="shared" si="1"/>
        <v>553.28571428571422</v>
      </c>
      <c r="R11" s="1" t="s">
        <v>7</v>
      </c>
      <c r="S11" s="17">
        <f t="shared" ref="S11:AF11" si="3">SUM(C14:C17)</f>
        <v>428.42857142857139</v>
      </c>
      <c r="T11" s="17">
        <f t="shared" si="3"/>
        <v>250.28571428571428</v>
      </c>
      <c r="U11" s="17">
        <f t="shared" si="3"/>
        <v>96.285714285714278</v>
      </c>
      <c r="V11" s="17">
        <f t="shared" si="3"/>
        <v>467.57142857142856</v>
      </c>
      <c r="W11" s="17">
        <f t="shared" si="3"/>
        <v>17.857142857142854</v>
      </c>
      <c r="X11" s="17">
        <f t="shared" si="3"/>
        <v>4.1428571428571423</v>
      </c>
      <c r="Y11" s="17">
        <f t="shared" si="3"/>
        <v>82.142857142857139</v>
      </c>
      <c r="Z11" s="17">
        <f t="shared" si="3"/>
        <v>16.857142857142854</v>
      </c>
      <c r="AA11" s="17">
        <f t="shared" si="3"/>
        <v>7.1428571428571432</v>
      </c>
      <c r="AB11" s="17">
        <f t="shared" si="3"/>
        <v>4.1428571428571423</v>
      </c>
      <c r="AC11" s="17">
        <f t="shared" si="3"/>
        <v>1018</v>
      </c>
      <c r="AD11" s="17">
        <f t="shared" si="3"/>
        <v>0.2857142857142857</v>
      </c>
      <c r="AE11" s="31">
        <f t="shared" si="3"/>
        <v>1375.1428571428573</v>
      </c>
      <c r="AF11" s="31">
        <f t="shared" si="3"/>
        <v>2393.1428571428569</v>
      </c>
    </row>
    <row r="12" spans="2:32" ht="23.1" customHeight="1" x14ac:dyDescent="0.25">
      <c r="B12" s="23" t="s">
        <v>39</v>
      </c>
      <c r="C12" s="49">
        <f>'Avg Week Kampala-Wakiso'!C12+'Avg Week Wakiso-Kampala'!C12</f>
        <v>119.14285714285714</v>
      </c>
      <c r="D12" s="49">
        <f>'Avg Week Kampala-Wakiso'!D12+'Avg Week Wakiso-Kampala'!D12</f>
        <v>51.571428571428569</v>
      </c>
      <c r="E12" s="49">
        <f>'Avg Week Kampala-Wakiso'!E12+'Avg Week Wakiso-Kampala'!E12</f>
        <v>13.857142857142858</v>
      </c>
      <c r="F12" s="49">
        <f>'Avg Week Kampala-Wakiso'!F12+'Avg Week Wakiso-Kampala'!F12</f>
        <v>135.85714285714286</v>
      </c>
      <c r="G12" s="49">
        <f>'Avg Week Kampala-Wakiso'!G12+'Avg Week Wakiso-Kampala'!G12</f>
        <v>5.5714285714285712</v>
      </c>
      <c r="H12" s="49">
        <f>'Avg Week Kampala-Wakiso'!H12+'Avg Week Wakiso-Kampala'!H12</f>
        <v>2</v>
      </c>
      <c r="I12" s="49">
        <f>'Avg Week Kampala-Wakiso'!I12+'Avg Week Wakiso-Kampala'!I12</f>
        <v>21.428571428571427</v>
      </c>
      <c r="J12" s="49">
        <f>'Avg Week Kampala-Wakiso'!J12+'Avg Week Wakiso-Kampala'!J12</f>
        <v>4.7142857142857135</v>
      </c>
      <c r="K12" s="49">
        <f>'Avg Week Kampala-Wakiso'!K12+'Avg Week Wakiso-Kampala'!K12</f>
        <v>0.42857142857142855</v>
      </c>
      <c r="L12" s="49">
        <f>'Avg Week Kampala-Wakiso'!L12+'Avg Week Wakiso-Kampala'!L12</f>
        <v>0.2857142857142857</v>
      </c>
      <c r="M12" s="49">
        <f>'Avg Week Kampala-Wakiso'!M12+'Avg Week Wakiso-Kampala'!M12</f>
        <v>251.57142857142858</v>
      </c>
      <c r="N12" s="49">
        <f>'Avg Week Kampala-Wakiso'!N12+'Avg Week Wakiso-Kampala'!N12</f>
        <v>0</v>
      </c>
      <c r="O12" s="15">
        <f t="shared" si="0"/>
        <v>354.85714285714289</v>
      </c>
      <c r="P12" s="15">
        <f t="shared" si="1"/>
        <v>606.42857142857144</v>
      </c>
      <c r="R12" s="1" t="s">
        <v>8</v>
      </c>
      <c r="S12" s="17">
        <f t="shared" ref="S12:AF12" si="4">SUM(C18:C21)</f>
        <v>464.42857142857144</v>
      </c>
      <c r="T12" s="17">
        <f t="shared" si="4"/>
        <v>291.28571428571428</v>
      </c>
      <c r="U12" s="17">
        <f t="shared" si="4"/>
        <v>81.857142857142861</v>
      </c>
      <c r="V12" s="17">
        <f t="shared" si="4"/>
        <v>478.57142857142861</v>
      </c>
      <c r="W12" s="17">
        <f t="shared" si="4"/>
        <v>10.714285714285715</v>
      </c>
      <c r="X12" s="17">
        <f t="shared" si="4"/>
        <v>4.3095238095238093</v>
      </c>
      <c r="Y12" s="17">
        <f t="shared" si="4"/>
        <v>75.428571428571445</v>
      </c>
      <c r="Z12" s="17">
        <f t="shared" si="4"/>
        <v>19.714285714285715</v>
      </c>
      <c r="AA12" s="17">
        <f t="shared" si="4"/>
        <v>7.8571428571428568</v>
      </c>
      <c r="AB12" s="17">
        <f t="shared" si="4"/>
        <v>4.5714285714285712</v>
      </c>
      <c r="AC12" s="17">
        <f t="shared" si="4"/>
        <v>854.42857142857133</v>
      </c>
      <c r="AD12" s="17">
        <f t="shared" si="4"/>
        <v>0</v>
      </c>
      <c r="AE12" s="31">
        <f t="shared" si="4"/>
        <v>1438.7380952380952</v>
      </c>
      <c r="AF12" s="31">
        <f t="shared" si="4"/>
        <v>2293.1666666666665</v>
      </c>
    </row>
    <row r="13" spans="2:32" ht="23.1" customHeight="1" x14ac:dyDescent="0.25">
      <c r="B13" s="23" t="s">
        <v>40</v>
      </c>
      <c r="C13" s="49">
        <f>'Avg Week Kampala-Wakiso'!C13+'Avg Week Wakiso-Kampala'!C13</f>
        <v>110.14285714285714</v>
      </c>
      <c r="D13" s="49">
        <f>'Avg Week Kampala-Wakiso'!D13+'Avg Week Wakiso-Kampala'!D13</f>
        <v>52</v>
      </c>
      <c r="E13" s="49">
        <f>'Avg Week Kampala-Wakiso'!E13+'Avg Week Wakiso-Kampala'!E13</f>
        <v>34.142857142857139</v>
      </c>
      <c r="F13" s="49">
        <f>'Avg Week Kampala-Wakiso'!F13+'Avg Week Wakiso-Kampala'!F13</f>
        <v>217</v>
      </c>
      <c r="G13" s="49">
        <f>'Avg Week Kampala-Wakiso'!G13+'Avg Week Wakiso-Kampala'!G13</f>
        <v>5.7142857142857144</v>
      </c>
      <c r="H13" s="49">
        <f>'Avg Week Kampala-Wakiso'!H13+'Avg Week Wakiso-Kampala'!H13</f>
        <v>1.1428571428571428</v>
      </c>
      <c r="I13" s="49">
        <f>'Avg Week Kampala-Wakiso'!I13+'Avg Week Wakiso-Kampala'!I13</f>
        <v>18.571428571428569</v>
      </c>
      <c r="J13" s="49">
        <f>'Avg Week Kampala-Wakiso'!J13+'Avg Week Wakiso-Kampala'!J13</f>
        <v>4.4285714285714288</v>
      </c>
      <c r="K13" s="49">
        <f>'Avg Week Kampala-Wakiso'!K13+'Avg Week Wakiso-Kampala'!K13</f>
        <v>1.4285714285714284</v>
      </c>
      <c r="L13" s="49">
        <f>'Avg Week Kampala-Wakiso'!L13+'Avg Week Wakiso-Kampala'!L13</f>
        <v>1.1428571428571428</v>
      </c>
      <c r="M13" s="49">
        <f>'Avg Week Kampala-Wakiso'!M13+'Avg Week Wakiso-Kampala'!M13</f>
        <v>236.14285714285711</v>
      </c>
      <c r="N13" s="49">
        <f>'Avg Week Kampala-Wakiso'!N13+'Avg Week Wakiso-Kampala'!N13</f>
        <v>0</v>
      </c>
      <c r="O13" s="15">
        <f t="shared" si="0"/>
        <v>445.71428571428578</v>
      </c>
      <c r="P13" s="15">
        <f t="shared" si="1"/>
        <v>681.85714285714289</v>
      </c>
      <c r="R13" s="1" t="s">
        <v>9</v>
      </c>
      <c r="S13" s="17">
        <f t="shared" ref="S13:AF13" si="5">SUM(C22:C25)</f>
        <v>436.28571428571433</v>
      </c>
      <c r="T13" s="17">
        <f t="shared" si="5"/>
        <v>291.71428571428572</v>
      </c>
      <c r="U13" s="17">
        <f t="shared" si="5"/>
        <v>76.714285714285722</v>
      </c>
      <c r="V13" s="17">
        <f t="shared" si="5"/>
        <v>457.28571428571422</v>
      </c>
      <c r="W13" s="17">
        <f t="shared" si="5"/>
        <v>7.8571428571428568</v>
      </c>
      <c r="X13" s="17">
        <f t="shared" si="5"/>
        <v>3.1428571428571423</v>
      </c>
      <c r="Y13" s="17">
        <f t="shared" si="5"/>
        <v>87.857142857142861</v>
      </c>
      <c r="Z13" s="17">
        <f t="shared" si="5"/>
        <v>24.714285714285715</v>
      </c>
      <c r="AA13" s="17">
        <f t="shared" si="5"/>
        <v>5.8571428571428568</v>
      </c>
      <c r="AB13" s="17">
        <f t="shared" si="5"/>
        <v>4.5714285714285712</v>
      </c>
      <c r="AC13" s="17">
        <f t="shared" si="5"/>
        <v>818.57142857142867</v>
      </c>
      <c r="AD13" s="17">
        <f t="shared" si="5"/>
        <v>0</v>
      </c>
      <c r="AE13" s="31">
        <f t="shared" si="5"/>
        <v>1396.0000000000002</v>
      </c>
      <c r="AF13" s="31">
        <f t="shared" si="5"/>
        <v>2214.5714285714289</v>
      </c>
    </row>
    <row r="14" spans="2:32" ht="23.1" customHeight="1" x14ac:dyDescent="0.25">
      <c r="B14" s="23" t="s">
        <v>41</v>
      </c>
      <c r="C14" s="49">
        <f>'Avg Week Kampala-Wakiso'!C14+'Avg Week Wakiso-Kampala'!C14</f>
        <v>100.57142857142857</v>
      </c>
      <c r="D14" s="49">
        <f>'Avg Week Kampala-Wakiso'!D14+'Avg Week Wakiso-Kampala'!D14</f>
        <v>57.285714285714285</v>
      </c>
      <c r="E14" s="49">
        <f>'Avg Week Kampala-Wakiso'!E14+'Avg Week Wakiso-Kampala'!E14</f>
        <v>17.714285714285715</v>
      </c>
      <c r="F14" s="49">
        <f>'Avg Week Kampala-Wakiso'!F14+'Avg Week Wakiso-Kampala'!F14</f>
        <v>109.14285714285714</v>
      </c>
      <c r="G14" s="49">
        <f>'Avg Week Kampala-Wakiso'!G14+'Avg Week Wakiso-Kampala'!G14</f>
        <v>4.2857142857142856</v>
      </c>
      <c r="H14" s="49">
        <f>'Avg Week Kampala-Wakiso'!H14+'Avg Week Wakiso-Kampala'!H14</f>
        <v>0.14285714285714285</v>
      </c>
      <c r="I14" s="49">
        <f>'Avg Week Kampala-Wakiso'!I14+'Avg Week Wakiso-Kampala'!I14</f>
        <v>20.857142857142854</v>
      </c>
      <c r="J14" s="49">
        <f>'Avg Week Kampala-Wakiso'!J14+'Avg Week Wakiso-Kampala'!J14</f>
        <v>5.1428571428571423</v>
      </c>
      <c r="K14" s="49">
        <f>'Avg Week Kampala-Wakiso'!K14+'Avg Week Wakiso-Kampala'!K14</f>
        <v>0.8571428571428571</v>
      </c>
      <c r="L14" s="49">
        <f>'Avg Week Kampala-Wakiso'!L14+'Avg Week Wakiso-Kampala'!L14</f>
        <v>0.71428571428571419</v>
      </c>
      <c r="M14" s="49">
        <f>'Avg Week Kampala-Wakiso'!M14+'Avg Week Wakiso-Kampala'!M14</f>
        <v>265.42857142857144</v>
      </c>
      <c r="N14" s="49">
        <f>'Avg Week Kampala-Wakiso'!N14+'Avg Week Wakiso-Kampala'!N14</f>
        <v>0.14285714285714285</v>
      </c>
      <c r="O14" s="15">
        <f t="shared" si="0"/>
        <v>316.85714285714289</v>
      </c>
      <c r="P14" s="15">
        <f t="shared" si="1"/>
        <v>582.28571428571422</v>
      </c>
      <c r="R14" s="1" t="s">
        <v>10</v>
      </c>
      <c r="S14" s="17">
        <f t="shared" ref="S14:AF14" si="6">SUM(C26:C29)</f>
        <v>392.14285714285711</v>
      </c>
      <c r="T14" s="17">
        <f t="shared" si="6"/>
        <v>242.85714285714283</v>
      </c>
      <c r="U14" s="17">
        <f t="shared" si="6"/>
        <v>70.142857142857139</v>
      </c>
      <c r="V14" s="17">
        <f t="shared" si="6"/>
        <v>409.14285714285717</v>
      </c>
      <c r="W14" s="17">
        <f t="shared" si="6"/>
        <v>2.8571428571428568</v>
      </c>
      <c r="X14" s="17">
        <f t="shared" si="6"/>
        <v>1.714285714285714</v>
      </c>
      <c r="Y14" s="17">
        <f t="shared" si="6"/>
        <v>67.571428571428569</v>
      </c>
      <c r="Z14" s="17">
        <f t="shared" si="6"/>
        <v>28</v>
      </c>
      <c r="AA14" s="17">
        <f t="shared" si="6"/>
        <v>9.2857142857142847</v>
      </c>
      <c r="AB14" s="17">
        <f t="shared" si="6"/>
        <v>19.428571428571431</v>
      </c>
      <c r="AC14" s="17">
        <f t="shared" si="6"/>
        <v>762.57142857142867</v>
      </c>
      <c r="AD14" s="17">
        <f t="shared" si="6"/>
        <v>0</v>
      </c>
      <c r="AE14" s="31">
        <f t="shared" si="6"/>
        <v>1243.1428571428571</v>
      </c>
      <c r="AF14" s="31">
        <f t="shared" si="6"/>
        <v>2005.7142857142853</v>
      </c>
    </row>
    <row r="15" spans="2:32" ht="23.1" customHeight="1" x14ac:dyDescent="0.25">
      <c r="B15" s="23" t="s">
        <v>42</v>
      </c>
      <c r="C15" s="49">
        <f>'Avg Week Kampala-Wakiso'!C15+'Avg Week Wakiso-Kampala'!C15</f>
        <v>108.28571428571428</v>
      </c>
      <c r="D15" s="49">
        <f>'Avg Week Kampala-Wakiso'!D15+'Avg Week Wakiso-Kampala'!D15</f>
        <v>70.857142857142861</v>
      </c>
      <c r="E15" s="49">
        <f>'Avg Week Kampala-Wakiso'!E15+'Avg Week Wakiso-Kampala'!E15</f>
        <v>22.571428571428569</v>
      </c>
      <c r="F15" s="49">
        <f>'Avg Week Kampala-Wakiso'!F15+'Avg Week Wakiso-Kampala'!F15</f>
        <v>118.85714285714286</v>
      </c>
      <c r="G15" s="49">
        <f>'Avg Week Kampala-Wakiso'!G15+'Avg Week Wakiso-Kampala'!G15</f>
        <v>5</v>
      </c>
      <c r="H15" s="49">
        <f>'Avg Week Kampala-Wakiso'!H15+'Avg Week Wakiso-Kampala'!H15</f>
        <v>0.2857142857142857</v>
      </c>
      <c r="I15" s="49">
        <f>'Avg Week Kampala-Wakiso'!I15+'Avg Week Wakiso-Kampala'!I15</f>
        <v>20.857142857142858</v>
      </c>
      <c r="J15" s="49">
        <f>'Avg Week Kampala-Wakiso'!J15+'Avg Week Wakiso-Kampala'!J15</f>
        <v>5.2857142857142856</v>
      </c>
      <c r="K15" s="49">
        <f>'Avg Week Kampala-Wakiso'!K15+'Avg Week Wakiso-Kampala'!K15</f>
        <v>2.8571428571428572</v>
      </c>
      <c r="L15" s="49">
        <f>'Avg Week Kampala-Wakiso'!L15+'Avg Week Wakiso-Kampala'!L15</f>
        <v>1.2857142857142856</v>
      </c>
      <c r="M15" s="49">
        <f>'Avg Week Kampala-Wakiso'!M15+'Avg Week Wakiso-Kampala'!M15</f>
        <v>258.28571428571428</v>
      </c>
      <c r="N15" s="49">
        <f>'Avg Week Kampala-Wakiso'!N15+'Avg Week Wakiso-Kampala'!N15</f>
        <v>0.14285714285714285</v>
      </c>
      <c r="O15" s="15">
        <f t="shared" si="0"/>
        <v>356.28571428571422</v>
      </c>
      <c r="P15" s="15">
        <f t="shared" si="1"/>
        <v>614.57142857142844</v>
      </c>
      <c r="R15" s="1" t="s">
        <v>11</v>
      </c>
      <c r="S15" s="17">
        <f t="shared" ref="S15:AF15" si="7">SUM(C30:C33)</f>
        <v>339.71428571428572</v>
      </c>
      <c r="T15" s="17">
        <f t="shared" si="7"/>
        <v>215.14285714285717</v>
      </c>
      <c r="U15" s="17">
        <f t="shared" si="7"/>
        <v>59.285714285714285</v>
      </c>
      <c r="V15" s="17">
        <f t="shared" si="7"/>
        <v>358.85714285714289</v>
      </c>
      <c r="W15" s="17">
        <f t="shared" si="7"/>
        <v>1.7142857142857142</v>
      </c>
      <c r="X15" s="17">
        <f t="shared" si="7"/>
        <v>1.5714285714285714</v>
      </c>
      <c r="Y15" s="17">
        <f t="shared" si="7"/>
        <v>86.428571428571416</v>
      </c>
      <c r="Z15" s="17">
        <f t="shared" si="7"/>
        <v>14.285714285714286</v>
      </c>
      <c r="AA15" s="17">
        <f t="shared" si="7"/>
        <v>4.2857142857142856</v>
      </c>
      <c r="AB15" s="17">
        <f t="shared" si="7"/>
        <v>8.5714285714285712</v>
      </c>
      <c r="AC15" s="17">
        <f t="shared" si="7"/>
        <v>664.71428571428578</v>
      </c>
      <c r="AD15" s="17">
        <f t="shared" si="7"/>
        <v>0</v>
      </c>
      <c r="AE15" s="31">
        <f t="shared" si="7"/>
        <v>1089.8571428571429</v>
      </c>
      <c r="AF15" s="31">
        <f t="shared" si="7"/>
        <v>1754.5714285714289</v>
      </c>
    </row>
    <row r="16" spans="2:32" ht="23.1" customHeight="1" x14ac:dyDescent="0.25">
      <c r="B16" s="23" t="s">
        <v>43</v>
      </c>
      <c r="C16" s="49">
        <f>'Avg Week Kampala-Wakiso'!C16+'Avg Week Wakiso-Kampala'!C16</f>
        <v>109.57142857142857</v>
      </c>
      <c r="D16" s="49">
        <f>'Avg Week Kampala-Wakiso'!D16+'Avg Week Wakiso-Kampala'!D16</f>
        <v>61.428571428571431</v>
      </c>
      <c r="E16" s="49">
        <f>'Avg Week Kampala-Wakiso'!E16+'Avg Week Wakiso-Kampala'!E16</f>
        <v>26.714285714285715</v>
      </c>
      <c r="F16" s="49">
        <f>'Avg Week Kampala-Wakiso'!F16+'Avg Week Wakiso-Kampala'!F16</f>
        <v>124.71428571428571</v>
      </c>
      <c r="G16" s="49">
        <f>'Avg Week Kampala-Wakiso'!G16+'Avg Week Wakiso-Kampala'!G16</f>
        <v>4</v>
      </c>
      <c r="H16" s="49">
        <f>'Avg Week Kampala-Wakiso'!H16+'Avg Week Wakiso-Kampala'!H16</f>
        <v>0.42857142857142855</v>
      </c>
      <c r="I16" s="49">
        <f>'Avg Week Kampala-Wakiso'!I16+'Avg Week Wakiso-Kampala'!I16</f>
        <v>22.571428571428569</v>
      </c>
      <c r="J16" s="49">
        <f>'Avg Week Kampala-Wakiso'!J16+'Avg Week Wakiso-Kampala'!J16</f>
        <v>4.4285714285714288</v>
      </c>
      <c r="K16" s="49">
        <f>'Avg Week Kampala-Wakiso'!K16+'Avg Week Wakiso-Kampala'!K16</f>
        <v>1.4285714285714286</v>
      </c>
      <c r="L16" s="49">
        <f>'Avg Week Kampala-Wakiso'!L16+'Avg Week Wakiso-Kampala'!L16</f>
        <v>1</v>
      </c>
      <c r="M16" s="49">
        <f>'Avg Week Kampala-Wakiso'!M16+'Avg Week Wakiso-Kampala'!M16</f>
        <v>268.57142857142856</v>
      </c>
      <c r="N16" s="49">
        <f>'Avg Week Kampala-Wakiso'!N16+'Avg Week Wakiso-Kampala'!N16</f>
        <v>0</v>
      </c>
      <c r="O16" s="15">
        <f t="shared" si="0"/>
        <v>356.28571428571433</v>
      </c>
      <c r="P16" s="15">
        <f t="shared" si="1"/>
        <v>624.85714285714289</v>
      </c>
      <c r="R16" s="1" t="s">
        <v>12</v>
      </c>
      <c r="S16" s="17">
        <f t="shared" ref="S16:AF16" si="8">SUM(C34:C37)</f>
        <v>348.14285714285711</v>
      </c>
      <c r="T16" s="17">
        <f t="shared" si="8"/>
        <v>211.57142857142856</v>
      </c>
      <c r="U16" s="17">
        <f t="shared" si="8"/>
        <v>51.714285714285715</v>
      </c>
      <c r="V16" s="17">
        <f t="shared" si="8"/>
        <v>373.28571428571422</v>
      </c>
      <c r="W16" s="17">
        <f t="shared" si="8"/>
        <v>4.5714285714285712</v>
      </c>
      <c r="X16" s="17">
        <f t="shared" si="8"/>
        <v>8.4285714285714288</v>
      </c>
      <c r="Y16" s="17">
        <f t="shared" si="8"/>
        <v>80.571428571428569</v>
      </c>
      <c r="Z16" s="17">
        <f t="shared" si="8"/>
        <v>16.142857142857142</v>
      </c>
      <c r="AA16" s="17">
        <f t="shared" si="8"/>
        <v>6.7142857142857135</v>
      </c>
      <c r="AB16" s="17">
        <f t="shared" si="8"/>
        <v>11.571428571428571</v>
      </c>
      <c r="AC16" s="17">
        <f t="shared" si="8"/>
        <v>667.57142857142856</v>
      </c>
      <c r="AD16" s="17">
        <f t="shared" si="8"/>
        <v>0</v>
      </c>
      <c r="AE16" s="31">
        <f t="shared" si="8"/>
        <v>1112.7142857142856</v>
      </c>
      <c r="AF16" s="31">
        <f t="shared" si="8"/>
        <v>1780.2857142857142</v>
      </c>
    </row>
    <row r="17" spans="2:32" ht="23.1" customHeight="1" x14ac:dyDescent="0.25">
      <c r="B17" s="23" t="s">
        <v>44</v>
      </c>
      <c r="C17" s="49">
        <f>'Avg Week Kampala-Wakiso'!C17+'Avg Week Wakiso-Kampala'!C17</f>
        <v>110</v>
      </c>
      <c r="D17" s="49">
        <f>'Avg Week Kampala-Wakiso'!D17+'Avg Week Wakiso-Kampala'!D17</f>
        <v>60.714285714285715</v>
      </c>
      <c r="E17" s="49">
        <f>'Avg Week Kampala-Wakiso'!E17+'Avg Week Wakiso-Kampala'!E17</f>
        <v>29.285714285714285</v>
      </c>
      <c r="F17" s="49">
        <f>'Avg Week Kampala-Wakiso'!F17+'Avg Week Wakiso-Kampala'!F17</f>
        <v>114.85714285714286</v>
      </c>
      <c r="G17" s="49">
        <f>'Avg Week Kampala-Wakiso'!G17+'Avg Week Wakiso-Kampala'!G17</f>
        <v>4.5714285714285712</v>
      </c>
      <c r="H17" s="49">
        <f>'Avg Week Kampala-Wakiso'!H17+'Avg Week Wakiso-Kampala'!H17</f>
        <v>3.2857142857142856</v>
      </c>
      <c r="I17" s="49">
        <f>'Avg Week Kampala-Wakiso'!I17+'Avg Week Wakiso-Kampala'!I17</f>
        <v>17.857142857142854</v>
      </c>
      <c r="J17" s="49">
        <f>'Avg Week Kampala-Wakiso'!J17+'Avg Week Wakiso-Kampala'!J17</f>
        <v>2</v>
      </c>
      <c r="K17" s="49">
        <f>'Avg Week Kampala-Wakiso'!K17+'Avg Week Wakiso-Kampala'!K17</f>
        <v>2</v>
      </c>
      <c r="L17" s="49">
        <f>'Avg Week Kampala-Wakiso'!L17+'Avg Week Wakiso-Kampala'!L17</f>
        <v>1.1428571428571428</v>
      </c>
      <c r="M17" s="49">
        <f>'Avg Week Kampala-Wakiso'!M17+'Avg Week Wakiso-Kampala'!M17</f>
        <v>225.71428571428572</v>
      </c>
      <c r="N17" s="49">
        <f>'Avg Week Kampala-Wakiso'!N17+'Avg Week Wakiso-Kampala'!N17</f>
        <v>0</v>
      </c>
      <c r="O17" s="15">
        <f t="shared" si="0"/>
        <v>345.71428571428572</v>
      </c>
      <c r="P17" s="15">
        <f t="shared" si="1"/>
        <v>571.42857142857144</v>
      </c>
      <c r="R17" s="1" t="s">
        <v>13</v>
      </c>
      <c r="S17" s="17">
        <f t="shared" ref="S17:AF17" si="9">SUM(C38:C41)</f>
        <v>320.28571428571433</v>
      </c>
      <c r="T17" s="17">
        <f t="shared" si="9"/>
        <v>242.71428571428572</v>
      </c>
      <c r="U17" s="17">
        <f t="shared" si="9"/>
        <v>64</v>
      </c>
      <c r="V17" s="17">
        <f t="shared" si="9"/>
        <v>349.57142857142856</v>
      </c>
      <c r="W17" s="17">
        <f t="shared" si="9"/>
        <v>3.9999999999999996</v>
      </c>
      <c r="X17" s="17">
        <f t="shared" si="9"/>
        <v>2.2857142857142856</v>
      </c>
      <c r="Y17" s="17">
        <f t="shared" si="9"/>
        <v>90.857142857142861</v>
      </c>
      <c r="Z17" s="17">
        <f t="shared" si="9"/>
        <v>20</v>
      </c>
      <c r="AA17" s="17">
        <f t="shared" si="9"/>
        <v>3.9999999999999996</v>
      </c>
      <c r="AB17" s="17">
        <f t="shared" si="9"/>
        <v>6.2857142857142856</v>
      </c>
      <c r="AC17" s="17">
        <f t="shared" si="9"/>
        <v>609</v>
      </c>
      <c r="AD17" s="17">
        <f t="shared" si="9"/>
        <v>0</v>
      </c>
      <c r="AE17" s="31">
        <f t="shared" si="9"/>
        <v>1104</v>
      </c>
      <c r="AF17" s="31">
        <f t="shared" si="9"/>
        <v>1713</v>
      </c>
    </row>
    <row r="18" spans="2:32" ht="23.1" customHeight="1" x14ac:dyDescent="0.25">
      <c r="B18" s="23" t="s">
        <v>45</v>
      </c>
      <c r="C18" s="49">
        <f>'Avg Week Kampala-Wakiso'!C18+'Avg Week Wakiso-Kampala'!C18</f>
        <v>123.28571428571429</v>
      </c>
      <c r="D18" s="49">
        <f>'Avg Week Kampala-Wakiso'!D18+'Avg Week Wakiso-Kampala'!D18</f>
        <v>73.285714285714278</v>
      </c>
      <c r="E18" s="49">
        <f>'Avg Week Kampala-Wakiso'!E18+'Avg Week Wakiso-Kampala'!E18</f>
        <v>17</v>
      </c>
      <c r="F18" s="49">
        <f>'Avg Week Kampala-Wakiso'!F18+'Avg Week Wakiso-Kampala'!F18</f>
        <v>132.14285714285714</v>
      </c>
      <c r="G18" s="49">
        <f>'Avg Week Kampala-Wakiso'!G18+'Avg Week Wakiso-Kampala'!G18</f>
        <v>2.2857142857142856</v>
      </c>
      <c r="H18" s="49">
        <f>'Avg Week Kampala-Wakiso'!H18+'Avg Week Wakiso-Kampala'!H18</f>
        <v>1.2857142857142856</v>
      </c>
      <c r="I18" s="49">
        <f>'Avg Week Kampala-Wakiso'!I18+'Avg Week Wakiso-Kampala'!I18</f>
        <v>19.571428571428573</v>
      </c>
      <c r="J18" s="49">
        <f>'Avg Week Kampala-Wakiso'!J18+'Avg Week Wakiso-Kampala'!J18</f>
        <v>5</v>
      </c>
      <c r="K18" s="49">
        <f>'Avg Week Kampala-Wakiso'!K18+'Avg Week Wakiso-Kampala'!K18</f>
        <v>2.1428571428571428</v>
      </c>
      <c r="L18" s="49">
        <f>'Avg Week Kampala-Wakiso'!L18+'Avg Week Wakiso-Kampala'!L18</f>
        <v>1.2857142857142856</v>
      </c>
      <c r="M18" s="49">
        <f>'Avg Week Kampala-Wakiso'!M18+'Avg Week Wakiso-Kampala'!M18</f>
        <v>237.28571428571428</v>
      </c>
      <c r="N18" s="49">
        <f>'Avg Week Kampala-Wakiso'!N18+'Avg Week Wakiso-Kampala'!N18</f>
        <v>0</v>
      </c>
      <c r="O18" s="15">
        <f t="shared" si="0"/>
        <v>377.28571428571422</v>
      </c>
      <c r="P18" s="15">
        <f t="shared" si="1"/>
        <v>614.57142857142844</v>
      </c>
      <c r="R18" s="1" t="s">
        <v>14</v>
      </c>
      <c r="S18" s="17">
        <f t="shared" ref="S18:AF18" si="10">SUM(C42:C45)</f>
        <v>434.14285714285711</v>
      </c>
      <c r="T18" s="17">
        <f t="shared" si="10"/>
        <v>260.42857142857144</v>
      </c>
      <c r="U18" s="17">
        <f t="shared" si="10"/>
        <v>68.428571428571431</v>
      </c>
      <c r="V18" s="17">
        <f t="shared" si="10"/>
        <v>367.28571428571422</v>
      </c>
      <c r="W18" s="17">
        <f t="shared" si="10"/>
        <v>3</v>
      </c>
      <c r="X18" s="17">
        <f t="shared" si="10"/>
        <v>1.9999999999999996</v>
      </c>
      <c r="Y18" s="17">
        <f t="shared" si="10"/>
        <v>69.714285714285722</v>
      </c>
      <c r="Z18" s="17">
        <f t="shared" si="10"/>
        <v>22.142857142857142</v>
      </c>
      <c r="AA18" s="17">
        <f t="shared" si="10"/>
        <v>6.7142857142857144</v>
      </c>
      <c r="AB18" s="17">
        <f t="shared" si="10"/>
        <v>7</v>
      </c>
      <c r="AC18" s="17">
        <f t="shared" si="10"/>
        <v>582.71428571428567</v>
      </c>
      <c r="AD18" s="17">
        <f t="shared" si="10"/>
        <v>0.14285714285714285</v>
      </c>
      <c r="AE18" s="31">
        <f t="shared" si="10"/>
        <v>1241</v>
      </c>
      <c r="AF18" s="31">
        <f t="shared" si="10"/>
        <v>1823.7142857142858</v>
      </c>
    </row>
    <row r="19" spans="2:32" ht="23.1" customHeight="1" x14ac:dyDescent="0.25">
      <c r="B19" s="23" t="s">
        <v>46</v>
      </c>
      <c r="C19" s="49">
        <f>'Avg Week Kampala-Wakiso'!C19+'Avg Week Wakiso-Kampala'!C19</f>
        <v>111.85714285714286</v>
      </c>
      <c r="D19" s="49">
        <f>'Avg Week Kampala-Wakiso'!D19+'Avg Week Wakiso-Kampala'!D19</f>
        <v>70.857142857142861</v>
      </c>
      <c r="E19" s="49">
        <f>'Avg Week Kampala-Wakiso'!E19+'Avg Week Wakiso-Kampala'!E19</f>
        <v>26.285714285714285</v>
      </c>
      <c r="F19" s="49">
        <f>'Avg Week Kampala-Wakiso'!F19+'Avg Week Wakiso-Kampala'!F19</f>
        <v>120.71428571428572</v>
      </c>
      <c r="G19" s="49">
        <f>'Avg Week Kampala-Wakiso'!G19+'Avg Week Wakiso-Kampala'!G19</f>
        <v>3.1428571428571428</v>
      </c>
      <c r="H19" s="49">
        <f>'Avg Week Kampala-Wakiso'!H19+'Avg Week Wakiso-Kampala'!H19</f>
        <v>1</v>
      </c>
      <c r="I19" s="49">
        <f>'Avg Week Kampala-Wakiso'!I19+'Avg Week Wakiso-Kampala'!I19</f>
        <v>18.714285714285715</v>
      </c>
      <c r="J19" s="49">
        <f>'Avg Week Kampala-Wakiso'!J19+'Avg Week Wakiso-Kampala'!J19</f>
        <v>6.1428571428571423</v>
      </c>
      <c r="K19" s="49">
        <f>'Avg Week Kampala-Wakiso'!K19+'Avg Week Wakiso-Kampala'!K19</f>
        <v>2.8571428571428572</v>
      </c>
      <c r="L19" s="49">
        <f>'Avg Week Kampala-Wakiso'!L19+'Avg Week Wakiso-Kampala'!L19</f>
        <v>1</v>
      </c>
      <c r="M19" s="49">
        <f>'Avg Week Kampala-Wakiso'!M19+'Avg Week Wakiso-Kampala'!M19</f>
        <v>216.42857142857142</v>
      </c>
      <c r="N19" s="49">
        <f>'Avg Week Kampala-Wakiso'!N19+'Avg Week Wakiso-Kampala'!N19</f>
        <v>0</v>
      </c>
      <c r="O19" s="15">
        <f t="shared" si="0"/>
        <v>362.57142857142861</v>
      </c>
      <c r="P19" s="15">
        <f t="shared" si="1"/>
        <v>579</v>
      </c>
      <c r="R19" s="1" t="s">
        <v>15</v>
      </c>
      <c r="S19" s="17">
        <f t="shared" ref="S19:AF19" si="11">SUM(C46:C49)</f>
        <v>421.42857142857144</v>
      </c>
      <c r="T19" s="17">
        <f t="shared" si="11"/>
        <v>316.14285714285711</v>
      </c>
      <c r="U19" s="17">
        <f t="shared" si="11"/>
        <v>97.142857142857139</v>
      </c>
      <c r="V19" s="17">
        <f t="shared" si="11"/>
        <v>405.14285714285711</v>
      </c>
      <c r="W19" s="17">
        <f t="shared" si="11"/>
        <v>4.4285714285714288</v>
      </c>
      <c r="X19" s="17">
        <f t="shared" si="11"/>
        <v>2.1428571428571428</v>
      </c>
      <c r="Y19" s="17">
        <f t="shared" si="11"/>
        <v>89</v>
      </c>
      <c r="Z19" s="17">
        <f t="shared" si="11"/>
        <v>29.285714285714285</v>
      </c>
      <c r="AA19" s="17">
        <f t="shared" si="11"/>
        <v>4.8571428571428568</v>
      </c>
      <c r="AB19" s="17">
        <f t="shared" si="11"/>
        <v>8.5714285714285712</v>
      </c>
      <c r="AC19" s="17">
        <f t="shared" si="11"/>
        <v>638.85714285714289</v>
      </c>
      <c r="AD19" s="17">
        <f t="shared" si="11"/>
        <v>0</v>
      </c>
      <c r="AE19" s="31">
        <f t="shared" si="11"/>
        <v>1378.1428571428571</v>
      </c>
      <c r="AF19" s="31">
        <f t="shared" si="11"/>
        <v>2017.0000000000002</v>
      </c>
    </row>
    <row r="20" spans="2:32" ht="23.1" customHeight="1" x14ac:dyDescent="0.25">
      <c r="B20" s="23" t="s">
        <v>47</v>
      </c>
      <c r="C20" s="49">
        <f>'Avg Week Kampala-Wakiso'!C20+'Avg Week Wakiso-Kampala'!C20</f>
        <v>111.57142857142857</v>
      </c>
      <c r="D20" s="49">
        <f>'Avg Week Kampala-Wakiso'!D20+'Avg Week Wakiso-Kampala'!D20</f>
        <v>80.571428571428569</v>
      </c>
      <c r="E20" s="49">
        <f>'Avg Week Kampala-Wakiso'!E20+'Avg Week Wakiso-Kampala'!E20</f>
        <v>18.571428571428569</v>
      </c>
      <c r="F20" s="49">
        <f>'Avg Week Kampala-Wakiso'!F20+'Avg Week Wakiso-Kampala'!F20</f>
        <v>113</v>
      </c>
      <c r="G20" s="49">
        <f>'Avg Week Kampala-Wakiso'!G20+'Avg Week Wakiso-Kampala'!G20</f>
        <v>3</v>
      </c>
      <c r="H20" s="49">
        <f>'Avg Week Kampala-Wakiso'!H20+'Avg Week Wakiso-Kampala'!H20</f>
        <v>1.5714285714285714</v>
      </c>
      <c r="I20" s="49">
        <f>'Avg Week Kampala-Wakiso'!I20+'Avg Week Wakiso-Kampala'!I20</f>
        <v>19.714285714285715</v>
      </c>
      <c r="J20" s="49">
        <f>'Avg Week Kampala-Wakiso'!J20+'Avg Week Wakiso-Kampala'!J20</f>
        <v>3.5714285714285712</v>
      </c>
      <c r="K20" s="49">
        <f>'Avg Week Kampala-Wakiso'!K20+'Avg Week Wakiso-Kampala'!K20</f>
        <v>1.5714285714285716</v>
      </c>
      <c r="L20" s="49">
        <f>'Avg Week Kampala-Wakiso'!L20+'Avg Week Wakiso-Kampala'!L20</f>
        <v>1.2857142857142856</v>
      </c>
      <c r="M20" s="49">
        <f>'Avg Week Kampala-Wakiso'!M20+'Avg Week Wakiso-Kampala'!M20</f>
        <v>196.85714285714283</v>
      </c>
      <c r="N20" s="49">
        <f>'Avg Week Kampala-Wakiso'!N20+'Avg Week Wakiso-Kampala'!N20</f>
        <v>0</v>
      </c>
      <c r="O20" s="15">
        <f t="shared" si="0"/>
        <v>354.42857142857139</v>
      </c>
      <c r="P20" s="15">
        <f t="shared" si="1"/>
        <v>551.28571428571422</v>
      </c>
      <c r="R20" s="1" t="s">
        <v>16</v>
      </c>
      <c r="S20" s="17">
        <f t="shared" ref="S20:AF20" si="12">SUM(C50:C53)</f>
        <v>445.71428571428567</v>
      </c>
      <c r="T20" s="17">
        <f t="shared" si="12"/>
        <v>309.42857142857144</v>
      </c>
      <c r="U20" s="17">
        <f t="shared" si="12"/>
        <v>68.142857142857139</v>
      </c>
      <c r="V20" s="17">
        <f t="shared" si="12"/>
        <v>472.42857142857144</v>
      </c>
      <c r="W20" s="17">
        <f t="shared" si="12"/>
        <v>8.5714285714285712</v>
      </c>
      <c r="X20" s="17">
        <f t="shared" si="12"/>
        <v>0.85714285714285698</v>
      </c>
      <c r="Y20" s="17">
        <f t="shared" si="12"/>
        <v>79</v>
      </c>
      <c r="Z20" s="17">
        <f t="shared" si="12"/>
        <v>20.857142857142858</v>
      </c>
      <c r="AA20" s="17">
        <f t="shared" si="12"/>
        <v>10.285714285714286</v>
      </c>
      <c r="AB20" s="17">
        <f t="shared" si="12"/>
        <v>9.2857142857142865</v>
      </c>
      <c r="AC20" s="17">
        <f t="shared" si="12"/>
        <v>754.71428571428578</v>
      </c>
      <c r="AD20" s="17">
        <f t="shared" si="12"/>
        <v>0</v>
      </c>
      <c r="AE20" s="31">
        <f t="shared" si="12"/>
        <v>1424.5714285714284</v>
      </c>
      <c r="AF20" s="31">
        <f t="shared" si="12"/>
        <v>2179.2857142857142</v>
      </c>
    </row>
    <row r="21" spans="2:32" ht="23.1" customHeight="1" x14ac:dyDescent="0.25">
      <c r="B21" s="23" t="s">
        <v>48</v>
      </c>
      <c r="C21" s="49">
        <f>'Avg Week Kampala-Wakiso'!C21+'Avg Week Wakiso-Kampala'!C21</f>
        <v>117.71428571428571</v>
      </c>
      <c r="D21" s="49">
        <f>'Avg Week Kampala-Wakiso'!D21+'Avg Week Wakiso-Kampala'!D21</f>
        <v>66.571428571428569</v>
      </c>
      <c r="E21" s="49">
        <f>'Avg Week Kampala-Wakiso'!E21+'Avg Week Wakiso-Kampala'!E21</f>
        <v>20</v>
      </c>
      <c r="F21" s="49">
        <f>'Avg Week Kampala-Wakiso'!F21+'Avg Week Wakiso-Kampala'!F21</f>
        <v>112.71428571428571</v>
      </c>
      <c r="G21" s="49">
        <f>'Avg Week Kampala-Wakiso'!G21+'Avg Week Wakiso-Kampala'!G21</f>
        <v>2.2857142857142856</v>
      </c>
      <c r="H21" s="49">
        <f>'Avg Week Kampala-Wakiso'!H21+'Avg Week Wakiso-Kampala'!H21</f>
        <v>0.45238095238095233</v>
      </c>
      <c r="I21" s="49">
        <f>'Avg Week Kampala-Wakiso'!I21+'Avg Week Wakiso-Kampala'!I21</f>
        <v>17.428571428571431</v>
      </c>
      <c r="J21" s="49">
        <f>'Avg Week Kampala-Wakiso'!J21+'Avg Week Wakiso-Kampala'!J21</f>
        <v>5</v>
      </c>
      <c r="K21" s="49">
        <f>'Avg Week Kampala-Wakiso'!K21+'Avg Week Wakiso-Kampala'!K21</f>
        <v>1.2857142857142856</v>
      </c>
      <c r="L21" s="49">
        <f>'Avg Week Kampala-Wakiso'!L21+'Avg Week Wakiso-Kampala'!L21</f>
        <v>1</v>
      </c>
      <c r="M21" s="49">
        <f>'Avg Week Kampala-Wakiso'!M21+'Avg Week Wakiso-Kampala'!M21</f>
        <v>203.85714285714283</v>
      </c>
      <c r="N21" s="49">
        <f>'Avg Week Kampala-Wakiso'!N21+'Avg Week Wakiso-Kampala'!N21</f>
        <v>0</v>
      </c>
      <c r="O21" s="15">
        <f t="shared" si="0"/>
        <v>344.45238095238096</v>
      </c>
      <c r="P21" s="15">
        <f t="shared" si="1"/>
        <v>548.30952380952385</v>
      </c>
      <c r="R21" s="1" t="s">
        <v>20</v>
      </c>
      <c r="S21" s="34">
        <f t="shared" ref="S21:AF21" si="13">SUM(C54:C57)</f>
        <v>376.57142857142856</v>
      </c>
      <c r="T21" s="17">
        <f t="shared" si="13"/>
        <v>280</v>
      </c>
      <c r="U21" s="17">
        <f t="shared" si="13"/>
        <v>61.428571428571431</v>
      </c>
      <c r="V21" s="17">
        <f t="shared" si="13"/>
        <v>433.85714285714283</v>
      </c>
      <c r="W21" s="17">
        <f t="shared" si="13"/>
        <v>13.857142857142858</v>
      </c>
      <c r="X21" s="17">
        <f t="shared" si="13"/>
        <v>3.714285714285714</v>
      </c>
      <c r="Y21" s="17">
        <f t="shared" si="13"/>
        <v>62.142857142857139</v>
      </c>
      <c r="Z21" s="17">
        <f t="shared" si="13"/>
        <v>22.285714285714285</v>
      </c>
      <c r="AA21" s="17">
        <f t="shared" si="13"/>
        <v>8</v>
      </c>
      <c r="AB21" s="17">
        <f t="shared" si="13"/>
        <v>6.1428571428571423</v>
      </c>
      <c r="AC21" s="17">
        <f t="shared" si="13"/>
        <v>730.42857142857144</v>
      </c>
      <c r="AD21" s="17">
        <f t="shared" si="13"/>
        <v>0.2857142857142857</v>
      </c>
      <c r="AE21" s="31">
        <f t="shared" si="13"/>
        <v>1268.2857142857142</v>
      </c>
      <c r="AF21" s="31">
        <f t="shared" si="13"/>
        <v>1998.7142857142856</v>
      </c>
    </row>
    <row r="22" spans="2:32" ht="23.1" customHeight="1" x14ac:dyDescent="0.25">
      <c r="B22" s="23" t="s">
        <v>49</v>
      </c>
      <c r="C22" s="49">
        <f>'Avg Week Kampala-Wakiso'!C22+'Avg Week Wakiso-Kampala'!C22</f>
        <v>114.57142857142857</v>
      </c>
      <c r="D22" s="49">
        <f>'Avg Week Kampala-Wakiso'!D22+'Avg Week Wakiso-Kampala'!D22</f>
        <v>74.285714285714278</v>
      </c>
      <c r="E22" s="49">
        <f>'Avg Week Kampala-Wakiso'!E22+'Avg Week Wakiso-Kampala'!E22</f>
        <v>16.285714285714285</v>
      </c>
      <c r="F22" s="49">
        <f>'Avg Week Kampala-Wakiso'!F22+'Avg Week Wakiso-Kampala'!F22</f>
        <v>134.14285714285714</v>
      </c>
      <c r="G22" s="49">
        <f>'Avg Week Kampala-Wakiso'!G22+'Avg Week Wakiso-Kampala'!G22</f>
        <v>2.2857142857142856</v>
      </c>
      <c r="H22" s="49">
        <f>'Avg Week Kampala-Wakiso'!H22+'Avg Week Wakiso-Kampala'!H22</f>
        <v>1.1428571428571428</v>
      </c>
      <c r="I22" s="49">
        <f>'Avg Week Kampala-Wakiso'!I22+'Avg Week Wakiso-Kampala'!I22</f>
        <v>26</v>
      </c>
      <c r="J22" s="49">
        <f>'Avg Week Kampala-Wakiso'!J22+'Avg Week Wakiso-Kampala'!J22</f>
        <v>6.5714285714285712</v>
      </c>
      <c r="K22" s="49">
        <f>'Avg Week Kampala-Wakiso'!K22+'Avg Week Wakiso-Kampala'!K22</f>
        <v>2.2857142857142856</v>
      </c>
      <c r="L22" s="49">
        <f>'Avg Week Kampala-Wakiso'!L22+'Avg Week Wakiso-Kampala'!L22</f>
        <v>1</v>
      </c>
      <c r="M22" s="49">
        <f>'Avg Week Kampala-Wakiso'!M22+'Avg Week Wakiso-Kampala'!M22</f>
        <v>212.14285714285717</v>
      </c>
      <c r="N22" s="49">
        <f>'Avg Week Kampala-Wakiso'!N22+'Avg Week Wakiso-Kampala'!N22</f>
        <v>0</v>
      </c>
      <c r="O22" s="15">
        <f t="shared" si="0"/>
        <v>378.5714285714285</v>
      </c>
      <c r="P22" s="15">
        <f t="shared" si="1"/>
        <v>590.71428571428567</v>
      </c>
      <c r="R22" s="1" t="s">
        <v>146</v>
      </c>
      <c r="S22" s="34">
        <f>SUM(C58:C61)</f>
        <v>323</v>
      </c>
      <c r="T22" s="34">
        <f t="shared" ref="T22:AF22" si="14">SUM(D58:D61)</f>
        <v>234</v>
      </c>
      <c r="U22" s="34">
        <f t="shared" si="14"/>
        <v>110.5</v>
      </c>
      <c r="V22" s="34">
        <f t="shared" si="14"/>
        <v>366.5</v>
      </c>
      <c r="W22" s="34">
        <f t="shared" si="14"/>
        <v>14</v>
      </c>
      <c r="X22" s="34">
        <f t="shared" si="14"/>
        <v>4.5</v>
      </c>
      <c r="Y22" s="34">
        <f t="shared" si="14"/>
        <v>43.5</v>
      </c>
      <c r="Z22" s="34">
        <f t="shared" si="14"/>
        <v>10</v>
      </c>
      <c r="AA22" s="34">
        <f t="shared" si="14"/>
        <v>4</v>
      </c>
      <c r="AB22" s="34">
        <f t="shared" si="14"/>
        <v>7</v>
      </c>
      <c r="AC22" s="34">
        <f t="shared" si="14"/>
        <v>645</v>
      </c>
      <c r="AD22" s="34">
        <f t="shared" si="14"/>
        <v>0</v>
      </c>
      <c r="AE22" s="31">
        <f t="shared" si="14"/>
        <v>1117</v>
      </c>
      <c r="AF22" s="31">
        <f t="shared" si="14"/>
        <v>1762</v>
      </c>
    </row>
    <row r="23" spans="2:32" ht="23.1" customHeight="1" x14ac:dyDescent="0.25">
      <c r="B23" s="23" t="s">
        <v>50</v>
      </c>
      <c r="C23" s="49">
        <f>'Avg Week Kampala-Wakiso'!C23+'Avg Week Wakiso-Kampala'!C23</f>
        <v>117.14285714285714</v>
      </c>
      <c r="D23" s="49">
        <f>'Avg Week Kampala-Wakiso'!D23+'Avg Week Wakiso-Kampala'!D23</f>
        <v>80.428571428571431</v>
      </c>
      <c r="E23" s="49">
        <f>'Avg Week Kampala-Wakiso'!E23+'Avg Week Wakiso-Kampala'!E23</f>
        <v>21.428571428571431</v>
      </c>
      <c r="F23" s="49">
        <f>'Avg Week Kampala-Wakiso'!F23+'Avg Week Wakiso-Kampala'!F23</f>
        <v>111.85714285714286</v>
      </c>
      <c r="G23" s="49">
        <f>'Avg Week Kampala-Wakiso'!G23+'Avg Week Wakiso-Kampala'!G23</f>
        <v>2.1428571428571428</v>
      </c>
      <c r="H23" s="49">
        <f>'Avg Week Kampala-Wakiso'!H23+'Avg Week Wakiso-Kampala'!H23</f>
        <v>1.4285714285714284</v>
      </c>
      <c r="I23" s="49">
        <f>'Avg Week Kampala-Wakiso'!I23+'Avg Week Wakiso-Kampala'!I23</f>
        <v>25.285714285714285</v>
      </c>
      <c r="J23" s="49">
        <f>'Avg Week Kampala-Wakiso'!J23+'Avg Week Wakiso-Kampala'!J23</f>
        <v>6</v>
      </c>
      <c r="K23" s="49">
        <f>'Avg Week Kampala-Wakiso'!K23+'Avg Week Wakiso-Kampala'!K23</f>
        <v>2</v>
      </c>
      <c r="L23" s="49">
        <f>'Avg Week Kampala-Wakiso'!L23+'Avg Week Wakiso-Kampala'!L23</f>
        <v>0.71428571428571419</v>
      </c>
      <c r="M23" s="49">
        <f>'Avg Week Kampala-Wakiso'!M23+'Avg Week Wakiso-Kampala'!M23</f>
        <v>195.28571428571428</v>
      </c>
      <c r="N23" s="49">
        <f>'Avg Week Kampala-Wakiso'!N23+'Avg Week Wakiso-Kampala'!N23</f>
        <v>0</v>
      </c>
      <c r="O23" s="15">
        <f t="shared" si="0"/>
        <v>368.4285714285715</v>
      </c>
      <c r="P23" s="15">
        <f t="shared" si="1"/>
        <v>563.71428571428578</v>
      </c>
      <c r="R23" s="1" t="s">
        <v>147</v>
      </c>
      <c r="S23" s="34">
        <f>SUM(C62:C65)</f>
        <v>420</v>
      </c>
      <c r="T23" s="34">
        <f t="shared" ref="T23:AF23" si="15">SUM(D62:D65)</f>
        <v>329.5</v>
      </c>
      <c r="U23" s="34">
        <f t="shared" si="15"/>
        <v>59.5</v>
      </c>
      <c r="V23" s="34">
        <f t="shared" si="15"/>
        <v>476.5</v>
      </c>
      <c r="W23" s="34">
        <f t="shared" si="15"/>
        <v>12.5</v>
      </c>
      <c r="X23" s="34">
        <f t="shared" si="15"/>
        <v>9</v>
      </c>
      <c r="Y23" s="34">
        <f t="shared" si="15"/>
        <v>55</v>
      </c>
      <c r="Z23" s="34">
        <f t="shared" si="15"/>
        <v>5.5</v>
      </c>
      <c r="AA23" s="34">
        <f t="shared" si="15"/>
        <v>2.5</v>
      </c>
      <c r="AB23" s="34">
        <f t="shared" si="15"/>
        <v>4</v>
      </c>
      <c r="AC23" s="34">
        <f t="shared" si="15"/>
        <v>724</v>
      </c>
      <c r="AD23" s="34">
        <f t="shared" si="15"/>
        <v>0</v>
      </c>
      <c r="AE23" s="31">
        <f t="shared" si="15"/>
        <v>1374</v>
      </c>
      <c r="AF23" s="31">
        <f t="shared" si="15"/>
        <v>2098</v>
      </c>
    </row>
    <row r="24" spans="2:32" ht="23.1" customHeight="1" x14ac:dyDescent="0.25">
      <c r="B24" s="23" t="s">
        <v>51</v>
      </c>
      <c r="C24" s="49">
        <f>'Avg Week Kampala-Wakiso'!C24+'Avg Week Wakiso-Kampala'!C24</f>
        <v>102.71428571428572</v>
      </c>
      <c r="D24" s="49">
        <f>'Avg Week Kampala-Wakiso'!D24+'Avg Week Wakiso-Kampala'!D24</f>
        <v>72.142857142857139</v>
      </c>
      <c r="E24" s="49">
        <f>'Avg Week Kampala-Wakiso'!E24+'Avg Week Wakiso-Kampala'!E24</f>
        <v>20</v>
      </c>
      <c r="F24" s="49">
        <f>'Avg Week Kampala-Wakiso'!F24+'Avg Week Wakiso-Kampala'!F24</f>
        <v>111.14285714285714</v>
      </c>
      <c r="G24" s="49">
        <f>'Avg Week Kampala-Wakiso'!G24+'Avg Week Wakiso-Kampala'!G24</f>
        <v>2.1428571428571428</v>
      </c>
      <c r="H24" s="49">
        <f>'Avg Week Kampala-Wakiso'!H24+'Avg Week Wakiso-Kampala'!H24</f>
        <v>0.14285714285714285</v>
      </c>
      <c r="I24" s="49">
        <f>'Avg Week Kampala-Wakiso'!I24+'Avg Week Wakiso-Kampala'!I24</f>
        <v>16.428571428571431</v>
      </c>
      <c r="J24" s="49">
        <f>'Avg Week Kampala-Wakiso'!J24+'Avg Week Wakiso-Kampala'!J24</f>
        <v>5.5714285714285712</v>
      </c>
      <c r="K24" s="49">
        <f>'Avg Week Kampala-Wakiso'!K24+'Avg Week Wakiso-Kampala'!K24</f>
        <v>0.5714285714285714</v>
      </c>
      <c r="L24" s="49">
        <f>'Avg Week Kampala-Wakiso'!L24+'Avg Week Wakiso-Kampala'!L24</f>
        <v>1.5714285714285714</v>
      </c>
      <c r="M24" s="49">
        <f>'Avg Week Kampala-Wakiso'!M24+'Avg Week Wakiso-Kampala'!M24</f>
        <v>221.28571428571428</v>
      </c>
      <c r="N24" s="49">
        <f>'Avg Week Kampala-Wakiso'!N24+'Avg Week Wakiso-Kampala'!N24</f>
        <v>0</v>
      </c>
      <c r="O24" s="15">
        <f t="shared" si="0"/>
        <v>332.42857142857144</v>
      </c>
      <c r="P24" s="15">
        <f t="shared" si="1"/>
        <v>553.71428571428578</v>
      </c>
      <c r="R24" s="1" t="s">
        <v>148</v>
      </c>
      <c r="S24" s="34">
        <f>SUM(C66:C69)</f>
        <v>424</v>
      </c>
      <c r="T24" s="34">
        <f t="shared" ref="T24:AF24" si="16">SUM(D66:D69)</f>
        <v>294.5</v>
      </c>
      <c r="U24" s="34">
        <f t="shared" si="16"/>
        <v>46.5</v>
      </c>
      <c r="V24" s="34">
        <f t="shared" si="16"/>
        <v>456</v>
      </c>
      <c r="W24" s="34">
        <f t="shared" si="16"/>
        <v>8.5</v>
      </c>
      <c r="X24" s="34">
        <f t="shared" si="16"/>
        <v>2.5</v>
      </c>
      <c r="Y24" s="34">
        <f t="shared" si="16"/>
        <v>29</v>
      </c>
      <c r="Z24" s="34">
        <f t="shared" si="16"/>
        <v>13</v>
      </c>
      <c r="AA24" s="34">
        <f t="shared" si="16"/>
        <v>3.5</v>
      </c>
      <c r="AB24" s="34">
        <f t="shared" si="16"/>
        <v>6.5</v>
      </c>
      <c r="AC24" s="34">
        <f t="shared" si="16"/>
        <v>656</v>
      </c>
      <c r="AD24" s="34">
        <f t="shared" si="16"/>
        <v>0</v>
      </c>
      <c r="AE24" s="31">
        <f t="shared" si="16"/>
        <v>1284</v>
      </c>
      <c r="AF24" s="31">
        <f t="shared" si="16"/>
        <v>1940</v>
      </c>
    </row>
    <row r="25" spans="2:32" ht="23.1" customHeight="1" x14ac:dyDescent="0.25">
      <c r="B25" s="23" t="s">
        <v>52</v>
      </c>
      <c r="C25" s="49">
        <f>'Avg Week Kampala-Wakiso'!C25+'Avg Week Wakiso-Kampala'!C25</f>
        <v>101.85714285714286</v>
      </c>
      <c r="D25" s="49">
        <f>'Avg Week Kampala-Wakiso'!D25+'Avg Week Wakiso-Kampala'!D25</f>
        <v>64.857142857142861</v>
      </c>
      <c r="E25" s="49">
        <f>'Avg Week Kampala-Wakiso'!E25+'Avg Week Wakiso-Kampala'!E25</f>
        <v>19</v>
      </c>
      <c r="F25" s="49">
        <f>'Avg Week Kampala-Wakiso'!F25+'Avg Week Wakiso-Kampala'!F25</f>
        <v>100.14285714285714</v>
      </c>
      <c r="G25" s="49">
        <f>'Avg Week Kampala-Wakiso'!G25+'Avg Week Wakiso-Kampala'!G25</f>
        <v>1.2857142857142856</v>
      </c>
      <c r="H25" s="49">
        <f>'Avg Week Kampala-Wakiso'!H25+'Avg Week Wakiso-Kampala'!H25</f>
        <v>0.42857142857142855</v>
      </c>
      <c r="I25" s="49">
        <f>'Avg Week Kampala-Wakiso'!I25+'Avg Week Wakiso-Kampala'!I25</f>
        <v>20.142857142857142</v>
      </c>
      <c r="J25" s="49">
        <f>'Avg Week Kampala-Wakiso'!J25+'Avg Week Wakiso-Kampala'!J25</f>
        <v>6.5714285714285712</v>
      </c>
      <c r="K25" s="49">
        <f>'Avg Week Kampala-Wakiso'!K25+'Avg Week Wakiso-Kampala'!K25</f>
        <v>1</v>
      </c>
      <c r="L25" s="49">
        <f>'Avg Week Kampala-Wakiso'!L25+'Avg Week Wakiso-Kampala'!L25</f>
        <v>1.2857142857142856</v>
      </c>
      <c r="M25" s="49">
        <f>'Avg Week Kampala-Wakiso'!M25+'Avg Week Wakiso-Kampala'!M25</f>
        <v>189.85714285714286</v>
      </c>
      <c r="N25" s="49">
        <f>'Avg Week Kampala-Wakiso'!N25+'Avg Week Wakiso-Kampala'!N25</f>
        <v>0</v>
      </c>
      <c r="O25" s="15">
        <f t="shared" si="0"/>
        <v>316.57142857142861</v>
      </c>
      <c r="P25" s="15">
        <f t="shared" si="1"/>
        <v>506.42857142857144</v>
      </c>
      <c r="R25" s="1" t="s">
        <v>149</v>
      </c>
      <c r="S25" s="34">
        <f>SUM(C70:C73)</f>
        <v>409</v>
      </c>
      <c r="T25" s="34">
        <f t="shared" ref="T25:AF25" si="17">SUM(D70:D73)</f>
        <v>290.5</v>
      </c>
      <c r="U25" s="34">
        <f t="shared" si="17"/>
        <v>46</v>
      </c>
      <c r="V25" s="34">
        <f t="shared" si="17"/>
        <v>322</v>
      </c>
      <c r="W25" s="34">
        <f t="shared" si="17"/>
        <v>12</v>
      </c>
      <c r="X25" s="34">
        <f t="shared" si="17"/>
        <v>1.5</v>
      </c>
      <c r="Y25" s="34">
        <f t="shared" si="17"/>
        <v>38</v>
      </c>
      <c r="Z25" s="34">
        <f t="shared" si="17"/>
        <v>6</v>
      </c>
      <c r="AA25" s="34">
        <f t="shared" si="17"/>
        <v>1.5</v>
      </c>
      <c r="AB25" s="34">
        <f t="shared" si="17"/>
        <v>2.5</v>
      </c>
      <c r="AC25" s="34">
        <f t="shared" si="17"/>
        <v>681</v>
      </c>
      <c r="AD25" s="34">
        <f t="shared" si="17"/>
        <v>0</v>
      </c>
      <c r="AE25" s="31">
        <f t="shared" si="17"/>
        <v>1129</v>
      </c>
      <c r="AF25" s="31">
        <f t="shared" si="17"/>
        <v>1810</v>
      </c>
    </row>
    <row r="26" spans="2:32" ht="23.1" customHeight="1" x14ac:dyDescent="0.25">
      <c r="B26" s="23" t="s">
        <v>53</v>
      </c>
      <c r="C26" s="49">
        <f>'Avg Week Kampala-Wakiso'!C26+'Avg Week Wakiso-Kampala'!C26</f>
        <v>105.42857142857143</v>
      </c>
      <c r="D26" s="49">
        <f>'Avg Week Kampala-Wakiso'!D26+'Avg Week Wakiso-Kampala'!D26</f>
        <v>72</v>
      </c>
      <c r="E26" s="49">
        <f>'Avg Week Kampala-Wakiso'!E26+'Avg Week Wakiso-Kampala'!E26</f>
        <v>14.857142857142858</v>
      </c>
      <c r="F26" s="49">
        <f>'Avg Week Kampala-Wakiso'!F26+'Avg Week Wakiso-Kampala'!F26</f>
        <v>97.857142857142861</v>
      </c>
      <c r="G26" s="49">
        <f>'Avg Week Kampala-Wakiso'!G26+'Avg Week Wakiso-Kampala'!G26</f>
        <v>1.1428571428571428</v>
      </c>
      <c r="H26" s="49">
        <f>'Avg Week Kampala-Wakiso'!H26+'Avg Week Wakiso-Kampala'!H26</f>
        <v>0.42857142857142855</v>
      </c>
      <c r="I26" s="49">
        <f>'Avg Week Kampala-Wakiso'!I26+'Avg Week Wakiso-Kampala'!I26</f>
        <v>14.857142857142858</v>
      </c>
      <c r="J26" s="49">
        <f>'Avg Week Kampala-Wakiso'!J26+'Avg Week Wakiso-Kampala'!J26</f>
        <v>5.8571428571428568</v>
      </c>
      <c r="K26" s="49">
        <f>'Avg Week Kampala-Wakiso'!K26+'Avg Week Wakiso-Kampala'!K26</f>
        <v>2.8571428571428572</v>
      </c>
      <c r="L26" s="49">
        <f>'Avg Week Kampala-Wakiso'!L26+'Avg Week Wakiso-Kampala'!L26</f>
        <v>2.4285714285714288</v>
      </c>
      <c r="M26" s="49">
        <f>'Avg Week Kampala-Wakiso'!M26+'Avg Week Wakiso-Kampala'!M26</f>
        <v>202.85714285714286</v>
      </c>
      <c r="N26" s="49">
        <f>'Avg Week Kampala-Wakiso'!N26+'Avg Week Wakiso-Kampala'!N26</f>
        <v>0</v>
      </c>
      <c r="O26" s="15">
        <f t="shared" si="0"/>
        <v>317.71428571428572</v>
      </c>
      <c r="P26" s="15">
        <f t="shared" si="1"/>
        <v>520.57142857142856</v>
      </c>
      <c r="R26" s="1" t="s">
        <v>150</v>
      </c>
      <c r="S26" s="34">
        <f>SUM(C74:C77)</f>
        <v>244.5</v>
      </c>
      <c r="T26" s="34">
        <f t="shared" ref="T26:AF26" si="18">SUM(D74:D77)</f>
        <v>185</v>
      </c>
      <c r="U26" s="34">
        <f t="shared" si="18"/>
        <v>30</v>
      </c>
      <c r="V26" s="34">
        <f t="shared" si="18"/>
        <v>203</v>
      </c>
      <c r="W26" s="34">
        <f t="shared" si="18"/>
        <v>4.5</v>
      </c>
      <c r="X26" s="34">
        <f t="shared" si="18"/>
        <v>0.5</v>
      </c>
      <c r="Y26" s="34">
        <f t="shared" si="18"/>
        <v>29</v>
      </c>
      <c r="Z26" s="34">
        <f t="shared" si="18"/>
        <v>9</v>
      </c>
      <c r="AA26" s="34">
        <f t="shared" si="18"/>
        <v>3</v>
      </c>
      <c r="AB26" s="34">
        <f t="shared" si="18"/>
        <v>5</v>
      </c>
      <c r="AC26" s="34">
        <f t="shared" si="18"/>
        <v>329.5</v>
      </c>
      <c r="AD26" s="34">
        <f t="shared" si="18"/>
        <v>0</v>
      </c>
      <c r="AE26" s="31">
        <f t="shared" si="18"/>
        <v>713.5</v>
      </c>
      <c r="AF26" s="31">
        <f t="shared" si="18"/>
        <v>1043</v>
      </c>
    </row>
    <row r="27" spans="2:32" ht="23.1" customHeight="1" x14ac:dyDescent="0.25">
      <c r="B27" s="23" t="s">
        <v>54</v>
      </c>
      <c r="C27" s="49">
        <f>'Avg Week Kampala-Wakiso'!C27+'Avg Week Wakiso-Kampala'!C27</f>
        <v>100.14285714285714</v>
      </c>
      <c r="D27" s="49">
        <f>'Avg Week Kampala-Wakiso'!D27+'Avg Week Wakiso-Kampala'!D27</f>
        <v>55.571428571428569</v>
      </c>
      <c r="E27" s="49">
        <f>'Avg Week Kampala-Wakiso'!E27+'Avg Week Wakiso-Kampala'!E27</f>
        <v>21.142857142857142</v>
      </c>
      <c r="F27" s="49">
        <f>'Avg Week Kampala-Wakiso'!F27+'Avg Week Wakiso-Kampala'!F27</f>
        <v>119.57142857142857</v>
      </c>
      <c r="G27" s="49">
        <f>'Avg Week Kampala-Wakiso'!G27+'Avg Week Wakiso-Kampala'!G27</f>
        <v>1</v>
      </c>
      <c r="H27" s="49">
        <f>'Avg Week Kampala-Wakiso'!H27+'Avg Week Wakiso-Kampala'!H27</f>
        <v>0.2857142857142857</v>
      </c>
      <c r="I27" s="49">
        <f>'Avg Week Kampala-Wakiso'!I27+'Avg Week Wakiso-Kampala'!I27</f>
        <v>19.285714285714285</v>
      </c>
      <c r="J27" s="49">
        <f>'Avg Week Kampala-Wakiso'!J27+'Avg Week Wakiso-Kampala'!J27</f>
        <v>4.8571428571428568</v>
      </c>
      <c r="K27" s="49">
        <f>'Avg Week Kampala-Wakiso'!K27+'Avg Week Wakiso-Kampala'!K27</f>
        <v>1.2857142857142856</v>
      </c>
      <c r="L27" s="49">
        <f>'Avg Week Kampala-Wakiso'!L27+'Avg Week Wakiso-Kampala'!L27</f>
        <v>2</v>
      </c>
      <c r="M27" s="49">
        <f>'Avg Week Kampala-Wakiso'!M27+'Avg Week Wakiso-Kampala'!M27</f>
        <v>212.14285714285714</v>
      </c>
      <c r="N27" s="49">
        <f>'Avg Week Kampala-Wakiso'!N27+'Avg Week Wakiso-Kampala'!N27</f>
        <v>0</v>
      </c>
      <c r="O27" s="15">
        <f t="shared" si="0"/>
        <v>325.14285714285711</v>
      </c>
      <c r="P27" s="15">
        <f t="shared" si="1"/>
        <v>537.28571428571422</v>
      </c>
      <c r="R27" s="1" t="s">
        <v>151</v>
      </c>
      <c r="S27" s="34">
        <f>SUM(C78:C81)</f>
        <v>145.5</v>
      </c>
      <c r="T27" s="34">
        <f t="shared" ref="T27:AF27" si="19">SUM(D78:D81)</f>
        <v>101</v>
      </c>
      <c r="U27" s="34">
        <f t="shared" si="19"/>
        <v>23</v>
      </c>
      <c r="V27" s="34">
        <f t="shared" si="19"/>
        <v>51.5</v>
      </c>
      <c r="W27" s="34">
        <f t="shared" si="19"/>
        <v>1</v>
      </c>
      <c r="X27" s="34">
        <f t="shared" si="19"/>
        <v>4</v>
      </c>
      <c r="Y27" s="34">
        <f t="shared" si="19"/>
        <v>16</v>
      </c>
      <c r="Z27" s="34">
        <f t="shared" si="19"/>
        <v>5.5</v>
      </c>
      <c r="AA27" s="34">
        <f t="shared" si="19"/>
        <v>4</v>
      </c>
      <c r="AB27" s="34">
        <f t="shared" si="19"/>
        <v>1</v>
      </c>
      <c r="AC27" s="34">
        <f t="shared" si="19"/>
        <v>222.5</v>
      </c>
      <c r="AD27" s="34">
        <f t="shared" si="19"/>
        <v>0</v>
      </c>
      <c r="AE27" s="31">
        <f t="shared" si="19"/>
        <v>352.5</v>
      </c>
      <c r="AF27" s="31">
        <f t="shared" si="19"/>
        <v>575</v>
      </c>
    </row>
    <row r="28" spans="2:32" ht="23.1" customHeight="1" x14ac:dyDescent="0.25">
      <c r="B28" s="23" t="s">
        <v>55</v>
      </c>
      <c r="C28" s="49">
        <f>'Avg Week Kampala-Wakiso'!C28+'Avg Week Wakiso-Kampala'!C28</f>
        <v>96.142857142857139</v>
      </c>
      <c r="D28" s="49">
        <f>'Avg Week Kampala-Wakiso'!D28+'Avg Week Wakiso-Kampala'!D28</f>
        <v>61.571428571428569</v>
      </c>
      <c r="E28" s="49">
        <f>'Avg Week Kampala-Wakiso'!E28+'Avg Week Wakiso-Kampala'!E28</f>
        <v>17.714285714285715</v>
      </c>
      <c r="F28" s="49">
        <f>'Avg Week Kampala-Wakiso'!F28+'Avg Week Wakiso-Kampala'!F28</f>
        <v>103</v>
      </c>
      <c r="G28" s="49">
        <f>'Avg Week Kampala-Wakiso'!G28+'Avg Week Wakiso-Kampala'!G28</f>
        <v>0.2857142857142857</v>
      </c>
      <c r="H28" s="49">
        <f>'Avg Week Kampala-Wakiso'!H28+'Avg Week Wakiso-Kampala'!H28</f>
        <v>0.8571428571428571</v>
      </c>
      <c r="I28" s="49">
        <f>'Avg Week Kampala-Wakiso'!I28+'Avg Week Wakiso-Kampala'!I28</f>
        <v>17</v>
      </c>
      <c r="J28" s="49">
        <f>'Avg Week Kampala-Wakiso'!J28+'Avg Week Wakiso-Kampala'!J28</f>
        <v>8.4285714285714288</v>
      </c>
      <c r="K28" s="49">
        <f>'Avg Week Kampala-Wakiso'!K28+'Avg Week Wakiso-Kampala'!K28</f>
        <v>2.5714285714285712</v>
      </c>
      <c r="L28" s="49">
        <f>'Avg Week Kampala-Wakiso'!L28+'Avg Week Wakiso-Kampala'!L28</f>
        <v>1</v>
      </c>
      <c r="M28" s="49">
        <f>'Avg Week Kampala-Wakiso'!M28+'Avg Week Wakiso-Kampala'!M28</f>
        <v>183.71428571428572</v>
      </c>
      <c r="N28" s="49">
        <f>'Avg Week Kampala-Wakiso'!N28+'Avg Week Wakiso-Kampala'!N28</f>
        <v>0</v>
      </c>
      <c r="O28" s="15">
        <f t="shared" si="0"/>
        <v>308.57142857142856</v>
      </c>
      <c r="P28" s="15">
        <f t="shared" si="1"/>
        <v>492.28571428571428</v>
      </c>
      <c r="R28" s="1" t="s">
        <v>152</v>
      </c>
      <c r="S28" s="34">
        <f>SUM(C82:C85)</f>
        <v>116</v>
      </c>
      <c r="T28" s="34">
        <f t="shared" ref="T28:AF28" si="20">SUM(D82:D85)</f>
        <v>67</v>
      </c>
      <c r="U28" s="34">
        <f t="shared" si="20"/>
        <v>20.5</v>
      </c>
      <c r="V28" s="34">
        <f t="shared" si="20"/>
        <v>60.5</v>
      </c>
      <c r="W28" s="34">
        <f t="shared" si="20"/>
        <v>2</v>
      </c>
      <c r="X28" s="34">
        <f t="shared" si="20"/>
        <v>0.5</v>
      </c>
      <c r="Y28" s="34">
        <f t="shared" si="20"/>
        <v>17</v>
      </c>
      <c r="Z28" s="34">
        <f t="shared" si="20"/>
        <v>7.5</v>
      </c>
      <c r="AA28" s="34">
        <f t="shared" si="20"/>
        <v>5</v>
      </c>
      <c r="AB28" s="34">
        <f t="shared" si="20"/>
        <v>0.5</v>
      </c>
      <c r="AC28" s="34">
        <f t="shared" si="20"/>
        <v>191</v>
      </c>
      <c r="AD28" s="34">
        <f t="shared" si="20"/>
        <v>0</v>
      </c>
      <c r="AE28" s="31">
        <f t="shared" si="20"/>
        <v>296.5</v>
      </c>
      <c r="AF28" s="31">
        <f t="shared" si="20"/>
        <v>487.5</v>
      </c>
    </row>
    <row r="29" spans="2:32" ht="23.1" customHeight="1" x14ac:dyDescent="0.25">
      <c r="B29" s="23" t="s">
        <v>56</v>
      </c>
      <c r="C29" s="49">
        <f>'Avg Week Kampala-Wakiso'!C29+'Avg Week Wakiso-Kampala'!C29</f>
        <v>90.428571428571416</v>
      </c>
      <c r="D29" s="49">
        <f>'Avg Week Kampala-Wakiso'!D29+'Avg Week Wakiso-Kampala'!D29</f>
        <v>53.714285714285708</v>
      </c>
      <c r="E29" s="49">
        <f>'Avg Week Kampala-Wakiso'!E29+'Avg Week Wakiso-Kampala'!E29</f>
        <v>16.428571428571431</v>
      </c>
      <c r="F29" s="49">
        <f>'Avg Week Kampala-Wakiso'!F29+'Avg Week Wakiso-Kampala'!F29</f>
        <v>88.714285714285722</v>
      </c>
      <c r="G29" s="49">
        <f>'Avg Week Kampala-Wakiso'!G29+'Avg Week Wakiso-Kampala'!G29</f>
        <v>0.42857142857142855</v>
      </c>
      <c r="H29" s="49">
        <f>'Avg Week Kampala-Wakiso'!H29+'Avg Week Wakiso-Kampala'!H29</f>
        <v>0.14285714285714285</v>
      </c>
      <c r="I29" s="49">
        <f>'Avg Week Kampala-Wakiso'!I29+'Avg Week Wakiso-Kampala'!I29</f>
        <v>16.428571428571427</v>
      </c>
      <c r="J29" s="49">
        <f>'Avg Week Kampala-Wakiso'!J29+'Avg Week Wakiso-Kampala'!J29</f>
        <v>8.8571428571428577</v>
      </c>
      <c r="K29" s="49">
        <f>'Avg Week Kampala-Wakiso'!K29+'Avg Week Wakiso-Kampala'!K29</f>
        <v>2.5714285714285712</v>
      </c>
      <c r="L29" s="49">
        <f>'Avg Week Kampala-Wakiso'!L29+'Avg Week Wakiso-Kampala'!L29</f>
        <v>14</v>
      </c>
      <c r="M29" s="49">
        <f>'Avg Week Kampala-Wakiso'!M29+'Avg Week Wakiso-Kampala'!M29</f>
        <v>163.85714285714283</v>
      </c>
      <c r="N29" s="49">
        <f>'Avg Week Kampala-Wakiso'!N29+'Avg Week Wakiso-Kampala'!N29</f>
        <v>0</v>
      </c>
      <c r="O29" s="15">
        <f t="shared" si="0"/>
        <v>291.71428571428567</v>
      </c>
      <c r="P29" s="15">
        <f t="shared" si="1"/>
        <v>455.5714285714285</v>
      </c>
      <c r="R29" s="1" t="s">
        <v>153</v>
      </c>
      <c r="S29" s="34">
        <f>SUM(C86:C89)</f>
        <v>93</v>
      </c>
      <c r="T29" s="34">
        <f t="shared" ref="T29:AF29" si="21">SUM(D86:D89)</f>
        <v>51</v>
      </c>
      <c r="U29" s="34">
        <f t="shared" si="21"/>
        <v>12</v>
      </c>
      <c r="V29" s="34">
        <f t="shared" si="21"/>
        <v>49</v>
      </c>
      <c r="W29" s="34">
        <f t="shared" si="21"/>
        <v>1</v>
      </c>
      <c r="X29" s="34">
        <f t="shared" si="21"/>
        <v>0</v>
      </c>
      <c r="Y29" s="34">
        <f t="shared" si="21"/>
        <v>36.5</v>
      </c>
      <c r="Z29" s="34">
        <f t="shared" si="21"/>
        <v>9.5</v>
      </c>
      <c r="AA29" s="34">
        <f t="shared" si="21"/>
        <v>2</v>
      </c>
      <c r="AB29" s="34">
        <f t="shared" si="21"/>
        <v>6.5</v>
      </c>
      <c r="AC29" s="34">
        <f t="shared" si="21"/>
        <v>208.5</v>
      </c>
      <c r="AD29" s="34">
        <f t="shared" si="21"/>
        <v>0</v>
      </c>
      <c r="AE29" s="31">
        <f t="shared" si="21"/>
        <v>260.5</v>
      </c>
      <c r="AF29" s="31">
        <f t="shared" si="21"/>
        <v>469</v>
      </c>
    </row>
    <row r="30" spans="2:32" ht="23.1" customHeight="1" x14ac:dyDescent="0.25">
      <c r="B30" s="23" t="s">
        <v>57</v>
      </c>
      <c r="C30" s="49">
        <f>'Avg Week Kampala-Wakiso'!C30+'Avg Week Wakiso-Kampala'!C30</f>
        <v>81.142857142857139</v>
      </c>
      <c r="D30" s="49">
        <f>'Avg Week Kampala-Wakiso'!D30+'Avg Week Wakiso-Kampala'!D30</f>
        <v>50.571428571428569</v>
      </c>
      <c r="E30" s="49">
        <f>'Avg Week Kampala-Wakiso'!E30+'Avg Week Wakiso-Kampala'!E30</f>
        <v>19</v>
      </c>
      <c r="F30" s="49">
        <f>'Avg Week Kampala-Wakiso'!F30+'Avg Week Wakiso-Kampala'!F30</f>
        <v>93.714285714285722</v>
      </c>
      <c r="G30" s="49">
        <f>'Avg Week Kampala-Wakiso'!G30+'Avg Week Wakiso-Kampala'!G30</f>
        <v>0.5714285714285714</v>
      </c>
      <c r="H30" s="49">
        <f>'Avg Week Kampala-Wakiso'!H30+'Avg Week Wakiso-Kampala'!H30</f>
        <v>0.71428571428571419</v>
      </c>
      <c r="I30" s="49">
        <f>'Avg Week Kampala-Wakiso'!I30+'Avg Week Wakiso-Kampala'!I30</f>
        <v>24.428571428571431</v>
      </c>
      <c r="J30" s="49">
        <f>'Avg Week Kampala-Wakiso'!J30+'Avg Week Wakiso-Kampala'!J30</f>
        <v>3.5714285714285712</v>
      </c>
      <c r="K30" s="49">
        <f>'Avg Week Kampala-Wakiso'!K30+'Avg Week Wakiso-Kampala'!K30</f>
        <v>1</v>
      </c>
      <c r="L30" s="49">
        <f>'Avg Week Kampala-Wakiso'!L30+'Avg Week Wakiso-Kampala'!L30</f>
        <v>2.1428571428571428</v>
      </c>
      <c r="M30" s="49">
        <f>'Avg Week Kampala-Wakiso'!M30+'Avg Week Wakiso-Kampala'!M30</f>
        <v>180.14285714285714</v>
      </c>
      <c r="N30" s="49">
        <f>'Avg Week Kampala-Wakiso'!N30+'Avg Week Wakiso-Kampala'!N30</f>
        <v>0</v>
      </c>
      <c r="O30" s="15">
        <f t="shared" si="0"/>
        <v>276.85714285714289</v>
      </c>
      <c r="P30" s="15">
        <f t="shared" si="1"/>
        <v>457</v>
      </c>
      <c r="R30" s="1" t="s">
        <v>154</v>
      </c>
      <c r="S30" s="34">
        <f>SUM(C90:C93)</f>
        <v>78</v>
      </c>
      <c r="T30" s="34">
        <f t="shared" ref="T30:AF30" si="22">SUM(D90:D93)</f>
        <v>50.5</v>
      </c>
      <c r="U30" s="34">
        <f t="shared" si="22"/>
        <v>18</v>
      </c>
      <c r="V30" s="34">
        <f t="shared" si="22"/>
        <v>35</v>
      </c>
      <c r="W30" s="34">
        <f t="shared" si="22"/>
        <v>0.5</v>
      </c>
      <c r="X30" s="34">
        <f t="shared" si="22"/>
        <v>0</v>
      </c>
      <c r="Y30" s="34">
        <f t="shared" si="22"/>
        <v>19</v>
      </c>
      <c r="Z30" s="34">
        <f t="shared" si="22"/>
        <v>18</v>
      </c>
      <c r="AA30" s="34">
        <f t="shared" si="22"/>
        <v>8</v>
      </c>
      <c r="AB30" s="34">
        <f t="shared" si="22"/>
        <v>3</v>
      </c>
      <c r="AC30" s="34">
        <f t="shared" si="22"/>
        <v>102</v>
      </c>
      <c r="AD30" s="34">
        <f t="shared" si="22"/>
        <v>0</v>
      </c>
      <c r="AE30" s="31">
        <f t="shared" si="22"/>
        <v>230</v>
      </c>
      <c r="AF30" s="31">
        <f t="shared" si="22"/>
        <v>332</v>
      </c>
    </row>
    <row r="31" spans="2:32" ht="23.1" customHeight="1" x14ac:dyDescent="0.25">
      <c r="B31" s="24" t="s">
        <v>58</v>
      </c>
      <c r="C31" s="49">
        <f>'Avg Week Kampala-Wakiso'!C31+'Avg Week Wakiso-Kampala'!C31</f>
        <v>85.857142857142861</v>
      </c>
      <c r="D31" s="49">
        <f>'Avg Week Kampala-Wakiso'!D31+'Avg Week Wakiso-Kampala'!D31</f>
        <v>54.285714285714292</v>
      </c>
      <c r="E31" s="49">
        <f>'Avg Week Kampala-Wakiso'!E31+'Avg Week Wakiso-Kampala'!E31</f>
        <v>13.285714285714285</v>
      </c>
      <c r="F31" s="49">
        <f>'Avg Week Kampala-Wakiso'!F31+'Avg Week Wakiso-Kampala'!F31</f>
        <v>84.714285714285722</v>
      </c>
      <c r="G31" s="49">
        <f>'Avg Week Kampala-Wakiso'!G31+'Avg Week Wakiso-Kampala'!G31</f>
        <v>0.7142857142857143</v>
      </c>
      <c r="H31" s="49">
        <f>'Avg Week Kampala-Wakiso'!H31+'Avg Week Wakiso-Kampala'!H31</f>
        <v>0.42857142857142855</v>
      </c>
      <c r="I31" s="49">
        <f>'Avg Week Kampala-Wakiso'!I31+'Avg Week Wakiso-Kampala'!I31</f>
        <v>22.714285714285715</v>
      </c>
      <c r="J31" s="49">
        <f>'Avg Week Kampala-Wakiso'!J31+'Avg Week Wakiso-Kampala'!J31</f>
        <v>4.4285714285714288</v>
      </c>
      <c r="K31" s="49">
        <f>'Avg Week Kampala-Wakiso'!K31+'Avg Week Wakiso-Kampala'!K31</f>
        <v>1</v>
      </c>
      <c r="L31" s="49">
        <f>'Avg Week Kampala-Wakiso'!L31+'Avg Week Wakiso-Kampala'!L31</f>
        <v>2.5714285714285712</v>
      </c>
      <c r="M31" s="49">
        <f>'Avg Week Kampala-Wakiso'!M31+'Avg Week Wakiso-Kampala'!M31</f>
        <v>159.71428571428572</v>
      </c>
      <c r="N31" s="49">
        <f>'Avg Week Kampala-Wakiso'!N31+'Avg Week Wakiso-Kampala'!N31</f>
        <v>0</v>
      </c>
      <c r="O31" s="15">
        <f t="shared" si="0"/>
        <v>270</v>
      </c>
      <c r="P31" s="15">
        <f t="shared" si="1"/>
        <v>429.71428571428572</v>
      </c>
      <c r="R31" s="1" t="s">
        <v>155</v>
      </c>
      <c r="S31" s="34">
        <f>SUM(C94:C97)</f>
        <v>74</v>
      </c>
      <c r="T31" s="34">
        <f t="shared" ref="T31:AF31" si="23">SUM(D94:D97)</f>
        <v>37.5</v>
      </c>
      <c r="U31" s="34">
        <f t="shared" si="23"/>
        <v>9.5</v>
      </c>
      <c r="V31" s="34">
        <f t="shared" si="23"/>
        <v>59</v>
      </c>
      <c r="W31" s="34">
        <f t="shared" si="23"/>
        <v>1.5</v>
      </c>
      <c r="X31" s="34">
        <f t="shared" si="23"/>
        <v>0</v>
      </c>
      <c r="Y31" s="34">
        <f t="shared" si="23"/>
        <v>27</v>
      </c>
      <c r="Z31" s="34">
        <f t="shared" si="23"/>
        <v>15</v>
      </c>
      <c r="AA31" s="34">
        <f t="shared" si="23"/>
        <v>7</v>
      </c>
      <c r="AB31" s="34">
        <f t="shared" si="23"/>
        <v>3</v>
      </c>
      <c r="AC31" s="34">
        <f t="shared" si="23"/>
        <v>180.5</v>
      </c>
      <c r="AD31" s="34">
        <f t="shared" si="23"/>
        <v>0</v>
      </c>
      <c r="AE31" s="31">
        <f t="shared" si="23"/>
        <v>233.5</v>
      </c>
      <c r="AF31" s="31">
        <f t="shared" si="23"/>
        <v>414</v>
      </c>
    </row>
    <row r="32" spans="2:32" ht="23.1" customHeight="1" x14ac:dyDescent="0.25">
      <c r="B32" s="24" t="s">
        <v>59</v>
      </c>
      <c r="C32" s="49">
        <f>'Avg Week Kampala-Wakiso'!C32+'Avg Week Wakiso-Kampala'!C32</f>
        <v>90.714285714285722</v>
      </c>
      <c r="D32" s="49">
        <f>'Avg Week Kampala-Wakiso'!D32+'Avg Week Wakiso-Kampala'!D32</f>
        <v>62.857142857142854</v>
      </c>
      <c r="E32" s="49">
        <f>'Avg Week Kampala-Wakiso'!E32+'Avg Week Wakiso-Kampala'!E32</f>
        <v>17.285714285714285</v>
      </c>
      <c r="F32" s="49">
        <f>'Avg Week Kampala-Wakiso'!F32+'Avg Week Wakiso-Kampala'!F32</f>
        <v>95.571428571428584</v>
      </c>
      <c r="G32" s="49">
        <f>'Avg Week Kampala-Wakiso'!G32+'Avg Week Wakiso-Kampala'!G32</f>
        <v>0</v>
      </c>
      <c r="H32" s="49">
        <f>'Avg Week Kampala-Wakiso'!H32+'Avg Week Wakiso-Kampala'!H32</f>
        <v>0.42857142857142855</v>
      </c>
      <c r="I32" s="49">
        <f>'Avg Week Kampala-Wakiso'!I32+'Avg Week Wakiso-Kampala'!I32</f>
        <v>17</v>
      </c>
      <c r="J32" s="49">
        <f>'Avg Week Kampala-Wakiso'!J32+'Avg Week Wakiso-Kampala'!J32</f>
        <v>2.7142857142857144</v>
      </c>
      <c r="K32" s="49">
        <f>'Avg Week Kampala-Wakiso'!K32+'Avg Week Wakiso-Kampala'!K32</f>
        <v>1</v>
      </c>
      <c r="L32" s="49">
        <f>'Avg Week Kampala-Wakiso'!L32+'Avg Week Wakiso-Kampala'!L32</f>
        <v>1.8571428571428572</v>
      </c>
      <c r="M32" s="49">
        <f>'Avg Week Kampala-Wakiso'!M32+'Avg Week Wakiso-Kampala'!M32</f>
        <v>178.14285714285717</v>
      </c>
      <c r="N32" s="49">
        <f>'Avg Week Kampala-Wakiso'!N32+'Avg Week Wakiso-Kampala'!N32</f>
        <v>0</v>
      </c>
      <c r="O32" s="15">
        <f t="shared" si="0"/>
        <v>289.42857142857144</v>
      </c>
      <c r="P32" s="15">
        <f t="shared" si="1"/>
        <v>467.57142857142861</v>
      </c>
      <c r="R32" s="1" t="s">
        <v>156</v>
      </c>
      <c r="S32" s="34">
        <f>SUM(C98:C101)</f>
        <v>83.5</v>
      </c>
      <c r="T32" s="34">
        <f t="shared" ref="T32:AF32" si="24">SUM(D98:D101)</f>
        <v>33.5</v>
      </c>
      <c r="U32" s="34">
        <f t="shared" si="24"/>
        <v>12</v>
      </c>
      <c r="V32" s="34">
        <f t="shared" si="24"/>
        <v>150.5</v>
      </c>
      <c r="W32" s="34">
        <f t="shared" si="24"/>
        <v>4</v>
      </c>
      <c r="X32" s="34">
        <f t="shared" si="24"/>
        <v>2</v>
      </c>
      <c r="Y32" s="34">
        <f t="shared" si="24"/>
        <v>43.5</v>
      </c>
      <c r="Z32" s="34">
        <f t="shared" si="24"/>
        <v>7.5</v>
      </c>
      <c r="AA32" s="34">
        <f t="shared" si="24"/>
        <v>19.5</v>
      </c>
      <c r="AB32" s="34">
        <f t="shared" si="24"/>
        <v>4.5</v>
      </c>
      <c r="AC32" s="34">
        <f t="shared" si="24"/>
        <v>199</v>
      </c>
      <c r="AD32" s="34">
        <f t="shared" si="24"/>
        <v>0</v>
      </c>
      <c r="AE32" s="31">
        <f t="shared" si="24"/>
        <v>360.5</v>
      </c>
      <c r="AF32" s="31">
        <f t="shared" si="24"/>
        <v>559.5</v>
      </c>
    </row>
    <row r="33" spans="2:32" ht="23.1" customHeight="1" x14ac:dyDescent="0.25">
      <c r="B33" s="23" t="s">
        <v>60</v>
      </c>
      <c r="C33" s="49">
        <f>'Avg Week Kampala-Wakiso'!C33+'Avg Week Wakiso-Kampala'!C33</f>
        <v>82</v>
      </c>
      <c r="D33" s="49">
        <f>'Avg Week Kampala-Wakiso'!D33+'Avg Week Wakiso-Kampala'!D33</f>
        <v>47.428571428571431</v>
      </c>
      <c r="E33" s="49">
        <f>'Avg Week Kampala-Wakiso'!E33+'Avg Week Wakiso-Kampala'!E33</f>
        <v>9.7142857142857153</v>
      </c>
      <c r="F33" s="49">
        <f>'Avg Week Kampala-Wakiso'!F33+'Avg Week Wakiso-Kampala'!F33</f>
        <v>84.857142857142861</v>
      </c>
      <c r="G33" s="49">
        <f>'Avg Week Kampala-Wakiso'!G33+'Avg Week Wakiso-Kampala'!G33</f>
        <v>0.42857142857142855</v>
      </c>
      <c r="H33" s="49">
        <f>'Avg Week Kampala-Wakiso'!H33+'Avg Week Wakiso-Kampala'!H33</f>
        <v>0</v>
      </c>
      <c r="I33" s="49">
        <f>'Avg Week Kampala-Wakiso'!I33+'Avg Week Wakiso-Kampala'!I33</f>
        <v>22.285714285714285</v>
      </c>
      <c r="J33" s="49">
        <f>'Avg Week Kampala-Wakiso'!J33+'Avg Week Wakiso-Kampala'!J33</f>
        <v>3.5714285714285716</v>
      </c>
      <c r="K33" s="49">
        <f>'Avg Week Kampala-Wakiso'!K33+'Avg Week Wakiso-Kampala'!K33</f>
        <v>1.2857142857142856</v>
      </c>
      <c r="L33" s="49">
        <f>'Avg Week Kampala-Wakiso'!L33+'Avg Week Wakiso-Kampala'!L33</f>
        <v>2</v>
      </c>
      <c r="M33" s="49">
        <f>'Avg Week Kampala-Wakiso'!M33+'Avg Week Wakiso-Kampala'!M33</f>
        <v>146.71428571428572</v>
      </c>
      <c r="N33" s="49">
        <f>'Avg Week Kampala-Wakiso'!N33+'Avg Week Wakiso-Kampala'!N33</f>
        <v>0</v>
      </c>
      <c r="O33" s="15">
        <f t="shared" si="0"/>
        <v>253.57142857142858</v>
      </c>
      <c r="P33" s="15">
        <f t="shared" si="1"/>
        <v>400.28571428571433</v>
      </c>
      <c r="R33" s="1" t="s">
        <v>157</v>
      </c>
      <c r="S33" s="34">
        <f>SUM(C102:C105)</f>
        <v>151.5</v>
      </c>
      <c r="T33" s="34">
        <f t="shared" ref="T33:AF33" si="25">SUM(D102:D105)</f>
        <v>70.5</v>
      </c>
      <c r="U33" s="34">
        <f t="shared" si="25"/>
        <v>31</v>
      </c>
      <c r="V33" s="34">
        <f t="shared" si="25"/>
        <v>303.5</v>
      </c>
      <c r="W33" s="34">
        <f t="shared" si="25"/>
        <v>3.5</v>
      </c>
      <c r="X33" s="34">
        <f t="shared" si="25"/>
        <v>6</v>
      </c>
      <c r="Y33" s="34">
        <f t="shared" si="25"/>
        <v>35</v>
      </c>
      <c r="Z33" s="34">
        <f t="shared" si="25"/>
        <v>7</v>
      </c>
      <c r="AA33" s="34">
        <f t="shared" si="25"/>
        <v>2.5</v>
      </c>
      <c r="AB33" s="34">
        <f t="shared" si="25"/>
        <v>2</v>
      </c>
      <c r="AC33" s="34">
        <f t="shared" si="25"/>
        <v>318</v>
      </c>
      <c r="AD33" s="34">
        <f t="shared" si="25"/>
        <v>0</v>
      </c>
      <c r="AE33" s="31">
        <f t="shared" si="25"/>
        <v>612.5</v>
      </c>
      <c r="AF33" s="31">
        <f t="shared" si="25"/>
        <v>930.5</v>
      </c>
    </row>
    <row r="34" spans="2:32" ht="23.1" customHeight="1" x14ac:dyDescent="0.25">
      <c r="B34" s="24" t="s">
        <v>61</v>
      </c>
      <c r="C34" s="49">
        <f>'Avg Week Kampala-Wakiso'!C34+'Avg Week Wakiso-Kampala'!C34</f>
        <v>98.285714285714278</v>
      </c>
      <c r="D34" s="49">
        <f>'Avg Week Kampala-Wakiso'!D34+'Avg Week Wakiso-Kampala'!D34</f>
        <v>54.142857142857139</v>
      </c>
      <c r="E34" s="49">
        <f>'Avg Week Kampala-Wakiso'!E34+'Avg Week Wakiso-Kampala'!E34</f>
        <v>13.571428571428573</v>
      </c>
      <c r="F34" s="49">
        <f>'Avg Week Kampala-Wakiso'!F34+'Avg Week Wakiso-Kampala'!F34</f>
        <v>110</v>
      </c>
      <c r="G34" s="49">
        <f>'Avg Week Kampala-Wakiso'!G34+'Avg Week Wakiso-Kampala'!G34</f>
        <v>1</v>
      </c>
      <c r="H34" s="49">
        <f>'Avg Week Kampala-Wakiso'!H34+'Avg Week Wakiso-Kampala'!H34</f>
        <v>1.5714285714285714</v>
      </c>
      <c r="I34" s="49">
        <f>'Avg Week Kampala-Wakiso'!I34+'Avg Week Wakiso-Kampala'!I34</f>
        <v>26</v>
      </c>
      <c r="J34" s="49">
        <f>'Avg Week Kampala-Wakiso'!J34+'Avg Week Wakiso-Kampala'!J34</f>
        <v>4.7142857142857144</v>
      </c>
      <c r="K34" s="49">
        <f>'Avg Week Kampala-Wakiso'!K34+'Avg Week Wakiso-Kampala'!K34</f>
        <v>2.1428571428571428</v>
      </c>
      <c r="L34" s="49">
        <f>'Avg Week Kampala-Wakiso'!L34+'Avg Week Wakiso-Kampala'!L34</f>
        <v>0.8571428571428571</v>
      </c>
      <c r="M34" s="49">
        <f>'Avg Week Kampala-Wakiso'!M34+'Avg Week Wakiso-Kampala'!M34</f>
        <v>196.28571428571428</v>
      </c>
      <c r="N34" s="49">
        <f>'Avg Week Kampala-Wakiso'!N34+'Avg Week Wakiso-Kampala'!N34</f>
        <v>0</v>
      </c>
      <c r="O34" s="15">
        <f t="shared" si="0"/>
        <v>312.28571428571428</v>
      </c>
      <c r="P34" s="15">
        <f t="shared" si="1"/>
        <v>508.57142857142856</v>
      </c>
      <c r="R34" s="52" t="s">
        <v>90</v>
      </c>
      <c r="S34" s="53">
        <f t="shared" ref="S34:AF34" si="26">MAX(S10:S12)</f>
        <v>464.42857142857144</v>
      </c>
      <c r="T34" s="53">
        <f t="shared" si="26"/>
        <v>291.28571428571428</v>
      </c>
      <c r="U34" s="53">
        <f t="shared" si="26"/>
        <v>96.285714285714278</v>
      </c>
      <c r="V34" s="53">
        <f t="shared" si="26"/>
        <v>589.57142857142856</v>
      </c>
      <c r="W34" s="53">
        <f t="shared" si="26"/>
        <v>34</v>
      </c>
      <c r="X34" s="53">
        <f t="shared" si="26"/>
        <v>5</v>
      </c>
      <c r="Y34" s="53">
        <f t="shared" si="26"/>
        <v>82.142857142857139</v>
      </c>
      <c r="Z34" s="53">
        <f t="shared" si="26"/>
        <v>19.714285714285715</v>
      </c>
      <c r="AA34" s="53">
        <f t="shared" si="26"/>
        <v>7.8571428571428568</v>
      </c>
      <c r="AB34" s="53">
        <f t="shared" si="26"/>
        <v>4.5714285714285712</v>
      </c>
      <c r="AC34" s="53">
        <f t="shared" si="26"/>
        <v>1018</v>
      </c>
      <c r="AD34" s="53">
        <f t="shared" si="26"/>
        <v>0.2857142857142857</v>
      </c>
      <c r="AE34" s="40">
        <f t="shared" si="26"/>
        <v>1438.7380952380952</v>
      </c>
      <c r="AF34" s="40">
        <f t="shared" si="26"/>
        <v>2393.1428571428569</v>
      </c>
    </row>
    <row r="35" spans="2:32" ht="23.1" customHeight="1" x14ac:dyDescent="0.25">
      <c r="B35" s="24" t="s">
        <v>62</v>
      </c>
      <c r="C35" s="49">
        <f>'Avg Week Kampala-Wakiso'!C35+'Avg Week Wakiso-Kampala'!C35</f>
        <v>83.857142857142861</v>
      </c>
      <c r="D35" s="49">
        <f>'Avg Week Kampala-Wakiso'!D35+'Avg Week Wakiso-Kampala'!D35</f>
        <v>50.142857142857139</v>
      </c>
      <c r="E35" s="49">
        <f>'Avg Week Kampala-Wakiso'!E35+'Avg Week Wakiso-Kampala'!E35</f>
        <v>13.428571428571429</v>
      </c>
      <c r="F35" s="49">
        <f>'Avg Week Kampala-Wakiso'!F35+'Avg Week Wakiso-Kampala'!F35</f>
        <v>90.285714285714278</v>
      </c>
      <c r="G35" s="49">
        <f>'Avg Week Kampala-Wakiso'!G35+'Avg Week Wakiso-Kampala'!G35</f>
        <v>0.5714285714285714</v>
      </c>
      <c r="H35" s="49">
        <f>'Avg Week Kampala-Wakiso'!H35+'Avg Week Wakiso-Kampala'!H35</f>
        <v>2</v>
      </c>
      <c r="I35" s="49">
        <f>'Avg Week Kampala-Wakiso'!I35+'Avg Week Wakiso-Kampala'!I35</f>
        <v>18.285714285714285</v>
      </c>
      <c r="J35" s="49">
        <f>'Avg Week Kampala-Wakiso'!J35+'Avg Week Wakiso-Kampala'!J35</f>
        <v>4.1428571428571423</v>
      </c>
      <c r="K35" s="49">
        <f>'Avg Week Kampala-Wakiso'!K35+'Avg Week Wakiso-Kampala'!K35</f>
        <v>0.5714285714285714</v>
      </c>
      <c r="L35" s="49">
        <f>'Avg Week Kampala-Wakiso'!L35+'Avg Week Wakiso-Kampala'!L35</f>
        <v>1.4285714285714284</v>
      </c>
      <c r="M35" s="49">
        <f>'Avg Week Kampala-Wakiso'!M35+'Avg Week Wakiso-Kampala'!M35</f>
        <v>163.28571428571428</v>
      </c>
      <c r="N35" s="49">
        <f>'Avg Week Kampala-Wakiso'!N35+'Avg Week Wakiso-Kampala'!N35</f>
        <v>0</v>
      </c>
      <c r="O35" s="15">
        <f t="shared" si="0"/>
        <v>264.71428571428572</v>
      </c>
      <c r="P35" s="15">
        <f t="shared" si="1"/>
        <v>428</v>
      </c>
      <c r="R35" s="52" t="s">
        <v>91</v>
      </c>
      <c r="S35" s="53">
        <f t="shared" ref="S35:AF35" si="27">MAX(S13:S18)</f>
        <v>436.28571428571433</v>
      </c>
      <c r="T35" s="53">
        <f t="shared" si="27"/>
        <v>291.71428571428572</v>
      </c>
      <c r="U35" s="53">
        <f t="shared" si="27"/>
        <v>76.714285714285722</v>
      </c>
      <c r="V35" s="53">
        <f t="shared" si="27"/>
        <v>457.28571428571422</v>
      </c>
      <c r="W35" s="53">
        <f t="shared" si="27"/>
        <v>7.8571428571428568</v>
      </c>
      <c r="X35" s="53">
        <f t="shared" si="27"/>
        <v>8.4285714285714288</v>
      </c>
      <c r="Y35" s="53">
        <f t="shared" si="27"/>
        <v>90.857142857142861</v>
      </c>
      <c r="Z35" s="53">
        <f t="shared" si="27"/>
        <v>28</v>
      </c>
      <c r="AA35" s="53">
        <f t="shared" si="27"/>
        <v>9.2857142857142847</v>
      </c>
      <c r="AB35" s="53">
        <f t="shared" si="27"/>
        <v>19.428571428571431</v>
      </c>
      <c r="AC35" s="53">
        <f t="shared" si="27"/>
        <v>818.57142857142867</v>
      </c>
      <c r="AD35" s="53">
        <f t="shared" si="27"/>
        <v>0.14285714285714285</v>
      </c>
      <c r="AE35" s="40">
        <f t="shared" si="27"/>
        <v>1396.0000000000002</v>
      </c>
      <c r="AF35" s="40">
        <f t="shared" si="27"/>
        <v>2214.5714285714289</v>
      </c>
    </row>
    <row r="36" spans="2:32" ht="23.1" customHeight="1" x14ac:dyDescent="0.25">
      <c r="B36" s="24" t="s">
        <v>63</v>
      </c>
      <c r="C36" s="49">
        <f>'Avg Week Kampala-Wakiso'!C36+'Avg Week Wakiso-Kampala'!C36</f>
        <v>91.142857142857139</v>
      </c>
      <c r="D36" s="49">
        <f>'Avg Week Kampala-Wakiso'!D36+'Avg Week Wakiso-Kampala'!D36</f>
        <v>50.142857142857146</v>
      </c>
      <c r="E36" s="49">
        <f>'Avg Week Kampala-Wakiso'!E36+'Avg Week Wakiso-Kampala'!E36</f>
        <v>14.285714285714285</v>
      </c>
      <c r="F36" s="49">
        <f>'Avg Week Kampala-Wakiso'!F36+'Avg Week Wakiso-Kampala'!F36</f>
        <v>95.857142857142861</v>
      </c>
      <c r="G36" s="49">
        <f>'Avg Week Kampala-Wakiso'!G36+'Avg Week Wakiso-Kampala'!G36</f>
        <v>1.2857142857142856</v>
      </c>
      <c r="H36" s="49">
        <f>'Avg Week Kampala-Wakiso'!H36+'Avg Week Wakiso-Kampala'!H36</f>
        <v>1.4285714285714286</v>
      </c>
      <c r="I36" s="49">
        <f>'Avg Week Kampala-Wakiso'!I36+'Avg Week Wakiso-Kampala'!I36</f>
        <v>18</v>
      </c>
      <c r="J36" s="49">
        <f>'Avg Week Kampala-Wakiso'!J36+'Avg Week Wakiso-Kampala'!J36</f>
        <v>3.8571428571428572</v>
      </c>
      <c r="K36" s="49">
        <f>'Avg Week Kampala-Wakiso'!K36+'Avg Week Wakiso-Kampala'!K36</f>
        <v>2.5714285714285712</v>
      </c>
      <c r="L36" s="49">
        <f>'Avg Week Kampala-Wakiso'!L36+'Avg Week Wakiso-Kampala'!L36</f>
        <v>2</v>
      </c>
      <c r="M36" s="49">
        <f>'Avg Week Kampala-Wakiso'!M36+'Avg Week Wakiso-Kampala'!M36</f>
        <v>173</v>
      </c>
      <c r="N36" s="49">
        <f>'Avg Week Kampala-Wakiso'!N36+'Avg Week Wakiso-Kampala'!N36</f>
        <v>0</v>
      </c>
      <c r="O36" s="15">
        <f t="shared" si="0"/>
        <v>280.5714285714285</v>
      </c>
      <c r="P36" s="15">
        <f t="shared" si="1"/>
        <v>453.5714285714285</v>
      </c>
      <c r="R36" s="52" t="s">
        <v>92</v>
      </c>
      <c r="S36" s="53">
        <f t="shared" ref="S36:AF36" si="28">MAX(S19:S21)</f>
        <v>445.71428571428567</v>
      </c>
      <c r="T36" s="53">
        <f t="shared" si="28"/>
        <v>316.14285714285711</v>
      </c>
      <c r="U36" s="53">
        <f t="shared" si="28"/>
        <v>97.142857142857139</v>
      </c>
      <c r="V36" s="53">
        <f t="shared" si="28"/>
        <v>472.42857142857144</v>
      </c>
      <c r="W36" s="53">
        <f t="shared" si="28"/>
        <v>13.857142857142858</v>
      </c>
      <c r="X36" s="53">
        <f t="shared" si="28"/>
        <v>3.714285714285714</v>
      </c>
      <c r="Y36" s="53">
        <f t="shared" si="28"/>
        <v>89</v>
      </c>
      <c r="Z36" s="53">
        <f t="shared" si="28"/>
        <v>29.285714285714285</v>
      </c>
      <c r="AA36" s="53">
        <f t="shared" si="28"/>
        <v>10.285714285714286</v>
      </c>
      <c r="AB36" s="53">
        <f t="shared" si="28"/>
        <v>9.2857142857142865</v>
      </c>
      <c r="AC36" s="53">
        <f t="shared" si="28"/>
        <v>754.71428571428578</v>
      </c>
      <c r="AD36" s="53">
        <f t="shared" si="28"/>
        <v>0.2857142857142857</v>
      </c>
      <c r="AE36" s="40">
        <f t="shared" si="28"/>
        <v>1424.5714285714284</v>
      </c>
      <c r="AF36" s="40">
        <f t="shared" si="28"/>
        <v>2179.2857142857142</v>
      </c>
    </row>
    <row r="37" spans="2:32" ht="23.1" customHeight="1" x14ac:dyDescent="0.25">
      <c r="B37" s="23" t="s">
        <v>64</v>
      </c>
      <c r="C37" s="49">
        <f>'Avg Week Kampala-Wakiso'!C37+'Avg Week Wakiso-Kampala'!C37</f>
        <v>74.857142857142861</v>
      </c>
      <c r="D37" s="49">
        <f>'Avg Week Kampala-Wakiso'!D37+'Avg Week Wakiso-Kampala'!D37</f>
        <v>57.142857142857139</v>
      </c>
      <c r="E37" s="49">
        <f>'Avg Week Kampala-Wakiso'!E37+'Avg Week Wakiso-Kampala'!E37</f>
        <v>10.428571428571429</v>
      </c>
      <c r="F37" s="49">
        <f>'Avg Week Kampala-Wakiso'!F37+'Avg Week Wakiso-Kampala'!F37</f>
        <v>77.142857142857139</v>
      </c>
      <c r="G37" s="49">
        <f>'Avg Week Kampala-Wakiso'!G37+'Avg Week Wakiso-Kampala'!G37</f>
        <v>1.7142857142857142</v>
      </c>
      <c r="H37" s="49">
        <f>'Avg Week Kampala-Wakiso'!H37+'Avg Week Wakiso-Kampala'!H37</f>
        <v>3.4285714285714284</v>
      </c>
      <c r="I37" s="49">
        <f>'Avg Week Kampala-Wakiso'!I37+'Avg Week Wakiso-Kampala'!I37</f>
        <v>18.285714285714285</v>
      </c>
      <c r="J37" s="49">
        <f>'Avg Week Kampala-Wakiso'!J37+'Avg Week Wakiso-Kampala'!J37</f>
        <v>3.4285714285714284</v>
      </c>
      <c r="K37" s="49">
        <f>'Avg Week Kampala-Wakiso'!K37+'Avg Week Wakiso-Kampala'!K37</f>
        <v>1.4285714285714284</v>
      </c>
      <c r="L37" s="49">
        <f>'Avg Week Kampala-Wakiso'!L37+'Avg Week Wakiso-Kampala'!L37</f>
        <v>7.2857142857142856</v>
      </c>
      <c r="M37" s="49">
        <f>'Avg Week Kampala-Wakiso'!M37+'Avg Week Wakiso-Kampala'!M37</f>
        <v>135</v>
      </c>
      <c r="N37" s="49">
        <f>'Avg Week Kampala-Wakiso'!N37+'Avg Week Wakiso-Kampala'!N37</f>
        <v>0</v>
      </c>
      <c r="O37" s="15">
        <f t="shared" si="0"/>
        <v>255.14285714285708</v>
      </c>
      <c r="P37" s="15">
        <f t="shared" si="1"/>
        <v>390.14285714285711</v>
      </c>
      <c r="R37" s="37" t="s">
        <v>85</v>
      </c>
      <c r="S37" s="35">
        <f t="shared" ref="S37:AF37" si="29">SUM(S10:S12)</f>
        <v>1317</v>
      </c>
      <c r="T37" s="16">
        <f t="shared" si="29"/>
        <v>744.57142857142856</v>
      </c>
      <c r="U37" s="16">
        <f t="shared" si="29"/>
        <v>263.85714285714289</v>
      </c>
      <c r="V37" s="16">
        <f t="shared" si="29"/>
        <v>1535.7142857142858</v>
      </c>
      <c r="W37" s="16">
        <f t="shared" si="29"/>
        <v>62.571428571428569</v>
      </c>
      <c r="X37" s="16">
        <f t="shared" si="29"/>
        <v>13.452380952380953</v>
      </c>
      <c r="Y37" s="16">
        <f t="shared" si="29"/>
        <v>229.85714285714286</v>
      </c>
      <c r="Z37" s="16">
        <f t="shared" si="29"/>
        <v>52.142857142857139</v>
      </c>
      <c r="AA37" s="16">
        <f t="shared" si="29"/>
        <v>21.285714285714288</v>
      </c>
      <c r="AB37" s="16">
        <f t="shared" si="29"/>
        <v>11.285714285714285</v>
      </c>
      <c r="AC37" s="16">
        <f t="shared" si="29"/>
        <v>2740.4285714285716</v>
      </c>
      <c r="AD37" s="16">
        <f t="shared" si="29"/>
        <v>0.2857142857142857</v>
      </c>
      <c r="AE37" s="32">
        <f t="shared" si="29"/>
        <v>4252.0238095238101</v>
      </c>
      <c r="AF37" s="32">
        <f t="shared" si="29"/>
        <v>6992.4523809523798</v>
      </c>
    </row>
    <row r="38" spans="2:32" ht="23.1" customHeight="1" x14ac:dyDescent="0.25">
      <c r="B38" s="24" t="s">
        <v>65</v>
      </c>
      <c r="C38" s="49">
        <f>'Avg Week Kampala-Wakiso'!C38+'Avg Week Wakiso-Kampala'!C38</f>
        <v>88</v>
      </c>
      <c r="D38" s="49">
        <f>'Avg Week Kampala-Wakiso'!D38+'Avg Week Wakiso-Kampala'!D38</f>
        <v>61</v>
      </c>
      <c r="E38" s="49">
        <f>'Avg Week Kampala-Wakiso'!E38+'Avg Week Wakiso-Kampala'!E38</f>
        <v>17.428571428571431</v>
      </c>
      <c r="F38" s="49">
        <f>'Avg Week Kampala-Wakiso'!F38+'Avg Week Wakiso-Kampala'!F38</f>
        <v>92.285714285714278</v>
      </c>
      <c r="G38" s="49">
        <f>'Avg Week Kampala-Wakiso'!G38+'Avg Week Wakiso-Kampala'!G38</f>
        <v>1.4285714285714284</v>
      </c>
      <c r="H38" s="49">
        <f>'Avg Week Kampala-Wakiso'!H38+'Avg Week Wakiso-Kampala'!H38</f>
        <v>0.8571428571428571</v>
      </c>
      <c r="I38" s="49">
        <f>'Avg Week Kampala-Wakiso'!I38+'Avg Week Wakiso-Kampala'!I38</f>
        <v>24.714285714285715</v>
      </c>
      <c r="J38" s="49">
        <f>'Avg Week Kampala-Wakiso'!J38+'Avg Week Wakiso-Kampala'!J38</f>
        <v>5.1428571428571432</v>
      </c>
      <c r="K38" s="49">
        <f>'Avg Week Kampala-Wakiso'!K38+'Avg Week Wakiso-Kampala'!K38</f>
        <v>1.1428571428571428</v>
      </c>
      <c r="L38" s="49">
        <f>'Avg Week Kampala-Wakiso'!L38+'Avg Week Wakiso-Kampala'!L38</f>
        <v>3.1428571428571428</v>
      </c>
      <c r="M38" s="49">
        <f>'Avg Week Kampala-Wakiso'!M38+'Avg Week Wakiso-Kampala'!M38</f>
        <v>161.71428571428572</v>
      </c>
      <c r="N38" s="49">
        <f>'Avg Week Kampala-Wakiso'!N38+'Avg Week Wakiso-Kampala'!N38</f>
        <v>0</v>
      </c>
      <c r="O38" s="15">
        <f t="shared" si="0"/>
        <v>295.14285714285722</v>
      </c>
      <c r="P38" s="15">
        <f t="shared" si="1"/>
        <v>456.85714285714295</v>
      </c>
      <c r="R38" s="28" t="s">
        <v>86</v>
      </c>
      <c r="S38" s="16">
        <f t="shared" ref="S38:AF38" si="30">SUM(S13:S18)</f>
        <v>2270.7142857142853</v>
      </c>
      <c r="T38" s="16">
        <f t="shared" si="30"/>
        <v>1464.4285714285716</v>
      </c>
      <c r="U38" s="16">
        <f t="shared" si="30"/>
        <v>390.28571428571428</v>
      </c>
      <c r="V38" s="16">
        <f t="shared" si="30"/>
        <v>2315.4285714285711</v>
      </c>
      <c r="W38" s="16">
        <f t="shared" si="30"/>
        <v>24</v>
      </c>
      <c r="X38" s="16">
        <f t="shared" si="30"/>
        <v>19.142857142857142</v>
      </c>
      <c r="Y38" s="16">
        <f t="shared" si="30"/>
        <v>483.00000000000006</v>
      </c>
      <c r="Z38" s="16">
        <f t="shared" si="30"/>
        <v>125.28571428571428</v>
      </c>
      <c r="AA38" s="16">
        <f t="shared" si="30"/>
        <v>36.857142857142854</v>
      </c>
      <c r="AB38" s="16">
        <f t="shared" si="30"/>
        <v>57.428571428571423</v>
      </c>
      <c r="AC38" s="16">
        <f t="shared" si="30"/>
        <v>4105.1428571428569</v>
      </c>
      <c r="AD38" s="16">
        <f t="shared" si="30"/>
        <v>0.14285714285714285</v>
      </c>
      <c r="AE38" s="32">
        <f t="shared" si="30"/>
        <v>7186.7142857142853</v>
      </c>
      <c r="AF38" s="32">
        <f t="shared" si="30"/>
        <v>11291.857142857143</v>
      </c>
    </row>
    <row r="39" spans="2:32" ht="23.1" customHeight="1" x14ac:dyDescent="0.25">
      <c r="B39" s="24" t="s">
        <v>66</v>
      </c>
      <c r="C39" s="49">
        <f>'Avg Week Kampala-Wakiso'!C39+'Avg Week Wakiso-Kampala'!C39</f>
        <v>64.142857142857139</v>
      </c>
      <c r="D39" s="49">
        <f>'Avg Week Kampala-Wakiso'!D39+'Avg Week Wakiso-Kampala'!D39</f>
        <v>56.285714285714285</v>
      </c>
      <c r="E39" s="49">
        <f>'Avg Week Kampala-Wakiso'!E39+'Avg Week Wakiso-Kampala'!E39</f>
        <v>14.285714285714285</v>
      </c>
      <c r="F39" s="49">
        <f>'Avg Week Kampala-Wakiso'!F39+'Avg Week Wakiso-Kampala'!F39</f>
        <v>80.571428571428569</v>
      </c>
      <c r="G39" s="49">
        <f>'Avg Week Kampala-Wakiso'!G39+'Avg Week Wakiso-Kampala'!G39</f>
        <v>1.2857142857142856</v>
      </c>
      <c r="H39" s="49">
        <f>'Avg Week Kampala-Wakiso'!H39+'Avg Week Wakiso-Kampala'!H39</f>
        <v>1.1428571428571428</v>
      </c>
      <c r="I39" s="49">
        <f>'Avg Week Kampala-Wakiso'!I39+'Avg Week Wakiso-Kampala'!I39</f>
        <v>25.285714285714285</v>
      </c>
      <c r="J39" s="49">
        <f>'Avg Week Kampala-Wakiso'!J39+'Avg Week Wakiso-Kampala'!J39</f>
        <v>3.8571428571428572</v>
      </c>
      <c r="K39" s="49">
        <f>'Avg Week Kampala-Wakiso'!K39+'Avg Week Wakiso-Kampala'!K39</f>
        <v>1.1428571428571428</v>
      </c>
      <c r="L39" s="49">
        <f>'Avg Week Kampala-Wakiso'!L39+'Avg Week Wakiso-Kampala'!L39</f>
        <v>0.7142857142857143</v>
      </c>
      <c r="M39" s="49">
        <f>'Avg Week Kampala-Wakiso'!M39+'Avg Week Wakiso-Kampala'!M39</f>
        <v>150.42857142857142</v>
      </c>
      <c r="N39" s="49">
        <f>'Avg Week Kampala-Wakiso'!N39+'Avg Week Wakiso-Kampala'!N39</f>
        <v>0</v>
      </c>
      <c r="O39" s="15">
        <f t="shared" si="0"/>
        <v>248.71428571428569</v>
      </c>
      <c r="P39" s="15">
        <f t="shared" si="1"/>
        <v>399.14285714285711</v>
      </c>
      <c r="R39" s="29" t="s">
        <v>87</v>
      </c>
      <c r="S39" s="16">
        <f t="shared" ref="S39:AF39" si="31">SUM(S19:S21)</f>
        <v>1243.7142857142858</v>
      </c>
      <c r="T39" s="16">
        <f t="shared" si="31"/>
        <v>905.57142857142856</v>
      </c>
      <c r="U39" s="16">
        <f t="shared" si="31"/>
        <v>226.71428571428572</v>
      </c>
      <c r="V39" s="16">
        <f t="shared" si="31"/>
        <v>1311.4285714285713</v>
      </c>
      <c r="W39" s="16">
        <f t="shared" si="31"/>
        <v>26.857142857142858</v>
      </c>
      <c r="X39" s="16">
        <f t="shared" si="31"/>
        <v>6.7142857142857135</v>
      </c>
      <c r="Y39" s="16">
        <f t="shared" si="31"/>
        <v>230.14285714285714</v>
      </c>
      <c r="Z39" s="16">
        <f t="shared" si="31"/>
        <v>72.428571428571416</v>
      </c>
      <c r="AA39" s="16">
        <f t="shared" si="31"/>
        <v>23.142857142857142</v>
      </c>
      <c r="AB39" s="16">
        <f t="shared" si="31"/>
        <v>24</v>
      </c>
      <c r="AC39" s="16">
        <f t="shared" si="31"/>
        <v>2124</v>
      </c>
      <c r="AD39" s="16">
        <f t="shared" si="31"/>
        <v>0.2857142857142857</v>
      </c>
      <c r="AE39" s="32">
        <f t="shared" si="31"/>
        <v>4070.9999999999995</v>
      </c>
      <c r="AF39" s="32">
        <f t="shared" si="31"/>
        <v>6195</v>
      </c>
    </row>
    <row r="40" spans="2:32" ht="23.1" customHeight="1" x14ac:dyDescent="0.25">
      <c r="B40" s="24" t="s">
        <v>67</v>
      </c>
      <c r="C40" s="49">
        <f>'Avg Week Kampala-Wakiso'!C40+'Avg Week Wakiso-Kampala'!C40</f>
        <v>88.571428571428569</v>
      </c>
      <c r="D40" s="49">
        <f>'Avg Week Kampala-Wakiso'!D40+'Avg Week Wakiso-Kampala'!D40</f>
        <v>61</v>
      </c>
      <c r="E40" s="49">
        <f>'Avg Week Kampala-Wakiso'!E40+'Avg Week Wakiso-Kampala'!E40</f>
        <v>16</v>
      </c>
      <c r="F40" s="49">
        <f>'Avg Week Kampala-Wakiso'!F40+'Avg Week Wakiso-Kampala'!F40</f>
        <v>92.714285714285722</v>
      </c>
      <c r="G40" s="49">
        <f>'Avg Week Kampala-Wakiso'!G40+'Avg Week Wakiso-Kampala'!G40</f>
        <v>0.85714285714285721</v>
      </c>
      <c r="H40" s="49">
        <f>'Avg Week Kampala-Wakiso'!H40+'Avg Week Wakiso-Kampala'!H40</f>
        <v>0.14285714285714285</v>
      </c>
      <c r="I40" s="49">
        <f>'Avg Week Kampala-Wakiso'!I40+'Avg Week Wakiso-Kampala'!I40</f>
        <v>20</v>
      </c>
      <c r="J40" s="49">
        <f>'Avg Week Kampala-Wakiso'!J40+'Avg Week Wakiso-Kampala'!J40</f>
        <v>6.5714285714285712</v>
      </c>
      <c r="K40" s="49">
        <f>'Avg Week Kampala-Wakiso'!K40+'Avg Week Wakiso-Kampala'!K40</f>
        <v>1.2857142857142856</v>
      </c>
      <c r="L40" s="49">
        <f>'Avg Week Kampala-Wakiso'!L40+'Avg Week Wakiso-Kampala'!L40</f>
        <v>1.4285714285714284</v>
      </c>
      <c r="M40" s="49">
        <f>'Avg Week Kampala-Wakiso'!M40+'Avg Week Wakiso-Kampala'!M40</f>
        <v>144.42857142857144</v>
      </c>
      <c r="N40" s="49">
        <f>'Avg Week Kampala-Wakiso'!N40+'Avg Week Wakiso-Kampala'!N40</f>
        <v>0</v>
      </c>
      <c r="O40" s="15">
        <f t="shared" si="0"/>
        <v>288.57142857142856</v>
      </c>
      <c r="P40" s="15">
        <f t="shared" si="1"/>
        <v>433</v>
      </c>
      <c r="R40" s="5" t="s">
        <v>17</v>
      </c>
      <c r="S40" s="16">
        <f t="shared" ref="S40:AF40" si="32">SUM(S10:S21)</f>
        <v>4831.4285714285716</v>
      </c>
      <c r="T40" s="16">
        <f t="shared" si="32"/>
        <v>3114.5714285714284</v>
      </c>
      <c r="U40" s="16">
        <f t="shared" si="32"/>
        <v>880.85714285714289</v>
      </c>
      <c r="V40" s="16">
        <f t="shared" si="32"/>
        <v>5162.5714285714284</v>
      </c>
      <c r="W40" s="16">
        <f t="shared" si="32"/>
        <v>113.42857142857143</v>
      </c>
      <c r="X40" s="16">
        <f t="shared" si="32"/>
        <v>39.30952380952381</v>
      </c>
      <c r="Y40" s="16">
        <f t="shared" si="32"/>
        <v>943</v>
      </c>
      <c r="Z40" s="16">
        <f t="shared" si="32"/>
        <v>249.85714285714286</v>
      </c>
      <c r="AA40" s="16">
        <f t="shared" si="32"/>
        <v>81.285714285714292</v>
      </c>
      <c r="AB40" s="16">
        <f t="shared" si="32"/>
        <v>92.714285714285708</v>
      </c>
      <c r="AC40" s="16">
        <f t="shared" si="32"/>
        <v>8969.5714285714275</v>
      </c>
      <c r="AD40" s="16">
        <f t="shared" si="32"/>
        <v>0.71428571428571419</v>
      </c>
      <c r="AE40" s="32">
        <f t="shared" si="32"/>
        <v>15509.738095238095</v>
      </c>
      <c r="AF40" s="32">
        <f t="shared" si="32"/>
        <v>24479.309523809523</v>
      </c>
    </row>
    <row r="41" spans="2:32" ht="23.1" customHeight="1" x14ac:dyDescent="0.25">
      <c r="B41" s="23" t="s">
        <v>68</v>
      </c>
      <c r="C41" s="49">
        <f>'Avg Week Kampala-Wakiso'!C41+'Avg Week Wakiso-Kampala'!C41</f>
        <v>79.571428571428584</v>
      </c>
      <c r="D41" s="49">
        <f>'Avg Week Kampala-Wakiso'!D41+'Avg Week Wakiso-Kampala'!D41</f>
        <v>64.428571428571431</v>
      </c>
      <c r="E41" s="49">
        <f>'Avg Week Kampala-Wakiso'!E41+'Avg Week Wakiso-Kampala'!E41</f>
        <v>16.285714285714285</v>
      </c>
      <c r="F41" s="49">
        <f>'Avg Week Kampala-Wakiso'!F41+'Avg Week Wakiso-Kampala'!F41</f>
        <v>84</v>
      </c>
      <c r="G41" s="49">
        <f>'Avg Week Kampala-Wakiso'!G41+'Avg Week Wakiso-Kampala'!G41</f>
        <v>0.42857142857142855</v>
      </c>
      <c r="H41" s="49">
        <f>'Avg Week Kampala-Wakiso'!H41+'Avg Week Wakiso-Kampala'!H41</f>
        <v>0.14285714285714285</v>
      </c>
      <c r="I41" s="49">
        <f>'Avg Week Kampala-Wakiso'!I41+'Avg Week Wakiso-Kampala'!I41</f>
        <v>20.857142857142854</v>
      </c>
      <c r="J41" s="49">
        <f>'Avg Week Kampala-Wakiso'!J41+'Avg Week Wakiso-Kampala'!J41</f>
        <v>4.4285714285714288</v>
      </c>
      <c r="K41" s="49">
        <f>'Avg Week Kampala-Wakiso'!K41+'Avg Week Wakiso-Kampala'!K41</f>
        <v>0.42857142857142855</v>
      </c>
      <c r="L41" s="49">
        <f>'Avg Week Kampala-Wakiso'!L41+'Avg Week Wakiso-Kampala'!L41</f>
        <v>1</v>
      </c>
      <c r="M41" s="49">
        <f>'Avg Week Kampala-Wakiso'!M41+'Avg Week Wakiso-Kampala'!M41</f>
        <v>152.42857142857142</v>
      </c>
      <c r="N41" s="49">
        <f>'Avg Week Kampala-Wakiso'!N41+'Avg Week Wakiso-Kampala'!N41</f>
        <v>0</v>
      </c>
      <c r="O41" s="15">
        <f t="shared" si="0"/>
        <v>271.57142857142856</v>
      </c>
      <c r="P41" s="15">
        <f t="shared" si="1"/>
        <v>424</v>
      </c>
      <c r="R41" s="5" t="s">
        <v>178</v>
      </c>
      <c r="S41" s="16">
        <f>SUM(S10:S33)</f>
        <v>7393.4285714285716</v>
      </c>
      <c r="T41" s="16">
        <f t="shared" ref="T41:AD41" si="33">SUM(T10:T33)</f>
        <v>4859.0714285714284</v>
      </c>
      <c r="U41" s="16">
        <f t="shared" si="33"/>
        <v>1299.3571428571429</v>
      </c>
      <c r="V41" s="16">
        <f t="shared" si="33"/>
        <v>7695.5714285714284</v>
      </c>
      <c r="W41" s="16">
        <f t="shared" si="33"/>
        <v>178.42857142857144</v>
      </c>
      <c r="X41" s="16">
        <f t="shared" si="33"/>
        <v>69.80952380952381</v>
      </c>
      <c r="Y41" s="16">
        <f t="shared" si="33"/>
        <v>1331.5</v>
      </c>
      <c r="Z41" s="16">
        <f t="shared" si="33"/>
        <v>363.35714285714289</v>
      </c>
      <c r="AA41" s="16">
        <f t="shared" si="33"/>
        <v>143.78571428571428</v>
      </c>
      <c r="AB41" s="16">
        <f t="shared" si="33"/>
        <v>138.21428571428572</v>
      </c>
      <c r="AC41" s="16">
        <f t="shared" si="33"/>
        <v>13426.571428571428</v>
      </c>
      <c r="AD41" s="16">
        <f t="shared" si="33"/>
        <v>0.71428571428571419</v>
      </c>
      <c r="AE41" s="32">
        <f>SUM(AE10:AE33)</f>
        <v>23473.238095238095</v>
      </c>
      <c r="AF41" s="32">
        <f>SUM(AF10:AF33)</f>
        <v>36899.809523809527</v>
      </c>
    </row>
    <row r="42" spans="2:32" ht="23.1" customHeight="1" x14ac:dyDescent="0.25">
      <c r="B42" s="24" t="s">
        <v>69</v>
      </c>
      <c r="C42" s="49">
        <f>'Avg Week Kampala-Wakiso'!C42+'Avg Week Wakiso-Kampala'!C42</f>
        <v>78.428571428571431</v>
      </c>
      <c r="D42" s="49">
        <f>'Avg Week Kampala-Wakiso'!D42+'Avg Week Wakiso-Kampala'!D42</f>
        <v>62.142857142857139</v>
      </c>
      <c r="E42" s="49">
        <f>'Avg Week Kampala-Wakiso'!E42+'Avg Week Wakiso-Kampala'!E42</f>
        <v>16.285714285714285</v>
      </c>
      <c r="F42" s="49">
        <f>'Avg Week Kampala-Wakiso'!F42+'Avg Week Wakiso-Kampala'!F42</f>
        <v>100.42857142857143</v>
      </c>
      <c r="G42" s="49">
        <f>'Avg Week Kampala-Wakiso'!G42+'Avg Week Wakiso-Kampala'!G42</f>
        <v>0.5714285714285714</v>
      </c>
      <c r="H42" s="49">
        <f>'Avg Week Kampala-Wakiso'!H42+'Avg Week Wakiso-Kampala'!H42</f>
        <v>0.5714285714285714</v>
      </c>
      <c r="I42" s="49">
        <f>'Avg Week Kampala-Wakiso'!I42+'Avg Week Wakiso-Kampala'!I42</f>
        <v>18.428571428571431</v>
      </c>
      <c r="J42" s="49">
        <f>'Avg Week Kampala-Wakiso'!J42+'Avg Week Wakiso-Kampala'!J42</f>
        <v>5.1428571428571423</v>
      </c>
      <c r="K42" s="49">
        <f>'Avg Week Kampala-Wakiso'!K42+'Avg Week Wakiso-Kampala'!K42</f>
        <v>1.5714285714285714</v>
      </c>
      <c r="L42" s="49">
        <f>'Avg Week Kampala-Wakiso'!L42+'Avg Week Wakiso-Kampala'!L42</f>
        <v>1.5714285714285714</v>
      </c>
      <c r="M42" s="49">
        <f>'Avg Week Kampala-Wakiso'!M42+'Avg Week Wakiso-Kampala'!M42</f>
        <v>142.42857142857144</v>
      </c>
      <c r="N42" s="49">
        <f>'Avg Week Kampala-Wakiso'!N42+'Avg Week Wakiso-Kampala'!N42</f>
        <v>0</v>
      </c>
      <c r="O42" s="15">
        <f t="shared" si="0"/>
        <v>285.14285714285711</v>
      </c>
      <c r="P42" s="15">
        <f t="shared" si="1"/>
        <v>427.57142857142856</v>
      </c>
      <c r="R42" s="5" t="s">
        <v>160</v>
      </c>
      <c r="S42" s="48">
        <f>S41/S40</f>
        <v>1.5302779420461265</v>
      </c>
      <c r="T42" s="48">
        <f t="shared" ref="T42:AF42" si="34">T41/T40</f>
        <v>1.5601091642968534</v>
      </c>
      <c r="U42" s="48">
        <f t="shared" si="34"/>
        <v>1.4751054168018165</v>
      </c>
      <c r="V42" s="48">
        <f t="shared" si="34"/>
        <v>1.49064696441419</v>
      </c>
      <c r="W42" s="48">
        <f t="shared" si="34"/>
        <v>1.5730478589420656</v>
      </c>
      <c r="X42" s="48">
        <f t="shared" si="34"/>
        <v>1.7758933979406419</v>
      </c>
      <c r="Y42" s="48">
        <f t="shared" si="34"/>
        <v>1.411983032873807</v>
      </c>
      <c r="Z42" s="48">
        <f t="shared" si="34"/>
        <v>1.4542595769010864</v>
      </c>
      <c r="AA42" s="48">
        <f t="shared" si="34"/>
        <v>1.7688927943760981</v>
      </c>
      <c r="AB42" s="48">
        <f t="shared" si="34"/>
        <v>1.4907550077041605</v>
      </c>
      <c r="AC42" s="48">
        <f t="shared" si="34"/>
        <v>1.4969022249828787</v>
      </c>
      <c r="AD42" s="48">
        <f t="shared" si="34"/>
        <v>1</v>
      </c>
      <c r="AE42" s="54">
        <f t="shared" si="34"/>
        <v>1.5134516102786422</v>
      </c>
      <c r="AF42" s="54">
        <f t="shared" si="34"/>
        <v>1.5073876772512453</v>
      </c>
    </row>
    <row r="43" spans="2:32" ht="23.1" customHeight="1" x14ac:dyDescent="0.25">
      <c r="B43" s="23" t="s">
        <v>70</v>
      </c>
      <c r="C43" s="49">
        <f>'Avg Week Kampala-Wakiso'!C43+'Avg Week Wakiso-Kampala'!C43</f>
        <v>103.42857142857142</v>
      </c>
      <c r="D43" s="49">
        <f>'Avg Week Kampala-Wakiso'!D43+'Avg Week Wakiso-Kampala'!D43</f>
        <v>66.142857142857139</v>
      </c>
      <c r="E43" s="49">
        <f>'Avg Week Kampala-Wakiso'!E43+'Avg Week Wakiso-Kampala'!E43</f>
        <v>17.142857142857142</v>
      </c>
      <c r="F43" s="49">
        <f>'Avg Week Kampala-Wakiso'!F43+'Avg Week Wakiso-Kampala'!F43</f>
        <v>96.428571428571416</v>
      </c>
      <c r="G43" s="49">
        <f>'Avg Week Kampala-Wakiso'!G43+'Avg Week Wakiso-Kampala'!G43</f>
        <v>0.5714285714285714</v>
      </c>
      <c r="H43" s="49">
        <f>'Avg Week Kampala-Wakiso'!H43+'Avg Week Wakiso-Kampala'!H43</f>
        <v>0.8571428571428571</v>
      </c>
      <c r="I43" s="49">
        <f>'Avg Week Kampala-Wakiso'!I43+'Avg Week Wakiso-Kampala'!I43</f>
        <v>18</v>
      </c>
      <c r="J43" s="49">
        <f>'Avg Week Kampala-Wakiso'!J43+'Avg Week Wakiso-Kampala'!J43</f>
        <v>6.7142857142857144</v>
      </c>
      <c r="K43" s="49">
        <f>'Avg Week Kampala-Wakiso'!K43+'Avg Week Wakiso-Kampala'!K43</f>
        <v>1.4285714285714286</v>
      </c>
      <c r="L43" s="49">
        <f>'Avg Week Kampala-Wakiso'!L43+'Avg Week Wakiso-Kampala'!L43</f>
        <v>0.5714285714285714</v>
      </c>
      <c r="M43" s="49">
        <f>'Avg Week Kampala-Wakiso'!M43+'Avg Week Wakiso-Kampala'!M43</f>
        <v>161.57142857142856</v>
      </c>
      <c r="N43" s="49">
        <f>'Avg Week Kampala-Wakiso'!N43+'Avg Week Wakiso-Kampala'!N43</f>
        <v>0</v>
      </c>
      <c r="O43" s="15">
        <f t="shared" si="0"/>
        <v>311.28571428571422</v>
      </c>
      <c r="P43" s="15">
        <f t="shared" si="1"/>
        <v>472.85714285714278</v>
      </c>
    </row>
    <row r="44" spans="2:32" ht="23.1" customHeight="1" x14ac:dyDescent="0.25">
      <c r="B44" s="25" t="s">
        <v>71</v>
      </c>
      <c r="C44" s="49">
        <f>'Avg Week Kampala-Wakiso'!C44+'Avg Week Wakiso-Kampala'!C44</f>
        <v>164.14285714285714</v>
      </c>
      <c r="D44" s="49">
        <f>'Avg Week Kampala-Wakiso'!D44+'Avg Week Wakiso-Kampala'!D44</f>
        <v>74.428571428571431</v>
      </c>
      <c r="E44" s="49">
        <f>'Avg Week Kampala-Wakiso'!E44+'Avg Week Wakiso-Kampala'!E44</f>
        <v>21.142857142857142</v>
      </c>
      <c r="F44" s="49">
        <f>'Avg Week Kampala-Wakiso'!F44+'Avg Week Wakiso-Kampala'!F44</f>
        <v>88</v>
      </c>
      <c r="G44" s="49">
        <f>'Avg Week Kampala-Wakiso'!G44+'Avg Week Wakiso-Kampala'!G44</f>
        <v>1.5714285714285714</v>
      </c>
      <c r="H44" s="49">
        <f>'Avg Week Kampala-Wakiso'!H44+'Avg Week Wakiso-Kampala'!H44</f>
        <v>0.2857142857142857</v>
      </c>
      <c r="I44" s="49">
        <f>'Avg Week Kampala-Wakiso'!I44+'Avg Week Wakiso-Kampala'!I44</f>
        <v>15.142857142857142</v>
      </c>
      <c r="J44" s="49">
        <f>'Avg Week Kampala-Wakiso'!J44+'Avg Week Wakiso-Kampala'!J44</f>
        <v>6.2857142857142856</v>
      </c>
      <c r="K44" s="49">
        <f>'Avg Week Kampala-Wakiso'!K44+'Avg Week Wakiso-Kampala'!K44</f>
        <v>2</v>
      </c>
      <c r="L44" s="49">
        <f>'Avg Week Kampala-Wakiso'!L44+'Avg Week Wakiso-Kampala'!L44</f>
        <v>3</v>
      </c>
      <c r="M44" s="49">
        <f>'Avg Week Kampala-Wakiso'!M44+'Avg Week Wakiso-Kampala'!M44</f>
        <v>153.57142857142858</v>
      </c>
      <c r="N44" s="49">
        <f>'Avg Week Kampala-Wakiso'!N44+'Avg Week Wakiso-Kampala'!N44</f>
        <v>0</v>
      </c>
      <c r="O44" s="15">
        <f t="shared" si="0"/>
        <v>376</v>
      </c>
      <c r="P44" s="15">
        <f t="shared" si="1"/>
        <v>529.57142857142856</v>
      </c>
    </row>
    <row r="45" spans="2:32" ht="23.1" customHeight="1" x14ac:dyDescent="0.25">
      <c r="B45" s="23" t="s">
        <v>72</v>
      </c>
      <c r="C45" s="49">
        <f>'Avg Week Kampala-Wakiso'!C45+'Avg Week Wakiso-Kampala'!C45</f>
        <v>88.142857142857139</v>
      </c>
      <c r="D45" s="49">
        <f>'Avg Week Kampala-Wakiso'!D45+'Avg Week Wakiso-Kampala'!D45</f>
        <v>57.714285714285708</v>
      </c>
      <c r="E45" s="49">
        <f>'Avg Week Kampala-Wakiso'!E45+'Avg Week Wakiso-Kampala'!E45</f>
        <v>13.857142857142858</v>
      </c>
      <c r="F45" s="49">
        <f>'Avg Week Kampala-Wakiso'!F45+'Avg Week Wakiso-Kampala'!F45</f>
        <v>82.428571428571416</v>
      </c>
      <c r="G45" s="49">
        <f>'Avg Week Kampala-Wakiso'!G45+'Avg Week Wakiso-Kampala'!G45</f>
        <v>0.2857142857142857</v>
      </c>
      <c r="H45" s="49">
        <f>'Avg Week Kampala-Wakiso'!H45+'Avg Week Wakiso-Kampala'!H45</f>
        <v>0.2857142857142857</v>
      </c>
      <c r="I45" s="49">
        <f>'Avg Week Kampala-Wakiso'!I45+'Avg Week Wakiso-Kampala'!I45</f>
        <v>18.142857142857146</v>
      </c>
      <c r="J45" s="49">
        <f>'Avg Week Kampala-Wakiso'!J45+'Avg Week Wakiso-Kampala'!J45</f>
        <v>4</v>
      </c>
      <c r="K45" s="49">
        <f>'Avg Week Kampala-Wakiso'!K45+'Avg Week Wakiso-Kampala'!K45</f>
        <v>1.7142857142857144</v>
      </c>
      <c r="L45" s="49">
        <f>'Avg Week Kampala-Wakiso'!L45+'Avg Week Wakiso-Kampala'!L45</f>
        <v>1.8571428571428572</v>
      </c>
      <c r="M45" s="49">
        <f>'Avg Week Kampala-Wakiso'!M45+'Avg Week Wakiso-Kampala'!M45</f>
        <v>125.14285714285714</v>
      </c>
      <c r="N45" s="49">
        <f>'Avg Week Kampala-Wakiso'!N45+'Avg Week Wakiso-Kampala'!N45</f>
        <v>0.14285714285714285</v>
      </c>
      <c r="O45" s="15">
        <f t="shared" si="0"/>
        <v>268.57142857142856</v>
      </c>
      <c r="P45" s="15">
        <f t="shared" si="1"/>
        <v>393.71428571428572</v>
      </c>
    </row>
    <row r="46" spans="2:32" ht="23.1" customHeight="1" x14ac:dyDescent="0.25">
      <c r="B46" s="24" t="s">
        <v>73</v>
      </c>
      <c r="C46" s="49">
        <f>'Avg Week Kampala-Wakiso'!C46+'Avg Week Wakiso-Kampala'!C46</f>
        <v>102.71428571428572</v>
      </c>
      <c r="D46" s="49">
        <f>'Avg Week Kampala-Wakiso'!D46+'Avg Week Wakiso-Kampala'!D46</f>
        <v>72</v>
      </c>
      <c r="E46" s="49">
        <f>'Avg Week Kampala-Wakiso'!E46+'Avg Week Wakiso-Kampala'!E46</f>
        <v>23.428571428571431</v>
      </c>
      <c r="F46" s="49">
        <f>'Avg Week Kampala-Wakiso'!F46+'Avg Week Wakiso-Kampala'!F46</f>
        <v>100.28571428571429</v>
      </c>
      <c r="G46" s="49">
        <f>'Avg Week Kampala-Wakiso'!G46+'Avg Week Wakiso-Kampala'!G46</f>
        <v>1.5714285714285714</v>
      </c>
      <c r="H46" s="49">
        <f>'Avg Week Kampala-Wakiso'!H46+'Avg Week Wakiso-Kampala'!H46</f>
        <v>0.2857142857142857</v>
      </c>
      <c r="I46" s="49">
        <f>'Avg Week Kampala-Wakiso'!I46+'Avg Week Wakiso-Kampala'!I46</f>
        <v>22.428571428571431</v>
      </c>
      <c r="J46" s="49">
        <f>'Avg Week Kampala-Wakiso'!J46+'Avg Week Wakiso-Kampala'!J46</f>
        <v>7.1428571428571423</v>
      </c>
      <c r="K46" s="49">
        <f>'Avg Week Kampala-Wakiso'!K46+'Avg Week Wakiso-Kampala'!K46</f>
        <v>1</v>
      </c>
      <c r="L46" s="49">
        <f>'Avg Week Kampala-Wakiso'!L46+'Avg Week Wakiso-Kampala'!L46</f>
        <v>2</v>
      </c>
      <c r="M46" s="49">
        <f>'Avg Week Kampala-Wakiso'!M46+'Avg Week Wakiso-Kampala'!M46</f>
        <v>173</v>
      </c>
      <c r="N46" s="49">
        <f>'Avg Week Kampala-Wakiso'!N46+'Avg Week Wakiso-Kampala'!N46</f>
        <v>0</v>
      </c>
      <c r="O46" s="15">
        <f t="shared" si="0"/>
        <v>332.85714285714289</v>
      </c>
      <c r="P46" s="15">
        <f t="shared" si="1"/>
        <v>505.85714285714289</v>
      </c>
      <c r="R46" s="8"/>
      <c r="T46"/>
    </row>
    <row r="47" spans="2:32" ht="23.1" customHeight="1" x14ac:dyDescent="0.25">
      <c r="B47" s="24" t="s">
        <v>74</v>
      </c>
      <c r="C47" s="49">
        <f>'Avg Week Kampala-Wakiso'!C47+'Avg Week Wakiso-Kampala'!C47</f>
        <v>104</v>
      </c>
      <c r="D47" s="49">
        <f>'Avg Week Kampala-Wakiso'!D47+'Avg Week Wakiso-Kampala'!D47</f>
        <v>77.142857142857139</v>
      </c>
      <c r="E47" s="49">
        <f>'Avg Week Kampala-Wakiso'!E47+'Avg Week Wakiso-Kampala'!E47</f>
        <v>23.142857142857142</v>
      </c>
      <c r="F47" s="49">
        <f>'Avg Week Kampala-Wakiso'!F47+'Avg Week Wakiso-Kampala'!F47</f>
        <v>105.71428571428572</v>
      </c>
      <c r="G47" s="49">
        <f>'Avg Week Kampala-Wakiso'!G47+'Avg Week Wakiso-Kampala'!G47</f>
        <v>0.71428571428571419</v>
      </c>
      <c r="H47" s="49">
        <f>'Avg Week Kampala-Wakiso'!H47+'Avg Week Wakiso-Kampala'!H47</f>
        <v>0.42857142857142855</v>
      </c>
      <c r="I47" s="49">
        <f>'Avg Week Kampala-Wakiso'!I47+'Avg Week Wakiso-Kampala'!I47</f>
        <v>23.714285714285715</v>
      </c>
      <c r="J47" s="49">
        <f>'Avg Week Kampala-Wakiso'!J47+'Avg Week Wakiso-Kampala'!J47</f>
        <v>3.8571428571428572</v>
      </c>
      <c r="K47" s="49">
        <f>'Avg Week Kampala-Wakiso'!K47+'Avg Week Wakiso-Kampala'!K47</f>
        <v>1.8571428571428572</v>
      </c>
      <c r="L47" s="49">
        <f>'Avg Week Kampala-Wakiso'!L47+'Avg Week Wakiso-Kampala'!L47</f>
        <v>1</v>
      </c>
      <c r="M47" s="49">
        <f>'Avg Week Kampala-Wakiso'!M47+'Avg Week Wakiso-Kampala'!M47</f>
        <v>157.28571428571428</v>
      </c>
      <c r="N47" s="49">
        <f>'Avg Week Kampala-Wakiso'!N47+'Avg Week Wakiso-Kampala'!N47</f>
        <v>0</v>
      </c>
      <c r="O47" s="15">
        <f t="shared" si="0"/>
        <v>341.57142857142856</v>
      </c>
      <c r="P47" s="15">
        <f t="shared" si="1"/>
        <v>498.85714285714283</v>
      </c>
      <c r="R47" s="8"/>
      <c r="T47"/>
    </row>
    <row r="48" spans="2:32" ht="23.1" customHeight="1" x14ac:dyDescent="0.25">
      <c r="B48" s="24" t="s">
        <v>75</v>
      </c>
      <c r="C48" s="49">
        <f>'Avg Week Kampala-Wakiso'!C48+'Avg Week Wakiso-Kampala'!C48</f>
        <v>111.28571428571428</v>
      </c>
      <c r="D48" s="49">
        <f>'Avg Week Kampala-Wakiso'!D48+'Avg Week Wakiso-Kampala'!D48</f>
        <v>88.857142857142847</v>
      </c>
      <c r="E48" s="49">
        <f>'Avg Week Kampala-Wakiso'!E48+'Avg Week Wakiso-Kampala'!E48</f>
        <v>34.571428571428569</v>
      </c>
      <c r="F48" s="49">
        <f>'Avg Week Kampala-Wakiso'!F48+'Avg Week Wakiso-Kampala'!F48</f>
        <v>108.28571428571429</v>
      </c>
      <c r="G48" s="49">
        <f>'Avg Week Kampala-Wakiso'!G48+'Avg Week Wakiso-Kampala'!G48</f>
        <v>1.7142857142857142</v>
      </c>
      <c r="H48" s="49">
        <f>'Avg Week Kampala-Wakiso'!H48+'Avg Week Wakiso-Kampala'!H48</f>
        <v>1.1428571428571428</v>
      </c>
      <c r="I48" s="49">
        <f>'Avg Week Kampala-Wakiso'!I48+'Avg Week Wakiso-Kampala'!I48</f>
        <v>24</v>
      </c>
      <c r="J48" s="49">
        <f>'Avg Week Kampala-Wakiso'!J48+'Avg Week Wakiso-Kampala'!J48</f>
        <v>12.571428571428571</v>
      </c>
      <c r="K48" s="49">
        <f>'Avg Week Kampala-Wakiso'!K48+'Avg Week Wakiso-Kampala'!K48</f>
        <v>1.1428571428571428</v>
      </c>
      <c r="L48" s="49">
        <f>'Avg Week Kampala-Wakiso'!L48+'Avg Week Wakiso-Kampala'!L48</f>
        <v>2.7142857142857144</v>
      </c>
      <c r="M48" s="49">
        <f>'Avg Week Kampala-Wakiso'!M48+'Avg Week Wakiso-Kampala'!M48</f>
        <v>153.14285714285714</v>
      </c>
      <c r="N48" s="49">
        <f>'Avg Week Kampala-Wakiso'!N48+'Avg Week Wakiso-Kampala'!N48</f>
        <v>0</v>
      </c>
      <c r="O48" s="15">
        <f t="shared" si="0"/>
        <v>386.28571428571428</v>
      </c>
      <c r="P48" s="15">
        <f t="shared" si="1"/>
        <v>539.42857142857144</v>
      </c>
      <c r="R48" s="8"/>
      <c r="T48"/>
    </row>
    <row r="49" spans="2:20" ht="23.1" customHeight="1" x14ac:dyDescent="0.25">
      <c r="B49" s="23" t="s">
        <v>76</v>
      </c>
      <c r="C49" s="49">
        <f>'Avg Week Kampala-Wakiso'!C49+'Avg Week Wakiso-Kampala'!C49</f>
        <v>103.42857142857143</v>
      </c>
      <c r="D49" s="49">
        <f>'Avg Week Kampala-Wakiso'!D49+'Avg Week Wakiso-Kampala'!D49</f>
        <v>78.142857142857139</v>
      </c>
      <c r="E49" s="49">
        <f>'Avg Week Kampala-Wakiso'!E49+'Avg Week Wakiso-Kampala'!E49</f>
        <v>16</v>
      </c>
      <c r="F49" s="49">
        <f>'Avg Week Kampala-Wakiso'!F49+'Avg Week Wakiso-Kampala'!F49</f>
        <v>90.857142857142861</v>
      </c>
      <c r="G49" s="49">
        <f>'Avg Week Kampala-Wakiso'!G49+'Avg Week Wakiso-Kampala'!G49</f>
        <v>0.42857142857142855</v>
      </c>
      <c r="H49" s="49">
        <f>'Avg Week Kampala-Wakiso'!H49+'Avg Week Wakiso-Kampala'!H49</f>
        <v>0.2857142857142857</v>
      </c>
      <c r="I49" s="49">
        <f>'Avg Week Kampala-Wakiso'!I49+'Avg Week Wakiso-Kampala'!I49</f>
        <v>18.857142857142858</v>
      </c>
      <c r="J49" s="49">
        <f>'Avg Week Kampala-Wakiso'!J49+'Avg Week Wakiso-Kampala'!J49</f>
        <v>5.7142857142857144</v>
      </c>
      <c r="K49" s="49">
        <f>'Avg Week Kampala-Wakiso'!K49+'Avg Week Wakiso-Kampala'!K49</f>
        <v>0.8571428571428571</v>
      </c>
      <c r="L49" s="49">
        <f>'Avg Week Kampala-Wakiso'!L49+'Avg Week Wakiso-Kampala'!L49</f>
        <v>2.8571428571428572</v>
      </c>
      <c r="M49" s="49">
        <f>'Avg Week Kampala-Wakiso'!M49+'Avg Week Wakiso-Kampala'!M49</f>
        <v>155.42857142857144</v>
      </c>
      <c r="N49" s="49">
        <f>'Avg Week Kampala-Wakiso'!N49+'Avg Week Wakiso-Kampala'!N49</f>
        <v>0</v>
      </c>
      <c r="O49" s="15">
        <f t="shared" si="0"/>
        <v>317.42857142857139</v>
      </c>
      <c r="P49" s="15">
        <f t="shared" si="1"/>
        <v>472.85714285714283</v>
      </c>
      <c r="R49" s="8"/>
      <c r="T49"/>
    </row>
    <row r="50" spans="2:20" ht="23.1" customHeight="1" x14ac:dyDescent="0.25">
      <c r="B50" s="24" t="s">
        <v>77</v>
      </c>
      <c r="C50" s="49">
        <f>'Avg Week Kampala-Wakiso'!C50+'Avg Week Wakiso-Kampala'!C50</f>
        <v>107.28571428571428</v>
      </c>
      <c r="D50" s="49">
        <f>'Avg Week Kampala-Wakiso'!D50+'Avg Week Wakiso-Kampala'!D50</f>
        <v>73.857142857142861</v>
      </c>
      <c r="E50" s="49">
        <f>'Avg Week Kampala-Wakiso'!E50+'Avg Week Wakiso-Kampala'!E50</f>
        <v>20.857142857142858</v>
      </c>
      <c r="F50" s="49">
        <f>'Avg Week Kampala-Wakiso'!F50+'Avg Week Wakiso-Kampala'!F50</f>
        <v>105.42857142857143</v>
      </c>
      <c r="G50" s="49">
        <f>'Avg Week Kampala-Wakiso'!G50+'Avg Week Wakiso-Kampala'!G50</f>
        <v>1.1428571428571428</v>
      </c>
      <c r="H50" s="49">
        <f>'Avg Week Kampala-Wakiso'!H50+'Avg Week Wakiso-Kampala'!H50</f>
        <v>0.42857142857142855</v>
      </c>
      <c r="I50" s="49">
        <f>'Avg Week Kampala-Wakiso'!I50+'Avg Week Wakiso-Kampala'!I50</f>
        <v>25</v>
      </c>
      <c r="J50" s="49">
        <f>'Avg Week Kampala-Wakiso'!J50+'Avg Week Wakiso-Kampala'!J50</f>
        <v>4.5714285714285712</v>
      </c>
      <c r="K50" s="49">
        <f>'Avg Week Kampala-Wakiso'!K50+'Avg Week Wakiso-Kampala'!K50</f>
        <v>1.8571428571428572</v>
      </c>
      <c r="L50" s="49">
        <f>'Avg Week Kampala-Wakiso'!L50+'Avg Week Wakiso-Kampala'!L50</f>
        <v>2.4285714285714288</v>
      </c>
      <c r="M50" s="49">
        <f>'Avg Week Kampala-Wakiso'!M50+'Avg Week Wakiso-Kampala'!M50</f>
        <v>183.14285714285717</v>
      </c>
      <c r="N50" s="49">
        <f>'Avg Week Kampala-Wakiso'!N50+'Avg Week Wakiso-Kampala'!N50</f>
        <v>0</v>
      </c>
      <c r="O50" s="15">
        <f t="shared" si="0"/>
        <v>342.85714285714289</v>
      </c>
      <c r="P50" s="15">
        <f t="shared" si="1"/>
        <v>526</v>
      </c>
      <c r="R50" s="8"/>
      <c r="T50"/>
    </row>
    <row r="51" spans="2:20" ht="23.1" customHeight="1" x14ac:dyDescent="0.25">
      <c r="B51" s="24" t="s">
        <v>78</v>
      </c>
      <c r="C51" s="49">
        <f>'Avg Week Kampala-Wakiso'!C51+'Avg Week Wakiso-Kampala'!C51</f>
        <v>108</v>
      </c>
      <c r="D51" s="49">
        <f>'Avg Week Kampala-Wakiso'!D51+'Avg Week Wakiso-Kampala'!D51</f>
        <v>77.142857142857139</v>
      </c>
      <c r="E51" s="49">
        <f>'Avg Week Kampala-Wakiso'!E51+'Avg Week Wakiso-Kampala'!E51</f>
        <v>14.142857142857142</v>
      </c>
      <c r="F51" s="49">
        <f>'Avg Week Kampala-Wakiso'!F51+'Avg Week Wakiso-Kampala'!F51</f>
        <v>128.85714285714286</v>
      </c>
      <c r="G51" s="49">
        <f>'Avg Week Kampala-Wakiso'!G51+'Avg Week Wakiso-Kampala'!G51</f>
        <v>2.1428571428571428</v>
      </c>
      <c r="H51" s="49">
        <f>'Avg Week Kampala-Wakiso'!H51+'Avg Week Wakiso-Kampala'!H51</f>
        <v>0</v>
      </c>
      <c r="I51" s="49">
        <f>'Avg Week Kampala-Wakiso'!I51+'Avg Week Wakiso-Kampala'!I51</f>
        <v>18.285714285714285</v>
      </c>
      <c r="J51" s="49">
        <f>'Avg Week Kampala-Wakiso'!J51+'Avg Week Wakiso-Kampala'!J51</f>
        <v>3.8571428571428572</v>
      </c>
      <c r="K51" s="49">
        <f>'Avg Week Kampala-Wakiso'!K51+'Avg Week Wakiso-Kampala'!K51</f>
        <v>1.2857142857142856</v>
      </c>
      <c r="L51" s="49">
        <f>'Avg Week Kampala-Wakiso'!L51+'Avg Week Wakiso-Kampala'!L51</f>
        <v>2.7142857142857144</v>
      </c>
      <c r="M51" s="49">
        <f>'Avg Week Kampala-Wakiso'!M51+'Avg Week Wakiso-Kampala'!M51</f>
        <v>206.42857142857144</v>
      </c>
      <c r="N51" s="49">
        <f>'Avg Week Kampala-Wakiso'!N51+'Avg Week Wakiso-Kampala'!N51</f>
        <v>0</v>
      </c>
      <c r="O51" s="15">
        <f t="shared" si="0"/>
        <v>356.42857142857139</v>
      </c>
      <c r="P51" s="15">
        <f t="shared" si="1"/>
        <v>562.85714285714289</v>
      </c>
      <c r="R51" s="8"/>
      <c r="T51"/>
    </row>
    <row r="52" spans="2:20" ht="23.1" customHeight="1" x14ac:dyDescent="0.25">
      <c r="B52" s="24" t="s">
        <v>79</v>
      </c>
      <c r="C52" s="49">
        <f>'Avg Week Kampala-Wakiso'!C52+'Avg Week Wakiso-Kampala'!C52</f>
        <v>127.57142857142857</v>
      </c>
      <c r="D52" s="49">
        <f>'Avg Week Kampala-Wakiso'!D52+'Avg Week Wakiso-Kampala'!D52</f>
        <v>88.285714285714292</v>
      </c>
      <c r="E52" s="49">
        <f>'Avg Week Kampala-Wakiso'!E52+'Avg Week Wakiso-Kampala'!E52</f>
        <v>16</v>
      </c>
      <c r="F52" s="49">
        <f>'Avg Week Kampala-Wakiso'!F52+'Avg Week Wakiso-Kampala'!F52</f>
        <v>116.57142857142858</v>
      </c>
      <c r="G52" s="49">
        <f>'Avg Week Kampala-Wakiso'!G52+'Avg Week Wakiso-Kampala'!G52</f>
        <v>2.7142857142857144</v>
      </c>
      <c r="H52" s="49">
        <f>'Avg Week Kampala-Wakiso'!H52+'Avg Week Wakiso-Kampala'!H52</f>
        <v>0.2857142857142857</v>
      </c>
      <c r="I52" s="49">
        <f>'Avg Week Kampala-Wakiso'!I52+'Avg Week Wakiso-Kampala'!I52</f>
        <v>19.857142857142858</v>
      </c>
      <c r="J52" s="49">
        <f>'Avg Week Kampala-Wakiso'!J52+'Avg Week Wakiso-Kampala'!J52</f>
        <v>5.8571428571428577</v>
      </c>
      <c r="K52" s="49">
        <f>'Avg Week Kampala-Wakiso'!K52+'Avg Week Wakiso-Kampala'!K52</f>
        <v>4.7142857142857144</v>
      </c>
      <c r="L52" s="49">
        <f>'Avg Week Kampala-Wakiso'!L52+'Avg Week Wakiso-Kampala'!L52</f>
        <v>2</v>
      </c>
      <c r="M52" s="49">
        <f>'Avg Week Kampala-Wakiso'!M52+'Avg Week Wakiso-Kampala'!M52</f>
        <v>180.28571428571428</v>
      </c>
      <c r="N52" s="49">
        <f>'Avg Week Kampala-Wakiso'!N52+'Avg Week Wakiso-Kampala'!N52</f>
        <v>0</v>
      </c>
      <c r="O52" s="15">
        <f t="shared" si="0"/>
        <v>383.85714285714283</v>
      </c>
      <c r="P52" s="15">
        <f t="shared" si="1"/>
        <v>564.14285714285711</v>
      </c>
      <c r="R52" s="8"/>
      <c r="T52"/>
    </row>
    <row r="53" spans="2:20" ht="23.1" customHeight="1" x14ac:dyDescent="0.25">
      <c r="B53" s="23" t="s">
        <v>80</v>
      </c>
      <c r="C53" s="49">
        <f>'Avg Week Kampala-Wakiso'!C53+'Avg Week Wakiso-Kampala'!C53</f>
        <v>102.85714285714286</v>
      </c>
      <c r="D53" s="49">
        <f>'Avg Week Kampala-Wakiso'!D53+'Avg Week Wakiso-Kampala'!D53</f>
        <v>70.142857142857139</v>
      </c>
      <c r="E53" s="49">
        <f>'Avg Week Kampala-Wakiso'!E53+'Avg Week Wakiso-Kampala'!E53</f>
        <v>17.142857142857142</v>
      </c>
      <c r="F53" s="49">
        <f>'Avg Week Kampala-Wakiso'!F53+'Avg Week Wakiso-Kampala'!F53</f>
        <v>121.57142857142858</v>
      </c>
      <c r="G53" s="49">
        <f>'Avg Week Kampala-Wakiso'!G53+'Avg Week Wakiso-Kampala'!G53</f>
        <v>2.5714285714285712</v>
      </c>
      <c r="H53" s="49">
        <f>'Avg Week Kampala-Wakiso'!H53+'Avg Week Wakiso-Kampala'!H53</f>
        <v>0.14285714285714285</v>
      </c>
      <c r="I53" s="49">
        <f>'Avg Week Kampala-Wakiso'!I53+'Avg Week Wakiso-Kampala'!I53</f>
        <v>15.857142857142858</v>
      </c>
      <c r="J53" s="49">
        <f>'Avg Week Kampala-Wakiso'!J53+'Avg Week Wakiso-Kampala'!J53</f>
        <v>6.5714285714285712</v>
      </c>
      <c r="K53" s="49">
        <f>'Avg Week Kampala-Wakiso'!K53+'Avg Week Wakiso-Kampala'!K53</f>
        <v>2.4285714285714288</v>
      </c>
      <c r="L53" s="49">
        <f>'Avg Week Kampala-Wakiso'!L53+'Avg Week Wakiso-Kampala'!L53</f>
        <v>2.1428571428571428</v>
      </c>
      <c r="M53" s="49">
        <f>'Avg Week Kampala-Wakiso'!M53+'Avg Week Wakiso-Kampala'!M53</f>
        <v>184.85714285714286</v>
      </c>
      <c r="N53" s="49">
        <f>'Avg Week Kampala-Wakiso'!N53+'Avg Week Wakiso-Kampala'!N53</f>
        <v>0</v>
      </c>
      <c r="O53" s="15">
        <f t="shared" si="0"/>
        <v>341.42857142857144</v>
      </c>
      <c r="P53" s="15">
        <f t="shared" si="1"/>
        <v>526.28571428571433</v>
      </c>
      <c r="R53" s="8"/>
      <c r="T53"/>
    </row>
    <row r="54" spans="2:20" ht="23.1" customHeight="1" x14ac:dyDescent="0.25">
      <c r="B54" s="23" t="s">
        <v>81</v>
      </c>
      <c r="C54" s="49">
        <f>'Avg Week Kampala-Wakiso'!C54+'Avg Week Wakiso-Kampala'!C54</f>
        <v>97</v>
      </c>
      <c r="D54" s="49">
        <f>'Avg Week Kampala-Wakiso'!D54+'Avg Week Wakiso-Kampala'!D54</f>
        <v>75.714285714285722</v>
      </c>
      <c r="E54" s="49">
        <f>'Avg Week Kampala-Wakiso'!E54+'Avg Week Wakiso-Kampala'!E54</f>
        <v>22.285714285714285</v>
      </c>
      <c r="F54" s="49">
        <f>'Avg Week Kampala-Wakiso'!F54+'Avg Week Wakiso-Kampala'!F54</f>
        <v>106.28571428571428</v>
      </c>
      <c r="G54" s="49">
        <f>'Avg Week Kampala-Wakiso'!G54+'Avg Week Wakiso-Kampala'!G54</f>
        <v>2.8571428571428572</v>
      </c>
      <c r="H54" s="49">
        <f>'Avg Week Kampala-Wakiso'!H54+'Avg Week Wakiso-Kampala'!H54</f>
        <v>2</v>
      </c>
      <c r="I54" s="49">
        <f>'Avg Week Kampala-Wakiso'!I54+'Avg Week Wakiso-Kampala'!I54</f>
        <v>14.428571428571427</v>
      </c>
      <c r="J54" s="49">
        <f>'Avg Week Kampala-Wakiso'!J54+'Avg Week Wakiso-Kampala'!J54</f>
        <v>5.2857142857142856</v>
      </c>
      <c r="K54" s="49">
        <f>'Avg Week Kampala-Wakiso'!K54+'Avg Week Wakiso-Kampala'!K54</f>
        <v>2</v>
      </c>
      <c r="L54" s="49">
        <f>'Avg Week Kampala-Wakiso'!L54+'Avg Week Wakiso-Kampala'!L54</f>
        <v>1.5714285714285714</v>
      </c>
      <c r="M54" s="49">
        <f>'Avg Week Kampala-Wakiso'!M54+'Avg Week Wakiso-Kampala'!M54</f>
        <v>187.14285714285714</v>
      </c>
      <c r="N54" s="49">
        <f>'Avg Week Kampala-Wakiso'!N54+'Avg Week Wakiso-Kampala'!N54</f>
        <v>0</v>
      </c>
      <c r="O54" s="15">
        <f t="shared" si="0"/>
        <v>329.42857142857139</v>
      </c>
      <c r="P54" s="15">
        <f t="shared" si="1"/>
        <v>516.57142857142856</v>
      </c>
      <c r="R54" s="8"/>
      <c r="T54"/>
    </row>
    <row r="55" spans="2:20" ht="23.1" customHeight="1" x14ac:dyDescent="0.25">
      <c r="B55" s="23" t="s">
        <v>82</v>
      </c>
      <c r="C55" s="49">
        <f>'Avg Week Kampala-Wakiso'!C55+'Avg Week Wakiso-Kampala'!C55</f>
        <v>95</v>
      </c>
      <c r="D55" s="49">
        <f>'Avg Week Kampala-Wakiso'!D55+'Avg Week Wakiso-Kampala'!D55</f>
        <v>73.571428571428569</v>
      </c>
      <c r="E55" s="49">
        <f>'Avg Week Kampala-Wakiso'!E55+'Avg Week Wakiso-Kampala'!E55</f>
        <v>16.142857142857142</v>
      </c>
      <c r="F55" s="49">
        <f>'Avg Week Kampala-Wakiso'!F55+'Avg Week Wakiso-Kampala'!F55</f>
        <v>110.57142857142857</v>
      </c>
      <c r="G55" s="49">
        <f>'Avg Week Kampala-Wakiso'!G55+'Avg Week Wakiso-Kampala'!G55</f>
        <v>5.5714285714285712</v>
      </c>
      <c r="H55" s="49">
        <f>'Avg Week Kampala-Wakiso'!H55+'Avg Week Wakiso-Kampala'!H55</f>
        <v>0.2857142857142857</v>
      </c>
      <c r="I55" s="49">
        <f>'Avg Week Kampala-Wakiso'!I55+'Avg Week Wakiso-Kampala'!I55</f>
        <v>16.714285714285715</v>
      </c>
      <c r="J55" s="49">
        <f>'Avg Week Kampala-Wakiso'!J55+'Avg Week Wakiso-Kampala'!J55</f>
        <v>5.5714285714285712</v>
      </c>
      <c r="K55" s="49">
        <f>'Avg Week Kampala-Wakiso'!K55+'Avg Week Wakiso-Kampala'!K55</f>
        <v>1.5714285714285714</v>
      </c>
      <c r="L55" s="49">
        <f>'Avg Week Kampala-Wakiso'!L55+'Avg Week Wakiso-Kampala'!L55</f>
        <v>1.4285714285714284</v>
      </c>
      <c r="M55" s="49">
        <f>'Avg Week Kampala-Wakiso'!M55+'Avg Week Wakiso-Kampala'!M55</f>
        <v>167.42857142857144</v>
      </c>
      <c r="N55" s="49">
        <f>'Avg Week Kampala-Wakiso'!N55+'Avg Week Wakiso-Kampala'!N55</f>
        <v>0</v>
      </c>
      <c r="O55" s="15">
        <f t="shared" si="0"/>
        <v>326.42857142857139</v>
      </c>
      <c r="P55" s="15">
        <f t="shared" si="1"/>
        <v>493.85714285714283</v>
      </c>
      <c r="R55" s="8"/>
      <c r="T55"/>
    </row>
    <row r="56" spans="2:20" ht="23.1" customHeight="1" x14ac:dyDescent="0.25">
      <c r="B56" s="23" t="s">
        <v>83</v>
      </c>
      <c r="C56" s="49">
        <f>'Avg Week Kampala-Wakiso'!C56+'Avg Week Wakiso-Kampala'!C56</f>
        <v>92.142857142857139</v>
      </c>
      <c r="D56" s="49">
        <f>'Avg Week Kampala-Wakiso'!D56+'Avg Week Wakiso-Kampala'!D56</f>
        <v>69.857142857142861</v>
      </c>
      <c r="E56" s="49">
        <f>'Avg Week Kampala-Wakiso'!E56+'Avg Week Wakiso-Kampala'!E56</f>
        <v>11.428571428571427</v>
      </c>
      <c r="F56" s="49">
        <f>'Avg Week Kampala-Wakiso'!F56+'Avg Week Wakiso-Kampala'!F56</f>
        <v>115</v>
      </c>
      <c r="G56" s="49">
        <f>'Avg Week Kampala-Wakiso'!G56+'Avg Week Wakiso-Kampala'!G56</f>
        <v>2.7142857142857144</v>
      </c>
      <c r="H56" s="49">
        <f>'Avg Week Kampala-Wakiso'!H56+'Avg Week Wakiso-Kampala'!H56</f>
        <v>0.5714285714285714</v>
      </c>
      <c r="I56" s="49">
        <f>'Avg Week Kampala-Wakiso'!I56+'Avg Week Wakiso-Kampala'!I56</f>
        <v>16.857142857142858</v>
      </c>
      <c r="J56" s="49">
        <f>'Avg Week Kampala-Wakiso'!J56+'Avg Week Wakiso-Kampala'!J56</f>
        <v>6.8571428571428577</v>
      </c>
      <c r="K56" s="49">
        <f>'Avg Week Kampala-Wakiso'!K56+'Avg Week Wakiso-Kampala'!K56</f>
        <v>2.5714285714285712</v>
      </c>
      <c r="L56" s="49">
        <f>'Avg Week Kampala-Wakiso'!L56+'Avg Week Wakiso-Kampala'!L56</f>
        <v>1.1428571428571428</v>
      </c>
      <c r="M56" s="49">
        <f>'Avg Week Kampala-Wakiso'!M56+'Avg Week Wakiso-Kampala'!M56</f>
        <v>191.85714285714286</v>
      </c>
      <c r="N56" s="49">
        <f>'Avg Week Kampala-Wakiso'!N56+'Avg Week Wakiso-Kampala'!N56</f>
        <v>0.2857142857142857</v>
      </c>
      <c r="O56" s="15">
        <f t="shared" si="0"/>
        <v>319.42857142857139</v>
      </c>
      <c r="P56" s="15">
        <f t="shared" si="1"/>
        <v>511.28571428571428</v>
      </c>
      <c r="R56" s="8"/>
      <c r="T56"/>
    </row>
    <row r="57" spans="2:20" ht="23.1" customHeight="1" x14ac:dyDescent="0.25">
      <c r="B57" s="23" t="s">
        <v>84</v>
      </c>
      <c r="C57" s="49">
        <f>'Avg Week Kampala-Wakiso'!C57+'Avg Week Wakiso-Kampala'!C57</f>
        <v>92.428571428571431</v>
      </c>
      <c r="D57" s="49">
        <f>'Avg Week Kampala-Wakiso'!D57+'Avg Week Wakiso-Kampala'!D57</f>
        <v>60.857142857142861</v>
      </c>
      <c r="E57" s="49">
        <f>'Avg Week Kampala-Wakiso'!E57+'Avg Week Wakiso-Kampala'!E57</f>
        <v>11.571428571428573</v>
      </c>
      <c r="F57" s="49">
        <f>'Avg Week Kampala-Wakiso'!F57+'Avg Week Wakiso-Kampala'!F57</f>
        <v>102</v>
      </c>
      <c r="G57" s="49">
        <f>'Avg Week Kampala-Wakiso'!G57+'Avg Week Wakiso-Kampala'!G57</f>
        <v>2.7142857142857144</v>
      </c>
      <c r="H57" s="49">
        <f>'Avg Week Kampala-Wakiso'!H57+'Avg Week Wakiso-Kampala'!H57</f>
        <v>0.8571428571428571</v>
      </c>
      <c r="I57" s="49">
        <f>'Avg Week Kampala-Wakiso'!I57+'Avg Week Wakiso-Kampala'!I57</f>
        <v>14.142857142857142</v>
      </c>
      <c r="J57" s="49">
        <f>'Avg Week Kampala-Wakiso'!J57+'Avg Week Wakiso-Kampala'!J57</f>
        <v>4.5714285714285712</v>
      </c>
      <c r="K57" s="49">
        <f>'Avg Week Kampala-Wakiso'!K57+'Avg Week Wakiso-Kampala'!K57</f>
        <v>1.8571428571428572</v>
      </c>
      <c r="L57" s="49">
        <f>'Avg Week Kampala-Wakiso'!L57+'Avg Week Wakiso-Kampala'!L57</f>
        <v>2</v>
      </c>
      <c r="M57" s="49">
        <f>'Avg Week Kampala-Wakiso'!M57+'Avg Week Wakiso-Kampala'!M57</f>
        <v>184</v>
      </c>
      <c r="N57" s="49">
        <f>'Avg Week Kampala-Wakiso'!N57+'Avg Week Wakiso-Kampala'!N57</f>
        <v>0</v>
      </c>
      <c r="O57" s="15">
        <f t="shared" si="0"/>
        <v>293</v>
      </c>
      <c r="P57" s="15">
        <f t="shared" si="1"/>
        <v>477</v>
      </c>
      <c r="R57" s="8"/>
      <c r="T57"/>
    </row>
    <row r="58" spans="2:20" ht="23.1" customHeight="1" x14ac:dyDescent="0.25">
      <c r="B58" s="23" t="s">
        <v>99</v>
      </c>
      <c r="C58" s="49">
        <f>'Avg Week Kampala-Wakiso'!C58+'Avg Week Wakiso-Kampala'!C58</f>
        <v>77.5</v>
      </c>
      <c r="D58" s="49">
        <f>'Avg Week Kampala-Wakiso'!D58+'Avg Week Wakiso-Kampala'!D58</f>
        <v>64</v>
      </c>
      <c r="E58" s="49">
        <f>'Avg Week Kampala-Wakiso'!E58+'Avg Week Wakiso-Kampala'!E58</f>
        <v>50.5</v>
      </c>
      <c r="F58" s="49">
        <f>'Avg Week Kampala-Wakiso'!F58+'Avg Week Wakiso-Kampala'!F58</f>
        <v>96.5</v>
      </c>
      <c r="G58" s="49">
        <f>'Avg Week Kampala-Wakiso'!G58+'Avg Week Wakiso-Kampala'!G58</f>
        <v>7.5</v>
      </c>
      <c r="H58" s="49">
        <f>'Avg Week Kampala-Wakiso'!H58+'Avg Week Wakiso-Kampala'!H58</f>
        <v>2</v>
      </c>
      <c r="I58" s="49">
        <f>'Avg Week Kampala-Wakiso'!I58+'Avg Week Wakiso-Kampala'!I58</f>
        <v>12</v>
      </c>
      <c r="J58" s="49">
        <f>'Avg Week Kampala-Wakiso'!J58+'Avg Week Wakiso-Kampala'!J58</f>
        <v>2</v>
      </c>
      <c r="K58" s="49">
        <f>'Avg Week Kampala-Wakiso'!K58+'Avg Week Wakiso-Kampala'!K58</f>
        <v>3</v>
      </c>
      <c r="L58" s="49">
        <f>'Avg Week Kampala-Wakiso'!L58+'Avg Week Wakiso-Kampala'!L58</f>
        <v>1</v>
      </c>
      <c r="M58" s="49">
        <f>'Avg Week Kampala-Wakiso'!M58+'Avg Week Wakiso-Kampala'!M58</f>
        <v>156</v>
      </c>
      <c r="N58" s="49">
        <f>'Avg Week Kampala-Wakiso'!N58+'Avg Week Wakiso-Kampala'!N58</f>
        <v>0</v>
      </c>
      <c r="O58" s="15">
        <f t="shared" si="0"/>
        <v>316</v>
      </c>
      <c r="P58" s="15">
        <f t="shared" si="1"/>
        <v>472</v>
      </c>
      <c r="R58" s="8"/>
      <c r="T58"/>
    </row>
    <row r="59" spans="2:20" ht="23.1" customHeight="1" x14ac:dyDescent="0.25">
      <c r="B59" s="23" t="s">
        <v>100</v>
      </c>
      <c r="C59" s="49">
        <f>'Avg Week Kampala-Wakiso'!C59+'Avg Week Wakiso-Kampala'!C59</f>
        <v>84</v>
      </c>
      <c r="D59" s="49">
        <f>'Avg Week Kampala-Wakiso'!D59+'Avg Week Wakiso-Kampala'!D59</f>
        <v>60.5</v>
      </c>
      <c r="E59" s="49">
        <f>'Avg Week Kampala-Wakiso'!E59+'Avg Week Wakiso-Kampala'!E59</f>
        <v>39.5</v>
      </c>
      <c r="F59" s="49">
        <f>'Avg Week Kampala-Wakiso'!F59+'Avg Week Wakiso-Kampala'!F59</f>
        <v>85</v>
      </c>
      <c r="G59" s="49">
        <f>'Avg Week Kampala-Wakiso'!G59+'Avg Week Wakiso-Kampala'!G59</f>
        <v>3</v>
      </c>
      <c r="H59" s="49">
        <f>'Avg Week Kampala-Wakiso'!H59+'Avg Week Wakiso-Kampala'!H59</f>
        <v>0.5</v>
      </c>
      <c r="I59" s="49">
        <f>'Avg Week Kampala-Wakiso'!I59+'Avg Week Wakiso-Kampala'!I59</f>
        <v>13.5</v>
      </c>
      <c r="J59" s="49">
        <f>'Avg Week Kampala-Wakiso'!J59+'Avg Week Wakiso-Kampala'!J59</f>
        <v>6.5</v>
      </c>
      <c r="K59" s="49">
        <f>'Avg Week Kampala-Wakiso'!K59+'Avg Week Wakiso-Kampala'!K59</f>
        <v>1</v>
      </c>
      <c r="L59" s="49">
        <f>'Avg Week Kampala-Wakiso'!L59+'Avg Week Wakiso-Kampala'!L59</f>
        <v>1.5</v>
      </c>
      <c r="M59" s="49">
        <f>'Avg Week Kampala-Wakiso'!M59+'Avg Week Wakiso-Kampala'!M59</f>
        <v>145</v>
      </c>
      <c r="N59" s="49">
        <f>'Avg Week Kampala-Wakiso'!N59+'Avg Week Wakiso-Kampala'!N59</f>
        <v>0</v>
      </c>
      <c r="O59" s="15">
        <f t="shared" si="0"/>
        <v>295</v>
      </c>
      <c r="P59" s="15">
        <f t="shared" si="1"/>
        <v>440</v>
      </c>
      <c r="R59" s="8"/>
      <c r="T59"/>
    </row>
    <row r="60" spans="2:20" ht="23.1" customHeight="1" x14ac:dyDescent="0.25">
      <c r="B60" s="23" t="s">
        <v>101</v>
      </c>
      <c r="C60" s="49">
        <f>'Avg Week Kampala-Wakiso'!C60+'Avg Week Wakiso-Kampala'!C60</f>
        <v>81.5</v>
      </c>
      <c r="D60" s="49">
        <f>'Avg Week Kampala-Wakiso'!D60+'Avg Week Wakiso-Kampala'!D60</f>
        <v>53.5</v>
      </c>
      <c r="E60" s="49">
        <f>'Avg Week Kampala-Wakiso'!E60+'Avg Week Wakiso-Kampala'!E60</f>
        <v>11.5</v>
      </c>
      <c r="F60" s="49">
        <f>'Avg Week Kampala-Wakiso'!F60+'Avg Week Wakiso-Kampala'!F60</f>
        <v>92.5</v>
      </c>
      <c r="G60" s="49">
        <f>'Avg Week Kampala-Wakiso'!G60+'Avg Week Wakiso-Kampala'!G60</f>
        <v>3</v>
      </c>
      <c r="H60" s="49">
        <f>'Avg Week Kampala-Wakiso'!H60+'Avg Week Wakiso-Kampala'!H60</f>
        <v>0.5</v>
      </c>
      <c r="I60" s="49">
        <f>'Avg Week Kampala-Wakiso'!I60+'Avg Week Wakiso-Kampala'!I60</f>
        <v>9.5</v>
      </c>
      <c r="J60" s="49">
        <f>'Avg Week Kampala-Wakiso'!J60+'Avg Week Wakiso-Kampala'!J60</f>
        <v>0</v>
      </c>
      <c r="K60" s="49">
        <f>'Avg Week Kampala-Wakiso'!K60+'Avg Week Wakiso-Kampala'!K60</f>
        <v>0</v>
      </c>
      <c r="L60" s="49">
        <f>'Avg Week Kampala-Wakiso'!L60+'Avg Week Wakiso-Kampala'!L60</f>
        <v>4</v>
      </c>
      <c r="M60" s="49">
        <f>'Avg Week Kampala-Wakiso'!M60+'Avg Week Wakiso-Kampala'!M60</f>
        <v>152.5</v>
      </c>
      <c r="N60" s="49">
        <f>'Avg Week Kampala-Wakiso'!N60+'Avg Week Wakiso-Kampala'!N60</f>
        <v>0</v>
      </c>
      <c r="O60" s="15">
        <f t="shared" si="0"/>
        <v>256</v>
      </c>
      <c r="P60" s="15">
        <f t="shared" si="1"/>
        <v>408.5</v>
      </c>
      <c r="R60" s="8"/>
      <c r="T60"/>
    </row>
    <row r="61" spans="2:20" ht="23.1" customHeight="1" x14ac:dyDescent="0.25">
      <c r="B61" s="23" t="s">
        <v>102</v>
      </c>
      <c r="C61" s="49">
        <f>'Avg Week Kampala-Wakiso'!C61+'Avg Week Wakiso-Kampala'!C61</f>
        <v>80</v>
      </c>
      <c r="D61" s="49">
        <f>'Avg Week Kampala-Wakiso'!D61+'Avg Week Wakiso-Kampala'!D61</f>
        <v>56</v>
      </c>
      <c r="E61" s="49">
        <f>'Avg Week Kampala-Wakiso'!E61+'Avg Week Wakiso-Kampala'!E61</f>
        <v>9</v>
      </c>
      <c r="F61" s="49">
        <f>'Avg Week Kampala-Wakiso'!F61+'Avg Week Wakiso-Kampala'!F61</f>
        <v>92.5</v>
      </c>
      <c r="G61" s="49">
        <f>'Avg Week Kampala-Wakiso'!G61+'Avg Week Wakiso-Kampala'!G61</f>
        <v>0.5</v>
      </c>
      <c r="H61" s="49">
        <f>'Avg Week Kampala-Wakiso'!H61+'Avg Week Wakiso-Kampala'!H61</f>
        <v>1.5</v>
      </c>
      <c r="I61" s="49">
        <f>'Avg Week Kampala-Wakiso'!I61+'Avg Week Wakiso-Kampala'!I61</f>
        <v>8.5</v>
      </c>
      <c r="J61" s="49">
        <f>'Avg Week Kampala-Wakiso'!J61+'Avg Week Wakiso-Kampala'!J61</f>
        <v>1.5</v>
      </c>
      <c r="K61" s="49">
        <f>'Avg Week Kampala-Wakiso'!K61+'Avg Week Wakiso-Kampala'!K61</f>
        <v>0</v>
      </c>
      <c r="L61" s="49">
        <f>'Avg Week Kampala-Wakiso'!L61+'Avg Week Wakiso-Kampala'!L61</f>
        <v>0.5</v>
      </c>
      <c r="M61" s="49">
        <f>'Avg Week Kampala-Wakiso'!M61+'Avg Week Wakiso-Kampala'!M61</f>
        <v>191.5</v>
      </c>
      <c r="N61" s="49">
        <f>'Avg Week Kampala-Wakiso'!N61+'Avg Week Wakiso-Kampala'!N61</f>
        <v>0</v>
      </c>
      <c r="O61" s="15">
        <f t="shared" si="0"/>
        <v>250</v>
      </c>
      <c r="P61" s="15">
        <f t="shared" si="1"/>
        <v>441.5</v>
      </c>
      <c r="R61" s="8"/>
      <c r="T61"/>
    </row>
    <row r="62" spans="2:20" ht="23.1" customHeight="1" x14ac:dyDescent="0.25">
      <c r="B62" s="23" t="s">
        <v>107</v>
      </c>
      <c r="C62" s="49">
        <f>'Avg Week Kampala-Wakiso'!C62+'Avg Week Wakiso-Kampala'!C62</f>
        <v>81.5</v>
      </c>
      <c r="D62" s="49">
        <f>'Avg Week Kampala-Wakiso'!D62+'Avg Week Wakiso-Kampala'!D62</f>
        <v>71</v>
      </c>
      <c r="E62" s="49">
        <f>'Avg Week Kampala-Wakiso'!E62+'Avg Week Wakiso-Kampala'!E62</f>
        <v>11.5</v>
      </c>
      <c r="F62" s="49">
        <f>'Avg Week Kampala-Wakiso'!F62+'Avg Week Wakiso-Kampala'!F62</f>
        <v>77.5</v>
      </c>
      <c r="G62" s="49">
        <f>'Avg Week Kampala-Wakiso'!G62+'Avg Week Wakiso-Kampala'!G62</f>
        <v>1.5</v>
      </c>
      <c r="H62" s="49">
        <f>'Avg Week Kampala-Wakiso'!H62+'Avg Week Wakiso-Kampala'!H62</f>
        <v>2.5</v>
      </c>
      <c r="I62" s="49">
        <f>'Avg Week Kampala-Wakiso'!I62+'Avg Week Wakiso-Kampala'!I62</f>
        <v>9</v>
      </c>
      <c r="J62" s="49">
        <f>'Avg Week Kampala-Wakiso'!J62+'Avg Week Wakiso-Kampala'!J62</f>
        <v>2.5</v>
      </c>
      <c r="K62" s="49">
        <f>'Avg Week Kampala-Wakiso'!K62+'Avg Week Wakiso-Kampala'!K62</f>
        <v>0.5</v>
      </c>
      <c r="L62" s="49">
        <f>'Avg Week Kampala-Wakiso'!L62+'Avg Week Wakiso-Kampala'!L62</f>
        <v>0.5</v>
      </c>
      <c r="M62" s="49">
        <f>'Avg Week Kampala-Wakiso'!M62+'Avg Week Wakiso-Kampala'!M62</f>
        <v>175</v>
      </c>
      <c r="N62" s="49">
        <f>'Avg Week Kampala-Wakiso'!N62+'Avg Week Wakiso-Kampala'!N62</f>
        <v>0</v>
      </c>
      <c r="O62" s="15">
        <f t="shared" si="0"/>
        <v>258</v>
      </c>
      <c r="P62" s="15">
        <f t="shared" si="1"/>
        <v>433</v>
      </c>
      <c r="R62" s="8"/>
      <c r="T62"/>
    </row>
    <row r="63" spans="2:20" ht="23.1" customHeight="1" x14ac:dyDescent="0.25">
      <c r="B63" s="23" t="s">
        <v>108</v>
      </c>
      <c r="C63" s="49">
        <f>'Avg Week Kampala-Wakiso'!C63+'Avg Week Wakiso-Kampala'!C63</f>
        <v>97.5</v>
      </c>
      <c r="D63" s="49">
        <f>'Avg Week Kampala-Wakiso'!D63+'Avg Week Wakiso-Kampala'!D63</f>
        <v>78</v>
      </c>
      <c r="E63" s="49">
        <f>'Avg Week Kampala-Wakiso'!E63+'Avg Week Wakiso-Kampala'!E63</f>
        <v>13.5</v>
      </c>
      <c r="F63" s="49">
        <f>'Avg Week Kampala-Wakiso'!F63+'Avg Week Wakiso-Kampala'!F63</f>
        <v>147.5</v>
      </c>
      <c r="G63" s="49">
        <f>'Avg Week Kampala-Wakiso'!G63+'Avg Week Wakiso-Kampala'!G63</f>
        <v>4.5</v>
      </c>
      <c r="H63" s="49">
        <f>'Avg Week Kampala-Wakiso'!H63+'Avg Week Wakiso-Kampala'!H63</f>
        <v>2</v>
      </c>
      <c r="I63" s="49">
        <f>'Avg Week Kampala-Wakiso'!I63+'Avg Week Wakiso-Kampala'!I63</f>
        <v>19</v>
      </c>
      <c r="J63" s="49">
        <f>'Avg Week Kampala-Wakiso'!J63+'Avg Week Wakiso-Kampala'!J63</f>
        <v>0.5</v>
      </c>
      <c r="K63" s="49">
        <f>'Avg Week Kampala-Wakiso'!K63+'Avg Week Wakiso-Kampala'!K63</f>
        <v>0.5</v>
      </c>
      <c r="L63" s="49">
        <f>'Avg Week Kampala-Wakiso'!L63+'Avg Week Wakiso-Kampala'!L63</f>
        <v>1</v>
      </c>
      <c r="M63" s="49">
        <f>'Avg Week Kampala-Wakiso'!M63+'Avg Week Wakiso-Kampala'!M63</f>
        <v>177.5</v>
      </c>
      <c r="N63" s="49">
        <f>'Avg Week Kampala-Wakiso'!N63+'Avg Week Wakiso-Kampala'!N63</f>
        <v>0</v>
      </c>
      <c r="O63" s="15">
        <f t="shared" si="0"/>
        <v>364</v>
      </c>
      <c r="P63" s="15">
        <f t="shared" si="1"/>
        <v>541.5</v>
      </c>
      <c r="R63" s="8"/>
      <c r="T63"/>
    </row>
    <row r="64" spans="2:20" ht="23.1" customHeight="1" x14ac:dyDescent="0.25">
      <c r="B64" s="23" t="s">
        <v>109</v>
      </c>
      <c r="C64" s="49">
        <f>'Avg Week Kampala-Wakiso'!C64+'Avg Week Wakiso-Kampala'!C64</f>
        <v>132.5</v>
      </c>
      <c r="D64" s="49">
        <f>'Avg Week Kampala-Wakiso'!D64+'Avg Week Wakiso-Kampala'!D64</f>
        <v>95</v>
      </c>
      <c r="E64" s="49">
        <f>'Avg Week Kampala-Wakiso'!E64+'Avg Week Wakiso-Kampala'!E64</f>
        <v>21.5</v>
      </c>
      <c r="F64" s="49">
        <f>'Avg Week Kampala-Wakiso'!F64+'Avg Week Wakiso-Kampala'!F64</f>
        <v>104</v>
      </c>
      <c r="G64" s="49">
        <f>'Avg Week Kampala-Wakiso'!G64+'Avg Week Wakiso-Kampala'!G64</f>
        <v>5</v>
      </c>
      <c r="H64" s="49">
        <f>'Avg Week Kampala-Wakiso'!H64+'Avg Week Wakiso-Kampala'!H64</f>
        <v>3</v>
      </c>
      <c r="I64" s="49">
        <f>'Avg Week Kampala-Wakiso'!I64+'Avg Week Wakiso-Kampala'!I64</f>
        <v>8</v>
      </c>
      <c r="J64" s="49">
        <f>'Avg Week Kampala-Wakiso'!J64+'Avg Week Wakiso-Kampala'!J64</f>
        <v>0</v>
      </c>
      <c r="K64" s="49">
        <f>'Avg Week Kampala-Wakiso'!K64+'Avg Week Wakiso-Kampala'!K64</f>
        <v>1</v>
      </c>
      <c r="L64" s="49">
        <f>'Avg Week Kampala-Wakiso'!L64+'Avg Week Wakiso-Kampala'!L64</f>
        <v>0.5</v>
      </c>
      <c r="M64" s="49">
        <f>'Avg Week Kampala-Wakiso'!M64+'Avg Week Wakiso-Kampala'!M64</f>
        <v>187.5</v>
      </c>
      <c r="N64" s="49">
        <f>'Avg Week Kampala-Wakiso'!N64+'Avg Week Wakiso-Kampala'!N64</f>
        <v>0</v>
      </c>
      <c r="O64" s="15">
        <f t="shared" si="0"/>
        <v>370.5</v>
      </c>
      <c r="P64" s="15">
        <f t="shared" si="1"/>
        <v>558</v>
      </c>
      <c r="R64" s="8"/>
      <c r="T64"/>
    </row>
    <row r="65" spans="2:20" ht="23.1" customHeight="1" x14ac:dyDescent="0.25">
      <c r="B65" s="23" t="s">
        <v>158</v>
      </c>
      <c r="C65" s="49">
        <f>'Avg Week Kampala-Wakiso'!C65+'Avg Week Wakiso-Kampala'!C65</f>
        <v>108.5</v>
      </c>
      <c r="D65" s="49">
        <f>'Avg Week Kampala-Wakiso'!D65+'Avg Week Wakiso-Kampala'!D65</f>
        <v>85.5</v>
      </c>
      <c r="E65" s="49">
        <f>'Avg Week Kampala-Wakiso'!E65+'Avg Week Wakiso-Kampala'!E65</f>
        <v>13</v>
      </c>
      <c r="F65" s="49">
        <f>'Avg Week Kampala-Wakiso'!F65+'Avg Week Wakiso-Kampala'!F65</f>
        <v>147.5</v>
      </c>
      <c r="G65" s="49">
        <f>'Avg Week Kampala-Wakiso'!G65+'Avg Week Wakiso-Kampala'!G65</f>
        <v>1.5</v>
      </c>
      <c r="H65" s="49">
        <f>'Avg Week Kampala-Wakiso'!H65+'Avg Week Wakiso-Kampala'!H65</f>
        <v>1.5</v>
      </c>
      <c r="I65" s="49">
        <f>'Avg Week Kampala-Wakiso'!I65+'Avg Week Wakiso-Kampala'!I65</f>
        <v>19</v>
      </c>
      <c r="J65" s="49">
        <f>'Avg Week Kampala-Wakiso'!J65+'Avg Week Wakiso-Kampala'!J65</f>
        <v>2.5</v>
      </c>
      <c r="K65" s="49">
        <f>'Avg Week Kampala-Wakiso'!K65+'Avg Week Wakiso-Kampala'!K65</f>
        <v>0.5</v>
      </c>
      <c r="L65" s="49">
        <f>'Avg Week Kampala-Wakiso'!L65+'Avg Week Wakiso-Kampala'!L65</f>
        <v>2</v>
      </c>
      <c r="M65" s="49">
        <f>'Avg Week Kampala-Wakiso'!M65+'Avg Week Wakiso-Kampala'!M65</f>
        <v>184</v>
      </c>
      <c r="N65" s="49">
        <f>'Avg Week Kampala-Wakiso'!N65+'Avg Week Wakiso-Kampala'!N65</f>
        <v>0</v>
      </c>
      <c r="O65" s="15">
        <f t="shared" si="0"/>
        <v>381.5</v>
      </c>
      <c r="P65" s="15">
        <f t="shared" si="1"/>
        <v>565.5</v>
      </c>
      <c r="R65" s="8"/>
      <c r="T65"/>
    </row>
    <row r="66" spans="2:20" ht="23.1" customHeight="1" x14ac:dyDescent="0.25">
      <c r="B66" s="23" t="s">
        <v>103</v>
      </c>
      <c r="C66" s="49">
        <f>'Avg Week Kampala-Wakiso'!C66+'Avg Week Wakiso-Kampala'!C66</f>
        <v>127.5</v>
      </c>
      <c r="D66" s="49">
        <f>'Avg Week Kampala-Wakiso'!D66+'Avg Week Wakiso-Kampala'!D66</f>
        <v>73.5</v>
      </c>
      <c r="E66" s="49">
        <f>'Avg Week Kampala-Wakiso'!E66+'Avg Week Wakiso-Kampala'!E66</f>
        <v>11.5</v>
      </c>
      <c r="F66" s="49">
        <f>'Avg Week Kampala-Wakiso'!F66+'Avg Week Wakiso-Kampala'!F66</f>
        <v>127.5</v>
      </c>
      <c r="G66" s="49">
        <f>'Avg Week Kampala-Wakiso'!G66+'Avg Week Wakiso-Kampala'!G66</f>
        <v>2.5</v>
      </c>
      <c r="H66" s="49">
        <f>'Avg Week Kampala-Wakiso'!H66+'Avg Week Wakiso-Kampala'!H66</f>
        <v>0</v>
      </c>
      <c r="I66" s="49">
        <f>'Avg Week Kampala-Wakiso'!I66+'Avg Week Wakiso-Kampala'!I66</f>
        <v>5</v>
      </c>
      <c r="J66" s="49">
        <f>'Avg Week Kampala-Wakiso'!J66+'Avg Week Wakiso-Kampala'!J66</f>
        <v>8</v>
      </c>
      <c r="K66" s="49">
        <f>'Avg Week Kampala-Wakiso'!K66+'Avg Week Wakiso-Kampala'!K66</f>
        <v>0.5</v>
      </c>
      <c r="L66" s="49">
        <f>'Avg Week Kampala-Wakiso'!L66+'Avg Week Wakiso-Kampala'!L66</f>
        <v>2</v>
      </c>
      <c r="M66" s="49">
        <f>'Avg Week Kampala-Wakiso'!M66+'Avg Week Wakiso-Kampala'!M66</f>
        <v>180</v>
      </c>
      <c r="N66" s="49">
        <f>'Avg Week Kampala-Wakiso'!N66+'Avg Week Wakiso-Kampala'!N66</f>
        <v>0</v>
      </c>
      <c r="O66" s="15">
        <f t="shared" si="0"/>
        <v>358</v>
      </c>
      <c r="P66" s="15">
        <f t="shared" si="1"/>
        <v>538</v>
      </c>
      <c r="R66" s="8"/>
      <c r="T66"/>
    </row>
    <row r="67" spans="2:20" ht="23.1" customHeight="1" x14ac:dyDescent="0.25">
      <c r="B67" s="23" t="s">
        <v>104</v>
      </c>
      <c r="C67" s="49">
        <f>'Avg Week Kampala-Wakiso'!C67+'Avg Week Wakiso-Kampala'!C67</f>
        <v>105</v>
      </c>
      <c r="D67" s="49">
        <f>'Avg Week Kampala-Wakiso'!D67+'Avg Week Wakiso-Kampala'!D67</f>
        <v>76.5</v>
      </c>
      <c r="E67" s="49">
        <f>'Avg Week Kampala-Wakiso'!E67+'Avg Week Wakiso-Kampala'!E67</f>
        <v>5.5</v>
      </c>
      <c r="F67" s="49">
        <f>'Avg Week Kampala-Wakiso'!F67+'Avg Week Wakiso-Kampala'!F67</f>
        <v>118.5</v>
      </c>
      <c r="G67" s="49">
        <f>'Avg Week Kampala-Wakiso'!G67+'Avg Week Wakiso-Kampala'!G67</f>
        <v>2.5</v>
      </c>
      <c r="H67" s="49">
        <f>'Avg Week Kampala-Wakiso'!H67+'Avg Week Wakiso-Kampala'!H67</f>
        <v>0</v>
      </c>
      <c r="I67" s="49">
        <f>'Avg Week Kampala-Wakiso'!I67+'Avg Week Wakiso-Kampala'!I67</f>
        <v>8.5</v>
      </c>
      <c r="J67" s="49">
        <f>'Avg Week Kampala-Wakiso'!J67+'Avg Week Wakiso-Kampala'!J67</f>
        <v>2</v>
      </c>
      <c r="K67" s="49">
        <f>'Avg Week Kampala-Wakiso'!K67+'Avg Week Wakiso-Kampala'!K67</f>
        <v>1</v>
      </c>
      <c r="L67" s="49">
        <f>'Avg Week Kampala-Wakiso'!L67+'Avg Week Wakiso-Kampala'!L67</f>
        <v>0.5</v>
      </c>
      <c r="M67" s="49">
        <f>'Avg Week Kampala-Wakiso'!M67+'Avg Week Wakiso-Kampala'!M67</f>
        <v>168.5</v>
      </c>
      <c r="N67" s="49">
        <f>'Avg Week Kampala-Wakiso'!N67+'Avg Week Wakiso-Kampala'!N67</f>
        <v>0</v>
      </c>
      <c r="O67" s="15">
        <f t="shared" si="0"/>
        <v>320</v>
      </c>
      <c r="P67" s="15">
        <f t="shared" si="1"/>
        <v>488.5</v>
      </c>
      <c r="R67" s="8"/>
      <c r="T67"/>
    </row>
    <row r="68" spans="2:20" ht="23.1" customHeight="1" x14ac:dyDescent="0.25">
      <c r="B68" s="23" t="s">
        <v>105</v>
      </c>
      <c r="C68" s="49">
        <f>'Avg Week Kampala-Wakiso'!C68+'Avg Week Wakiso-Kampala'!C68</f>
        <v>80</v>
      </c>
      <c r="D68" s="49">
        <f>'Avg Week Kampala-Wakiso'!D68+'Avg Week Wakiso-Kampala'!D68</f>
        <v>67.5</v>
      </c>
      <c r="E68" s="49">
        <f>'Avg Week Kampala-Wakiso'!E68+'Avg Week Wakiso-Kampala'!E68</f>
        <v>13.5</v>
      </c>
      <c r="F68" s="49">
        <f>'Avg Week Kampala-Wakiso'!F68+'Avg Week Wakiso-Kampala'!F68</f>
        <v>106.5</v>
      </c>
      <c r="G68" s="49">
        <f>'Avg Week Kampala-Wakiso'!G68+'Avg Week Wakiso-Kampala'!G68</f>
        <v>0</v>
      </c>
      <c r="H68" s="49">
        <f>'Avg Week Kampala-Wakiso'!H68+'Avg Week Wakiso-Kampala'!H68</f>
        <v>2</v>
      </c>
      <c r="I68" s="49">
        <f>'Avg Week Kampala-Wakiso'!I68+'Avg Week Wakiso-Kampala'!I68</f>
        <v>8</v>
      </c>
      <c r="J68" s="49">
        <f>'Avg Week Kampala-Wakiso'!J68+'Avg Week Wakiso-Kampala'!J68</f>
        <v>1.5</v>
      </c>
      <c r="K68" s="49">
        <f>'Avg Week Kampala-Wakiso'!K68+'Avg Week Wakiso-Kampala'!K68</f>
        <v>1.5</v>
      </c>
      <c r="L68" s="49">
        <f>'Avg Week Kampala-Wakiso'!L68+'Avg Week Wakiso-Kampala'!L68</f>
        <v>1</v>
      </c>
      <c r="M68" s="49">
        <f>'Avg Week Kampala-Wakiso'!M68+'Avg Week Wakiso-Kampala'!M68</f>
        <v>150</v>
      </c>
      <c r="N68" s="49">
        <f>'Avg Week Kampala-Wakiso'!N68+'Avg Week Wakiso-Kampala'!N68</f>
        <v>0</v>
      </c>
      <c r="O68" s="15">
        <f t="shared" si="0"/>
        <v>281.5</v>
      </c>
      <c r="P68" s="15">
        <f t="shared" si="1"/>
        <v>431.5</v>
      </c>
      <c r="R68" s="8"/>
      <c r="T68"/>
    </row>
    <row r="69" spans="2:20" ht="23.1" customHeight="1" x14ac:dyDescent="0.25">
      <c r="B69" s="23" t="s">
        <v>106</v>
      </c>
      <c r="C69" s="49">
        <f>'Avg Week Kampala-Wakiso'!C69+'Avg Week Wakiso-Kampala'!C69</f>
        <v>111.5</v>
      </c>
      <c r="D69" s="49">
        <f>'Avg Week Kampala-Wakiso'!D69+'Avg Week Wakiso-Kampala'!D69</f>
        <v>77</v>
      </c>
      <c r="E69" s="49">
        <f>'Avg Week Kampala-Wakiso'!E69+'Avg Week Wakiso-Kampala'!E69</f>
        <v>16</v>
      </c>
      <c r="F69" s="49">
        <f>'Avg Week Kampala-Wakiso'!F69+'Avg Week Wakiso-Kampala'!F69</f>
        <v>103.5</v>
      </c>
      <c r="G69" s="49">
        <f>'Avg Week Kampala-Wakiso'!G69+'Avg Week Wakiso-Kampala'!G69</f>
        <v>3.5</v>
      </c>
      <c r="H69" s="49">
        <f>'Avg Week Kampala-Wakiso'!H69+'Avg Week Wakiso-Kampala'!H69</f>
        <v>0.5</v>
      </c>
      <c r="I69" s="49">
        <f>'Avg Week Kampala-Wakiso'!I69+'Avg Week Wakiso-Kampala'!I69</f>
        <v>7.5</v>
      </c>
      <c r="J69" s="49">
        <f>'Avg Week Kampala-Wakiso'!J69+'Avg Week Wakiso-Kampala'!J69</f>
        <v>1.5</v>
      </c>
      <c r="K69" s="49">
        <f>'Avg Week Kampala-Wakiso'!K69+'Avg Week Wakiso-Kampala'!K69</f>
        <v>0.5</v>
      </c>
      <c r="L69" s="49">
        <f>'Avg Week Kampala-Wakiso'!L69+'Avg Week Wakiso-Kampala'!L69</f>
        <v>3</v>
      </c>
      <c r="M69" s="49">
        <f>'Avg Week Kampala-Wakiso'!M69+'Avg Week Wakiso-Kampala'!M69</f>
        <v>157.5</v>
      </c>
      <c r="N69" s="49">
        <f>'Avg Week Kampala-Wakiso'!N69+'Avg Week Wakiso-Kampala'!N69</f>
        <v>0</v>
      </c>
      <c r="O69" s="15">
        <f t="shared" si="0"/>
        <v>324.5</v>
      </c>
      <c r="P69" s="15">
        <f t="shared" si="1"/>
        <v>482</v>
      </c>
      <c r="R69" s="8"/>
      <c r="T69"/>
    </row>
    <row r="70" spans="2:20" ht="23.1" customHeight="1" x14ac:dyDescent="0.25">
      <c r="B70" s="23" t="s">
        <v>110</v>
      </c>
      <c r="C70" s="49">
        <f>'Avg Week Kampala-Wakiso'!C70+'Avg Week Wakiso-Kampala'!C70</f>
        <v>102.5</v>
      </c>
      <c r="D70" s="49">
        <f>'Avg Week Kampala-Wakiso'!D70+'Avg Week Wakiso-Kampala'!D70</f>
        <v>70.5</v>
      </c>
      <c r="E70" s="49">
        <f>'Avg Week Kampala-Wakiso'!E70+'Avg Week Wakiso-Kampala'!E70</f>
        <v>12.5</v>
      </c>
      <c r="F70" s="49">
        <f>'Avg Week Kampala-Wakiso'!F70+'Avg Week Wakiso-Kampala'!F70</f>
        <v>78.5</v>
      </c>
      <c r="G70" s="49">
        <f>'Avg Week Kampala-Wakiso'!G70+'Avg Week Wakiso-Kampala'!G70</f>
        <v>7</v>
      </c>
      <c r="H70" s="49">
        <f>'Avg Week Kampala-Wakiso'!H70+'Avg Week Wakiso-Kampala'!H70</f>
        <v>1.5</v>
      </c>
      <c r="I70" s="49">
        <f>'Avg Week Kampala-Wakiso'!I70+'Avg Week Wakiso-Kampala'!I70</f>
        <v>5</v>
      </c>
      <c r="J70" s="49">
        <f>'Avg Week Kampala-Wakiso'!J70+'Avg Week Wakiso-Kampala'!J70</f>
        <v>2.5</v>
      </c>
      <c r="K70" s="49">
        <f>'Avg Week Kampala-Wakiso'!K70+'Avg Week Wakiso-Kampala'!K70</f>
        <v>0</v>
      </c>
      <c r="L70" s="49">
        <f>'Avg Week Kampala-Wakiso'!L70+'Avg Week Wakiso-Kampala'!L70</f>
        <v>0.5</v>
      </c>
      <c r="M70" s="49">
        <f>'Avg Week Kampala-Wakiso'!M70+'Avg Week Wakiso-Kampala'!M70</f>
        <v>243</v>
      </c>
      <c r="N70" s="49">
        <f>'Avg Week Kampala-Wakiso'!N70+'Avg Week Wakiso-Kampala'!N70</f>
        <v>0</v>
      </c>
      <c r="O70" s="15">
        <f t="shared" si="0"/>
        <v>280.5</v>
      </c>
      <c r="P70" s="15">
        <f t="shared" si="1"/>
        <v>523.5</v>
      </c>
      <c r="R70" s="8"/>
      <c r="T70"/>
    </row>
    <row r="71" spans="2:20" ht="23.1" customHeight="1" x14ac:dyDescent="0.25">
      <c r="B71" s="23" t="s">
        <v>111</v>
      </c>
      <c r="C71" s="49">
        <f>'Avg Week Kampala-Wakiso'!C71+'Avg Week Wakiso-Kampala'!C71</f>
        <v>104.5</v>
      </c>
      <c r="D71" s="49">
        <f>'Avg Week Kampala-Wakiso'!D71+'Avg Week Wakiso-Kampala'!D71</f>
        <v>87.5</v>
      </c>
      <c r="E71" s="49">
        <f>'Avg Week Kampala-Wakiso'!E71+'Avg Week Wakiso-Kampala'!E71</f>
        <v>12</v>
      </c>
      <c r="F71" s="49">
        <f>'Avg Week Kampala-Wakiso'!F71+'Avg Week Wakiso-Kampala'!F71</f>
        <v>91.5</v>
      </c>
      <c r="G71" s="49">
        <f>'Avg Week Kampala-Wakiso'!G71+'Avg Week Wakiso-Kampala'!G71</f>
        <v>4.5</v>
      </c>
      <c r="H71" s="49">
        <f>'Avg Week Kampala-Wakiso'!H71+'Avg Week Wakiso-Kampala'!H71</f>
        <v>0</v>
      </c>
      <c r="I71" s="49">
        <f>'Avg Week Kampala-Wakiso'!I71+'Avg Week Wakiso-Kampala'!I71</f>
        <v>13</v>
      </c>
      <c r="J71" s="49">
        <f>'Avg Week Kampala-Wakiso'!J71+'Avg Week Wakiso-Kampala'!J71</f>
        <v>1</v>
      </c>
      <c r="K71" s="49">
        <f>'Avg Week Kampala-Wakiso'!K71+'Avg Week Wakiso-Kampala'!K71</f>
        <v>0</v>
      </c>
      <c r="L71" s="49">
        <f>'Avg Week Kampala-Wakiso'!L71+'Avg Week Wakiso-Kampala'!L71</f>
        <v>1</v>
      </c>
      <c r="M71" s="49">
        <f>'Avg Week Kampala-Wakiso'!M71+'Avg Week Wakiso-Kampala'!M71</f>
        <v>178</v>
      </c>
      <c r="N71" s="49">
        <f>'Avg Week Kampala-Wakiso'!N71+'Avg Week Wakiso-Kampala'!N71</f>
        <v>0</v>
      </c>
      <c r="O71" s="15">
        <f t="shared" si="0"/>
        <v>315</v>
      </c>
      <c r="P71" s="15">
        <f t="shared" si="1"/>
        <v>493</v>
      </c>
      <c r="R71" s="8"/>
      <c r="T71"/>
    </row>
    <row r="72" spans="2:20" ht="23.1" customHeight="1" x14ac:dyDescent="0.25">
      <c r="B72" s="23" t="s">
        <v>112</v>
      </c>
      <c r="C72" s="49">
        <f>'Avg Week Kampala-Wakiso'!C72+'Avg Week Wakiso-Kampala'!C72</f>
        <v>99</v>
      </c>
      <c r="D72" s="49">
        <f>'Avg Week Kampala-Wakiso'!D72+'Avg Week Wakiso-Kampala'!D72</f>
        <v>58.5</v>
      </c>
      <c r="E72" s="49">
        <f>'Avg Week Kampala-Wakiso'!E72+'Avg Week Wakiso-Kampala'!E72</f>
        <v>12</v>
      </c>
      <c r="F72" s="49">
        <f>'Avg Week Kampala-Wakiso'!F72+'Avg Week Wakiso-Kampala'!F72</f>
        <v>96.5</v>
      </c>
      <c r="G72" s="49">
        <f>'Avg Week Kampala-Wakiso'!G72+'Avg Week Wakiso-Kampala'!G72</f>
        <v>0</v>
      </c>
      <c r="H72" s="49">
        <f>'Avg Week Kampala-Wakiso'!H72+'Avg Week Wakiso-Kampala'!H72</f>
        <v>0</v>
      </c>
      <c r="I72" s="49">
        <f>'Avg Week Kampala-Wakiso'!I72+'Avg Week Wakiso-Kampala'!I72</f>
        <v>9.5</v>
      </c>
      <c r="J72" s="49">
        <f>'Avg Week Kampala-Wakiso'!J72+'Avg Week Wakiso-Kampala'!J72</f>
        <v>1</v>
      </c>
      <c r="K72" s="49">
        <f>'Avg Week Kampala-Wakiso'!K72+'Avg Week Wakiso-Kampala'!K72</f>
        <v>0</v>
      </c>
      <c r="L72" s="49">
        <f>'Avg Week Kampala-Wakiso'!L72+'Avg Week Wakiso-Kampala'!L72</f>
        <v>1</v>
      </c>
      <c r="M72" s="49">
        <f>'Avg Week Kampala-Wakiso'!M72+'Avg Week Wakiso-Kampala'!M72</f>
        <v>132.5</v>
      </c>
      <c r="N72" s="49">
        <f>'Avg Week Kampala-Wakiso'!N72+'Avg Week Wakiso-Kampala'!N72</f>
        <v>0</v>
      </c>
      <c r="O72" s="15">
        <f t="shared" si="0"/>
        <v>277.5</v>
      </c>
      <c r="P72" s="15">
        <f t="shared" si="1"/>
        <v>410</v>
      </c>
      <c r="R72" s="8"/>
      <c r="T72"/>
    </row>
    <row r="73" spans="2:20" ht="23.1" customHeight="1" x14ac:dyDescent="0.25">
      <c r="B73" s="23" t="s">
        <v>113</v>
      </c>
      <c r="C73" s="49">
        <f>'Avg Week Kampala-Wakiso'!C73+'Avg Week Wakiso-Kampala'!C73</f>
        <v>103</v>
      </c>
      <c r="D73" s="49">
        <f>'Avg Week Kampala-Wakiso'!D73+'Avg Week Wakiso-Kampala'!D73</f>
        <v>74</v>
      </c>
      <c r="E73" s="49">
        <f>'Avg Week Kampala-Wakiso'!E73+'Avg Week Wakiso-Kampala'!E73</f>
        <v>9.5</v>
      </c>
      <c r="F73" s="49">
        <f>'Avg Week Kampala-Wakiso'!F73+'Avg Week Wakiso-Kampala'!F73</f>
        <v>55.5</v>
      </c>
      <c r="G73" s="49">
        <f>'Avg Week Kampala-Wakiso'!G73+'Avg Week Wakiso-Kampala'!G73</f>
        <v>0.5</v>
      </c>
      <c r="H73" s="49">
        <f>'Avg Week Kampala-Wakiso'!H73+'Avg Week Wakiso-Kampala'!H73</f>
        <v>0</v>
      </c>
      <c r="I73" s="49">
        <f>'Avg Week Kampala-Wakiso'!I73+'Avg Week Wakiso-Kampala'!I73</f>
        <v>10.5</v>
      </c>
      <c r="J73" s="49">
        <f>'Avg Week Kampala-Wakiso'!J73+'Avg Week Wakiso-Kampala'!J73</f>
        <v>1.5</v>
      </c>
      <c r="K73" s="49">
        <f>'Avg Week Kampala-Wakiso'!K73+'Avg Week Wakiso-Kampala'!K73</f>
        <v>1.5</v>
      </c>
      <c r="L73" s="49">
        <f>'Avg Week Kampala-Wakiso'!L73+'Avg Week Wakiso-Kampala'!L73</f>
        <v>0</v>
      </c>
      <c r="M73" s="49">
        <f>'Avg Week Kampala-Wakiso'!M73+'Avg Week Wakiso-Kampala'!M73</f>
        <v>127.5</v>
      </c>
      <c r="N73" s="49">
        <f>'Avg Week Kampala-Wakiso'!N73+'Avg Week Wakiso-Kampala'!N73</f>
        <v>0</v>
      </c>
      <c r="O73" s="15">
        <f t="shared" si="0"/>
        <v>256</v>
      </c>
      <c r="P73" s="15">
        <f t="shared" si="1"/>
        <v>383.5</v>
      </c>
      <c r="R73" s="8"/>
      <c r="T73"/>
    </row>
    <row r="74" spans="2:20" ht="23.1" customHeight="1" x14ac:dyDescent="0.25">
      <c r="B74" s="23" t="s">
        <v>114</v>
      </c>
      <c r="C74" s="49">
        <f>'Avg Week Kampala-Wakiso'!C74+'Avg Week Wakiso-Kampala'!C74</f>
        <v>72.5</v>
      </c>
      <c r="D74" s="49">
        <f>'Avg Week Kampala-Wakiso'!D74+'Avg Week Wakiso-Kampala'!D74</f>
        <v>64.5</v>
      </c>
      <c r="E74" s="49">
        <f>'Avg Week Kampala-Wakiso'!E74+'Avg Week Wakiso-Kampala'!E74</f>
        <v>12</v>
      </c>
      <c r="F74" s="49">
        <f>'Avg Week Kampala-Wakiso'!F74+'Avg Week Wakiso-Kampala'!F74</f>
        <v>76.5</v>
      </c>
      <c r="G74" s="49">
        <f>'Avg Week Kampala-Wakiso'!G74+'Avg Week Wakiso-Kampala'!G74</f>
        <v>1</v>
      </c>
      <c r="H74" s="49">
        <f>'Avg Week Kampala-Wakiso'!H74+'Avg Week Wakiso-Kampala'!H74</f>
        <v>0.5</v>
      </c>
      <c r="I74" s="49">
        <f>'Avg Week Kampala-Wakiso'!I74+'Avg Week Wakiso-Kampala'!I74</f>
        <v>10.5</v>
      </c>
      <c r="J74" s="49">
        <f>'Avg Week Kampala-Wakiso'!J74+'Avg Week Wakiso-Kampala'!J74</f>
        <v>4</v>
      </c>
      <c r="K74" s="49">
        <f>'Avg Week Kampala-Wakiso'!K74+'Avg Week Wakiso-Kampala'!K74</f>
        <v>0.5</v>
      </c>
      <c r="L74" s="49">
        <f>'Avg Week Kampala-Wakiso'!L74+'Avg Week Wakiso-Kampala'!L74</f>
        <v>1.5</v>
      </c>
      <c r="M74" s="49">
        <f>'Avg Week Kampala-Wakiso'!M74+'Avg Week Wakiso-Kampala'!M74</f>
        <v>98</v>
      </c>
      <c r="N74" s="49">
        <f>'Avg Week Kampala-Wakiso'!N74+'Avg Week Wakiso-Kampala'!N74</f>
        <v>0</v>
      </c>
      <c r="O74" s="15">
        <f t="shared" ref="O74:O105" si="35">SUM(C74:L74,N74)</f>
        <v>243.5</v>
      </c>
      <c r="P74" s="15">
        <f t="shared" ref="P74:P105" si="36">SUM(C74:N74)</f>
        <v>341.5</v>
      </c>
      <c r="R74" s="8"/>
      <c r="T74"/>
    </row>
    <row r="75" spans="2:20" ht="23.1" customHeight="1" x14ac:dyDescent="0.25">
      <c r="B75" s="23" t="s">
        <v>115</v>
      </c>
      <c r="C75" s="49">
        <f>'Avg Week Kampala-Wakiso'!C75+'Avg Week Wakiso-Kampala'!C75</f>
        <v>68</v>
      </c>
      <c r="D75" s="49">
        <f>'Avg Week Kampala-Wakiso'!D75+'Avg Week Wakiso-Kampala'!D75</f>
        <v>45.5</v>
      </c>
      <c r="E75" s="49">
        <f>'Avg Week Kampala-Wakiso'!E75+'Avg Week Wakiso-Kampala'!E75</f>
        <v>8</v>
      </c>
      <c r="F75" s="49">
        <f>'Avg Week Kampala-Wakiso'!F75+'Avg Week Wakiso-Kampala'!F75</f>
        <v>61.5</v>
      </c>
      <c r="G75" s="49">
        <f>'Avg Week Kampala-Wakiso'!G75+'Avg Week Wakiso-Kampala'!G75</f>
        <v>0</v>
      </c>
      <c r="H75" s="49">
        <f>'Avg Week Kampala-Wakiso'!H75+'Avg Week Wakiso-Kampala'!H75</f>
        <v>0</v>
      </c>
      <c r="I75" s="49">
        <f>'Avg Week Kampala-Wakiso'!I75+'Avg Week Wakiso-Kampala'!I75</f>
        <v>5</v>
      </c>
      <c r="J75" s="49">
        <f>'Avg Week Kampala-Wakiso'!J75+'Avg Week Wakiso-Kampala'!J75</f>
        <v>2.5</v>
      </c>
      <c r="K75" s="49">
        <f>'Avg Week Kampala-Wakiso'!K75+'Avg Week Wakiso-Kampala'!K75</f>
        <v>0.5</v>
      </c>
      <c r="L75" s="49">
        <f>'Avg Week Kampala-Wakiso'!L75+'Avg Week Wakiso-Kampala'!L75</f>
        <v>1</v>
      </c>
      <c r="M75" s="49">
        <f>'Avg Week Kampala-Wakiso'!M75+'Avg Week Wakiso-Kampala'!M75</f>
        <v>79</v>
      </c>
      <c r="N75" s="49">
        <f>'Avg Week Kampala-Wakiso'!N75+'Avg Week Wakiso-Kampala'!N75</f>
        <v>0</v>
      </c>
      <c r="O75" s="15">
        <f t="shared" si="35"/>
        <v>192</v>
      </c>
      <c r="P75" s="15">
        <f t="shared" si="36"/>
        <v>271</v>
      </c>
      <c r="R75" s="8"/>
      <c r="T75"/>
    </row>
    <row r="76" spans="2:20" ht="23.1" customHeight="1" x14ac:dyDescent="0.25">
      <c r="B76" s="23" t="s">
        <v>116</v>
      </c>
      <c r="C76" s="49">
        <f>'Avg Week Kampala-Wakiso'!C76+'Avg Week Wakiso-Kampala'!C76</f>
        <v>62</v>
      </c>
      <c r="D76" s="49">
        <f>'Avg Week Kampala-Wakiso'!D76+'Avg Week Wakiso-Kampala'!D76</f>
        <v>38</v>
      </c>
      <c r="E76" s="49">
        <f>'Avg Week Kampala-Wakiso'!E76+'Avg Week Wakiso-Kampala'!E76</f>
        <v>6.5</v>
      </c>
      <c r="F76" s="49">
        <f>'Avg Week Kampala-Wakiso'!F76+'Avg Week Wakiso-Kampala'!F76</f>
        <v>43.5</v>
      </c>
      <c r="G76" s="49">
        <f>'Avg Week Kampala-Wakiso'!G76+'Avg Week Wakiso-Kampala'!G76</f>
        <v>3.5</v>
      </c>
      <c r="H76" s="49">
        <f>'Avg Week Kampala-Wakiso'!H76+'Avg Week Wakiso-Kampala'!H76</f>
        <v>0</v>
      </c>
      <c r="I76" s="49">
        <f>'Avg Week Kampala-Wakiso'!I76+'Avg Week Wakiso-Kampala'!I76</f>
        <v>9.5</v>
      </c>
      <c r="J76" s="49">
        <f>'Avg Week Kampala-Wakiso'!J76+'Avg Week Wakiso-Kampala'!J76</f>
        <v>1</v>
      </c>
      <c r="K76" s="49">
        <f>'Avg Week Kampala-Wakiso'!K76+'Avg Week Wakiso-Kampala'!K76</f>
        <v>1.5</v>
      </c>
      <c r="L76" s="49">
        <f>'Avg Week Kampala-Wakiso'!L76+'Avg Week Wakiso-Kampala'!L76</f>
        <v>2</v>
      </c>
      <c r="M76" s="49">
        <f>'Avg Week Kampala-Wakiso'!M76+'Avg Week Wakiso-Kampala'!M76</f>
        <v>88</v>
      </c>
      <c r="N76" s="49">
        <f>'Avg Week Kampala-Wakiso'!N76+'Avg Week Wakiso-Kampala'!N76</f>
        <v>0</v>
      </c>
      <c r="O76" s="15">
        <f t="shared" si="35"/>
        <v>167.5</v>
      </c>
      <c r="P76" s="15">
        <f t="shared" si="36"/>
        <v>255.5</v>
      </c>
      <c r="R76" s="8"/>
      <c r="T76"/>
    </row>
    <row r="77" spans="2:20" ht="23.1" customHeight="1" x14ac:dyDescent="0.25">
      <c r="B77" s="23" t="s">
        <v>117</v>
      </c>
      <c r="C77" s="49">
        <f>'Avg Week Kampala-Wakiso'!C77+'Avg Week Wakiso-Kampala'!C77</f>
        <v>42</v>
      </c>
      <c r="D77" s="49">
        <f>'Avg Week Kampala-Wakiso'!D77+'Avg Week Wakiso-Kampala'!D77</f>
        <v>37</v>
      </c>
      <c r="E77" s="49">
        <f>'Avg Week Kampala-Wakiso'!E77+'Avg Week Wakiso-Kampala'!E77</f>
        <v>3.5</v>
      </c>
      <c r="F77" s="49">
        <f>'Avg Week Kampala-Wakiso'!F77+'Avg Week Wakiso-Kampala'!F77</f>
        <v>21.5</v>
      </c>
      <c r="G77" s="49">
        <f>'Avg Week Kampala-Wakiso'!G77+'Avg Week Wakiso-Kampala'!G77</f>
        <v>0</v>
      </c>
      <c r="H77" s="49">
        <f>'Avg Week Kampala-Wakiso'!H77+'Avg Week Wakiso-Kampala'!H77</f>
        <v>0</v>
      </c>
      <c r="I77" s="49">
        <f>'Avg Week Kampala-Wakiso'!I77+'Avg Week Wakiso-Kampala'!I77</f>
        <v>4</v>
      </c>
      <c r="J77" s="49">
        <f>'Avg Week Kampala-Wakiso'!J77+'Avg Week Wakiso-Kampala'!J77</f>
        <v>1.5</v>
      </c>
      <c r="K77" s="49">
        <f>'Avg Week Kampala-Wakiso'!K77+'Avg Week Wakiso-Kampala'!K77</f>
        <v>0.5</v>
      </c>
      <c r="L77" s="49">
        <f>'Avg Week Kampala-Wakiso'!L77+'Avg Week Wakiso-Kampala'!L77</f>
        <v>0.5</v>
      </c>
      <c r="M77" s="49">
        <f>'Avg Week Kampala-Wakiso'!M77+'Avg Week Wakiso-Kampala'!M77</f>
        <v>64.5</v>
      </c>
      <c r="N77" s="49">
        <f>'Avg Week Kampala-Wakiso'!N77+'Avg Week Wakiso-Kampala'!N77</f>
        <v>0</v>
      </c>
      <c r="O77" s="15">
        <f t="shared" si="35"/>
        <v>110.5</v>
      </c>
      <c r="P77" s="15">
        <f t="shared" si="36"/>
        <v>175</v>
      </c>
      <c r="R77" s="8"/>
      <c r="T77"/>
    </row>
    <row r="78" spans="2:20" ht="23.1" customHeight="1" x14ac:dyDescent="0.25">
      <c r="B78" s="24" t="s">
        <v>118</v>
      </c>
      <c r="C78" s="49">
        <f>'Avg Week Kampala-Wakiso'!C78+'Avg Week Wakiso-Kampala'!C78</f>
        <v>48.5</v>
      </c>
      <c r="D78" s="49">
        <f>'Avg Week Kampala-Wakiso'!D78+'Avg Week Wakiso-Kampala'!D78</f>
        <v>32</v>
      </c>
      <c r="E78" s="49">
        <f>'Avg Week Kampala-Wakiso'!E78+'Avg Week Wakiso-Kampala'!E78</f>
        <v>4.5</v>
      </c>
      <c r="F78" s="49">
        <f>'Avg Week Kampala-Wakiso'!F78+'Avg Week Wakiso-Kampala'!F78</f>
        <v>15.5</v>
      </c>
      <c r="G78" s="49">
        <f>'Avg Week Kampala-Wakiso'!G78+'Avg Week Wakiso-Kampala'!G78</f>
        <v>0</v>
      </c>
      <c r="H78" s="49">
        <f>'Avg Week Kampala-Wakiso'!H78+'Avg Week Wakiso-Kampala'!H78</f>
        <v>0</v>
      </c>
      <c r="I78" s="49">
        <f>'Avg Week Kampala-Wakiso'!I78+'Avg Week Wakiso-Kampala'!I78</f>
        <v>9</v>
      </c>
      <c r="J78" s="49">
        <f>'Avg Week Kampala-Wakiso'!J78+'Avg Week Wakiso-Kampala'!J78</f>
        <v>1.5</v>
      </c>
      <c r="K78" s="49">
        <f>'Avg Week Kampala-Wakiso'!K78+'Avg Week Wakiso-Kampala'!K78</f>
        <v>0</v>
      </c>
      <c r="L78" s="49">
        <f>'Avg Week Kampala-Wakiso'!L78+'Avg Week Wakiso-Kampala'!L78</f>
        <v>0.5</v>
      </c>
      <c r="M78" s="49">
        <f>'Avg Week Kampala-Wakiso'!M78+'Avg Week Wakiso-Kampala'!M78</f>
        <v>61</v>
      </c>
      <c r="N78" s="49">
        <f>'Avg Week Kampala-Wakiso'!N78+'Avg Week Wakiso-Kampala'!N78</f>
        <v>0</v>
      </c>
      <c r="O78" s="15">
        <f t="shared" si="35"/>
        <v>111.5</v>
      </c>
      <c r="P78" s="15">
        <f t="shared" si="36"/>
        <v>172.5</v>
      </c>
      <c r="R78" s="8"/>
      <c r="T78"/>
    </row>
    <row r="79" spans="2:20" ht="23.1" customHeight="1" x14ac:dyDescent="0.25">
      <c r="B79" s="23" t="s">
        <v>119</v>
      </c>
      <c r="C79" s="49">
        <f>'Avg Week Kampala-Wakiso'!C79+'Avg Week Wakiso-Kampala'!C79</f>
        <v>44</v>
      </c>
      <c r="D79" s="49">
        <f>'Avg Week Kampala-Wakiso'!D79+'Avg Week Wakiso-Kampala'!D79</f>
        <v>33</v>
      </c>
      <c r="E79" s="49">
        <f>'Avg Week Kampala-Wakiso'!E79+'Avg Week Wakiso-Kampala'!E79</f>
        <v>7.5</v>
      </c>
      <c r="F79" s="49">
        <f>'Avg Week Kampala-Wakiso'!F79+'Avg Week Wakiso-Kampala'!F79</f>
        <v>8</v>
      </c>
      <c r="G79" s="49">
        <f>'Avg Week Kampala-Wakiso'!G79+'Avg Week Wakiso-Kampala'!G79</f>
        <v>0.5</v>
      </c>
      <c r="H79" s="49">
        <f>'Avg Week Kampala-Wakiso'!H79+'Avg Week Wakiso-Kampala'!H79</f>
        <v>0.5</v>
      </c>
      <c r="I79" s="49">
        <f>'Avg Week Kampala-Wakiso'!I79+'Avg Week Wakiso-Kampala'!I79</f>
        <v>3.5</v>
      </c>
      <c r="J79" s="49">
        <f>'Avg Week Kampala-Wakiso'!J79+'Avg Week Wakiso-Kampala'!J79</f>
        <v>0</v>
      </c>
      <c r="K79" s="49">
        <f>'Avg Week Kampala-Wakiso'!K79+'Avg Week Wakiso-Kampala'!K79</f>
        <v>0.5</v>
      </c>
      <c r="L79" s="49">
        <f>'Avg Week Kampala-Wakiso'!L79+'Avg Week Wakiso-Kampala'!L79</f>
        <v>0.5</v>
      </c>
      <c r="M79" s="49">
        <f>'Avg Week Kampala-Wakiso'!M79+'Avg Week Wakiso-Kampala'!M79</f>
        <v>33.5</v>
      </c>
      <c r="N79" s="49">
        <f>'Avg Week Kampala-Wakiso'!N79+'Avg Week Wakiso-Kampala'!N79</f>
        <v>0</v>
      </c>
      <c r="O79" s="15">
        <f t="shared" si="35"/>
        <v>98</v>
      </c>
      <c r="P79" s="15">
        <f t="shared" si="36"/>
        <v>131.5</v>
      </c>
      <c r="R79" s="8"/>
      <c r="T79"/>
    </row>
    <row r="80" spans="2:20" ht="23.1" customHeight="1" x14ac:dyDescent="0.25">
      <c r="B80" s="25" t="s">
        <v>120</v>
      </c>
      <c r="C80" s="49">
        <f>'Avg Week Kampala-Wakiso'!C80+'Avg Week Wakiso-Kampala'!C80</f>
        <v>30.5</v>
      </c>
      <c r="D80" s="49">
        <f>'Avg Week Kampala-Wakiso'!D80+'Avg Week Wakiso-Kampala'!D80</f>
        <v>14.5</v>
      </c>
      <c r="E80" s="49">
        <f>'Avg Week Kampala-Wakiso'!E80+'Avg Week Wakiso-Kampala'!E80</f>
        <v>7</v>
      </c>
      <c r="F80" s="49">
        <f>'Avg Week Kampala-Wakiso'!F80+'Avg Week Wakiso-Kampala'!F80</f>
        <v>11.5</v>
      </c>
      <c r="G80" s="49">
        <f>'Avg Week Kampala-Wakiso'!G80+'Avg Week Wakiso-Kampala'!G80</f>
        <v>0</v>
      </c>
      <c r="H80" s="49">
        <f>'Avg Week Kampala-Wakiso'!H80+'Avg Week Wakiso-Kampala'!H80</f>
        <v>3.5</v>
      </c>
      <c r="I80" s="49">
        <f>'Avg Week Kampala-Wakiso'!I80+'Avg Week Wakiso-Kampala'!I80</f>
        <v>1.5</v>
      </c>
      <c r="J80" s="49">
        <f>'Avg Week Kampala-Wakiso'!J80+'Avg Week Wakiso-Kampala'!J80</f>
        <v>4</v>
      </c>
      <c r="K80" s="49">
        <f>'Avg Week Kampala-Wakiso'!K80+'Avg Week Wakiso-Kampala'!K80</f>
        <v>2</v>
      </c>
      <c r="L80" s="49">
        <f>'Avg Week Kampala-Wakiso'!L80+'Avg Week Wakiso-Kampala'!L80</f>
        <v>0</v>
      </c>
      <c r="M80" s="49">
        <f>'Avg Week Kampala-Wakiso'!M80+'Avg Week Wakiso-Kampala'!M80</f>
        <v>51.5</v>
      </c>
      <c r="N80" s="49">
        <f>'Avg Week Kampala-Wakiso'!N80+'Avg Week Wakiso-Kampala'!N80</f>
        <v>0</v>
      </c>
      <c r="O80" s="15">
        <f t="shared" si="35"/>
        <v>74.5</v>
      </c>
      <c r="P80" s="15">
        <f t="shared" si="36"/>
        <v>126</v>
      </c>
      <c r="R80" s="8"/>
      <c r="T80"/>
    </row>
    <row r="81" spans="2:20" ht="23.1" customHeight="1" x14ac:dyDescent="0.25">
      <c r="B81" s="23" t="s">
        <v>121</v>
      </c>
      <c r="C81" s="49">
        <f>'Avg Week Kampala-Wakiso'!C81+'Avg Week Wakiso-Kampala'!C81</f>
        <v>22.5</v>
      </c>
      <c r="D81" s="49">
        <f>'Avg Week Kampala-Wakiso'!D81+'Avg Week Wakiso-Kampala'!D81</f>
        <v>21.5</v>
      </c>
      <c r="E81" s="49">
        <f>'Avg Week Kampala-Wakiso'!E81+'Avg Week Wakiso-Kampala'!E81</f>
        <v>4</v>
      </c>
      <c r="F81" s="49">
        <f>'Avg Week Kampala-Wakiso'!F81+'Avg Week Wakiso-Kampala'!F81</f>
        <v>16.5</v>
      </c>
      <c r="G81" s="49">
        <f>'Avg Week Kampala-Wakiso'!G81+'Avg Week Wakiso-Kampala'!G81</f>
        <v>0.5</v>
      </c>
      <c r="H81" s="49">
        <f>'Avg Week Kampala-Wakiso'!H81+'Avg Week Wakiso-Kampala'!H81</f>
        <v>0</v>
      </c>
      <c r="I81" s="49">
        <f>'Avg Week Kampala-Wakiso'!I81+'Avg Week Wakiso-Kampala'!I81</f>
        <v>2</v>
      </c>
      <c r="J81" s="49">
        <f>'Avg Week Kampala-Wakiso'!J81+'Avg Week Wakiso-Kampala'!J81</f>
        <v>0</v>
      </c>
      <c r="K81" s="49">
        <f>'Avg Week Kampala-Wakiso'!K81+'Avg Week Wakiso-Kampala'!K81</f>
        <v>1.5</v>
      </c>
      <c r="L81" s="49">
        <f>'Avg Week Kampala-Wakiso'!L81+'Avg Week Wakiso-Kampala'!L81</f>
        <v>0</v>
      </c>
      <c r="M81" s="49">
        <f>'Avg Week Kampala-Wakiso'!M81+'Avg Week Wakiso-Kampala'!M81</f>
        <v>76.5</v>
      </c>
      <c r="N81" s="49">
        <f>'Avg Week Kampala-Wakiso'!N81+'Avg Week Wakiso-Kampala'!N81</f>
        <v>0</v>
      </c>
      <c r="O81" s="15">
        <f t="shared" si="35"/>
        <v>68.5</v>
      </c>
      <c r="P81" s="15">
        <f t="shared" si="36"/>
        <v>145</v>
      </c>
      <c r="R81" s="8"/>
      <c r="T81"/>
    </row>
    <row r="82" spans="2:20" ht="23.1" customHeight="1" x14ac:dyDescent="0.25">
      <c r="B82" s="24" t="s">
        <v>122</v>
      </c>
      <c r="C82" s="49">
        <f>'Avg Week Kampala-Wakiso'!C82+'Avg Week Wakiso-Kampala'!C82</f>
        <v>45</v>
      </c>
      <c r="D82" s="49">
        <f>'Avg Week Kampala-Wakiso'!D82+'Avg Week Wakiso-Kampala'!D82</f>
        <v>24.5</v>
      </c>
      <c r="E82" s="49">
        <f>'Avg Week Kampala-Wakiso'!E82+'Avg Week Wakiso-Kampala'!E82</f>
        <v>4.5</v>
      </c>
      <c r="F82" s="49">
        <f>'Avg Week Kampala-Wakiso'!F82+'Avg Week Wakiso-Kampala'!F82</f>
        <v>17</v>
      </c>
      <c r="G82" s="49">
        <f>'Avg Week Kampala-Wakiso'!G82+'Avg Week Wakiso-Kampala'!G82</f>
        <v>0</v>
      </c>
      <c r="H82" s="49">
        <f>'Avg Week Kampala-Wakiso'!H82+'Avg Week Wakiso-Kampala'!H82</f>
        <v>0</v>
      </c>
      <c r="I82" s="49">
        <f>'Avg Week Kampala-Wakiso'!I82+'Avg Week Wakiso-Kampala'!I82</f>
        <v>5.5</v>
      </c>
      <c r="J82" s="49">
        <f>'Avg Week Kampala-Wakiso'!J82+'Avg Week Wakiso-Kampala'!J82</f>
        <v>4.5</v>
      </c>
      <c r="K82" s="49">
        <f>'Avg Week Kampala-Wakiso'!K82+'Avg Week Wakiso-Kampala'!K82</f>
        <v>0</v>
      </c>
      <c r="L82" s="49">
        <f>'Avg Week Kampala-Wakiso'!L82+'Avg Week Wakiso-Kampala'!L82</f>
        <v>0.5</v>
      </c>
      <c r="M82" s="49">
        <f>'Avg Week Kampala-Wakiso'!M82+'Avg Week Wakiso-Kampala'!M82</f>
        <v>50.5</v>
      </c>
      <c r="N82" s="49">
        <f>'Avg Week Kampala-Wakiso'!N82+'Avg Week Wakiso-Kampala'!N82</f>
        <v>0</v>
      </c>
      <c r="O82" s="15">
        <f t="shared" si="35"/>
        <v>101.5</v>
      </c>
      <c r="P82" s="15">
        <f t="shared" si="36"/>
        <v>152</v>
      </c>
      <c r="R82" s="8"/>
      <c r="T82"/>
    </row>
    <row r="83" spans="2:20" ht="23.1" customHeight="1" x14ac:dyDescent="0.25">
      <c r="B83" s="23" t="s">
        <v>123</v>
      </c>
      <c r="C83" s="49">
        <f>'Avg Week Kampala-Wakiso'!C83+'Avg Week Wakiso-Kampala'!C83</f>
        <v>24.5</v>
      </c>
      <c r="D83" s="49">
        <f>'Avg Week Kampala-Wakiso'!D83+'Avg Week Wakiso-Kampala'!D83</f>
        <v>15.5</v>
      </c>
      <c r="E83" s="49">
        <f>'Avg Week Kampala-Wakiso'!E83+'Avg Week Wakiso-Kampala'!E83</f>
        <v>2.5</v>
      </c>
      <c r="F83" s="49">
        <f>'Avg Week Kampala-Wakiso'!F83+'Avg Week Wakiso-Kampala'!F83</f>
        <v>6.5</v>
      </c>
      <c r="G83" s="49">
        <f>'Avg Week Kampala-Wakiso'!G83+'Avg Week Wakiso-Kampala'!G83</f>
        <v>0</v>
      </c>
      <c r="H83" s="49">
        <f>'Avg Week Kampala-Wakiso'!H83+'Avg Week Wakiso-Kampala'!H83</f>
        <v>0</v>
      </c>
      <c r="I83" s="49">
        <f>'Avg Week Kampala-Wakiso'!I83+'Avg Week Wakiso-Kampala'!I83</f>
        <v>3</v>
      </c>
      <c r="J83" s="49">
        <f>'Avg Week Kampala-Wakiso'!J83+'Avg Week Wakiso-Kampala'!J83</f>
        <v>1.5</v>
      </c>
      <c r="K83" s="49">
        <f>'Avg Week Kampala-Wakiso'!K83+'Avg Week Wakiso-Kampala'!K83</f>
        <v>1.5</v>
      </c>
      <c r="L83" s="49">
        <f>'Avg Week Kampala-Wakiso'!L83+'Avg Week Wakiso-Kampala'!L83</f>
        <v>0</v>
      </c>
      <c r="M83" s="49">
        <f>'Avg Week Kampala-Wakiso'!M83+'Avg Week Wakiso-Kampala'!M83</f>
        <v>44.5</v>
      </c>
      <c r="N83" s="49">
        <f>'Avg Week Kampala-Wakiso'!N83+'Avg Week Wakiso-Kampala'!N83</f>
        <v>0</v>
      </c>
      <c r="O83" s="15">
        <f t="shared" si="35"/>
        <v>55</v>
      </c>
      <c r="P83" s="15">
        <f t="shared" si="36"/>
        <v>99.5</v>
      </c>
      <c r="R83" s="8"/>
      <c r="T83"/>
    </row>
    <row r="84" spans="2:20" ht="23.1" customHeight="1" x14ac:dyDescent="0.25">
      <c r="B84" s="25" t="s">
        <v>124</v>
      </c>
      <c r="C84" s="49">
        <f>'Avg Week Kampala-Wakiso'!C84+'Avg Week Wakiso-Kampala'!C84</f>
        <v>28.5</v>
      </c>
      <c r="D84" s="49">
        <f>'Avg Week Kampala-Wakiso'!D84+'Avg Week Wakiso-Kampala'!D84</f>
        <v>20.5</v>
      </c>
      <c r="E84" s="49">
        <f>'Avg Week Kampala-Wakiso'!E84+'Avg Week Wakiso-Kampala'!E84</f>
        <v>7.5</v>
      </c>
      <c r="F84" s="49">
        <f>'Avg Week Kampala-Wakiso'!F84+'Avg Week Wakiso-Kampala'!F84</f>
        <v>16</v>
      </c>
      <c r="G84" s="49">
        <f>'Avg Week Kampala-Wakiso'!G84+'Avg Week Wakiso-Kampala'!G84</f>
        <v>1</v>
      </c>
      <c r="H84" s="49">
        <f>'Avg Week Kampala-Wakiso'!H84+'Avg Week Wakiso-Kampala'!H84</f>
        <v>0.5</v>
      </c>
      <c r="I84" s="49">
        <f>'Avg Week Kampala-Wakiso'!I84+'Avg Week Wakiso-Kampala'!I84</f>
        <v>5</v>
      </c>
      <c r="J84" s="49">
        <f>'Avg Week Kampala-Wakiso'!J84+'Avg Week Wakiso-Kampala'!J84</f>
        <v>1</v>
      </c>
      <c r="K84" s="49">
        <f>'Avg Week Kampala-Wakiso'!K84+'Avg Week Wakiso-Kampala'!K84</f>
        <v>2</v>
      </c>
      <c r="L84" s="49">
        <f>'Avg Week Kampala-Wakiso'!L84+'Avg Week Wakiso-Kampala'!L84</f>
        <v>0</v>
      </c>
      <c r="M84" s="49">
        <f>'Avg Week Kampala-Wakiso'!M84+'Avg Week Wakiso-Kampala'!M84</f>
        <v>54.5</v>
      </c>
      <c r="N84" s="49">
        <f>'Avg Week Kampala-Wakiso'!N84+'Avg Week Wakiso-Kampala'!N84</f>
        <v>0</v>
      </c>
      <c r="O84" s="15">
        <f t="shared" si="35"/>
        <v>82</v>
      </c>
      <c r="P84" s="15">
        <f t="shared" si="36"/>
        <v>136.5</v>
      </c>
      <c r="R84" s="8"/>
      <c r="T84"/>
    </row>
    <row r="85" spans="2:20" ht="23.1" customHeight="1" x14ac:dyDescent="0.25">
      <c r="B85" s="23" t="s">
        <v>125</v>
      </c>
      <c r="C85" s="49">
        <f>'Avg Week Kampala-Wakiso'!C85+'Avg Week Wakiso-Kampala'!C85</f>
        <v>18</v>
      </c>
      <c r="D85" s="49">
        <f>'Avg Week Kampala-Wakiso'!D85+'Avg Week Wakiso-Kampala'!D85</f>
        <v>6.5</v>
      </c>
      <c r="E85" s="49">
        <f>'Avg Week Kampala-Wakiso'!E85+'Avg Week Wakiso-Kampala'!E85</f>
        <v>6</v>
      </c>
      <c r="F85" s="49">
        <f>'Avg Week Kampala-Wakiso'!F85+'Avg Week Wakiso-Kampala'!F85</f>
        <v>21</v>
      </c>
      <c r="G85" s="49">
        <f>'Avg Week Kampala-Wakiso'!G85+'Avg Week Wakiso-Kampala'!G85</f>
        <v>1</v>
      </c>
      <c r="H85" s="49">
        <f>'Avg Week Kampala-Wakiso'!H85+'Avg Week Wakiso-Kampala'!H85</f>
        <v>0</v>
      </c>
      <c r="I85" s="49">
        <f>'Avg Week Kampala-Wakiso'!I85+'Avg Week Wakiso-Kampala'!I85</f>
        <v>3.5</v>
      </c>
      <c r="J85" s="49">
        <f>'Avg Week Kampala-Wakiso'!J85+'Avg Week Wakiso-Kampala'!J85</f>
        <v>0.5</v>
      </c>
      <c r="K85" s="49">
        <f>'Avg Week Kampala-Wakiso'!K85+'Avg Week Wakiso-Kampala'!K85</f>
        <v>1.5</v>
      </c>
      <c r="L85" s="49">
        <f>'Avg Week Kampala-Wakiso'!L85+'Avg Week Wakiso-Kampala'!L85</f>
        <v>0</v>
      </c>
      <c r="M85" s="49">
        <f>'Avg Week Kampala-Wakiso'!M85+'Avg Week Wakiso-Kampala'!M85</f>
        <v>41.5</v>
      </c>
      <c r="N85" s="49">
        <f>'Avg Week Kampala-Wakiso'!N85+'Avg Week Wakiso-Kampala'!N85</f>
        <v>0</v>
      </c>
      <c r="O85" s="15">
        <f t="shared" si="35"/>
        <v>58</v>
      </c>
      <c r="P85" s="15">
        <f t="shared" si="36"/>
        <v>99.5</v>
      </c>
      <c r="R85" s="8"/>
      <c r="T85"/>
    </row>
    <row r="86" spans="2:20" ht="23.1" customHeight="1" x14ac:dyDescent="0.25">
      <c r="B86" s="24" t="s">
        <v>126</v>
      </c>
      <c r="C86" s="49">
        <f>'Avg Week Kampala-Wakiso'!C86+'Avg Week Wakiso-Kampala'!C86</f>
        <v>25</v>
      </c>
      <c r="D86" s="49">
        <f>'Avg Week Kampala-Wakiso'!D86+'Avg Week Wakiso-Kampala'!D86</f>
        <v>16</v>
      </c>
      <c r="E86" s="49">
        <f>'Avg Week Kampala-Wakiso'!E86+'Avg Week Wakiso-Kampala'!E86</f>
        <v>4</v>
      </c>
      <c r="F86" s="49">
        <f>'Avg Week Kampala-Wakiso'!F86+'Avg Week Wakiso-Kampala'!F86</f>
        <v>9</v>
      </c>
      <c r="G86" s="49">
        <f>'Avg Week Kampala-Wakiso'!G86+'Avg Week Wakiso-Kampala'!G86</f>
        <v>0</v>
      </c>
      <c r="H86" s="49">
        <f>'Avg Week Kampala-Wakiso'!H86+'Avg Week Wakiso-Kampala'!H86</f>
        <v>0</v>
      </c>
      <c r="I86" s="49">
        <f>'Avg Week Kampala-Wakiso'!I86+'Avg Week Wakiso-Kampala'!I86</f>
        <v>6</v>
      </c>
      <c r="J86" s="49">
        <f>'Avg Week Kampala-Wakiso'!J86+'Avg Week Wakiso-Kampala'!J86</f>
        <v>2.5</v>
      </c>
      <c r="K86" s="49">
        <f>'Avg Week Kampala-Wakiso'!K86+'Avg Week Wakiso-Kampala'!K86</f>
        <v>0.5</v>
      </c>
      <c r="L86" s="49">
        <f>'Avg Week Kampala-Wakiso'!L86+'Avg Week Wakiso-Kampala'!L86</f>
        <v>1</v>
      </c>
      <c r="M86" s="49">
        <f>'Avg Week Kampala-Wakiso'!M86+'Avg Week Wakiso-Kampala'!M86</f>
        <v>55.5</v>
      </c>
      <c r="N86" s="49">
        <f>'Avg Week Kampala-Wakiso'!N86+'Avg Week Wakiso-Kampala'!N86</f>
        <v>0</v>
      </c>
      <c r="O86" s="15">
        <f t="shared" si="35"/>
        <v>64</v>
      </c>
      <c r="P86" s="15">
        <f t="shared" si="36"/>
        <v>119.5</v>
      </c>
      <c r="R86" s="8"/>
      <c r="T86"/>
    </row>
    <row r="87" spans="2:20" ht="23.1" customHeight="1" x14ac:dyDescent="0.25">
      <c r="B87" s="23" t="s">
        <v>127</v>
      </c>
      <c r="C87" s="49">
        <f>'Avg Week Kampala-Wakiso'!C87+'Avg Week Wakiso-Kampala'!C87</f>
        <v>22</v>
      </c>
      <c r="D87" s="49">
        <f>'Avg Week Kampala-Wakiso'!D87+'Avg Week Wakiso-Kampala'!D87</f>
        <v>9.5</v>
      </c>
      <c r="E87" s="49">
        <f>'Avg Week Kampala-Wakiso'!E87+'Avg Week Wakiso-Kampala'!E87</f>
        <v>2</v>
      </c>
      <c r="F87" s="49">
        <f>'Avg Week Kampala-Wakiso'!F87+'Avg Week Wakiso-Kampala'!F87</f>
        <v>9.5</v>
      </c>
      <c r="G87" s="49">
        <f>'Avg Week Kampala-Wakiso'!G87+'Avg Week Wakiso-Kampala'!G87</f>
        <v>1</v>
      </c>
      <c r="H87" s="49">
        <f>'Avg Week Kampala-Wakiso'!H87+'Avg Week Wakiso-Kampala'!H87</f>
        <v>0</v>
      </c>
      <c r="I87" s="49">
        <f>'Avg Week Kampala-Wakiso'!I87+'Avg Week Wakiso-Kampala'!I87</f>
        <v>7</v>
      </c>
      <c r="J87" s="49">
        <f>'Avg Week Kampala-Wakiso'!J87+'Avg Week Wakiso-Kampala'!J87</f>
        <v>3.5</v>
      </c>
      <c r="K87" s="49">
        <f>'Avg Week Kampala-Wakiso'!K87+'Avg Week Wakiso-Kampala'!K87</f>
        <v>0</v>
      </c>
      <c r="L87" s="49">
        <f>'Avg Week Kampala-Wakiso'!L87+'Avg Week Wakiso-Kampala'!L87</f>
        <v>0</v>
      </c>
      <c r="M87" s="49">
        <f>'Avg Week Kampala-Wakiso'!M87+'Avg Week Wakiso-Kampala'!M87</f>
        <v>56.5</v>
      </c>
      <c r="N87" s="49">
        <f>'Avg Week Kampala-Wakiso'!N87+'Avg Week Wakiso-Kampala'!N87</f>
        <v>0</v>
      </c>
      <c r="O87" s="15">
        <f t="shared" si="35"/>
        <v>54.5</v>
      </c>
      <c r="P87" s="15">
        <f t="shared" si="36"/>
        <v>111</v>
      </c>
      <c r="R87" s="8"/>
      <c r="T87"/>
    </row>
    <row r="88" spans="2:20" ht="23.1" customHeight="1" x14ac:dyDescent="0.25">
      <c r="B88" s="25" t="s">
        <v>128</v>
      </c>
      <c r="C88" s="49">
        <f>'Avg Week Kampala-Wakiso'!C88+'Avg Week Wakiso-Kampala'!C88</f>
        <v>25</v>
      </c>
      <c r="D88" s="49">
        <f>'Avg Week Kampala-Wakiso'!D88+'Avg Week Wakiso-Kampala'!D88</f>
        <v>13</v>
      </c>
      <c r="E88" s="49">
        <f>'Avg Week Kampala-Wakiso'!E88+'Avg Week Wakiso-Kampala'!E88</f>
        <v>3.5</v>
      </c>
      <c r="F88" s="49">
        <f>'Avg Week Kampala-Wakiso'!F88+'Avg Week Wakiso-Kampala'!F88</f>
        <v>15.5</v>
      </c>
      <c r="G88" s="49">
        <f>'Avg Week Kampala-Wakiso'!G88+'Avg Week Wakiso-Kampala'!G88</f>
        <v>0</v>
      </c>
      <c r="H88" s="49">
        <f>'Avg Week Kampala-Wakiso'!H88+'Avg Week Wakiso-Kampala'!H88</f>
        <v>0</v>
      </c>
      <c r="I88" s="49">
        <f>'Avg Week Kampala-Wakiso'!I88+'Avg Week Wakiso-Kampala'!I88</f>
        <v>11.5</v>
      </c>
      <c r="J88" s="49">
        <f>'Avg Week Kampala-Wakiso'!J88+'Avg Week Wakiso-Kampala'!J88</f>
        <v>1.5</v>
      </c>
      <c r="K88" s="49">
        <f>'Avg Week Kampala-Wakiso'!K88+'Avg Week Wakiso-Kampala'!K88</f>
        <v>0</v>
      </c>
      <c r="L88" s="49">
        <f>'Avg Week Kampala-Wakiso'!L88+'Avg Week Wakiso-Kampala'!L88</f>
        <v>2</v>
      </c>
      <c r="M88" s="49">
        <f>'Avg Week Kampala-Wakiso'!M88+'Avg Week Wakiso-Kampala'!M88</f>
        <v>50</v>
      </c>
      <c r="N88" s="49">
        <f>'Avg Week Kampala-Wakiso'!N88+'Avg Week Wakiso-Kampala'!N88</f>
        <v>0</v>
      </c>
      <c r="O88" s="15">
        <f t="shared" si="35"/>
        <v>72</v>
      </c>
      <c r="P88" s="15">
        <f t="shared" si="36"/>
        <v>122</v>
      </c>
      <c r="R88" s="8"/>
      <c r="T88"/>
    </row>
    <row r="89" spans="2:20" ht="23.1" customHeight="1" x14ac:dyDescent="0.25">
      <c r="B89" s="23" t="s">
        <v>129</v>
      </c>
      <c r="C89" s="49">
        <f>'Avg Week Kampala-Wakiso'!C89+'Avg Week Wakiso-Kampala'!C89</f>
        <v>21</v>
      </c>
      <c r="D89" s="49">
        <f>'Avg Week Kampala-Wakiso'!D89+'Avg Week Wakiso-Kampala'!D89</f>
        <v>12.5</v>
      </c>
      <c r="E89" s="49">
        <f>'Avg Week Kampala-Wakiso'!E89+'Avg Week Wakiso-Kampala'!E89</f>
        <v>2.5</v>
      </c>
      <c r="F89" s="49">
        <f>'Avg Week Kampala-Wakiso'!F89+'Avg Week Wakiso-Kampala'!F89</f>
        <v>15</v>
      </c>
      <c r="G89" s="49">
        <f>'Avg Week Kampala-Wakiso'!G89+'Avg Week Wakiso-Kampala'!G89</f>
        <v>0</v>
      </c>
      <c r="H89" s="49">
        <f>'Avg Week Kampala-Wakiso'!H89+'Avg Week Wakiso-Kampala'!H89</f>
        <v>0</v>
      </c>
      <c r="I89" s="49">
        <f>'Avg Week Kampala-Wakiso'!I89+'Avg Week Wakiso-Kampala'!I89</f>
        <v>12</v>
      </c>
      <c r="J89" s="49">
        <f>'Avg Week Kampala-Wakiso'!J89+'Avg Week Wakiso-Kampala'!J89</f>
        <v>2</v>
      </c>
      <c r="K89" s="49">
        <f>'Avg Week Kampala-Wakiso'!K89+'Avg Week Wakiso-Kampala'!K89</f>
        <v>1.5</v>
      </c>
      <c r="L89" s="49">
        <f>'Avg Week Kampala-Wakiso'!L89+'Avg Week Wakiso-Kampala'!L89</f>
        <v>3.5</v>
      </c>
      <c r="M89" s="49">
        <f>'Avg Week Kampala-Wakiso'!M89+'Avg Week Wakiso-Kampala'!M89</f>
        <v>46.5</v>
      </c>
      <c r="N89" s="49">
        <f>'Avg Week Kampala-Wakiso'!N89+'Avg Week Wakiso-Kampala'!N89</f>
        <v>0</v>
      </c>
      <c r="O89" s="15">
        <f t="shared" si="35"/>
        <v>70</v>
      </c>
      <c r="P89" s="15">
        <f t="shared" si="36"/>
        <v>116.5</v>
      </c>
      <c r="R89" s="8"/>
      <c r="T89"/>
    </row>
    <row r="90" spans="2:20" ht="23.1" customHeight="1" x14ac:dyDescent="0.25">
      <c r="B90" s="24" t="s">
        <v>130</v>
      </c>
      <c r="C90" s="49">
        <f>'Avg Week Kampala-Wakiso'!C90+'Avg Week Wakiso-Kampala'!C90</f>
        <v>26</v>
      </c>
      <c r="D90" s="49">
        <f>'Avg Week Kampala-Wakiso'!D90+'Avg Week Wakiso-Kampala'!D90</f>
        <v>21</v>
      </c>
      <c r="E90" s="49">
        <f>'Avg Week Kampala-Wakiso'!E90+'Avg Week Wakiso-Kampala'!E90</f>
        <v>3.5</v>
      </c>
      <c r="F90" s="49">
        <f>'Avg Week Kampala-Wakiso'!F90+'Avg Week Wakiso-Kampala'!F90</f>
        <v>15.5</v>
      </c>
      <c r="G90" s="49">
        <f>'Avg Week Kampala-Wakiso'!G90+'Avg Week Wakiso-Kampala'!G90</f>
        <v>0.5</v>
      </c>
      <c r="H90" s="49">
        <f>'Avg Week Kampala-Wakiso'!H90+'Avg Week Wakiso-Kampala'!H90</f>
        <v>0</v>
      </c>
      <c r="I90" s="49">
        <f>'Avg Week Kampala-Wakiso'!I90+'Avg Week Wakiso-Kampala'!I90</f>
        <v>6.5</v>
      </c>
      <c r="J90" s="49">
        <f>'Avg Week Kampala-Wakiso'!J90+'Avg Week Wakiso-Kampala'!J90</f>
        <v>6</v>
      </c>
      <c r="K90" s="49">
        <f>'Avg Week Kampala-Wakiso'!K90+'Avg Week Wakiso-Kampala'!K90</f>
        <v>2.5</v>
      </c>
      <c r="L90" s="49">
        <f>'Avg Week Kampala-Wakiso'!L90+'Avg Week Wakiso-Kampala'!L90</f>
        <v>0</v>
      </c>
      <c r="M90" s="49">
        <f>'Avg Week Kampala-Wakiso'!M90+'Avg Week Wakiso-Kampala'!M90</f>
        <v>22</v>
      </c>
      <c r="N90" s="49">
        <f>'Avg Week Kampala-Wakiso'!N90+'Avg Week Wakiso-Kampala'!N90</f>
        <v>0</v>
      </c>
      <c r="O90" s="15">
        <f t="shared" si="35"/>
        <v>81.5</v>
      </c>
      <c r="P90" s="15">
        <f t="shared" si="36"/>
        <v>103.5</v>
      </c>
      <c r="R90" s="8"/>
      <c r="T90"/>
    </row>
    <row r="91" spans="2:20" ht="23.1" customHeight="1" x14ac:dyDescent="0.25">
      <c r="B91" s="23" t="s">
        <v>131</v>
      </c>
      <c r="C91" s="49">
        <f>'Avg Week Kampala-Wakiso'!C91+'Avg Week Wakiso-Kampala'!C91</f>
        <v>19</v>
      </c>
      <c r="D91" s="49">
        <f>'Avg Week Kampala-Wakiso'!D91+'Avg Week Wakiso-Kampala'!D91</f>
        <v>11.5</v>
      </c>
      <c r="E91" s="49">
        <f>'Avg Week Kampala-Wakiso'!E91+'Avg Week Wakiso-Kampala'!E91</f>
        <v>6.5</v>
      </c>
      <c r="F91" s="49">
        <f>'Avg Week Kampala-Wakiso'!F91+'Avg Week Wakiso-Kampala'!F91</f>
        <v>9</v>
      </c>
      <c r="G91" s="49">
        <f>'Avg Week Kampala-Wakiso'!G91+'Avg Week Wakiso-Kampala'!G91</f>
        <v>0</v>
      </c>
      <c r="H91" s="49">
        <f>'Avg Week Kampala-Wakiso'!H91+'Avg Week Wakiso-Kampala'!H91</f>
        <v>0</v>
      </c>
      <c r="I91" s="49">
        <f>'Avg Week Kampala-Wakiso'!I91+'Avg Week Wakiso-Kampala'!I91</f>
        <v>3</v>
      </c>
      <c r="J91" s="49">
        <f>'Avg Week Kampala-Wakiso'!J91+'Avg Week Wakiso-Kampala'!J91</f>
        <v>5.5</v>
      </c>
      <c r="K91" s="49">
        <f>'Avg Week Kampala-Wakiso'!K91+'Avg Week Wakiso-Kampala'!K91</f>
        <v>2.5</v>
      </c>
      <c r="L91" s="49">
        <f>'Avg Week Kampala-Wakiso'!L91+'Avg Week Wakiso-Kampala'!L91</f>
        <v>1.5</v>
      </c>
      <c r="M91" s="49">
        <f>'Avg Week Kampala-Wakiso'!M91+'Avg Week Wakiso-Kampala'!M91</f>
        <v>27</v>
      </c>
      <c r="N91" s="49">
        <f>'Avg Week Kampala-Wakiso'!N91+'Avg Week Wakiso-Kampala'!N91</f>
        <v>0</v>
      </c>
      <c r="O91" s="15">
        <f t="shared" si="35"/>
        <v>58.5</v>
      </c>
      <c r="P91" s="15">
        <f t="shared" si="36"/>
        <v>85.5</v>
      </c>
      <c r="R91" s="8"/>
      <c r="T91"/>
    </row>
    <row r="92" spans="2:20" ht="23.1" customHeight="1" x14ac:dyDescent="0.25">
      <c r="B92" s="25" t="s">
        <v>132</v>
      </c>
      <c r="C92" s="49">
        <f>'Avg Week Kampala-Wakiso'!C92+'Avg Week Wakiso-Kampala'!C92</f>
        <v>10.5</v>
      </c>
      <c r="D92" s="49">
        <f>'Avg Week Kampala-Wakiso'!D92+'Avg Week Wakiso-Kampala'!D92</f>
        <v>8.5</v>
      </c>
      <c r="E92" s="49">
        <f>'Avg Week Kampala-Wakiso'!E92+'Avg Week Wakiso-Kampala'!E92</f>
        <v>4.5</v>
      </c>
      <c r="F92" s="49">
        <f>'Avg Week Kampala-Wakiso'!F92+'Avg Week Wakiso-Kampala'!F92</f>
        <v>2</v>
      </c>
      <c r="G92" s="49">
        <f>'Avg Week Kampala-Wakiso'!G92+'Avg Week Wakiso-Kampala'!G92</f>
        <v>0</v>
      </c>
      <c r="H92" s="49">
        <f>'Avg Week Kampala-Wakiso'!H92+'Avg Week Wakiso-Kampala'!H92</f>
        <v>0</v>
      </c>
      <c r="I92" s="49">
        <f>'Avg Week Kampala-Wakiso'!I92+'Avg Week Wakiso-Kampala'!I92</f>
        <v>5</v>
      </c>
      <c r="J92" s="49">
        <f>'Avg Week Kampala-Wakiso'!J92+'Avg Week Wakiso-Kampala'!J92</f>
        <v>3.5</v>
      </c>
      <c r="K92" s="49">
        <f>'Avg Week Kampala-Wakiso'!K92+'Avg Week Wakiso-Kampala'!K92</f>
        <v>0</v>
      </c>
      <c r="L92" s="49">
        <f>'Avg Week Kampala-Wakiso'!L92+'Avg Week Wakiso-Kampala'!L92</f>
        <v>0</v>
      </c>
      <c r="M92" s="49">
        <f>'Avg Week Kampala-Wakiso'!M92+'Avg Week Wakiso-Kampala'!M92</f>
        <v>18</v>
      </c>
      <c r="N92" s="49">
        <f>'Avg Week Kampala-Wakiso'!N92+'Avg Week Wakiso-Kampala'!N92</f>
        <v>0</v>
      </c>
      <c r="O92" s="15">
        <f t="shared" si="35"/>
        <v>34</v>
      </c>
      <c r="P92" s="15">
        <f t="shared" si="36"/>
        <v>52</v>
      </c>
      <c r="R92" s="8"/>
      <c r="T92"/>
    </row>
    <row r="93" spans="2:20" ht="23.1" customHeight="1" x14ac:dyDescent="0.25">
      <c r="B93" s="23" t="s">
        <v>133</v>
      </c>
      <c r="C93" s="49">
        <f>'Avg Week Kampala-Wakiso'!C93+'Avg Week Wakiso-Kampala'!C93</f>
        <v>22.5</v>
      </c>
      <c r="D93" s="49">
        <f>'Avg Week Kampala-Wakiso'!D93+'Avg Week Wakiso-Kampala'!D93</f>
        <v>9.5</v>
      </c>
      <c r="E93" s="49">
        <f>'Avg Week Kampala-Wakiso'!E93+'Avg Week Wakiso-Kampala'!E93</f>
        <v>3.5</v>
      </c>
      <c r="F93" s="49">
        <f>'Avg Week Kampala-Wakiso'!F93+'Avg Week Wakiso-Kampala'!F93</f>
        <v>8.5</v>
      </c>
      <c r="G93" s="49">
        <f>'Avg Week Kampala-Wakiso'!G93+'Avg Week Wakiso-Kampala'!G93</f>
        <v>0</v>
      </c>
      <c r="H93" s="49">
        <f>'Avg Week Kampala-Wakiso'!H93+'Avg Week Wakiso-Kampala'!H93</f>
        <v>0</v>
      </c>
      <c r="I93" s="49">
        <f>'Avg Week Kampala-Wakiso'!I93+'Avg Week Wakiso-Kampala'!I93</f>
        <v>4.5</v>
      </c>
      <c r="J93" s="49">
        <f>'Avg Week Kampala-Wakiso'!J93+'Avg Week Wakiso-Kampala'!J93</f>
        <v>3</v>
      </c>
      <c r="K93" s="49">
        <f>'Avg Week Kampala-Wakiso'!K93+'Avg Week Wakiso-Kampala'!K93</f>
        <v>3</v>
      </c>
      <c r="L93" s="49">
        <f>'Avg Week Kampala-Wakiso'!L93+'Avg Week Wakiso-Kampala'!L93</f>
        <v>1.5</v>
      </c>
      <c r="M93" s="49">
        <f>'Avg Week Kampala-Wakiso'!M93+'Avg Week Wakiso-Kampala'!M93</f>
        <v>35</v>
      </c>
      <c r="N93" s="49">
        <f>'Avg Week Kampala-Wakiso'!N93+'Avg Week Wakiso-Kampala'!N93</f>
        <v>0</v>
      </c>
      <c r="O93" s="15">
        <f t="shared" si="35"/>
        <v>56</v>
      </c>
      <c r="P93" s="15">
        <f t="shared" si="36"/>
        <v>91</v>
      </c>
      <c r="R93" s="8"/>
      <c r="T93"/>
    </row>
    <row r="94" spans="2:20" ht="23.1" customHeight="1" x14ac:dyDescent="0.25">
      <c r="B94" s="24" t="s">
        <v>134</v>
      </c>
      <c r="C94" s="49">
        <f>'Avg Week Kampala-Wakiso'!C94+'Avg Week Wakiso-Kampala'!C94</f>
        <v>18</v>
      </c>
      <c r="D94" s="49">
        <f>'Avg Week Kampala-Wakiso'!D94+'Avg Week Wakiso-Kampala'!D94</f>
        <v>4.5</v>
      </c>
      <c r="E94" s="49">
        <f>'Avg Week Kampala-Wakiso'!E94+'Avg Week Wakiso-Kampala'!E94</f>
        <v>2.5</v>
      </c>
      <c r="F94" s="49">
        <f>'Avg Week Kampala-Wakiso'!F94+'Avg Week Wakiso-Kampala'!F94</f>
        <v>6</v>
      </c>
      <c r="G94" s="49">
        <f>'Avg Week Kampala-Wakiso'!G94+'Avg Week Wakiso-Kampala'!G94</f>
        <v>0.5</v>
      </c>
      <c r="H94" s="49">
        <f>'Avg Week Kampala-Wakiso'!H94+'Avg Week Wakiso-Kampala'!H94</f>
        <v>0</v>
      </c>
      <c r="I94" s="49">
        <f>'Avg Week Kampala-Wakiso'!I94+'Avg Week Wakiso-Kampala'!I94</f>
        <v>3.5</v>
      </c>
      <c r="J94" s="49">
        <f>'Avg Week Kampala-Wakiso'!J94+'Avg Week Wakiso-Kampala'!J94</f>
        <v>3.5</v>
      </c>
      <c r="K94" s="49">
        <f>'Avg Week Kampala-Wakiso'!K94+'Avg Week Wakiso-Kampala'!K94</f>
        <v>1.5</v>
      </c>
      <c r="L94" s="49">
        <f>'Avg Week Kampala-Wakiso'!L94+'Avg Week Wakiso-Kampala'!L94</f>
        <v>0.5</v>
      </c>
      <c r="M94" s="49">
        <f>'Avg Week Kampala-Wakiso'!M94+'Avg Week Wakiso-Kampala'!M94</f>
        <v>37</v>
      </c>
      <c r="N94" s="49">
        <f>'Avg Week Kampala-Wakiso'!N94+'Avg Week Wakiso-Kampala'!N94</f>
        <v>0</v>
      </c>
      <c r="O94" s="15">
        <f t="shared" si="35"/>
        <v>40.5</v>
      </c>
      <c r="P94" s="15">
        <f t="shared" si="36"/>
        <v>77.5</v>
      </c>
      <c r="R94" s="8"/>
      <c r="T94"/>
    </row>
    <row r="95" spans="2:20" ht="23.1" customHeight="1" x14ac:dyDescent="0.25">
      <c r="B95" s="23" t="s">
        <v>135</v>
      </c>
      <c r="C95" s="49">
        <f>'Avg Week Kampala-Wakiso'!C95+'Avg Week Wakiso-Kampala'!C95</f>
        <v>20.5</v>
      </c>
      <c r="D95" s="49">
        <f>'Avg Week Kampala-Wakiso'!D95+'Avg Week Wakiso-Kampala'!D95</f>
        <v>13.5</v>
      </c>
      <c r="E95" s="49">
        <f>'Avg Week Kampala-Wakiso'!E95+'Avg Week Wakiso-Kampala'!E95</f>
        <v>3</v>
      </c>
      <c r="F95" s="49">
        <f>'Avg Week Kampala-Wakiso'!F95+'Avg Week Wakiso-Kampala'!F95</f>
        <v>13</v>
      </c>
      <c r="G95" s="49">
        <f>'Avg Week Kampala-Wakiso'!G95+'Avg Week Wakiso-Kampala'!G95</f>
        <v>0</v>
      </c>
      <c r="H95" s="49">
        <f>'Avg Week Kampala-Wakiso'!H95+'Avg Week Wakiso-Kampala'!H95</f>
        <v>0</v>
      </c>
      <c r="I95" s="49">
        <f>'Avg Week Kampala-Wakiso'!I95+'Avg Week Wakiso-Kampala'!I95</f>
        <v>13.5</v>
      </c>
      <c r="J95" s="49">
        <f>'Avg Week Kampala-Wakiso'!J95+'Avg Week Wakiso-Kampala'!J95</f>
        <v>6</v>
      </c>
      <c r="K95" s="49">
        <f>'Avg Week Kampala-Wakiso'!K95+'Avg Week Wakiso-Kampala'!K95</f>
        <v>2</v>
      </c>
      <c r="L95" s="49">
        <f>'Avg Week Kampala-Wakiso'!L95+'Avg Week Wakiso-Kampala'!L95</f>
        <v>2</v>
      </c>
      <c r="M95" s="49">
        <f>'Avg Week Kampala-Wakiso'!M95+'Avg Week Wakiso-Kampala'!M95</f>
        <v>53</v>
      </c>
      <c r="N95" s="49">
        <f>'Avg Week Kampala-Wakiso'!N95+'Avg Week Wakiso-Kampala'!N95</f>
        <v>0</v>
      </c>
      <c r="O95" s="15">
        <f t="shared" si="35"/>
        <v>73.5</v>
      </c>
      <c r="P95" s="15">
        <f t="shared" si="36"/>
        <v>126.5</v>
      </c>
      <c r="R95" s="8"/>
      <c r="T95"/>
    </row>
    <row r="96" spans="2:20" ht="23.1" customHeight="1" x14ac:dyDescent="0.25">
      <c r="B96" s="25" t="s">
        <v>136</v>
      </c>
      <c r="C96" s="49">
        <f>'Avg Week Kampala-Wakiso'!C96+'Avg Week Wakiso-Kampala'!C96</f>
        <v>20.5</v>
      </c>
      <c r="D96" s="49">
        <f>'Avg Week Kampala-Wakiso'!D96+'Avg Week Wakiso-Kampala'!D96</f>
        <v>13.5</v>
      </c>
      <c r="E96" s="49">
        <f>'Avg Week Kampala-Wakiso'!E96+'Avg Week Wakiso-Kampala'!E96</f>
        <v>2</v>
      </c>
      <c r="F96" s="49">
        <f>'Avg Week Kampala-Wakiso'!F96+'Avg Week Wakiso-Kampala'!F96</f>
        <v>19.5</v>
      </c>
      <c r="G96" s="49">
        <f>'Avg Week Kampala-Wakiso'!G96+'Avg Week Wakiso-Kampala'!G96</f>
        <v>0</v>
      </c>
      <c r="H96" s="49">
        <f>'Avg Week Kampala-Wakiso'!H96+'Avg Week Wakiso-Kampala'!H96</f>
        <v>0</v>
      </c>
      <c r="I96" s="49">
        <f>'Avg Week Kampala-Wakiso'!I96+'Avg Week Wakiso-Kampala'!I96</f>
        <v>8</v>
      </c>
      <c r="J96" s="49">
        <f>'Avg Week Kampala-Wakiso'!J96+'Avg Week Wakiso-Kampala'!J96</f>
        <v>3.5</v>
      </c>
      <c r="K96" s="49">
        <f>'Avg Week Kampala-Wakiso'!K96+'Avg Week Wakiso-Kampala'!K96</f>
        <v>1.5</v>
      </c>
      <c r="L96" s="49">
        <f>'Avg Week Kampala-Wakiso'!L96+'Avg Week Wakiso-Kampala'!L96</f>
        <v>0.5</v>
      </c>
      <c r="M96" s="49">
        <f>'Avg Week Kampala-Wakiso'!M96+'Avg Week Wakiso-Kampala'!M96</f>
        <v>50.5</v>
      </c>
      <c r="N96" s="49">
        <f>'Avg Week Kampala-Wakiso'!N96+'Avg Week Wakiso-Kampala'!N96</f>
        <v>0</v>
      </c>
      <c r="O96" s="15">
        <f t="shared" si="35"/>
        <v>69</v>
      </c>
      <c r="P96" s="15">
        <f t="shared" si="36"/>
        <v>119.5</v>
      </c>
      <c r="R96" s="8"/>
      <c r="T96"/>
    </row>
    <row r="97" spans="2:20" ht="23.1" customHeight="1" x14ac:dyDescent="0.25">
      <c r="B97" s="23" t="s">
        <v>137</v>
      </c>
      <c r="C97" s="49">
        <f>'Avg Week Kampala-Wakiso'!C97+'Avg Week Wakiso-Kampala'!C97</f>
        <v>15</v>
      </c>
      <c r="D97" s="49">
        <f>'Avg Week Kampala-Wakiso'!D97+'Avg Week Wakiso-Kampala'!D97</f>
        <v>6</v>
      </c>
      <c r="E97" s="49">
        <f>'Avg Week Kampala-Wakiso'!E97+'Avg Week Wakiso-Kampala'!E97</f>
        <v>2</v>
      </c>
      <c r="F97" s="49">
        <f>'Avg Week Kampala-Wakiso'!F97+'Avg Week Wakiso-Kampala'!F97</f>
        <v>20.5</v>
      </c>
      <c r="G97" s="49">
        <f>'Avg Week Kampala-Wakiso'!G97+'Avg Week Wakiso-Kampala'!G97</f>
        <v>1</v>
      </c>
      <c r="H97" s="49">
        <f>'Avg Week Kampala-Wakiso'!H97+'Avg Week Wakiso-Kampala'!H97</f>
        <v>0</v>
      </c>
      <c r="I97" s="49">
        <f>'Avg Week Kampala-Wakiso'!I97+'Avg Week Wakiso-Kampala'!I97</f>
        <v>2</v>
      </c>
      <c r="J97" s="49">
        <f>'Avg Week Kampala-Wakiso'!J97+'Avg Week Wakiso-Kampala'!J97</f>
        <v>2</v>
      </c>
      <c r="K97" s="49">
        <f>'Avg Week Kampala-Wakiso'!K97+'Avg Week Wakiso-Kampala'!K97</f>
        <v>2</v>
      </c>
      <c r="L97" s="49">
        <f>'Avg Week Kampala-Wakiso'!L97+'Avg Week Wakiso-Kampala'!L97</f>
        <v>0</v>
      </c>
      <c r="M97" s="49">
        <f>'Avg Week Kampala-Wakiso'!M97+'Avg Week Wakiso-Kampala'!M97</f>
        <v>40</v>
      </c>
      <c r="N97" s="49">
        <f>'Avg Week Kampala-Wakiso'!N97+'Avg Week Wakiso-Kampala'!N97</f>
        <v>0</v>
      </c>
      <c r="O97" s="15">
        <f t="shared" si="35"/>
        <v>50.5</v>
      </c>
      <c r="P97" s="15">
        <f t="shared" si="36"/>
        <v>90.5</v>
      </c>
      <c r="R97" s="8"/>
      <c r="T97"/>
    </row>
    <row r="98" spans="2:20" ht="23.1" customHeight="1" x14ac:dyDescent="0.25">
      <c r="B98" s="24" t="s">
        <v>138</v>
      </c>
      <c r="C98" s="49">
        <f>'Avg Week Kampala-Wakiso'!C98+'Avg Week Wakiso-Kampala'!C98</f>
        <v>13</v>
      </c>
      <c r="D98" s="49">
        <f>'Avg Week Kampala-Wakiso'!D98+'Avg Week Wakiso-Kampala'!D98</f>
        <v>11</v>
      </c>
      <c r="E98" s="49">
        <f>'Avg Week Kampala-Wakiso'!E98+'Avg Week Wakiso-Kampala'!E98</f>
        <v>1.5</v>
      </c>
      <c r="F98" s="49">
        <f>'Avg Week Kampala-Wakiso'!F98+'Avg Week Wakiso-Kampala'!F98</f>
        <v>32</v>
      </c>
      <c r="G98" s="49">
        <f>'Avg Week Kampala-Wakiso'!G98+'Avg Week Wakiso-Kampala'!G98</f>
        <v>0</v>
      </c>
      <c r="H98" s="49">
        <f>'Avg Week Kampala-Wakiso'!H98+'Avg Week Wakiso-Kampala'!H98</f>
        <v>0.5</v>
      </c>
      <c r="I98" s="49">
        <f>'Avg Week Kampala-Wakiso'!I98+'Avg Week Wakiso-Kampala'!I98</f>
        <v>8.5</v>
      </c>
      <c r="J98" s="49">
        <f>'Avg Week Kampala-Wakiso'!J98+'Avg Week Wakiso-Kampala'!J98</f>
        <v>1.5</v>
      </c>
      <c r="K98" s="49">
        <f>'Avg Week Kampala-Wakiso'!K98+'Avg Week Wakiso-Kampala'!K98</f>
        <v>7.5</v>
      </c>
      <c r="L98" s="49">
        <f>'Avg Week Kampala-Wakiso'!L98+'Avg Week Wakiso-Kampala'!L98</f>
        <v>3.5</v>
      </c>
      <c r="M98" s="49">
        <f>'Avg Week Kampala-Wakiso'!M98+'Avg Week Wakiso-Kampala'!M98</f>
        <v>49</v>
      </c>
      <c r="N98" s="49">
        <f>'Avg Week Kampala-Wakiso'!N98+'Avg Week Wakiso-Kampala'!N98</f>
        <v>0</v>
      </c>
      <c r="O98" s="15">
        <f t="shared" si="35"/>
        <v>79</v>
      </c>
      <c r="P98" s="15">
        <f t="shared" si="36"/>
        <v>128</v>
      </c>
      <c r="R98" s="8"/>
      <c r="T98"/>
    </row>
    <row r="99" spans="2:20" ht="23.1" customHeight="1" x14ac:dyDescent="0.25">
      <c r="B99" s="23" t="s">
        <v>139</v>
      </c>
      <c r="C99" s="49">
        <f>'Avg Week Kampala-Wakiso'!C99+'Avg Week Wakiso-Kampala'!C99</f>
        <v>18.5</v>
      </c>
      <c r="D99" s="49">
        <f>'Avg Week Kampala-Wakiso'!D99+'Avg Week Wakiso-Kampala'!D99</f>
        <v>6</v>
      </c>
      <c r="E99" s="49">
        <f>'Avg Week Kampala-Wakiso'!E99+'Avg Week Wakiso-Kampala'!E99</f>
        <v>2</v>
      </c>
      <c r="F99" s="49">
        <f>'Avg Week Kampala-Wakiso'!F99+'Avg Week Wakiso-Kampala'!F99</f>
        <v>45</v>
      </c>
      <c r="G99" s="49">
        <f>'Avg Week Kampala-Wakiso'!G99+'Avg Week Wakiso-Kampala'!G99</f>
        <v>0.5</v>
      </c>
      <c r="H99" s="49">
        <f>'Avg Week Kampala-Wakiso'!H99+'Avg Week Wakiso-Kampala'!H99</f>
        <v>0.5</v>
      </c>
      <c r="I99" s="49">
        <f>'Avg Week Kampala-Wakiso'!I99+'Avg Week Wakiso-Kampala'!I99</f>
        <v>8</v>
      </c>
      <c r="J99" s="49">
        <f>'Avg Week Kampala-Wakiso'!J99+'Avg Week Wakiso-Kampala'!J99</f>
        <v>2</v>
      </c>
      <c r="K99" s="49">
        <f>'Avg Week Kampala-Wakiso'!K99+'Avg Week Wakiso-Kampala'!K99</f>
        <v>2</v>
      </c>
      <c r="L99" s="49">
        <f>'Avg Week Kampala-Wakiso'!L99+'Avg Week Wakiso-Kampala'!L99</f>
        <v>0</v>
      </c>
      <c r="M99" s="49">
        <f>'Avg Week Kampala-Wakiso'!M99+'Avg Week Wakiso-Kampala'!M99</f>
        <v>50</v>
      </c>
      <c r="N99" s="49">
        <f>'Avg Week Kampala-Wakiso'!N99+'Avg Week Wakiso-Kampala'!N99</f>
        <v>0</v>
      </c>
      <c r="O99" s="15">
        <f t="shared" si="35"/>
        <v>84.5</v>
      </c>
      <c r="P99" s="15">
        <f t="shared" si="36"/>
        <v>134.5</v>
      </c>
      <c r="R99" s="8"/>
      <c r="T99"/>
    </row>
    <row r="100" spans="2:20" ht="23.1" customHeight="1" x14ac:dyDescent="0.25">
      <c r="B100" s="25" t="s">
        <v>140</v>
      </c>
      <c r="C100" s="49">
        <f>'Avg Week Kampala-Wakiso'!C100+'Avg Week Wakiso-Kampala'!C100</f>
        <v>16</v>
      </c>
      <c r="D100" s="49">
        <f>'Avg Week Kampala-Wakiso'!D100+'Avg Week Wakiso-Kampala'!D100</f>
        <v>7</v>
      </c>
      <c r="E100" s="49">
        <f>'Avg Week Kampala-Wakiso'!E100+'Avg Week Wakiso-Kampala'!E100</f>
        <v>5</v>
      </c>
      <c r="F100" s="49">
        <f>'Avg Week Kampala-Wakiso'!F100+'Avg Week Wakiso-Kampala'!F100</f>
        <v>27.5</v>
      </c>
      <c r="G100" s="49">
        <f>'Avg Week Kampala-Wakiso'!G100+'Avg Week Wakiso-Kampala'!G100</f>
        <v>2.5</v>
      </c>
      <c r="H100" s="49">
        <f>'Avg Week Kampala-Wakiso'!H100+'Avg Week Wakiso-Kampala'!H100</f>
        <v>0.5</v>
      </c>
      <c r="I100" s="49">
        <f>'Avg Week Kampala-Wakiso'!I100+'Avg Week Wakiso-Kampala'!I100</f>
        <v>10.5</v>
      </c>
      <c r="J100" s="49">
        <f>'Avg Week Kampala-Wakiso'!J100+'Avg Week Wakiso-Kampala'!J100</f>
        <v>1.5</v>
      </c>
      <c r="K100" s="49">
        <f>'Avg Week Kampala-Wakiso'!K100+'Avg Week Wakiso-Kampala'!K100</f>
        <v>3</v>
      </c>
      <c r="L100" s="49">
        <f>'Avg Week Kampala-Wakiso'!L100+'Avg Week Wakiso-Kampala'!L100</f>
        <v>1</v>
      </c>
      <c r="M100" s="49">
        <f>'Avg Week Kampala-Wakiso'!M100+'Avg Week Wakiso-Kampala'!M100</f>
        <v>47.5</v>
      </c>
      <c r="N100" s="49">
        <f>'Avg Week Kampala-Wakiso'!N100+'Avg Week Wakiso-Kampala'!N100</f>
        <v>0</v>
      </c>
      <c r="O100" s="15">
        <f t="shared" si="35"/>
        <v>74.5</v>
      </c>
      <c r="P100" s="15">
        <f t="shared" si="36"/>
        <v>122</v>
      </c>
      <c r="R100" s="8"/>
      <c r="T100"/>
    </row>
    <row r="101" spans="2:20" ht="23.1" customHeight="1" x14ac:dyDescent="0.25">
      <c r="B101" s="23" t="s">
        <v>141</v>
      </c>
      <c r="C101" s="49">
        <f>'Avg Week Kampala-Wakiso'!C101+'Avg Week Wakiso-Kampala'!C101</f>
        <v>36</v>
      </c>
      <c r="D101" s="49">
        <f>'Avg Week Kampala-Wakiso'!D101+'Avg Week Wakiso-Kampala'!D101</f>
        <v>9.5</v>
      </c>
      <c r="E101" s="49">
        <f>'Avg Week Kampala-Wakiso'!E101+'Avg Week Wakiso-Kampala'!E101</f>
        <v>3.5</v>
      </c>
      <c r="F101" s="49">
        <f>'Avg Week Kampala-Wakiso'!F101+'Avg Week Wakiso-Kampala'!F101</f>
        <v>46</v>
      </c>
      <c r="G101" s="49">
        <f>'Avg Week Kampala-Wakiso'!G101+'Avg Week Wakiso-Kampala'!G101</f>
        <v>1</v>
      </c>
      <c r="H101" s="49">
        <f>'Avg Week Kampala-Wakiso'!H101+'Avg Week Wakiso-Kampala'!H101</f>
        <v>0.5</v>
      </c>
      <c r="I101" s="49">
        <f>'Avg Week Kampala-Wakiso'!I101+'Avg Week Wakiso-Kampala'!I101</f>
        <v>16.5</v>
      </c>
      <c r="J101" s="49">
        <f>'Avg Week Kampala-Wakiso'!J101+'Avg Week Wakiso-Kampala'!J101</f>
        <v>2.5</v>
      </c>
      <c r="K101" s="49">
        <f>'Avg Week Kampala-Wakiso'!K101+'Avg Week Wakiso-Kampala'!K101</f>
        <v>7</v>
      </c>
      <c r="L101" s="49">
        <f>'Avg Week Kampala-Wakiso'!L101+'Avg Week Wakiso-Kampala'!L101</f>
        <v>0</v>
      </c>
      <c r="M101" s="49">
        <f>'Avg Week Kampala-Wakiso'!M101+'Avg Week Wakiso-Kampala'!M101</f>
        <v>52.5</v>
      </c>
      <c r="N101" s="49">
        <f>'Avg Week Kampala-Wakiso'!N101+'Avg Week Wakiso-Kampala'!N101</f>
        <v>0</v>
      </c>
      <c r="O101" s="15">
        <f t="shared" si="35"/>
        <v>122.5</v>
      </c>
      <c r="P101" s="15">
        <f t="shared" si="36"/>
        <v>175</v>
      </c>
      <c r="R101" s="8"/>
      <c r="T101"/>
    </row>
    <row r="102" spans="2:20" ht="23.1" customHeight="1" x14ac:dyDescent="0.25">
      <c r="B102" s="24" t="s">
        <v>142</v>
      </c>
      <c r="C102" s="49">
        <f>'Avg Week Kampala-Wakiso'!C102+'Avg Week Wakiso-Kampala'!C102</f>
        <v>32</v>
      </c>
      <c r="D102" s="49">
        <f>'Avg Week Kampala-Wakiso'!D102+'Avg Week Wakiso-Kampala'!D102</f>
        <v>12.5</v>
      </c>
      <c r="E102" s="49">
        <f>'Avg Week Kampala-Wakiso'!E102+'Avg Week Wakiso-Kampala'!E102</f>
        <v>4.5</v>
      </c>
      <c r="F102" s="49">
        <f>'Avg Week Kampala-Wakiso'!F102+'Avg Week Wakiso-Kampala'!F102</f>
        <v>62.5</v>
      </c>
      <c r="G102" s="49">
        <f>'Avg Week Kampala-Wakiso'!G102+'Avg Week Wakiso-Kampala'!G102</f>
        <v>1</v>
      </c>
      <c r="H102" s="49">
        <f>'Avg Week Kampala-Wakiso'!H102+'Avg Week Wakiso-Kampala'!H102</f>
        <v>0.5</v>
      </c>
      <c r="I102" s="49">
        <f>'Avg Week Kampala-Wakiso'!I102+'Avg Week Wakiso-Kampala'!I102</f>
        <v>5</v>
      </c>
      <c r="J102" s="49">
        <f>'Avg Week Kampala-Wakiso'!J102+'Avg Week Wakiso-Kampala'!J102</f>
        <v>0</v>
      </c>
      <c r="K102" s="49">
        <f>'Avg Week Kampala-Wakiso'!K102+'Avg Week Wakiso-Kampala'!K102</f>
        <v>0.5</v>
      </c>
      <c r="L102" s="49">
        <f>'Avg Week Kampala-Wakiso'!L102+'Avg Week Wakiso-Kampala'!L102</f>
        <v>0.5</v>
      </c>
      <c r="M102" s="49">
        <f>'Avg Week Kampala-Wakiso'!M102+'Avg Week Wakiso-Kampala'!M102</f>
        <v>45</v>
      </c>
      <c r="N102" s="49">
        <f>'Avg Week Kampala-Wakiso'!N102+'Avg Week Wakiso-Kampala'!N102</f>
        <v>0</v>
      </c>
      <c r="O102" s="15">
        <f t="shared" si="35"/>
        <v>119</v>
      </c>
      <c r="P102" s="15">
        <f t="shared" si="36"/>
        <v>164</v>
      </c>
      <c r="R102" s="8"/>
      <c r="T102"/>
    </row>
    <row r="103" spans="2:20" ht="23.1" customHeight="1" x14ac:dyDescent="0.25">
      <c r="B103" s="23" t="s">
        <v>143</v>
      </c>
      <c r="C103" s="49">
        <f>'Avg Week Kampala-Wakiso'!C103+'Avg Week Wakiso-Kampala'!C103</f>
        <v>28</v>
      </c>
      <c r="D103" s="49">
        <f>'Avg Week Kampala-Wakiso'!D103+'Avg Week Wakiso-Kampala'!D103</f>
        <v>13</v>
      </c>
      <c r="E103" s="49">
        <f>'Avg Week Kampala-Wakiso'!E103+'Avg Week Wakiso-Kampala'!E103</f>
        <v>11</v>
      </c>
      <c r="F103" s="49">
        <f>'Avg Week Kampala-Wakiso'!F103+'Avg Week Wakiso-Kampala'!F103</f>
        <v>63</v>
      </c>
      <c r="G103" s="49">
        <f>'Avg Week Kampala-Wakiso'!G103+'Avg Week Wakiso-Kampala'!G103</f>
        <v>0.5</v>
      </c>
      <c r="H103" s="49">
        <f>'Avg Week Kampala-Wakiso'!H103+'Avg Week Wakiso-Kampala'!H103</f>
        <v>0</v>
      </c>
      <c r="I103" s="49">
        <f>'Avg Week Kampala-Wakiso'!I103+'Avg Week Wakiso-Kampala'!I103</f>
        <v>9.5</v>
      </c>
      <c r="J103" s="49">
        <f>'Avg Week Kampala-Wakiso'!J103+'Avg Week Wakiso-Kampala'!J103</f>
        <v>2</v>
      </c>
      <c r="K103" s="49">
        <f>'Avg Week Kampala-Wakiso'!K103+'Avg Week Wakiso-Kampala'!K103</f>
        <v>0.5</v>
      </c>
      <c r="L103" s="49">
        <f>'Avg Week Kampala-Wakiso'!L103+'Avg Week Wakiso-Kampala'!L103</f>
        <v>1</v>
      </c>
      <c r="M103" s="49">
        <f>'Avg Week Kampala-Wakiso'!M103+'Avg Week Wakiso-Kampala'!M103</f>
        <v>84.5</v>
      </c>
      <c r="N103" s="49">
        <f>'Avg Week Kampala-Wakiso'!N103+'Avg Week Wakiso-Kampala'!N103</f>
        <v>0</v>
      </c>
      <c r="O103" s="15">
        <f t="shared" si="35"/>
        <v>128.5</v>
      </c>
      <c r="P103" s="15">
        <f t="shared" si="36"/>
        <v>213</v>
      </c>
      <c r="R103" s="8"/>
      <c r="T103"/>
    </row>
    <row r="104" spans="2:20" ht="23.1" customHeight="1" x14ac:dyDescent="0.25">
      <c r="B104" s="25" t="s">
        <v>144</v>
      </c>
      <c r="C104" s="49">
        <f>'Avg Week Kampala-Wakiso'!C104+'Avg Week Wakiso-Kampala'!C104</f>
        <v>33.5</v>
      </c>
      <c r="D104" s="49">
        <f>'Avg Week Kampala-Wakiso'!D104+'Avg Week Wakiso-Kampala'!D104</f>
        <v>18</v>
      </c>
      <c r="E104" s="49">
        <f>'Avg Week Kampala-Wakiso'!E104+'Avg Week Wakiso-Kampala'!E104</f>
        <v>5</v>
      </c>
      <c r="F104" s="49">
        <f>'Avg Week Kampala-Wakiso'!F104+'Avg Week Wakiso-Kampala'!F104</f>
        <v>84</v>
      </c>
      <c r="G104" s="49">
        <f>'Avg Week Kampala-Wakiso'!G104+'Avg Week Wakiso-Kampala'!G104</f>
        <v>0</v>
      </c>
      <c r="H104" s="49">
        <f>'Avg Week Kampala-Wakiso'!H104+'Avg Week Wakiso-Kampala'!H104</f>
        <v>0.5</v>
      </c>
      <c r="I104" s="49">
        <f>'Avg Week Kampala-Wakiso'!I104+'Avg Week Wakiso-Kampala'!I104</f>
        <v>12</v>
      </c>
      <c r="J104" s="49">
        <f>'Avg Week Kampala-Wakiso'!J104+'Avg Week Wakiso-Kampala'!J104</f>
        <v>1</v>
      </c>
      <c r="K104" s="49">
        <f>'Avg Week Kampala-Wakiso'!K104+'Avg Week Wakiso-Kampala'!K104</f>
        <v>0.5</v>
      </c>
      <c r="L104" s="49">
        <f>'Avg Week Kampala-Wakiso'!L104+'Avg Week Wakiso-Kampala'!L104</f>
        <v>0.5</v>
      </c>
      <c r="M104" s="49">
        <f>'Avg Week Kampala-Wakiso'!M104+'Avg Week Wakiso-Kampala'!M104</f>
        <v>82.5</v>
      </c>
      <c r="N104" s="49">
        <f>'Avg Week Kampala-Wakiso'!N104+'Avg Week Wakiso-Kampala'!N104</f>
        <v>0</v>
      </c>
      <c r="O104" s="15">
        <f t="shared" si="35"/>
        <v>155</v>
      </c>
      <c r="P104" s="15">
        <f t="shared" si="36"/>
        <v>237.5</v>
      </c>
      <c r="R104" s="8"/>
      <c r="T104"/>
    </row>
    <row r="105" spans="2:20" ht="23.1" customHeight="1" x14ac:dyDescent="0.25">
      <c r="B105" s="23" t="s">
        <v>145</v>
      </c>
      <c r="C105" s="49">
        <f>'Avg Week Kampala-Wakiso'!C105+'Avg Week Wakiso-Kampala'!C105</f>
        <v>58</v>
      </c>
      <c r="D105" s="49">
        <f>'Avg Week Kampala-Wakiso'!D105+'Avg Week Wakiso-Kampala'!D105</f>
        <v>27</v>
      </c>
      <c r="E105" s="49">
        <f>'Avg Week Kampala-Wakiso'!E105+'Avg Week Wakiso-Kampala'!E105</f>
        <v>10.5</v>
      </c>
      <c r="F105" s="49">
        <f>'Avg Week Kampala-Wakiso'!F105+'Avg Week Wakiso-Kampala'!F105</f>
        <v>94</v>
      </c>
      <c r="G105" s="49">
        <f>'Avg Week Kampala-Wakiso'!G105+'Avg Week Wakiso-Kampala'!G105</f>
        <v>2</v>
      </c>
      <c r="H105" s="49">
        <f>'Avg Week Kampala-Wakiso'!H105+'Avg Week Wakiso-Kampala'!H105</f>
        <v>5</v>
      </c>
      <c r="I105" s="49">
        <f>'Avg Week Kampala-Wakiso'!I105+'Avg Week Wakiso-Kampala'!I105</f>
        <v>8.5</v>
      </c>
      <c r="J105" s="49">
        <f>'Avg Week Kampala-Wakiso'!J105+'Avg Week Wakiso-Kampala'!J105</f>
        <v>4</v>
      </c>
      <c r="K105" s="49">
        <f>'Avg Week Kampala-Wakiso'!K105+'Avg Week Wakiso-Kampala'!K105</f>
        <v>1</v>
      </c>
      <c r="L105" s="49">
        <f>'Avg Week Kampala-Wakiso'!L105+'Avg Week Wakiso-Kampala'!L105</f>
        <v>0</v>
      </c>
      <c r="M105" s="49">
        <f>'Avg Week Kampala-Wakiso'!M105+'Avg Week Wakiso-Kampala'!M105</f>
        <v>106</v>
      </c>
      <c r="N105" s="49">
        <f>'Avg Week Kampala-Wakiso'!N105+'Avg Week Wakiso-Kampala'!N105</f>
        <v>0</v>
      </c>
      <c r="O105" s="15">
        <f t="shared" si="35"/>
        <v>210</v>
      </c>
      <c r="P105" s="15">
        <f t="shared" si="36"/>
        <v>316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7393.4285714285725</v>
      </c>
      <c r="D106" s="16">
        <f t="shared" ref="D106:Q106" si="37">SUM(D10:D105)</f>
        <v>4859.0714285714284</v>
      </c>
      <c r="E106" s="16">
        <f t="shared" si="37"/>
        <v>1299.3571428571429</v>
      </c>
      <c r="F106" s="16">
        <f t="shared" si="37"/>
        <v>7695.5714285714294</v>
      </c>
      <c r="G106" s="16">
        <f t="shared" si="37"/>
        <v>178.42857142857139</v>
      </c>
      <c r="H106" s="16">
        <f t="shared" si="37"/>
        <v>69.809523809523796</v>
      </c>
      <c r="I106" s="16">
        <f t="shared" si="37"/>
        <v>1331.5000000000002</v>
      </c>
      <c r="J106" s="16">
        <f t="shared" si="37"/>
        <v>363.35714285714289</v>
      </c>
      <c r="K106" s="16">
        <f t="shared" si="37"/>
        <v>143.78571428571428</v>
      </c>
      <c r="L106" s="16">
        <f t="shared" si="37"/>
        <v>138.21428571428572</v>
      </c>
      <c r="M106" s="16">
        <f t="shared" si="37"/>
        <v>13426.571428571428</v>
      </c>
      <c r="N106" s="16">
        <f t="shared" si="37"/>
        <v>0.71428571428571419</v>
      </c>
      <c r="O106" s="16">
        <f t="shared" si="37"/>
        <v>23473.238095238092</v>
      </c>
      <c r="P106" s="16">
        <f>SUM(P10:P105)</f>
        <v>36899.809523809512</v>
      </c>
      <c r="Q106" s="16">
        <f t="shared" si="37"/>
        <v>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0.20036495220003725</v>
      </c>
      <c r="D107" s="43">
        <f t="shared" si="38"/>
        <v>0.13168283227684752</v>
      </c>
      <c r="E107" s="43">
        <f t="shared" si="38"/>
        <v>3.5213112469286212E-2</v>
      </c>
      <c r="F107" s="43">
        <f t="shared" si="38"/>
        <v>0.2085531477772502</v>
      </c>
      <c r="G107" s="43">
        <f t="shared" si="38"/>
        <v>4.8354876009167689E-3</v>
      </c>
      <c r="H107" s="43">
        <f t="shared" si="38"/>
        <v>1.8918667795420291E-3</v>
      </c>
      <c r="I107" s="43">
        <f t="shared" si="38"/>
        <v>3.6084197105159935E-2</v>
      </c>
      <c r="J107" s="43">
        <f t="shared" si="38"/>
        <v>9.8471278726435588E-3</v>
      </c>
      <c r="K107" s="43">
        <f t="shared" si="38"/>
        <v>3.8966519378084295E-3</v>
      </c>
      <c r="L107" s="43">
        <f t="shared" si="38"/>
        <v>3.7456639342569858E-3</v>
      </c>
      <c r="M107" s="43">
        <f t="shared" si="38"/>
        <v>0.3638656026098987</v>
      </c>
      <c r="N107" s="43">
        <f t="shared" si="38"/>
        <v>1.9357436352749277E-5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0.31497267404825768</v>
      </c>
      <c r="D108" s="44">
        <f t="shared" ref="D108:N108" si="39">D106/$O$106</f>
        <v>0.2070047348753799</v>
      </c>
      <c r="E108" s="44">
        <f t="shared" si="39"/>
        <v>5.5354831642113217E-2</v>
      </c>
      <c r="F108" s="44">
        <f t="shared" si="39"/>
        <v>0.32784447537012779</v>
      </c>
      <c r="G108" s="44">
        <f t="shared" si="39"/>
        <v>7.6013616316859319E-3</v>
      </c>
      <c r="H108" s="44">
        <f t="shared" si="39"/>
        <v>2.9740048444226248E-3</v>
      </c>
      <c r="I108" s="44">
        <f t="shared" si="39"/>
        <v>5.672417220826962E-2</v>
      </c>
      <c r="J108" s="44">
        <f t="shared" si="39"/>
        <v>1.547963435563905E-2</v>
      </c>
      <c r="K108" s="44">
        <f t="shared" si="39"/>
        <v>6.1255167992729318E-3</v>
      </c>
      <c r="L108" s="44">
        <f t="shared" si="39"/>
        <v>5.8881644344724905E-3</v>
      </c>
      <c r="M108" s="44"/>
      <c r="N108" s="44">
        <f t="shared" si="39"/>
        <v>3.0429790359030955E-5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Kampala-Wakiso</vt:lpstr>
      <vt:lpstr>22.07 Wakiso-Kampala</vt:lpstr>
      <vt:lpstr>23.07 KAMPALA-WAKISO</vt:lpstr>
      <vt:lpstr>23.07 Wakiso-Kampala</vt:lpstr>
      <vt:lpstr>24.07 Kampala-Wakiso</vt:lpstr>
      <vt:lpstr>24.07 Wakiso-Kampala</vt:lpstr>
      <vt:lpstr>25.07 Kampala-Wakiso</vt:lpstr>
      <vt:lpstr>25.07 Wakiso-Kampala</vt:lpstr>
      <vt:lpstr>26.07 Kampala-Wakiso-24h</vt:lpstr>
      <vt:lpstr>26.07 Wakiso-Kampala-24h</vt:lpstr>
      <vt:lpstr>27.07 Kampala-Wakiso-24h</vt:lpstr>
      <vt:lpstr>27.07 Wakiso-Kampala-24h</vt:lpstr>
      <vt:lpstr>28.07 Kampala-wakiso</vt:lpstr>
      <vt:lpstr>28.07 Wakiso-Kampala</vt:lpstr>
      <vt:lpstr>Avg Week Kampala-Wakiso</vt:lpstr>
      <vt:lpstr>Avg Week Wakiso-Kampala</vt:lpstr>
      <vt:lpstr>Avg Week Kampala-Wakiso-2Dir</vt:lpstr>
      <vt:lpstr>'22.07 Kampala-Wakiso'!Print_Area</vt:lpstr>
      <vt:lpstr>'22.07 Wakiso-Kampala'!Print_Area</vt:lpstr>
      <vt:lpstr>'23.07 KAMPALA-WAKISO'!Print_Area</vt:lpstr>
      <vt:lpstr>'23.07 Wakiso-Kampala'!Print_Area</vt:lpstr>
      <vt:lpstr>'24.07 Kampala-Wakiso'!Print_Area</vt:lpstr>
      <vt:lpstr>'24.07 Wakiso-Kampala'!Print_Area</vt:lpstr>
      <vt:lpstr>'25.07 Kampala-Wakiso'!Print_Area</vt:lpstr>
      <vt:lpstr>'25.07 Wakiso-Kampala'!Print_Area</vt:lpstr>
      <vt:lpstr>'26.07 Kampala-Wakiso-24h'!Print_Area</vt:lpstr>
      <vt:lpstr>'26.07 Wakiso-Kampala-24h'!Print_Area</vt:lpstr>
      <vt:lpstr>'27.07 Kampala-Wakiso-24h'!Print_Area</vt:lpstr>
      <vt:lpstr>'27.07 Wakiso-Kampala-24h'!Print_Area</vt:lpstr>
      <vt:lpstr>'28.07 Kampala-wakiso'!Print_Area</vt:lpstr>
      <vt:lpstr>'28.07 Wakiso-Kampala'!Print_Area</vt:lpstr>
      <vt:lpstr>'Avg Week Kampala-Wakiso'!Print_Area</vt:lpstr>
      <vt:lpstr>'Avg Week Kampala-Wakiso-2Dir'!Print_Area</vt:lpstr>
      <vt:lpstr>'Avg Week Wakiso-Kampala'!Print_Area</vt:lpstr>
      <vt:lpstr>'22.07 Kampala-Wakiso'!Print_Titles</vt:lpstr>
      <vt:lpstr>'22.07 Wakiso-Kampala'!Print_Titles</vt:lpstr>
      <vt:lpstr>'23.07 KAMPALA-WAKISO'!Print_Titles</vt:lpstr>
      <vt:lpstr>'23.07 Wakiso-Kampala'!Print_Titles</vt:lpstr>
      <vt:lpstr>'24.07 Kampala-Wakiso'!Print_Titles</vt:lpstr>
      <vt:lpstr>'24.07 Wakiso-Kampala'!Print_Titles</vt:lpstr>
      <vt:lpstr>'25.07 Kampala-Wakiso'!Print_Titles</vt:lpstr>
      <vt:lpstr>'25.07 Wakiso-Kampala'!Print_Titles</vt:lpstr>
      <vt:lpstr>'26.07 Kampala-Wakiso-24h'!Print_Titles</vt:lpstr>
      <vt:lpstr>'26.07 Wakiso-Kampala-24h'!Print_Titles</vt:lpstr>
      <vt:lpstr>'27.07 Kampala-Wakiso-24h'!Print_Titles</vt:lpstr>
      <vt:lpstr>'27.07 Wakiso-Kampala-24h'!Print_Titles</vt:lpstr>
      <vt:lpstr>'28.07 Kampala-wakiso'!Print_Titles</vt:lpstr>
      <vt:lpstr>'28.07 Wakiso-Kampala'!Print_Titles</vt:lpstr>
      <vt:lpstr>'Avg Week Kampala-Wakiso'!Print_Titles</vt:lpstr>
      <vt:lpstr>'Avg Week Kampala-Wakiso-2Dir'!Print_Titles</vt:lpstr>
      <vt:lpstr>'Avg Week Wakiso-Kampala'!Print_Titles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2020-01-15T20:25:00Z</dcterms:modified>
</cp:coreProperties>
</file>